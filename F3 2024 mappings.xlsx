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2.bin" ContentType="application/vnd.openxmlformats-officedocument.spreadsheetml.printerSettings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4.xml" ContentType="application/vnd.openxmlformats-officedocument.spreadsheetml.table+xml"/>
  <Override PartName="/xl/printerSettings/printerSettings6.bin" ContentType="application/vnd.openxmlformats-officedocument.spreadsheetml.printerSettings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73F7599F-3021-46E5-80E2-5C1D199360E2}" xr6:coauthVersionLast="47" xr6:coauthVersionMax="47" xr10:uidLastSave="{00000000-0000-0000-0000-000000000000}"/>
  <bookViews>
    <workbookView xWindow="-26685" yWindow="435" windowWidth="19215" windowHeight="13875" activeTab="6" xr2:uid="{9EF57C3D-F6AB-450C-9EC3-AF89A75F272D}"/>
  </bookViews>
  <sheets>
    <sheet name="KPI" sheetId="5" r:id="rId1"/>
    <sheet name="Sheet6" sheetId="33" r:id="rId2"/>
    <sheet name="Sheet7" sheetId="34" r:id="rId3"/>
    <sheet name="Report" sheetId="4" r:id="rId4"/>
    <sheet name="OK" sheetId="2" r:id="rId5"/>
    <sheet name="Cognos_Office_Connection_Cache" sheetId="27" state="veryHidden" r:id="rId6"/>
    <sheet name="PROC" sheetId="1" r:id="rId7"/>
    <sheet name="Sheet5" sheetId="32" r:id="rId8"/>
    <sheet name="Sheet4" sheetId="31" r:id="rId9"/>
    <sheet name="Sheet3" sheetId="30" r:id="rId10"/>
    <sheet name="Sheet2" sheetId="29" r:id="rId11"/>
    <sheet name="Sheet1" sheetId="28" r:id="rId12"/>
    <sheet name="For Commentary" sheetId="20" r:id="rId13"/>
    <sheet name="Authors" sheetId="18" r:id="rId14"/>
    <sheet name="STAT" sheetId="10" r:id="rId15"/>
    <sheet name="Sector" sheetId="3" r:id="rId16"/>
    <sheet name="YelTable" sheetId="24" r:id="rId17"/>
  </sheets>
  <definedNames>
    <definedName name="_xlnm._FilterDatabase" localSheetId="4" hidden="1">OK!$A$67:$C$67</definedName>
    <definedName name="_xlnm._FilterDatabase" localSheetId="3" hidden="1">Report!$A$2:$F$1358</definedName>
    <definedName name="_xlnm._FilterDatabase" localSheetId="9" hidden="1">Sheet3!$A$1:$E$259</definedName>
    <definedName name="ExternalData_1" localSheetId="16" hidden="1">YelTable!$A$1:$E$5</definedName>
    <definedName name="ID" localSheetId="13" hidden="1">"f29e49f0-c842-4a01-8df8-c72694a7b15c"</definedName>
    <definedName name="ID" localSheetId="5" hidden="1">"3fb6490e-8bae-4ce5-b09c-5121e79bff69"</definedName>
    <definedName name="ID" localSheetId="12" hidden="1">"ff81118e-5307-4064-951c-4c49859b2689"</definedName>
    <definedName name="ID" localSheetId="0" hidden="1">"a20d8229-a695-49c0-85d3-e16e82c6d3c2"</definedName>
    <definedName name="ID" localSheetId="4" hidden="1">"51d88d8a-ccba-4754-95f4-c889dc3e16f2"</definedName>
    <definedName name="ID" localSheetId="6" hidden="1">"fed2efda-7c81-4abf-a07f-fe42f3463dcb"</definedName>
    <definedName name="ID" localSheetId="3" hidden="1">"40226f24-7bf9-4676-aeb0-6e976018d2e2"</definedName>
    <definedName name="ID" localSheetId="15" hidden="1">"fa560984-7bbe-4a11-88aa-39d6eb27c9e2"</definedName>
    <definedName name="ID" localSheetId="14" hidden="1">"e95ef0c9-3382-426f-86db-9e8ceaf6f6b4"</definedName>
    <definedName name="ID" localSheetId="16" hidden="1">"d87903fe-00ef-4d5e-81e3-634aa74e62c2"</definedName>
    <definedName name="ID_1" localSheetId="6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21" i="1" l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3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1" i="28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<sst xmlns="http://schemas.openxmlformats.org/spreadsheetml/2006/main" count="33116" uniqueCount="5589">
  <si>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</si>
  <si>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</si>
  <si>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</si>
  <si>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</si>
  <si>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</si>
  <si>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</si>
  <si>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</si>
  <si>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</si>
  <si>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</si>
  <si>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</si>
  <si>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</si>
  <si>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</si>
  <si>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</si>
  <si>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</si>
  <si>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</si>
  <si>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</si>
  <si>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</si>
  <si>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</si>
  <si>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</si>
  <si>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</si>
  <si>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</si>
  <si>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</si>
  <si>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</si>
  <si>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</si>
  <si>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</si>
  <si>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</si>
  <si>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</si>
  <si>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</si>
  <si>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</si>
  <si>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</si>
  <si>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</si>
  <si>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</si>
  <si>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</si>
  <si>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</si>
  <si>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</si>
  <si>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</si>
  <si>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</si>
  <si>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</si>
  <si>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</si>
  <si>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</si>
  <si>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</si>
  <si>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</si>
  <si>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</si>
  <si>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</si>
  <si>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</si>
  <si>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</si>
  <si>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</si>
  <si>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</si>
  <si>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</si>
  <si>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</si>
  <si>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</si>
  <si>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</si>
  <si>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</si>
  <si>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</si>
  <si>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</si>
  <si>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</si>
  <si>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</si>
  <si>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</si>
  <si>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</si>
  <si>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</si>
  <si>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</si>
  <si>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</si>
  <si>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</si>
  <si>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</si>
  <si>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</si>
  <si>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</si>
  <si>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</si>
  <si>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</si>
  <si>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</si>
  <si>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</si>
  <si>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</si>
  <si>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</si>
  <si>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</si>
  <si>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</si>
  <si>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</si>
  <si>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</si>
  <si>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</si>
  <si>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</si>
  <si>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</si>
  <si>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</si>
  <si>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</si>
  <si>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</si>
  <si>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</si>
  <si>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</si>
  <si>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</si>
  <si>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</si>
  <si>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</si>
  <si>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</si>
  <si>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</si>
  <si>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</si>
  <si>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</si>
  <si>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</si>
  <si>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</si>
  <si>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</si>
  <si>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</si>
  <si>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</si>
  <si>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</si>
  <si>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</si>
  <si>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</si>
  <si>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</si>
  <si>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</si>
  <si>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</si>
  <si>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</si>
  <si>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</si>
  <si>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</si>
  <si>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</si>
  <si>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</si>
  <si>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</si>
  <si>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</si>
  <si>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</si>
  <si>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</si>
  <si>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</si>
  <si>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</si>
  <si>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</si>
  <si>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</si>
  <si>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</si>
  <si>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</si>
  <si>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</si>
  <si>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</si>
  <si>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</si>
  <si>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</si>
  <si>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</si>
  <si>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</si>
  <si>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</si>
  <si>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</si>
  <si>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</si>
  <si>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</si>
  <si>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</si>
  <si>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</si>
  <si>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</si>
  <si>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</si>
  <si>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</si>
  <si>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</si>
  <si>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</si>
  <si>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</si>
  <si>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</si>
  <si>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</si>
  <si>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</si>
  <si>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</si>
  <si>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</si>
  <si>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</si>
  <si>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</si>
  <si>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</si>
  <si>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</si>
  <si>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</si>
  <si>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</si>
  <si>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</si>
  <si>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</si>
  <si>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</si>
  <si>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</si>
  <si>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</si>
  <si>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</si>
  <si>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</si>
  <si>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</si>
  <si>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</si>
  <si>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</si>
  <si>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</si>
  <si>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</si>
  <si>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</si>
  <si>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</si>
  <si>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</si>
  <si>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</si>
  <si>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</si>
  <si>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</si>
  <si>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</si>
  <si>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</si>
  <si>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</si>
  <si>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</si>
  <si>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</si>
  <si>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</si>
  <si>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</si>
  <si>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</si>
  <si>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</si>
  <si>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</si>
  <si>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</si>
  <si>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</si>
  <si>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</si>
  <si>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</si>
  <si>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</si>
  <si>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</si>
  <si>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</si>
  <si>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</si>
  <si>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</si>
  <si>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</si>
  <si>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</si>
  <si>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</si>
  <si>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</si>
  <si>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</si>
  <si>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</si>
  <si>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</si>
  <si>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</si>
  <si>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</si>
  <si>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</si>
  <si>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</si>
  <si>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</si>
  <si>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</si>
  <si>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</si>
  <si>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</si>
  <si>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</si>
  <si>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</si>
  <si>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</si>
  <si>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</si>
  <si>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</si>
  <si>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</si>
  <si>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</si>
  <si>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</si>
  <si>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</si>
  <si>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</si>
  <si>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</si>
  <si>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</si>
  <si>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</si>
  <si>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</si>
  <si>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</si>
  <si>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</si>
  <si>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</si>
  <si>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</si>
  <si>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</si>
  <si>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</si>
  <si>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</si>
  <si>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</si>
  <si>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</si>
  <si>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</si>
  <si>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</si>
  <si>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</si>
  <si>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</si>
  <si>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</si>
  <si>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</si>
  <si>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</si>
  <si>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</si>
  <si>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</si>
  <si>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</si>
  <si>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</si>
  <si>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</si>
  <si>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</si>
  <si>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</si>
  <si>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</si>
  <si>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</si>
  <si>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</si>
  <si>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</si>
  <si>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</si>
  <si>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</si>
  <si>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</si>
  <si>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</si>
  <si>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</si>
  <si>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</si>
  <si>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</si>
  <si>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</si>
  <si>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</si>
  <si>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</si>
  <si>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</si>
  <si>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</si>
  <si>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</si>
  <si>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</si>
  <si>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</si>
  <si>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</si>
  <si>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</si>
  <si>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</si>
  <si>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</si>
  <si>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</si>
  <si>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</si>
  <si>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</si>
  <si>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</si>
  <si>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</si>
  <si>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</si>
  <si>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</si>
  <si>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</si>
  <si>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</si>
  <si>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</si>
  <si>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</si>
  <si>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</si>
  <si>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</si>
  <si>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</si>
  <si>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</si>
  <si>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</si>
  <si>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</si>
  <si>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</si>
  <si>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</si>
  <si>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</si>
  <si>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</si>
  <si>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</si>
  <si>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</si>
  <si>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</si>
  <si>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</si>
  <si>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</si>
  <si>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</si>
  <si>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</si>
  <si>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</si>
  <si>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</si>
  <si>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</si>
  <si>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</si>
  <si>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</si>
  <si>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</si>
  <si>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</si>
  <si>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</si>
  <si>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</si>
  <si>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</si>
  <si>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</si>
  <si>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</si>
  <si>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</si>
  <si>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</si>
  <si>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</si>
  <si>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</si>
  <si>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</si>
  <si>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</si>
  <si>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</si>
  <si>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</si>
  <si>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</si>
  <si>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</si>
  <si>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</si>
  <si>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</si>
  <si>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</si>
  <si>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</si>
  <si>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</si>
  <si>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</si>
  <si>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</si>
  <si>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</si>
  <si>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</si>
  <si>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</si>
  <si>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</si>
  <si>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</si>
  <si>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</si>
  <si>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</si>
  <si>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</si>
  <si>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</si>
  <si>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</si>
  <si>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</si>
  <si>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</si>
  <si>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</si>
  <si>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</si>
  <si>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</si>
  <si>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</si>
  <si>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</si>
  <si>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</si>
  <si>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</si>
  <si>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</si>
  <si>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</si>
  <si>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</si>
  <si>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</si>
  <si>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</si>
  <si>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</si>
  <si>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</si>
  <si>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</si>
  <si>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</si>
  <si>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</si>
  <si>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</si>
  <si>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</si>
  <si>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</si>
  <si>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</si>
  <si>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</si>
  <si>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</si>
  <si>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</si>
  <si>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</si>
  <si>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</si>
  <si>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</si>
  <si>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</si>
  <si>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</si>
  <si>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</si>
  <si>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</si>
  <si>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</si>
  <si>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</si>
  <si>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</si>
  <si>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</si>
  <si>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</si>
  <si>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</si>
  <si>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</si>
  <si>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</si>
  <si>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</si>
  <si>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</si>
  <si>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</si>
  <si>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</si>
  <si>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</si>
  <si>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</si>
  <si>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</si>
  <si>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</si>
  <si>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</si>
  <si>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</si>
  <si>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</si>
  <si>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</si>
  <si>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</si>
  <si>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</si>
  <si>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</si>
  <si>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</si>
  <si>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</si>
  <si>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</si>
  <si>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</si>
  <si>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</si>
  <si>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</si>
  <si>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</si>
  <si>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</si>
  <si>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</si>
  <si>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</si>
  <si>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</si>
  <si>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</si>
  <si>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</si>
  <si>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</si>
  <si>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</si>
  <si>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</si>
  <si>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</si>
  <si>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</si>
  <si>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</si>
  <si>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</si>
  <si>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</si>
  <si>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</si>
  <si>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</si>
  <si>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</si>
  <si>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</si>
  <si>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</si>
  <si>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</si>
  <si>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</si>
  <si>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</si>
  <si>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</si>
  <si>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</si>
  <si>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</si>
  <si>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</si>
  <si>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</si>
  <si>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</si>
  <si>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</si>
  <si>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</si>
  <si>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</si>
  <si>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</si>
  <si>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</si>
  <si>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</si>
  <si>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</si>
  <si>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</si>
  <si>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</si>
  <si>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</si>
  <si>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</si>
  <si>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</si>
  <si>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</si>
  <si>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</si>
  <si>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</si>
  <si>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</si>
  <si>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</si>
  <si>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</si>
  <si>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</si>
  <si>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</si>
  <si>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</si>
  <si>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</si>
  <si>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</si>
  <si>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</si>
  <si>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</si>
  <si>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</si>
  <si>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</si>
  <si>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</si>
  <si>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</si>
  <si>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</si>
  <si>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</si>
  <si>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</si>
  <si>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</si>
  <si>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</si>
  <si>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</si>
  <si>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</si>
  <si>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</si>
  <si>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</si>
  <si>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</si>
  <si>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</si>
  <si>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</si>
  <si>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</si>
  <si>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</si>
  <si>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</si>
  <si>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</si>
  <si>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</si>
  <si>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</si>
  <si>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</si>
  <si>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</si>
  <si>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</si>
  <si>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</si>
  <si>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</si>
  <si>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</si>
  <si>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</si>
  <si>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</si>
  <si>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</si>
  <si>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</si>
  <si>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</si>
  <si>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</si>
  <si>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</si>
  <si>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</si>
  <si>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</si>
  <si>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</si>
  <si>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</si>
  <si>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</si>
  <si>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</si>
  <si>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</si>
  <si>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</si>
  <si>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</si>
  <si>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</si>
  <si>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</si>
  <si>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</si>
  <si>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</si>
  <si>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</si>
  <si>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</si>
  <si>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</si>
  <si>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</si>
  <si>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</si>
  <si>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</si>
  <si>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</si>
  <si>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</si>
  <si>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</si>
  <si>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</si>
  <si>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</si>
  <si>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</si>
  <si>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</si>
  <si>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</si>
  <si>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</si>
  <si>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</si>
  <si>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</si>
  <si>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</si>
  <si>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</si>
  <si>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</si>
  <si>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</si>
  <si>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</si>
  <si>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</si>
  <si>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</si>
  <si>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</si>
  <si>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</si>
  <si>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</si>
  <si>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</si>
  <si>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</si>
  <si>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</si>
  <si>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</si>
  <si>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</si>
  <si>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</si>
  <si>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</si>
  <si>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</si>
  <si>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</si>
  <si>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</si>
  <si>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</si>
  <si>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</si>
  <si>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</si>
  <si>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</si>
  <si>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</si>
  <si>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</si>
  <si>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</si>
  <si>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</si>
  <si>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</si>
  <si>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</si>
  <si>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</si>
  <si>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</si>
  <si>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</si>
  <si>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</si>
  <si>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</si>
  <si>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</si>
  <si>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</si>
  <si>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</si>
  <si>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</si>
  <si>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</si>
  <si>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</si>
  <si>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</si>
  <si>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</si>
  <si>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</si>
  <si>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</si>
  <si>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</si>
  <si>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</si>
  <si>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</si>
  <si>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</si>
  <si>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</si>
  <si>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</si>
  <si>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</si>
  <si>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</si>
  <si>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</si>
  <si>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</si>
  <si>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</si>
  <si>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</si>
  <si>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</si>
  <si>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</si>
  <si>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</si>
  <si>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</si>
  <si>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</si>
  <si>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</si>
  <si>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</si>
  <si>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</si>
  <si>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</si>
  <si>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</si>
  <si>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</si>
  <si>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</si>
  <si>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</si>
  <si>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</si>
  <si>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</si>
  <si>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</si>
  <si>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</si>
  <si>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</si>
  <si>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</si>
  <si>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</si>
  <si>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</si>
  <si>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</si>
  <si>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</si>
  <si>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</si>
  <si>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</si>
  <si>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</si>
  <si>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</si>
  <si>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</si>
  <si>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</si>
  <si>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</si>
  <si>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</si>
  <si>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</si>
  <si>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</si>
  <si>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</si>
  <si>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</si>
  <si>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</si>
  <si>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</si>
  <si>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</si>
  <si>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</si>
  <si>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</si>
  <si>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</si>
  <si>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</si>
  <si>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</si>
  <si>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</si>
  <si>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</si>
  <si>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</si>
  <si>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</si>
  <si>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</si>
  <si>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</si>
  <si>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</si>
  <si>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</si>
  <si>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</si>
  <si>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</si>
  <si>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</si>
  <si>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</si>
  <si>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</si>
  <si>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</si>
  <si>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</si>
  <si>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</si>
  <si>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</si>
  <si>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</si>
  <si>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</si>
  <si>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</si>
  <si>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</si>
  <si>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</si>
  <si>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</si>
  <si>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</si>
  <si>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</si>
  <si>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</si>
  <si>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</si>
  <si>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</si>
  <si>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</si>
  <si>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</si>
  <si>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</si>
  <si>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</si>
  <si>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</si>
  <si>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</si>
  <si>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</si>
  <si>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</si>
  <si>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</si>
  <si>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</si>
  <si>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</si>
  <si>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</si>
  <si>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</si>
  <si>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</si>
  <si>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</si>
  <si>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</si>
  <si>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</si>
  <si>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</si>
  <si>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</si>
  <si>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</si>
  <si>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</si>
  <si>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</si>
  <si>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</si>
  <si>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</si>
  <si>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</si>
  <si>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</si>
  <si>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</si>
  <si>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</si>
  <si>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</si>
  <si>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</si>
  <si>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</si>
  <si>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</si>
  <si>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</si>
  <si>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</si>
  <si>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</si>
  <si>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</si>
  <si>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</si>
  <si>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</si>
  <si>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</si>
  <si>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</si>
  <si>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</si>
  <si>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</si>
  <si>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</si>
  <si>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</si>
  <si>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</si>
  <si>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</si>
  <si>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</si>
  <si>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</si>
  <si>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</si>
  <si>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</si>
  <si>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</si>
  <si>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</si>
  <si>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</si>
  <si>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</si>
  <si>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</si>
  <si>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</si>
  <si>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</si>
  <si>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</si>
  <si>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</si>
  <si>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</si>
  <si>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</si>
  <si>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</si>
  <si>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</si>
  <si>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</si>
  <si>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</si>
  <si>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</si>
  <si>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</si>
  <si>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</si>
  <si>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</si>
  <si>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</si>
  <si>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</si>
  <si>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</si>
  <si>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</si>
  <si>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</si>
  <si>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</si>
  <si>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</si>
  <si>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</si>
  <si>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</si>
  <si>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</si>
  <si>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</si>
  <si>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</si>
  <si>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</si>
  <si>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</si>
  <si>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</si>
  <si>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</si>
  <si>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</si>
  <si>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</si>
  <si>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</si>
  <si>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</si>
  <si>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</si>
  <si>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</si>
  <si>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</si>
  <si>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</si>
  <si>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</si>
  <si>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</si>
  <si>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</si>
  <si>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</si>
  <si>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</si>
  <si>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</si>
  <si>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</si>
  <si>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</si>
  <si>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</si>
  <si>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</si>
  <si>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</si>
  <si>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</si>
  <si>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</si>
  <si>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</si>
  <si>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</si>
  <si>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</si>
  <si>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</si>
  <si>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</si>
  <si>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</si>
  <si>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</si>
  <si>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</si>
  <si>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</si>
  <si>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</si>
  <si>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</si>
  <si>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</si>
  <si>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</si>
  <si>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</si>
  <si>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</si>
  <si>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</si>
  <si>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</si>
  <si>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</si>
  <si>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</si>
  <si>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</si>
  <si>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</si>
  <si>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</si>
  <si>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</si>
  <si>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</si>
  <si>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</si>
  <si>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</si>
  <si>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</si>
  <si>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</si>
  <si>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</si>
  <si>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</si>
  <si>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</si>
  <si>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</si>
  <si>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</si>
  <si>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</si>
  <si>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</si>
  <si>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</si>
  <si>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</si>
  <si>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</si>
  <si>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</si>
  <si>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</si>
  <si>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</si>
  <si>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</si>
  <si>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</si>
  <si>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</si>
  <si>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</si>
  <si>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</si>
  <si>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</si>
  <si>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</si>
  <si>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</si>
  <si>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</si>
  <si>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</si>
  <si>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</si>
  <si>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</si>
  <si>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</si>
  <si>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</si>
  <si>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</si>
  <si>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</si>
  <si>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</si>
  <si>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</si>
  <si>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</si>
  <si>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</si>
  <si>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</si>
  <si>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</si>
  <si>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</si>
  <si>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</si>
  <si>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</si>
  <si>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</si>
  <si>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</si>
  <si>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</si>
  <si>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</si>
  <si>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</si>
  <si>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</si>
  <si>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</si>
  <si>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</si>
  <si>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</si>
  <si>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</si>
  <si>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</si>
  <si>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</si>
  <si>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</si>
  <si>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</si>
  <si>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</si>
  <si>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</si>
  <si>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</si>
  <si>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</si>
  <si>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</si>
  <si>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</si>
  <si>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</si>
  <si>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</si>
  <si>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</si>
  <si>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</si>
  <si>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</si>
  <si>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</si>
  <si>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</si>
  <si>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</si>
  <si>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</si>
  <si>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</si>
  <si>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</si>
  <si>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</si>
  <si>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</si>
  <si>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</si>
  <si>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</si>
  <si>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</si>
  <si>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</si>
  <si>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</si>
  <si>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</si>
  <si>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</si>
  <si>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</si>
  <si>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</si>
  <si>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</si>
  <si>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</si>
  <si>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</si>
  <si>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</si>
  <si>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</si>
  <si>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</si>
  <si>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</si>
  <si>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</si>
  <si>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</si>
  <si>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</si>
  <si>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</si>
  <si>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</si>
  <si>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</si>
  <si>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</si>
  <si>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</si>
  <si>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</si>
  <si>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</si>
  <si>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</si>
  <si>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</si>
  <si>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</si>
  <si>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</si>
  <si>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</si>
  <si>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</si>
  <si>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</si>
  <si>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</si>
  <si>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</si>
  <si>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</si>
  <si>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</si>
  <si>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</si>
  <si>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</si>
  <si>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</si>
  <si>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</si>
  <si>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</si>
  <si>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</si>
  <si>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</si>
  <si>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</si>
  <si>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</si>
  <si>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</si>
  <si>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</si>
  <si>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</si>
  <si>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</si>
  <si>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</si>
  <si>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</si>
  <si>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</si>
  <si>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</si>
  <si>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</si>
  <si>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</si>
  <si>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</si>
  <si>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</si>
  <si>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</si>
  <si>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</si>
  <si>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</si>
  <si>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</si>
  <si>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</si>
  <si>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</si>
  <si>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</si>
  <si>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</si>
  <si>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</si>
  <si>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</si>
  <si>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</si>
  <si>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</si>
  <si>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</si>
  <si>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</si>
  <si>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</si>
  <si>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</si>
  <si>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</si>
  <si>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</si>
  <si>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</si>
  <si>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</si>
  <si>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</si>
  <si>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</si>
  <si>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</si>
  <si>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</si>
  <si>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</si>
  <si>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</si>
  <si>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</si>
  <si>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</si>
  <si>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</si>
  <si>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</si>
  <si>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</si>
  <si>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</si>
  <si>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</si>
  <si>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</si>
  <si>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</si>
  <si>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</si>
  <si>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</si>
  <si>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</si>
  <si>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</si>
  <si>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</si>
  <si>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</si>
  <si>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</si>
  <si>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</si>
  <si>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</si>
  <si>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</si>
  <si>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</si>
  <si>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</si>
  <si>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</si>
  <si>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</si>
  <si>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</si>
  <si>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</si>
  <si>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</si>
  <si>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</si>
  <si>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</si>
  <si>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</si>
  <si>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</si>
  <si>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</si>
  <si>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</si>
  <si>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</si>
  <si>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</si>
  <si>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</si>
  <si>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</si>
  <si>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</si>
  <si>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</si>
  <si>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</si>
  <si>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</si>
  <si>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</si>
  <si>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</si>
  <si>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</si>
  <si>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</si>
  <si>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</si>
  <si>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</si>
  <si>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</si>
  <si>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</si>
  <si>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</si>
  <si>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</si>
  <si>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</si>
  <si>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</si>
  <si>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</si>
  <si>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</si>
  <si>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</si>
  <si>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</si>
  <si>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</si>
  <si>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</si>
  <si>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</si>
  <si>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</si>
  <si>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</si>
  <si>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</si>
  <si>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</si>
  <si>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</si>
  <si>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</si>
  <si>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</si>
  <si>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</si>
  <si>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</si>
  <si>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</si>
  <si>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</si>
  <si>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</si>
  <si>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</si>
  <si>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</si>
  <si>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</si>
  <si>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</si>
  <si>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</si>
  <si>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</si>
  <si>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</si>
  <si>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</si>
  <si>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</si>
  <si>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</si>
  <si>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</si>
  <si>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</si>
  <si>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</si>
  <si>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</si>
  <si>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</si>
  <si>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</si>
  <si>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</si>
  <si>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</si>
  <si>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</si>
  <si>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</si>
  <si>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</si>
  <si>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</si>
  <si>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</si>
  <si>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</si>
  <si>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</si>
  <si>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</si>
  <si>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</si>
  <si>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</si>
  <si>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</si>
  <si>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</si>
  <si>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</si>
  <si>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</si>
  <si>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</si>
  <si>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</si>
  <si>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</si>
  <si>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</si>
  <si>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</si>
  <si>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</si>
  <si>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</si>
  <si>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</si>
  <si>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</si>
  <si>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</si>
  <si>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</si>
  <si>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</si>
  <si>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</si>
  <si>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</si>
  <si>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</si>
  <si>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</si>
  <si>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</si>
  <si>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</si>
  <si>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</si>
  <si>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</si>
  <si>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</si>
  <si>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</si>
  <si>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</si>
  <si>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</si>
  <si>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</si>
  <si>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</si>
  <si>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</si>
  <si>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</si>
  <si>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</si>
  <si>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</si>
  <si>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</si>
  <si>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</si>
  <si>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</si>
  <si>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</si>
  <si>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</si>
  <si>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</si>
  <si>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</si>
  <si>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</si>
  <si>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</si>
  <si>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</si>
  <si>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</si>
  <si>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</si>
  <si>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</si>
  <si>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</si>
  <si>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</si>
  <si>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</si>
  <si>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</si>
  <si>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</si>
  <si>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</si>
  <si>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</si>
  <si>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</si>
  <si>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</si>
  <si>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</si>
  <si>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</si>
  <si>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</si>
  <si>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</si>
  <si>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</si>
  <si>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</si>
  <si>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</si>
  <si>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</si>
  <si>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</si>
  <si>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</si>
  <si>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</si>
  <si>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</si>
  <si>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</si>
  <si>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</si>
  <si>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</si>
  <si>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</si>
  <si>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</si>
  <si>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</si>
  <si>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</si>
  <si>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</si>
  <si>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</si>
  <si>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</si>
  <si>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</si>
  <si>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</si>
  <si>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</si>
  <si>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</si>
  <si>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</si>
  <si>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</si>
  <si>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</si>
  <si>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</si>
  <si>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</si>
  <si>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</si>
  <si>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</si>
  <si>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</si>
  <si>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</si>
  <si>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</si>
  <si>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</si>
  <si>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</si>
  <si>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</si>
  <si>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</si>
  <si>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</si>
  <si>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</si>
  <si>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</si>
  <si>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</si>
  <si>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</si>
  <si>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</si>
  <si>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</si>
  <si>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</si>
  <si>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</si>
  <si>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</si>
  <si>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</si>
  <si>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</si>
  <si>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</si>
  <si>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</si>
  <si>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</si>
  <si>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</si>
  <si>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</si>
  <si>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</si>
  <si>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</si>
  <si>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</si>
  <si>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</si>
  <si>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</si>
  <si>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</si>
  <si>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</si>
  <si>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</si>
  <si>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</si>
  <si>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</si>
  <si>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</si>
  <si>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</si>
  <si>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</si>
  <si>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</si>
  <si>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</si>
  <si>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</si>
  <si>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</si>
  <si>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</si>
  <si>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</si>
  <si>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</si>
  <si>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</si>
  <si>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</si>
  <si>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</si>
  <si>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</si>
  <si>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</si>
  <si>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</si>
  <si>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</si>
  <si>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</si>
  <si>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</si>
  <si>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</si>
  <si>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</si>
  <si>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</si>
  <si>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</si>
  <si>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</si>
  <si>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</si>
  <si>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</si>
  <si>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</si>
  <si>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</si>
  <si>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</si>
  <si>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</si>
  <si>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</si>
  <si>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</si>
  <si>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</si>
  <si>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</si>
  <si>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</si>
  <si>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</si>
  <si>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</si>
  <si>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</si>
  <si>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</si>
  <si>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</si>
  <si>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</si>
  <si>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</si>
  <si>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</si>
  <si>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</si>
  <si>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</si>
  <si>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</si>
  <si>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</si>
  <si>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</si>
  <si>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</si>
  <si>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</si>
  <si>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</si>
  <si>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</si>
  <si>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</si>
  <si>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</si>
  <si>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</si>
  <si>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</si>
  <si>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</si>
  <si>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</si>
  <si>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</si>
  <si>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</si>
  <si>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</si>
  <si>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</si>
  <si>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</si>
  <si>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</si>
  <si>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</si>
  <si>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</si>
  <si>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</si>
  <si>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</si>
  <si>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</si>
  <si>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</si>
  <si>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</si>
  <si>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</si>
  <si>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</si>
  <si>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</si>
  <si>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</si>
  <si>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</si>
  <si>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</si>
  <si>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</si>
  <si>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</si>
  <si>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</si>
  <si>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</si>
  <si>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</si>
  <si>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</si>
  <si>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</si>
  <si>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</si>
  <si>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</si>
  <si>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</si>
  <si>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</si>
  <si>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</si>
  <si>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</si>
  <si>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</si>
  <si>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</si>
  <si>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</si>
  <si>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</si>
  <si>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</si>
  <si>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</si>
  <si>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</si>
  <si>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</si>
  <si>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</si>
  <si>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</si>
  <si>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</si>
  <si>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</si>
  <si>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</si>
  <si>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</si>
  <si>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</si>
  <si>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</si>
  <si>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</si>
  <si>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</si>
  <si>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</si>
  <si>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</si>
  <si>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</si>
  <si>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</si>
  <si>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</si>
  <si>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</si>
  <si>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</si>
  <si>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</si>
  <si>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</si>
  <si>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</si>
  <si>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</si>
  <si>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</si>
  <si>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</si>
  <si>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</si>
  <si>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</si>
  <si>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</si>
  <si>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</si>
  <si>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</si>
  <si>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</si>
  <si>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</si>
  <si>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</si>
  <si>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</si>
  <si>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</si>
  <si>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</si>
  <si>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</si>
  <si>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</si>
  <si>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</si>
  <si>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</si>
  <si>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</si>
  <si>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</si>
  <si>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</si>
  <si>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</si>
  <si>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</si>
  <si>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</si>
  <si>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</si>
  <si>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</si>
  <si>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</si>
  <si>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</si>
  <si>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</si>
  <si>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</si>
  <si>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</si>
  <si>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</si>
  <si>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</si>
  <si>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</si>
  <si>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</si>
  <si>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</si>
  <si>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</si>
  <si>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</si>
  <si>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</si>
  <si>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</si>
  <si>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</si>
  <si>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</si>
  <si>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</si>
  <si>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</si>
  <si>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</si>
  <si>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</si>
  <si>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</si>
  <si>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</si>
  <si>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</si>
  <si>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</si>
  <si>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</si>
  <si>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</si>
  <si>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</si>
  <si>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</si>
  <si>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</si>
  <si>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</si>
  <si>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</si>
  <si>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</si>
  <si>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</si>
  <si>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</si>
  <si>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</si>
  <si>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</si>
  <si>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</si>
  <si>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</si>
  <si>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</si>
  <si>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</si>
  <si>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</si>
  <si>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</si>
  <si>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</si>
  <si>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</si>
  <si>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</si>
  <si>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</si>
  <si>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</si>
  <si>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</si>
  <si>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</si>
  <si>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</si>
  <si>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</si>
  <si>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</si>
  <si>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</si>
  <si>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</si>
  <si>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</si>
  <si>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</si>
  <si>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</si>
  <si>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</si>
  <si>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</si>
  <si>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</si>
  <si>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</si>
  <si>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</si>
  <si>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</si>
  <si>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</si>
  <si>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</si>
  <si>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</si>
  <si>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</si>
  <si>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</si>
  <si>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</si>
  <si>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</si>
  <si>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</si>
  <si>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</si>
  <si>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</si>
  <si>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</si>
  <si>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</si>
  <si>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</si>
  <si>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</si>
  <si>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</si>
  <si>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</si>
  <si>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</si>
  <si>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</si>
  <si>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</si>
  <si>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</si>
  <si>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</si>
  <si>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</si>
  <si>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</si>
  <si>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</si>
  <si>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</si>
  <si>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</si>
  <si>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</si>
  <si>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</si>
  <si>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</si>
  <si>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</si>
  <si>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</si>
  <si>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</si>
  <si>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</si>
  <si>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</si>
  <si>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</si>
  <si>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</si>
  <si>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</si>
  <si>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</si>
  <si>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</si>
  <si>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</si>
  <si>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</si>
  <si>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</si>
  <si>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</si>
  <si>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</si>
  <si>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</si>
  <si>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</si>
  <si>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</si>
  <si>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</si>
  <si>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</si>
  <si>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</si>
  <si>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</si>
  <si>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</si>
  <si>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</si>
  <si>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</si>
  <si>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</si>
  <si>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</si>
  <si>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</si>
  <si>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</si>
  <si>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</si>
  <si>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</si>
  <si>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</si>
  <si>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</si>
  <si>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</si>
  <si>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</si>
  <si>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</si>
  <si>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</si>
  <si>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</si>
  <si>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</si>
  <si>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</si>
  <si>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</si>
  <si>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</si>
  <si>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</si>
  <si>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</si>
  <si>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</si>
  <si>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</si>
  <si>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</si>
  <si>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</si>
  <si>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</si>
  <si>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</si>
  <si>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</si>
  <si>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</si>
  <si>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</si>
  <si>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</si>
  <si>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</si>
  <si>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</si>
  <si>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</si>
  <si>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</si>
  <si>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</si>
  <si>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</si>
  <si>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</si>
  <si>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</si>
  <si>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</si>
  <si>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</si>
  <si>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</si>
  <si>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</si>
  <si>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</si>
  <si>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</si>
  <si>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</si>
  <si>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</si>
  <si>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</si>
  <si>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</si>
  <si>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</si>
  <si>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</si>
  <si>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</si>
  <si>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</si>
  <si>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</si>
  <si>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</si>
  <si>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</si>
  <si>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</si>
  <si>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</si>
  <si>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</si>
  <si>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</si>
  <si>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</si>
  <si>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</si>
  <si>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</si>
  <si>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</si>
  <si>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</si>
  <si>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</si>
  <si>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</si>
  <si>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</si>
  <si>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</si>
  <si>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</si>
  <si>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</si>
  <si>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</si>
  <si>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</si>
  <si>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</si>
  <si>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</si>
  <si>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</si>
  <si>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</si>
  <si>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</si>
  <si>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</si>
  <si>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</si>
  <si>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</si>
  <si>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</si>
  <si>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</si>
  <si>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</si>
  <si>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</si>
  <si>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</si>
  <si>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</si>
  <si>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</si>
  <si>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</si>
  <si>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</si>
  <si>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</si>
  <si>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</si>
  <si>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</si>
  <si>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</si>
  <si>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</si>
  <si>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</si>
  <si>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</si>
  <si>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</si>
  <si>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</si>
  <si>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</si>
  <si>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</si>
  <si>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</si>
  <si>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</si>
  <si>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</si>
  <si>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</si>
  <si>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</si>
  <si>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</si>
  <si>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</si>
  <si>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</si>
  <si>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</si>
  <si>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</si>
  <si>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</si>
  <si>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</si>
  <si>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</si>
  <si>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</si>
  <si>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</si>
  <si>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</si>
  <si>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</si>
  <si>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</si>
  <si>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</si>
  <si>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</si>
  <si>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</si>
  <si>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</si>
  <si>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</si>
  <si>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</si>
  <si>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</si>
  <si>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</si>
  <si>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</si>
  <si>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</si>
  <si>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</si>
  <si>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</si>
  <si>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</si>
  <si>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</si>
  <si>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</si>
  <si>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</si>
  <si>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</si>
  <si>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</si>
  <si>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</si>
  <si>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</si>
  <si>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</si>
  <si>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</si>
  <si>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</si>
  <si>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</si>
  <si>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</si>
  <si>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</si>
  <si>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</si>
  <si>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</si>
  <si>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</si>
  <si>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</si>
  <si>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</si>
  <si>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</si>
  <si>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</si>
  <si>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</si>
  <si>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</si>
  <si>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</si>
  <si>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</si>
  <si>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</si>
  <si>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</si>
  <si>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</si>
  <si>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</si>
  <si>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</si>
  <si>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</si>
  <si>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</si>
  <si>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</si>
  <si>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</si>
  <si>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</si>
  <si>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</si>
  <si>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</si>
  <si>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</si>
  <si>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</si>
  <si>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</si>
  <si>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</si>
  <si>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</si>
  <si>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</si>
  <si>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</si>
  <si>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</si>
  <si>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</si>
  <si>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</si>
  <si>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</si>
  <si>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</si>
  <si>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</si>
  <si>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</si>
  <si>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</si>
  <si>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</si>
  <si>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</si>
  <si>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</si>
  <si>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</si>
  <si>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</si>
  <si>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</si>
  <si>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</si>
  <si>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</si>
  <si>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</si>
  <si>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</si>
  <si>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</si>
  <si>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</si>
  <si>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</si>
  <si>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</si>
  <si>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</si>
  <si>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</si>
  <si>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</si>
  <si>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</si>
  <si>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</si>
  <si>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</si>
  <si>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</si>
  <si>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</si>
  <si>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</si>
  <si>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</si>
  <si>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</si>
  <si>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</si>
  <si>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</si>
  <si>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</si>
  <si>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</si>
  <si>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</si>
  <si>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</si>
  <si>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</si>
  <si>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</si>
  <si>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</si>
  <si>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</si>
  <si>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</si>
  <si>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</si>
  <si>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</si>
  <si>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</si>
  <si>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</si>
  <si>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</si>
  <si>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</si>
  <si>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</si>
  <si>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</si>
  <si>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</si>
  <si>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</si>
  <si>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</si>
  <si>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</si>
  <si>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</si>
  <si>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</si>
  <si>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</si>
  <si>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</si>
  <si>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</si>
  <si>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</si>
  <si>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</si>
  <si>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</si>
  <si>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</si>
  <si>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</si>
  <si>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</si>
  <si>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</si>
  <si>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</si>
  <si>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</si>
  <si>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</si>
  <si>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</si>
  <si>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</si>
  <si>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</si>
  <si>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</si>
  <si>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</si>
  <si>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</si>
  <si>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</si>
  <si>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</si>
  <si>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</si>
  <si>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</si>
  <si>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</si>
  <si>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</si>
  <si>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</si>
  <si>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</si>
  <si>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</si>
  <si>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</si>
  <si>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</si>
  <si>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</si>
  <si>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</si>
  <si>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</si>
  <si>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</si>
  <si>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</si>
  <si>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</si>
  <si>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</si>
  <si>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</si>
  <si>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</si>
  <si>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</si>
  <si>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</si>
  <si>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</si>
  <si>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</si>
  <si>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</si>
  <si>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</si>
  <si>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</si>
  <si>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</si>
  <si>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</si>
  <si>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</si>
  <si>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</si>
  <si>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</si>
  <si>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</si>
  <si>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</si>
  <si>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</si>
  <si>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</si>
  <si>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</si>
  <si>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</si>
  <si>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</si>
  <si>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</si>
  <si>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</si>
  <si>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</si>
  <si>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</si>
  <si>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</si>
  <si>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</si>
  <si>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</si>
  <si>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</si>
  <si>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</si>
  <si>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</si>
  <si>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</si>
  <si>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</si>
  <si>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</si>
  <si>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</si>
  <si>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</si>
  <si>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</si>
  <si>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</si>
  <si>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</si>
  <si>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</si>
  <si>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</si>
  <si>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</si>
  <si>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</si>
  <si>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</si>
  <si>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</si>
  <si>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</si>
  <si>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</si>
  <si>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</si>
  <si>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</si>
  <si>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</si>
  <si>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</si>
  <si>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</si>
  <si>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</si>
  <si>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</si>
  <si>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</si>
  <si>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</si>
  <si>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</si>
  <si>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</si>
  <si>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</si>
  <si>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</si>
  <si>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</si>
  <si>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</si>
  <si>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</si>
  <si>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</si>
  <si>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</si>
  <si>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</si>
  <si>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</si>
  <si>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</si>
  <si>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</si>
  <si>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</si>
  <si>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</si>
  <si>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</si>
  <si>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</si>
  <si>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</si>
  <si>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</si>
  <si>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</si>
  <si>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</si>
  <si>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</si>
  <si>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</si>
  <si>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</si>
  <si>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</si>
  <si>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</si>
  <si>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</si>
  <si>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</si>
  <si>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</si>
  <si>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</si>
  <si>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</si>
  <si>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</si>
  <si>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</si>
  <si>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</si>
  <si>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</si>
  <si>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</si>
  <si>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</si>
  <si>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</si>
  <si>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</si>
  <si>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</si>
  <si>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</si>
  <si>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</si>
  <si>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</si>
  <si>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</si>
  <si>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</si>
  <si>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</si>
  <si>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</si>
  <si>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</si>
  <si>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</si>
  <si>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</si>
  <si>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</si>
  <si>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</si>
  <si>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</si>
  <si>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</si>
  <si>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</si>
  <si>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</si>
  <si>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</si>
  <si>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</si>
  <si>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</si>
  <si>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</si>
  <si>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</si>
  <si>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</si>
  <si>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</si>
  <si>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</si>
  <si>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</si>
  <si>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</si>
  <si>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</si>
  <si>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</si>
  <si>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</si>
  <si>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</si>
  <si>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</si>
  <si>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</si>
  <si>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</si>
  <si>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</si>
  <si>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</si>
  <si>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</si>
  <si>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</si>
  <si>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</si>
  <si>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</si>
  <si>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</si>
  <si>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</si>
  <si>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</si>
  <si>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</si>
  <si>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</si>
  <si>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</si>
  <si>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</si>
  <si>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</si>
  <si>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</si>
  <si>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</si>
  <si>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</si>
  <si>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</si>
  <si>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</si>
  <si>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</si>
  <si>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</si>
  <si>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</si>
  <si>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</si>
  <si>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</si>
  <si>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</si>
  <si>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</si>
  <si>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</si>
  <si>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</si>
  <si>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</si>
  <si>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</si>
  <si>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</si>
  <si>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</si>
  <si>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</si>
  <si>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</si>
  <si>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</si>
  <si>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</si>
  <si>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</si>
  <si>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</si>
  <si>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</si>
  <si>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</si>
  <si>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</si>
  <si>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</si>
  <si>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</si>
  <si>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</si>
  <si>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</si>
  <si>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</si>
  <si>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</si>
  <si>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</si>
  <si>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</si>
  <si>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</si>
  <si>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</si>
  <si>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</si>
  <si>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</si>
  <si>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</si>
  <si>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</si>
  <si>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</si>
  <si>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</si>
  <si>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</si>
  <si>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</si>
  <si>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</si>
  <si>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</si>
  <si>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</si>
  <si>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</si>
  <si>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</si>
  <si>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</si>
  <si>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</si>
  <si>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</si>
  <si>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</si>
  <si>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</si>
  <si>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</si>
  <si>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</si>
  <si>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</si>
  <si>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</si>
  <si>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</si>
  <si>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</si>
  <si>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</si>
  <si>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</si>
  <si>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</si>
  <si>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</si>
  <si>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</si>
  <si>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</si>
  <si>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</si>
  <si>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</si>
  <si>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</si>
  <si>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</si>
  <si>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</si>
  <si>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</si>
  <si>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</si>
  <si>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</si>
  <si>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</si>
  <si>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</si>
  <si>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</si>
  <si>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</si>
  <si>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</si>
  <si>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</si>
  <si>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</si>
  <si>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</si>
  <si>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</si>
  <si>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</si>
  <si>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</si>
  <si>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</si>
  <si>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</si>
  <si>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</si>
  <si>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</si>
  <si>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</si>
  <si>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</si>
  <si>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</si>
  <si>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</si>
  <si>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</si>
  <si>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</si>
  <si>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</si>
  <si>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</si>
  <si>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</si>
  <si>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</si>
  <si>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</si>
  <si>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</si>
  <si>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</si>
  <si>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</si>
  <si>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</si>
  <si>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</si>
  <si>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</si>
  <si>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</si>
  <si>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</si>
  <si>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</si>
  <si>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</si>
  <si>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</si>
  <si>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</si>
  <si>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</si>
  <si>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</si>
  <si>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</si>
  <si>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</si>
  <si>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</si>
  <si>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</si>
  <si>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</si>
  <si>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</si>
  <si>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</si>
  <si>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</si>
  <si>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</si>
  <si>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</si>
  <si>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</si>
  <si>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</si>
  <si>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</si>
  <si>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</si>
  <si>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</si>
  <si>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</si>
  <si>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</si>
  <si>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</si>
  <si>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</si>
  <si>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</si>
  <si>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</si>
  <si>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</si>
  <si>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</si>
  <si>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</si>
  <si>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</si>
  <si>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</si>
  <si>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</si>
  <si>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</si>
  <si>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</si>
  <si>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</si>
  <si>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</si>
  <si>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</si>
  <si>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</si>
  <si>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</si>
  <si>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</si>
  <si>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</si>
  <si>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</si>
  <si>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</si>
  <si>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</si>
  <si>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</si>
  <si>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</si>
  <si>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</si>
  <si>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</si>
  <si>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</si>
  <si>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</si>
  <si>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</si>
  <si>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</si>
  <si>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</si>
  <si>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</si>
  <si>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</si>
  <si>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</si>
  <si>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</si>
  <si>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</si>
  <si>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</si>
  <si>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</si>
  <si>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</si>
  <si>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</si>
  <si>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</si>
  <si>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</si>
  <si>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</si>
  <si>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</si>
  <si>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</si>
  <si>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</si>
  <si>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</si>
  <si>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</si>
  <si>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</si>
  <si>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</si>
  <si>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</si>
  <si>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</si>
  <si>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</si>
  <si>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</si>
  <si>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</si>
  <si>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</si>
  <si>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</si>
  <si>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</si>
  <si>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</si>
  <si>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</si>
  <si>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</si>
  <si>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</si>
  <si>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</si>
  <si>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</si>
  <si>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</si>
  <si>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</si>
  <si>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</si>
  <si>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</si>
  <si>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</si>
  <si>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</si>
  <si>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</si>
  <si>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</si>
  <si>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</si>
  <si>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</si>
  <si>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</si>
  <si>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</si>
  <si>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</si>
  <si>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</si>
  <si>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</si>
  <si>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</si>
  <si>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</si>
  <si>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</si>
  <si>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</si>
  <si>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</si>
  <si>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</si>
  <si>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</si>
  <si>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</si>
  <si>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</si>
  <si>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</si>
  <si>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</si>
  <si>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</si>
  <si>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</si>
  <si>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</si>
  <si>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</si>
  <si>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</si>
  <si>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</si>
  <si>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</si>
  <si>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</si>
  <si>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</si>
  <si>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</si>
  <si>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</si>
  <si>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</si>
  <si>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</si>
  <si>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</si>
  <si>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</si>
  <si>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</si>
  <si>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</si>
  <si>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</si>
  <si>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</si>
  <si>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</si>
  <si>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</si>
  <si>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</si>
  <si>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</si>
  <si>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</si>
  <si>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</si>
  <si>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</si>
  <si>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</si>
  <si>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</si>
  <si>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</si>
  <si>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</si>
  <si>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</si>
  <si>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</si>
  <si>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</si>
  <si>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</si>
  <si>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</si>
  <si>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</si>
  <si>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</si>
  <si>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</si>
  <si>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</si>
  <si>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</si>
  <si>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</si>
  <si>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</si>
  <si>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</si>
  <si>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</si>
  <si>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</si>
  <si>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</si>
  <si>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</si>
  <si>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</si>
  <si>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</si>
  <si>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</si>
  <si>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</si>
  <si>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</si>
  <si>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</si>
  <si>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</si>
  <si>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</si>
  <si>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</si>
  <si>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</si>
  <si>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</si>
  <si>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</si>
  <si>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</si>
  <si>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</si>
  <si>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</si>
  <si>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</si>
  <si>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</si>
  <si>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</si>
  <si>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</si>
  <si>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</si>
  <si>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</si>
  <si>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</si>
  <si>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</si>
  <si>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</si>
  <si>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</si>
  <si>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</si>
  <si>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</si>
  <si>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</si>
  <si>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</si>
  <si>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</si>
  <si>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</si>
  <si>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</si>
  <si>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</si>
  <si>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</si>
  <si>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</si>
  <si>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</si>
  <si>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</si>
  <si>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</si>
  <si>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</si>
  <si>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</si>
  <si>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</si>
  <si>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</si>
  <si>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</si>
  <si>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</si>
  <si>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</si>
  <si>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</si>
  <si>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</si>
  <si>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</si>
  <si>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</si>
  <si>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</si>
  <si>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</si>
  <si>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</si>
  <si>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</si>
  <si>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</si>
  <si>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</si>
  <si>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</si>
  <si>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</si>
  <si>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</si>
  <si>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</si>
  <si>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</si>
  <si>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</si>
  <si>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</si>
  <si>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</si>
  <si>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</si>
  <si>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</si>
  <si>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</si>
  <si>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</si>
  <si>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</si>
  <si>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</si>
  <si>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</si>
  <si>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</si>
  <si>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</si>
  <si>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</si>
  <si>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</si>
  <si>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</si>
  <si>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</si>
  <si>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</si>
  <si>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</si>
  <si>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</si>
  <si>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</si>
  <si>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</si>
  <si>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</si>
  <si>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</si>
  <si>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</si>
  <si>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</si>
  <si>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</si>
  <si>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</si>
  <si>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</si>
  <si>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</si>
  <si>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</si>
  <si>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</si>
  <si>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</si>
  <si>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</si>
  <si>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</si>
  <si>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</si>
  <si>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</si>
  <si>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</si>
  <si>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</si>
  <si>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</si>
  <si>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</si>
  <si>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</si>
  <si>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</si>
  <si>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</si>
  <si>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</si>
  <si>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</si>
  <si>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</si>
  <si>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</si>
  <si>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</si>
  <si>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</si>
  <si>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</si>
  <si>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</si>
  <si>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</si>
  <si>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</si>
  <si>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</si>
  <si>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</si>
  <si>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</si>
  <si>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</si>
  <si>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</si>
  <si>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</si>
  <si>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</si>
  <si>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</si>
  <si>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</si>
  <si>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</si>
  <si>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</si>
  <si>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</si>
  <si>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</si>
  <si>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</si>
  <si>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</si>
  <si>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</si>
  <si>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</si>
  <si>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</si>
  <si>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</si>
  <si>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</si>
  <si>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</si>
  <si>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</si>
  <si>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</si>
  <si>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</si>
  <si>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</si>
  <si>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</si>
  <si>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</si>
  <si>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</si>
  <si>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</si>
  <si>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</si>
  <si>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</si>
  <si>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</si>
  <si>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</si>
  <si>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</si>
  <si>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</si>
  <si>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</si>
  <si>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</si>
  <si>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</si>
  <si>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</si>
  <si>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</si>
  <si>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</si>
  <si>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</si>
  <si>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</si>
  <si>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</si>
  <si>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</si>
  <si>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</si>
  <si>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</si>
  <si>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</si>
  <si>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</si>
  <si>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</si>
  <si>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</si>
  <si>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</si>
  <si>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</si>
  <si>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</si>
  <si>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</si>
  <si>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</si>
  <si>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</si>
  <si>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</si>
  <si>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</si>
  <si>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</si>
  <si>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</si>
  <si>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</si>
  <si>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</si>
  <si>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</si>
  <si>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</si>
  <si>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</si>
  <si>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</si>
  <si>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</si>
  <si>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</si>
  <si>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</si>
  <si>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</si>
  <si>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</si>
  <si>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</si>
  <si>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</si>
  <si>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</si>
  <si>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</si>
  <si>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</si>
  <si>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</si>
  <si>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</si>
  <si>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</si>
  <si>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</si>
  <si>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</si>
  <si>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</si>
  <si>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</si>
  <si>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</si>
  <si>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</si>
  <si>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</si>
  <si>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</si>
  <si>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</si>
  <si>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</si>
  <si>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</si>
  <si>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</si>
  <si>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</si>
  <si>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</si>
  <si>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</si>
  <si>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</si>
  <si>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</si>
  <si>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</si>
  <si>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</si>
  <si>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</si>
  <si>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</si>
  <si>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</si>
  <si>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</si>
  <si>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</si>
  <si>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</si>
  <si>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</si>
  <si>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</si>
  <si>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</si>
  <si>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</si>
  <si>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</si>
  <si>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</si>
  <si>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</si>
  <si>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</si>
  <si>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</si>
  <si>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</si>
  <si>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</si>
  <si>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</si>
  <si>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</si>
  <si>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</si>
  <si>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</si>
  <si>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</si>
  <si>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</si>
  <si>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</si>
  <si>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</si>
  <si>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</si>
  <si>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</si>
  <si>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</si>
  <si>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</si>
  <si>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</si>
  <si>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</si>
  <si>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</si>
  <si>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</si>
  <si>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</si>
  <si>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</si>
  <si>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</si>
  <si>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</si>
  <si>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</si>
  <si>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</si>
  <si>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</si>
  <si>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</si>
  <si>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</si>
  <si>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</si>
  <si>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</si>
  <si>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</si>
  <si>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</si>
  <si>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</si>
  <si>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</si>
  <si>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</si>
  <si>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</si>
  <si>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</si>
  <si>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</si>
  <si>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</si>
  <si>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</si>
  <si>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</si>
  <si>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</si>
  <si>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</si>
  <si>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</si>
  <si>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</si>
  <si>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</si>
  <si>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</si>
  <si>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</si>
  <si>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</si>
  <si>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</si>
  <si>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</si>
  <si>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</si>
  <si>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</si>
  <si>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</si>
  <si>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</si>
  <si>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</si>
  <si>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</si>
  <si>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</si>
  <si>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</si>
  <si>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</si>
  <si>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</si>
  <si>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</si>
  <si>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</si>
  <si>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</si>
  <si>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</si>
  <si>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</si>
  <si>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</si>
  <si>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</si>
  <si>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</si>
  <si>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</si>
  <si>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</si>
  <si>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</si>
  <si>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</si>
  <si>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</si>
  <si>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</si>
  <si>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</si>
  <si>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</si>
  <si>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</si>
  <si>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</si>
  <si>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</si>
  <si>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</si>
  <si>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</si>
  <si>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</si>
  <si>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</si>
  <si>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</si>
  <si>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</si>
  <si>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</si>
  <si>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</si>
  <si>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</si>
  <si>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</si>
  <si>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</si>
  <si>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</si>
  <si>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</si>
  <si>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</si>
  <si>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</si>
  <si>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</si>
  <si>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</si>
  <si>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</si>
  <si>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</si>
  <si>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</si>
  <si>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</si>
  <si>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</si>
  <si>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</si>
  <si>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</si>
  <si>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</si>
  <si>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</si>
  <si>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</si>
  <si>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</si>
  <si>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</si>
  <si>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</si>
  <si>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</si>
  <si>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</si>
  <si>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</si>
  <si>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</si>
  <si>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</si>
  <si>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</si>
  <si>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</si>
  <si>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</si>
  <si>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</si>
  <si>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</si>
  <si>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</si>
  <si>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</si>
  <si>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</si>
  <si>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</si>
  <si>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</si>
  <si>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</si>
  <si>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</si>
  <si>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</si>
  <si>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</si>
  <si>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</si>
  <si>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</si>
  <si>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</si>
  <si>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</si>
  <si>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</si>
  <si>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</si>
  <si>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</si>
  <si>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</si>
  <si>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</si>
  <si>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</si>
  <si>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</si>
  <si>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</si>
  <si>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</si>
  <si>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</si>
  <si>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</si>
  <si>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</si>
  <si>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</si>
  <si>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</si>
  <si>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</si>
  <si>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</si>
  <si>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</si>
  <si>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</si>
  <si>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</si>
  <si>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</si>
  <si>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</si>
  <si>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</si>
  <si>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</si>
  <si>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</si>
  <si>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</si>
  <si>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</si>
  <si>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</si>
  <si>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</si>
  <si>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</si>
  <si>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</si>
  <si>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</si>
  <si>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</si>
  <si>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</si>
  <si>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</si>
  <si>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</si>
  <si>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</si>
  <si>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</si>
  <si>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</si>
  <si>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</si>
  <si>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</si>
  <si>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</si>
  <si>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</si>
  <si>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</si>
  <si>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</si>
  <si>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</si>
  <si>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</si>
  <si>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</si>
  <si>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</si>
  <si>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</si>
  <si>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</si>
  <si>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</si>
  <si>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</si>
  <si>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</si>
  <si>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</si>
  <si>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</si>
  <si>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</si>
  <si>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</si>
  <si>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</si>
  <si>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</si>
  <si>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</si>
  <si>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</si>
  <si>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</si>
  <si>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</si>
  <si>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</si>
  <si>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</si>
  <si>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</si>
  <si>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</si>
  <si>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</si>
  <si>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</si>
  <si>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</si>
  <si>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</si>
  <si>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</si>
  <si>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</si>
  <si>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</si>
  <si>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</si>
  <si>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</si>
  <si>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</si>
  <si>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</si>
  <si>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</si>
  <si>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</si>
  <si>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</si>
  <si>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</si>
  <si>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</si>
  <si>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</si>
  <si>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</si>
  <si>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</si>
  <si>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</si>
  <si>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</si>
  <si>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</si>
  <si>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</si>
  <si>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</si>
  <si>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</si>
  <si>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</si>
  <si>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</si>
  <si>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</si>
  <si>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</si>
  <si>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</si>
  <si>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</si>
  <si>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</si>
  <si>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</si>
  <si>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</si>
  <si>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</si>
  <si>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</si>
  <si>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</si>
  <si>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</si>
  <si>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</si>
  <si>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</si>
  <si>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</si>
  <si>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</si>
  <si>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</si>
  <si>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</si>
  <si>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</si>
  <si>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</si>
  <si>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</si>
  <si>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</si>
  <si>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</si>
  <si>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</si>
  <si>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</si>
  <si>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</si>
  <si>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</si>
  <si>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</si>
  <si>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</si>
  <si>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</si>
  <si>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</si>
  <si>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</si>
  <si>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</si>
  <si>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</si>
  <si>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</si>
  <si>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</si>
  <si>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</si>
  <si>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</si>
  <si>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</si>
  <si>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</si>
  <si>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</si>
  <si>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</si>
  <si>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</si>
  <si>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</si>
  <si>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</si>
  <si>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</si>
  <si>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</si>
  <si>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</si>
  <si>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</si>
  <si>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</si>
  <si>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</si>
  <si>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</si>
  <si>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</si>
  <si>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</si>
  <si>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</si>
  <si>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</si>
  <si>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</si>
  <si>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</si>
  <si>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</si>
  <si>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</si>
  <si>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</si>
  <si>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</si>
  <si>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</si>
  <si>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</si>
  <si>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</si>
  <si>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</si>
  <si>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</si>
  <si>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</si>
  <si>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</si>
  <si>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</si>
  <si>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</si>
  <si>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</si>
  <si>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</si>
  <si>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</si>
  <si>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</si>
  <si>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</si>
  <si>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</si>
  <si>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</si>
  <si>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</si>
  <si>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</si>
  <si>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</si>
  <si>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</si>
  <si>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</si>
  <si>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</si>
  <si>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</si>
  <si>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</si>
  <si>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</si>
  <si>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</si>
  <si>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</si>
  <si>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</si>
  <si>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</si>
  <si>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</si>
  <si>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</si>
  <si>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</si>
  <si>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</si>
  <si>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</si>
  <si>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</si>
  <si>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</si>
  <si>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</si>
  <si>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</si>
  <si>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</si>
  <si>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</si>
  <si>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</si>
  <si>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</si>
  <si>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</si>
  <si>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</si>
  <si>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</si>
  <si>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</si>
  <si>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</si>
  <si>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</si>
  <si>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</si>
  <si>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</si>
  <si>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</si>
  <si>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</si>
  <si>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</si>
  <si>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</si>
  <si>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</si>
  <si>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</si>
  <si>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</si>
  <si>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</si>
  <si>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</si>
  <si>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</si>
  <si>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</si>
  <si>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</si>
  <si>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</si>
  <si>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</si>
  <si>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</si>
  <si>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</si>
  <si>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</si>
  <si>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</si>
  <si>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</si>
  <si>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</si>
  <si>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</si>
  <si>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</si>
  <si>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</si>
  <si>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</si>
  <si>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</si>
  <si>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</si>
  <si>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</si>
  <si>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</si>
  <si>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</si>
  <si>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</si>
  <si>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</si>
  <si>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</si>
  <si>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</si>
  <si>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</si>
  <si>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</si>
  <si>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</si>
  <si>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</si>
  <si>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</si>
  <si>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</si>
  <si>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</si>
  <si>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</si>
  <si>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</si>
  <si>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</si>
  <si>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</si>
  <si>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</si>
  <si>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</si>
  <si>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</si>
  <si>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</si>
  <si>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</si>
  <si>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</si>
  <si>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</si>
  <si>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</si>
  <si>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</si>
  <si>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</si>
  <si>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</si>
  <si>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</si>
  <si>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</si>
  <si>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</si>
  <si>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</si>
  <si>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</si>
  <si>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</si>
  <si>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</si>
  <si>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</si>
  <si>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</si>
  <si>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</si>
  <si>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</si>
  <si>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</si>
  <si>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</si>
  <si>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</si>
  <si>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</si>
  <si>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</si>
  <si>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</si>
  <si>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</si>
  <si>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</si>
  <si>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</si>
  <si>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</si>
  <si>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</si>
  <si>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</si>
  <si>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</si>
  <si>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</si>
  <si>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</si>
  <si>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</si>
  <si>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</si>
  <si>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</si>
  <si>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</si>
  <si>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</si>
  <si>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</si>
  <si>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</si>
  <si>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</si>
  <si>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</si>
  <si>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</si>
  <si>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</si>
  <si>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</si>
  <si>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</si>
  <si>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</si>
  <si>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</si>
  <si>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</si>
  <si>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</si>
  <si>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</si>
  <si>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</si>
  <si>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</si>
  <si>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</si>
  <si>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</si>
  <si>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</si>
  <si>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</si>
  <si>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</si>
  <si>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</si>
  <si>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</si>
  <si>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</si>
  <si>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</si>
  <si>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</si>
  <si>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</si>
  <si>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</si>
  <si>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</si>
  <si>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</si>
  <si>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</si>
  <si>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</si>
  <si>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</si>
  <si>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</si>
  <si>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</si>
  <si>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</si>
  <si>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</si>
  <si>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</si>
  <si>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</si>
  <si>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</si>
  <si>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</si>
  <si>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</si>
  <si>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</si>
  <si>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</si>
  <si>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</si>
  <si>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</si>
  <si>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</si>
  <si>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</si>
  <si>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</si>
  <si>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</si>
  <si>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</si>
  <si>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</si>
  <si>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</si>
  <si>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</si>
  <si>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</si>
  <si>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</si>
  <si>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</si>
  <si>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</si>
  <si>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</si>
  <si>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</si>
  <si>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</si>
  <si>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</si>
  <si>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</si>
  <si>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</si>
  <si>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</si>
  <si>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</si>
  <si>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</si>
  <si>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</si>
  <si>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</si>
  <si>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</si>
  <si>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</si>
  <si>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</si>
  <si>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</si>
  <si>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</si>
  <si>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</si>
  <si>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</si>
  <si>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</si>
  <si>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</si>
  <si>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</si>
  <si>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</si>
  <si>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</si>
  <si>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</si>
  <si>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</si>
  <si>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</si>
  <si>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</si>
  <si>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</si>
  <si>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</si>
  <si>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</si>
  <si>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</si>
  <si>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</si>
  <si>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</si>
  <si>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</si>
  <si>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</si>
  <si>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</si>
  <si>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</si>
  <si>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</si>
  <si>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</si>
  <si>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</si>
  <si>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</si>
  <si>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</si>
  <si>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</si>
  <si>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</si>
  <si>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</si>
  <si>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</si>
  <si>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</si>
  <si>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</si>
  <si>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</si>
  <si>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</si>
  <si>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</si>
  <si>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</si>
  <si>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</si>
  <si>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</si>
  <si>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</si>
  <si>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</si>
  <si>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</si>
  <si>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</si>
  <si>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</si>
  <si>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</si>
  <si>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</si>
  <si>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</si>
  <si>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</si>
  <si>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</si>
  <si>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</si>
  <si>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</si>
  <si>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</si>
  <si>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</si>
  <si>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</si>
  <si>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</si>
  <si>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</si>
  <si>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</si>
  <si>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</si>
  <si>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</si>
  <si>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</si>
  <si>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</si>
  <si>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</si>
  <si>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</si>
  <si>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</si>
  <si>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</si>
  <si>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</si>
  <si>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</si>
  <si>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</si>
  <si>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</si>
  <si>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</si>
  <si>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</si>
  <si>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</si>
  <si>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</si>
  <si>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</si>
  <si>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</si>
  <si>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</si>
  <si>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</si>
  <si>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</si>
  <si>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</si>
  <si>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</si>
  <si>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</si>
  <si>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</si>
  <si>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</si>
  <si>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</si>
  <si>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</si>
  <si>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</si>
  <si>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</si>
  <si>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</si>
  <si>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</si>
  <si>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</si>
  <si>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</si>
  <si>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</si>
  <si>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</si>
  <si>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</si>
  <si>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</si>
  <si>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</si>
  <si>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</si>
  <si>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</si>
  <si>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</si>
  <si>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</si>
  <si>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</si>
  <si>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</si>
  <si>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</si>
  <si>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</si>
  <si>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</si>
  <si>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</si>
  <si>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</si>
  <si>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</si>
  <si>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</si>
  <si>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</si>
  <si>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</si>
  <si>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</si>
  <si>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</si>
  <si>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</si>
  <si>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</si>
  <si>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</si>
  <si>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</si>
  <si>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</si>
  <si>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</si>
  <si>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</si>
  <si>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</si>
  <si>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</si>
  <si>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</si>
  <si>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</si>
  <si>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</si>
  <si>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</si>
  <si>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</si>
  <si>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</si>
  <si>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</si>
  <si>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</si>
  <si>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</si>
  <si>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</si>
  <si>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</si>
  <si>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</si>
  <si>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</si>
  <si>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</si>
  <si>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</si>
  <si>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</si>
  <si>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</si>
  <si>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</si>
  <si>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</si>
  <si>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</si>
  <si>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</si>
  <si>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</si>
  <si>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</si>
  <si>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</si>
  <si>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</si>
  <si>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</si>
  <si>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</si>
  <si>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</si>
  <si>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</si>
  <si>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</si>
  <si>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</si>
  <si>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</si>
  <si>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</si>
  <si>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</si>
  <si>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</si>
  <si>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</si>
  <si>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</si>
  <si>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</si>
  <si>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</si>
  <si>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</si>
  <si>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</si>
  <si>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</si>
  <si>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</si>
  <si>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</si>
  <si>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</si>
  <si>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</si>
  <si>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</si>
  <si>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</si>
  <si>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</si>
  <si>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</si>
  <si>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</si>
  <si>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</si>
  <si>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</si>
  <si>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</si>
  <si>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</si>
  <si>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</si>
  <si>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</si>
  <si>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</si>
  <si>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</si>
  <si>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</si>
  <si>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</si>
  <si>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</si>
  <si>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</si>
  <si>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</si>
  <si>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</si>
  <si>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</si>
  <si>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</si>
  <si>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</si>
  <si>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</si>
  <si>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</si>
  <si>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</si>
  <si>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</si>
  <si>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</si>
  <si>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</si>
  <si>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</si>
  <si>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</si>
  <si>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</si>
  <si>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</si>
  <si>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</si>
  <si>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</si>
  <si>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</si>
  <si>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</si>
  <si>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</si>
  <si>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</si>
  <si>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</si>
  <si>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</si>
  <si>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</si>
  <si>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</si>
  <si>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</si>
  <si>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</si>
  <si>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</si>
  <si>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</si>
  <si>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</si>
  <si>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</si>
  <si>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</si>
  <si>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</si>
  <si>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</si>
  <si>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</si>
  <si>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</si>
  <si>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</si>
  <si>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</si>
  <si>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</si>
  <si>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</si>
  <si>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</si>
  <si>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</si>
  <si>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</si>
  <si>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</si>
  <si>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</si>
  <si>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</si>
  <si>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</si>
  <si>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</si>
  <si>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</si>
  <si>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</si>
  <si>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</si>
  <si>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</si>
  <si>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</si>
  <si>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</si>
  <si>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</si>
  <si>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</si>
  <si>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</si>
  <si>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</si>
  <si>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</si>
  <si>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</si>
  <si>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</si>
  <si>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</si>
  <si>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</si>
  <si>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</si>
  <si>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</si>
  <si>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</si>
  <si>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</si>
  <si>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</si>
  <si>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</si>
  <si>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</si>
  <si>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</si>
  <si>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</si>
  <si>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</si>
  <si>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</si>
  <si>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</si>
  <si>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</si>
  <si>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</si>
  <si>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</si>
  <si>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</si>
  <si>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</si>
  <si>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</si>
  <si>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</si>
  <si>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</si>
  <si>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</si>
  <si>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</si>
  <si>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</si>
  <si>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</si>
  <si>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</si>
  <si>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</si>
  <si>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</si>
  <si>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</si>
  <si>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</si>
  <si>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</si>
  <si>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</si>
  <si>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</si>
  <si>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</si>
  <si>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</si>
  <si>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</si>
  <si>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</si>
  <si>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</si>
  <si>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</si>
  <si>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</si>
  <si>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</si>
  <si>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</si>
  <si>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</si>
  <si>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</si>
  <si>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</si>
  <si>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</si>
  <si>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</si>
  <si>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</si>
  <si>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</si>
  <si>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</si>
  <si>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</si>
  <si>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</si>
  <si>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</si>
  <si>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</si>
  <si>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</si>
  <si>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</si>
  <si>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</si>
  <si>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</si>
  <si>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</si>
  <si>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</si>
  <si>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</si>
  <si>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</si>
  <si>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</si>
  <si>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</si>
  <si>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</si>
  <si>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</si>
  <si>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</si>
  <si>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</si>
  <si>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</si>
  <si>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</si>
  <si>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</si>
  <si>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</si>
  <si>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</si>
  <si>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</si>
  <si>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</si>
  <si>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</si>
  <si>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</si>
  <si>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</si>
  <si>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</si>
  <si>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</si>
  <si>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</si>
  <si>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</si>
  <si>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</si>
  <si>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</si>
  <si>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</si>
  <si>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</si>
  <si>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</si>
  <si>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</si>
  <si>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</si>
  <si>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</si>
  <si>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</si>
  <si>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</si>
  <si>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</si>
  <si>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</si>
  <si>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</si>
  <si>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</si>
  <si>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</si>
  <si>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</si>
  <si>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</si>
  <si>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</si>
  <si>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</si>
  <si>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</si>
  <si>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</si>
  <si>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</si>
  <si>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</si>
  <si>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</si>
  <si>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</si>
  <si>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</si>
  <si>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</si>
  <si>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</si>
  <si>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</si>
  <si>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</si>
  <si>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</si>
  <si>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</si>
  <si>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</si>
  <si>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</si>
  <si>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</si>
  <si>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</si>
  <si>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</si>
  <si>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</si>
  <si>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</si>
  <si>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</si>
  <si>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</si>
  <si>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</si>
  <si>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</si>
  <si>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</si>
  <si>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</si>
  <si>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</si>
  <si>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</si>
  <si>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</si>
  <si>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</si>
  <si>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</si>
  <si>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</si>
  <si>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</si>
  <si>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</si>
  <si>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</si>
  <si>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</si>
  <si>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</si>
  <si>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</si>
  <si>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</si>
  <si>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</si>
  <si>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</si>
  <si>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</si>
  <si>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</si>
  <si>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</si>
  <si>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</si>
  <si>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</si>
  <si>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</si>
  <si>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</si>
  <si>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</si>
  <si>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</si>
  <si>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</si>
  <si>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</si>
  <si>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</si>
  <si>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</si>
  <si>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</si>
  <si>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</si>
  <si>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</si>
  <si>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</si>
  <si>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</si>
  <si>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</si>
  <si>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</si>
  <si>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</si>
  <si>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</si>
  <si>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</si>
  <si>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</si>
  <si>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</si>
  <si>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</si>
  <si>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</si>
  <si>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</si>
  <si>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</si>
  <si>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</si>
  <si>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</si>
  <si>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</si>
  <si>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</si>
  <si>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</si>
  <si>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</si>
  <si>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</si>
  <si>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</si>
  <si>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</si>
  <si>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</si>
  <si>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</si>
  <si>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</si>
  <si>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</si>
  <si>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</si>
  <si>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</si>
  <si>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</si>
  <si>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</si>
  <si>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</si>
  <si>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</si>
  <si>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</si>
  <si>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</si>
  <si>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</si>
  <si>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</si>
  <si>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</si>
  <si>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</si>
  <si>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</si>
  <si>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</si>
  <si>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</si>
  <si>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</si>
  <si>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</si>
  <si>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</si>
  <si>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</si>
  <si>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</si>
  <si>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</si>
  <si>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</si>
  <si>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</si>
  <si>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</si>
  <si>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</si>
  <si>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</si>
  <si>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</si>
  <si>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</si>
  <si>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</si>
  <si>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</si>
  <si>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</si>
  <si>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</si>
  <si>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</si>
  <si>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</si>
  <si>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</si>
  <si>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</si>
  <si>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</si>
  <si>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</si>
  <si>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</si>
  <si>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</si>
  <si>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</si>
  <si>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</si>
  <si>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</si>
  <si>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</si>
  <si>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</si>
  <si>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</si>
  <si>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</si>
  <si>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</si>
  <si>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</si>
  <si>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</si>
  <si>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</si>
  <si>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</si>
  <si>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</si>
  <si>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</si>
  <si>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</si>
  <si>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</si>
  <si>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</si>
  <si>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</si>
  <si>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</si>
  <si>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</si>
  <si>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</si>
  <si>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</si>
  <si>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</si>
  <si>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</si>
  <si>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</si>
  <si>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</si>
  <si>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</si>
  <si>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</si>
  <si>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</si>
  <si>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</si>
  <si>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</si>
  <si>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</si>
  <si>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</si>
  <si>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</si>
  <si>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</si>
  <si>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</si>
  <si>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</si>
  <si>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</si>
  <si>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</si>
  <si>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</si>
  <si>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</si>
  <si>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</si>
  <si>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</si>
  <si>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</si>
  <si>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</si>
  <si>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</si>
  <si>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</si>
  <si>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</si>
  <si>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</si>
  <si>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</si>
  <si>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</si>
  <si>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</si>
  <si>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</si>
  <si>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</si>
  <si>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</si>
  <si>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</si>
  <si>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</si>
  <si>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</si>
  <si>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</si>
  <si>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</si>
  <si>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</si>
  <si>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</si>
  <si>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</si>
  <si>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</si>
  <si>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</si>
  <si>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</si>
  <si>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</si>
  <si>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</si>
  <si>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</si>
  <si>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</si>
  <si>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</si>
  <si>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</si>
  <si>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</si>
  <si>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</si>
  <si>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</si>
  <si>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</si>
  <si>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</si>
  <si>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</si>
  <si>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</si>
  <si>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</si>
  <si>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</si>
  <si>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</si>
  <si>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</si>
  <si>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</si>
  <si>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</si>
  <si>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</si>
  <si>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</si>
  <si>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</si>
  <si>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</si>
  <si>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</si>
  <si>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</si>
  <si>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</si>
  <si>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</si>
  <si>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</si>
  <si>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</si>
  <si>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</si>
  <si>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</si>
  <si>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</si>
  <si>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</si>
  <si>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</si>
  <si>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</si>
  <si>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</si>
  <si>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</si>
  <si>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</si>
  <si>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</si>
  <si>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</si>
  <si>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</si>
  <si>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</si>
  <si>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</si>
  <si>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</si>
  <si>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</si>
  <si>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</si>
  <si>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</si>
  <si>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</si>
  <si>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</si>
  <si>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</si>
  <si>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</si>
  <si>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</si>
  <si>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</si>
  <si>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</si>
  <si>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</si>
  <si>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</si>
  <si>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</si>
  <si>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</si>
  <si>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</si>
  <si>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</si>
  <si>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</si>
  <si>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</si>
  <si>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</si>
  <si>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</si>
  <si>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</si>
  <si>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</si>
  <si>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</si>
  <si>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</si>
  <si>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</si>
  <si>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</si>
  <si>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</si>
  <si>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</si>
  <si>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</si>
  <si>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</si>
  <si>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</si>
  <si>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</si>
  <si>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</si>
  <si>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</si>
  <si>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</si>
  <si>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</si>
  <si>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</si>
  <si>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</si>
  <si>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</si>
  <si>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</si>
  <si>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</si>
  <si>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</si>
  <si>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</si>
  <si>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</si>
  <si>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</si>
  <si>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</si>
  <si>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</si>
  <si>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</si>
  <si>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</si>
  <si>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</si>
  <si>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</si>
  <si>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</si>
  <si>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</si>
  <si>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</si>
  <si>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</si>
  <si>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</si>
  <si>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</si>
  <si>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</si>
  <si>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</si>
  <si>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</si>
  <si>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</si>
  <si>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</si>
  <si>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</si>
  <si>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</si>
  <si>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</si>
  <si>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</si>
  <si>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</si>
  <si>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</si>
  <si>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</si>
  <si>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</si>
  <si>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</si>
  <si>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</si>
  <si>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</si>
  <si>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</si>
  <si>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</si>
  <si>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</si>
  <si>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</si>
  <si>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</si>
  <si>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</si>
  <si>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</si>
  <si>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</si>
  <si>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</si>
  <si>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</si>
  <si>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</si>
  <si>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</si>
  <si>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</si>
  <si>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</si>
  <si>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</si>
  <si>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</si>
  <si>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</si>
  <si>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</si>
  <si>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</si>
  <si>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</si>
  <si>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</si>
  <si>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</si>
  <si>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</si>
  <si>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</si>
  <si>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</si>
  <si>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</si>
  <si>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</si>
  <si>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</si>
  <si>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</si>
  <si>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</si>
  <si>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</si>
  <si>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</si>
  <si>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</si>
  <si>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</si>
  <si>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</si>
  <si>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</si>
  <si>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</si>
  <si>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</si>
  <si>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</si>
  <si>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</si>
  <si>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</si>
  <si>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</si>
  <si>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</si>
  <si>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</si>
  <si>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</si>
  <si>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</si>
  <si>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</si>
  <si>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</si>
  <si>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</si>
  <si>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</si>
  <si>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</si>
  <si>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</si>
  <si>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</si>
  <si>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</si>
  <si>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</si>
  <si>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</si>
  <si>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</si>
  <si>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</si>
  <si>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</si>
  <si>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</si>
  <si>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</si>
  <si>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</si>
  <si>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</si>
  <si>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</si>
  <si>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</si>
  <si>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</si>
  <si>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</si>
  <si>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</si>
  <si>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</si>
  <si>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</si>
  <si>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</si>
  <si>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</si>
  <si>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</si>
  <si>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</si>
  <si>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</si>
  <si>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</si>
  <si>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</si>
  <si>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</si>
  <si>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</si>
  <si>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</si>
  <si>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</si>
  <si>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</si>
  <si>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</si>
  <si>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</si>
  <si>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</si>
  <si>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</si>
  <si>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</si>
  <si>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</si>
  <si>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</si>
  <si>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</si>
  <si>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</si>
  <si>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</si>
  <si>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</si>
  <si>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</si>
  <si>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</si>
  <si>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</si>
  <si>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</si>
  <si>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</si>
  <si>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</si>
  <si>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</si>
  <si>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</si>
  <si>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</si>
  <si>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</si>
  <si>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</si>
  <si>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</si>
  <si>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</si>
  <si>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</si>
  <si>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</si>
  <si>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</si>
  <si>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</si>
  <si>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</si>
  <si>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</si>
  <si>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</si>
  <si>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</si>
  <si>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</si>
  <si>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</si>
  <si>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</si>
  <si>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</si>
  <si>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</si>
  <si>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</si>
  <si>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</si>
  <si>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</si>
  <si>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</si>
  <si>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</si>
  <si>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</si>
  <si>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</si>
  <si>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</si>
  <si>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</si>
  <si>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</si>
  <si>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</si>
  <si>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</si>
  <si>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</si>
  <si>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</si>
  <si>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</si>
  <si>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</si>
  <si>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</si>
  <si>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</si>
  <si>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</si>
  <si>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</si>
  <si>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</si>
  <si>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</si>
  <si>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</si>
  <si>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</si>
  <si>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</si>
  <si>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</si>
  <si>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</si>
  <si>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</si>
  <si>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</si>
  <si>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</si>
  <si>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</si>
  <si>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</si>
  <si>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</si>
  <si>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</si>
  <si>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</si>
  <si>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</si>
  <si>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</si>
  <si>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</si>
  <si>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</si>
  <si>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</si>
  <si>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</si>
  <si>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</si>
  <si>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</si>
  <si>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</si>
  <si>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</si>
  <si>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</si>
  <si>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</si>
  <si>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</si>
  <si>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</si>
  <si>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</si>
  <si>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</si>
  <si>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</si>
  <si>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</si>
  <si>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</si>
  <si>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</si>
  <si>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</si>
  <si>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</si>
  <si>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</si>
  <si>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</si>
  <si>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</si>
  <si>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</si>
  <si>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</si>
  <si>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</si>
  <si>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</si>
  <si>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</si>
  <si>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</si>
  <si>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</si>
  <si>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</si>
  <si>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</si>
  <si>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</si>
  <si>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</si>
  <si>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</si>
  <si>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</si>
  <si>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</si>
  <si>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</si>
  <si>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</si>
  <si>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</si>
  <si>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</si>
  <si>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</si>
  <si>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</si>
  <si>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</si>
  <si>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</si>
  <si>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</si>
  <si>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</si>
  <si>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</si>
  <si>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</si>
  <si>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</si>
  <si>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</si>
  <si>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</si>
  <si>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</si>
  <si>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</si>
  <si>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</si>
  <si>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</si>
  <si>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</si>
  <si>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</si>
  <si>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</si>
  <si>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</si>
  <si>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</si>
  <si>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</si>
  <si>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</si>
  <si>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</si>
  <si>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</si>
  <si>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</si>
  <si>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</si>
  <si>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</si>
  <si>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</si>
  <si>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</si>
  <si>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</si>
  <si>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</si>
  <si>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</si>
  <si>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</si>
  <si>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</si>
  <si>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</si>
  <si>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</si>
  <si>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</si>
  <si>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</si>
  <si>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</si>
  <si>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</si>
  <si>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</si>
  <si>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</si>
  <si>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</si>
  <si>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</si>
  <si>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</si>
  <si>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</si>
  <si>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</si>
  <si>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</si>
  <si>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</si>
  <si>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</si>
  <si>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</si>
  <si>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</si>
  <si>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</si>
  <si>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</si>
  <si>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</si>
  <si>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</si>
  <si>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</si>
  <si>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</si>
  <si>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</si>
  <si>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</si>
  <si>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</si>
  <si>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</si>
  <si>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</si>
  <si>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</si>
  <si>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</si>
  <si>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</si>
  <si>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</si>
  <si>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</si>
  <si>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</si>
  <si>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</si>
  <si>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</si>
  <si>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</si>
  <si>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</si>
  <si>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</si>
  <si>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</si>
  <si>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</si>
  <si>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</si>
  <si>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</si>
  <si>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</si>
  <si>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</si>
  <si>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</si>
  <si>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</si>
  <si>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</si>
  <si>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</si>
  <si>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</si>
  <si>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</si>
  <si>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</si>
  <si>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</si>
  <si>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</si>
  <si>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</si>
  <si>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</si>
  <si>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</si>
  <si>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</si>
  <si>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</si>
  <si>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</si>
  <si>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</si>
  <si>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</si>
  <si>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</si>
  <si>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</si>
  <si>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</si>
  <si>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</si>
  <si>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</si>
  <si>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</si>
  <si>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</si>
  <si>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</si>
  <si>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</si>
  <si>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</si>
  <si>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</si>
  <si>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</si>
  <si>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</si>
  <si>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</si>
  <si>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</si>
  <si>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</si>
  <si>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</si>
  <si>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</si>
  <si>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</si>
  <si>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</si>
  <si>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</si>
  <si>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</si>
  <si>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</si>
  <si>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</si>
  <si>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</si>
  <si>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</si>
  <si>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</si>
  <si>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</si>
  <si>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</si>
  <si>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</si>
  <si>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</si>
  <si>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</si>
  <si>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</si>
  <si>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</si>
  <si>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</si>
  <si>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</si>
  <si>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</si>
  <si>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</si>
  <si>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</si>
  <si>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</si>
  <si>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</si>
  <si>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</si>
  <si>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</si>
  <si>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</si>
  <si>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</si>
  <si>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</si>
  <si>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</si>
  <si>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</si>
  <si>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</si>
  <si>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</si>
  <si>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</si>
  <si>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</si>
  <si>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</si>
  <si>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</si>
  <si>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</si>
  <si>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</si>
  <si>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</si>
  <si>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</si>
  <si>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</si>
  <si>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</si>
  <si>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</si>
  <si>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</si>
  <si>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</si>
  <si>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</si>
  <si>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</si>
  <si>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</si>
  <si>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</si>
  <si>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</si>
  <si>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</si>
  <si>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</si>
  <si>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</si>
  <si>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</si>
  <si>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</si>
  <si>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</si>
  <si>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</si>
  <si>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</si>
  <si>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</si>
  <si>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</si>
  <si>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</si>
  <si>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</si>
  <si>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</si>
  <si>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</si>
  <si>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</si>
  <si>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</si>
  <si>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</si>
  <si>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</si>
  <si>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</si>
  <si>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</si>
  <si>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</si>
  <si>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</si>
  <si>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</si>
  <si>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</si>
  <si>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</si>
  <si>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</si>
  <si>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</si>
  <si>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</si>
  <si>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</si>
  <si>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</si>
  <si>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</si>
  <si>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</si>
  <si>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</si>
  <si>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</si>
  <si>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</si>
  <si>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</si>
  <si>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</si>
  <si>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</si>
  <si>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</si>
  <si>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</si>
  <si>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</si>
  <si>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</si>
  <si>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</si>
  <si>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</si>
  <si>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</si>
  <si>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</si>
  <si>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</si>
  <si>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</si>
  <si>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</si>
  <si>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</si>
  <si>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</si>
  <si>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</si>
  <si>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</si>
  <si>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</si>
  <si>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</si>
  <si>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</si>
  <si>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</si>
  <si>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</si>
  <si>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</si>
  <si>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</si>
  <si>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</si>
  <si>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</si>
  <si>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</si>
  <si>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</si>
  <si>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</si>
  <si>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</si>
  <si>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</si>
  <si>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</si>
  <si>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</si>
  <si>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</si>
  <si>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</si>
  <si>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</si>
  <si>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</si>
  <si>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</si>
  <si>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</si>
  <si>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</si>
  <si>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</si>
  <si>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</si>
  <si>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</si>
  <si>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</si>
  <si>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</si>
  <si>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</si>
  <si>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</si>
  <si>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</si>
  <si>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</si>
  <si>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</si>
  <si>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</si>
  <si>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</si>
  <si>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</si>
  <si>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</si>
  <si>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</si>
  <si>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</si>
  <si>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</si>
  <si>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</si>
  <si>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</si>
  <si>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</si>
  <si>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</si>
  <si>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</si>
  <si>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</si>
  <si>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</si>
  <si>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</si>
  <si>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</si>
  <si>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</si>
  <si>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</si>
  <si>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</si>
  <si>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</si>
  <si>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</si>
  <si>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</si>
  <si>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</si>
  <si>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</si>
  <si>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</si>
  <si>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</si>
  <si>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</si>
  <si>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</si>
  <si>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</si>
  <si>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</si>
  <si>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</si>
  <si>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</si>
  <si>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</si>
  <si>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</si>
  <si>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</si>
  <si>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</si>
  <si>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</si>
  <si>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</si>
  <si>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</si>
  <si>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</si>
  <si>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</si>
  <si>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</si>
  <si>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</si>
  <si>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</si>
  <si>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</si>
  <si>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</si>
  <si>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</si>
  <si>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</si>
  <si>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</si>
  <si>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</si>
  <si>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</si>
  <si>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</si>
  <si>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</si>
  <si>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</si>
  <si>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</si>
  <si>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</si>
  <si>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</si>
  <si>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</si>
  <si>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</si>
  <si>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</si>
  <si>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</si>
  <si>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</si>
  <si>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</si>
  <si>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</si>
  <si>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</si>
  <si>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</si>
  <si>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</si>
  <si>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</si>
  <si>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</si>
  <si>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</si>
  <si>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</si>
  <si>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</si>
  <si>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</si>
  <si>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</si>
  <si>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</si>
  <si>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</si>
  <si>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</si>
  <si>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</si>
  <si>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</si>
  <si>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</si>
  <si>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</si>
  <si>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</si>
  <si>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</si>
  <si>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</si>
  <si>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</si>
  <si>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</si>
  <si>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</si>
  <si>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</si>
  <si>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</si>
  <si>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</si>
  <si>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</si>
  <si>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</si>
  <si>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</si>
  <si>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</si>
  <si>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</si>
  <si>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</si>
  <si>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</si>
  <si>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</si>
  <si>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</si>
  <si>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</si>
  <si>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</si>
  <si>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</si>
  <si>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</si>
  <si>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</si>
  <si>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</si>
  <si>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</si>
  <si>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</si>
  <si>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</si>
  <si>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</si>
  <si>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</si>
  <si>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</si>
  <si>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</si>
  <si>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</si>
  <si>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</si>
  <si>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</si>
  <si>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</si>
  <si>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</si>
  <si>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</si>
  <si>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</si>
  <si>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</si>
  <si>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</si>
  <si>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</si>
  <si>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</si>
  <si>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</si>
  <si>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</si>
  <si>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</si>
  <si>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</si>
  <si>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</si>
  <si>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</si>
  <si>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</si>
  <si>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</si>
  <si>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</si>
  <si>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</si>
  <si>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</si>
  <si>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</si>
  <si>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</si>
  <si>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</si>
  <si>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</si>
  <si>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</si>
  <si>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</si>
  <si>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</si>
  <si>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</si>
  <si>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</si>
  <si>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</si>
  <si>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</si>
  <si>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</si>
  <si>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</si>
  <si>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</si>
  <si>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</si>
  <si>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</si>
  <si>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</si>
  <si>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</si>
  <si>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</si>
  <si>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</si>
  <si>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</si>
  <si>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</si>
  <si>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</si>
  <si>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</si>
  <si>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</si>
  <si>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</si>
  <si>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</si>
  <si>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</si>
  <si>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</si>
  <si>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</si>
  <si>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</si>
  <si>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</si>
  <si>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</si>
  <si>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</si>
  <si>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</si>
  <si>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</si>
  <si>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</si>
  <si>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</si>
  <si>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</si>
  <si>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</si>
  <si>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</si>
  <si>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</si>
  <si>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</si>
  <si>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</si>
  <si>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</si>
  <si>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</si>
  <si>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</si>
  <si>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</si>
  <si>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</si>
  <si>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</si>
  <si>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</si>
  <si>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</si>
  <si>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</si>
  <si>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</si>
  <si>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</si>
  <si>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</si>
  <si>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</si>
  <si>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</si>
  <si>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</si>
  <si>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</si>
  <si>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</si>
  <si>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</si>
  <si>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</si>
  <si>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</si>
  <si>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</si>
  <si>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</si>
  <si>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</si>
  <si>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</si>
  <si>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</si>
  <si>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</si>
  <si>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</si>
  <si>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</si>
  <si>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</si>
  <si>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</si>
  <si>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</si>
  <si>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</si>
  <si>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</si>
  <si>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</si>
  <si>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</si>
  <si>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</si>
  <si>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</si>
  <si>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</si>
  <si>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</si>
  <si>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</si>
  <si>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</si>
  <si>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</si>
  <si>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</si>
  <si>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</si>
  <si>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</si>
  <si>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</si>
  <si>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</si>
  <si>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</si>
  <si>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</si>
  <si>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</si>
  <si>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</si>
  <si>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</si>
  <si>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</si>
  <si>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</si>
  <si>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</si>
  <si>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</si>
  <si>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</si>
  <si>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</si>
  <si>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</si>
  <si>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</si>
  <si>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</si>
  <si>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</si>
  <si>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</si>
  <si>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</si>
  <si>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</si>
  <si>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</si>
  <si>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</si>
  <si>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</si>
  <si>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</si>
  <si>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</si>
  <si>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</si>
  <si>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</si>
  <si>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</si>
  <si>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</si>
  <si>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</si>
  <si>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</si>
  <si>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</si>
  <si>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</si>
  <si>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</si>
  <si>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</si>
  <si>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</si>
  <si>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</si>
  <si>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</si>
  <si>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</si>
  <si>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</si>
  <si>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</si>
  <si>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</si>
  <si>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</si>
  <si>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</si>
  <si>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</si>
  <si>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</si>
  <si>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</si>
  <si>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</si>
  <si>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</si>
  <si>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</si>
  <si>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</si>
  <si>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</si>
  <si>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</si>
  <si>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</si>
  <si>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</si>
  <si>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</si>
  <si>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</si>
  <si>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</si>
  <si>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</si>
  <si>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</si>
  <si>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</si>
  <si>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</si>
  <si>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</si>
  <si>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</si>
  <si>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</si>
  <si>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</si>
  <si>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</si>
  <si>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</si>
  <si>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</si>
  <si>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</si>
  <si>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</si>
  <si>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</si>
  <si>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</si>
  <si>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</si>
  <si>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</si>
  <si>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</si>
  <si>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</si>
  <si>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</si>
  <si>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</si>
  <si>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</si>
  <si>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</si>
  <si>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</si>
  <si>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</si>
  <si>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</si>
  <si>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</si>
  <si>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</si>
  <si>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</si>
  <si>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</si>
  <si>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</si>
  <si>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</si>
  <si>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</si>
  <si>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</si>
  <si>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</si>
  <si>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</si>
  <si>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</si>
  <si>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</si>
  <si>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</si>
  <si>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</si>
  <si>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</si>
  <si>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</si>
  <si>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</si>
  <si>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</si>
  <si>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</si>
  <si>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</si>
  <si>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</si>
  <si>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</si>
  <si>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</si>
  <si>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</si>
  <si>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</si>
  <si>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</si>
  <si>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</si>
  <si>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</si>
  <si>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</si>
  <si>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</si>
  <si>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</si>
  <si>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</si>
  <si>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</si>
  <si>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</si>
  <si>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</si>
  <si>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</si>
  <si>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</si>
  <si>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</si>
  <si>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</si>
  <si>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</si>
  <si>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</si>
  <si>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</si>
  <si>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</si>
  <si>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</si>
  <si>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</si>
  <si>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</si>
  <si>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</si>
  <si>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</si>
  <si>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</si>
  <si>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</si>
  <si>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</si>
  <si>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</si>
  <si>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</si>
  <si>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</si>
  <si>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</si>
  <si>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</si>
  <si>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</si>
  <si>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</si>
  <si>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</si>
  <si>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</si>
  <si>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</si>
  <si>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</si>
  <si>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</si>
  <si>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</si>
  <si>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</si>
  <si>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</si>
  <si>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</si>
  <si>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</si>
  <si>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</si>
  <si>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</si>
  <si>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</si>
  <si>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</si>
  <si>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</si>
  <si>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</si>
  <si>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</si>
  <si>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</si>
  <si>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</si>
  <si>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</si>
  <si>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</si>
  <si>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</si>
  <si>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</si>
  <si>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</si>
  <si>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</si>
  <si>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</si>
  <si>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</si>
  <si>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</si>
  <si>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</si>
  <si>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</si>
  <si>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</si>
  <si>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</si>
  <si>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</si>
  <si>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</si>
  <si>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</si>
  <si>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</si>
  <si>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</si>
  <si>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</si>
  <si>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</si>
  <si>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</si>
  <si>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</si>
  <si>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</si>
  <si>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</si>
  <si>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</si>
  <si>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</si>
  <si>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</si>
  <si>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</si>
  <si>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</si>
  <si>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</si>
  <si>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</si>
  <si>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</si>
  <si>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</si>
  <si>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</si>
  <si>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</si>
  <si>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</si>
  <si>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</si>
  <si>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</si>
  <si>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</si>
  <si>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</si>
  <si>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</si>
  <si>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</si>
  <si>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</si>
  <si>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</si>
  <si>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</si>
  <si>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</si>
  <si>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</si>
  <si>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</si>
  <si>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</si>
  <si>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</si>
  <si>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</si>
  <si>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</si>
  <si>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</si>
  <si>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</si>
  <si>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</si>
  <si>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</si>
  <si>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</si>
  <si>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</si>
  <si>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</si>
  <si>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</si>
  <si>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</si>
  <si>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</si>
  <si>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</si>
  <si>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</si>
  <si>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</si>
  <si>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</si>
  <si>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</si>
  <si>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</si>
  <si>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</si>
  <si>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</si>
  <si>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</si>
  <si>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</si>
  <si>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</si>
  <si>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</si>
  <si>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</si>
  <si>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</si>
  <si>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</si>
  <si>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</si>
  <si>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</si>
  <si>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</si>
  <si>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</si>
  <si>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</si>
  <si>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</si>
  <si>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</si>
  <si>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</si>
  <si>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</si>
  <si>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</si>
  <si>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</si>
  <si>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</si>
  <si>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</si>
  <si>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</si>
  <si>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</si>
  <si>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</si>
  <si>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</si>
  <si>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</si>
  <si>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</si>
  <si>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</si>
  <si>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</si>
  <si>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</si>
  <si>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</si>
  <si>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</si>
  <si>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</si>
  <si>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</si>
  <si>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</si>
  <si>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</si>
  <si>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</si>
  <si>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</si>
  <si>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</si>
  <si>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</si>
  <si>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</si>
  <si>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</si>
  <si>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</si>
  <si>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</si>
  <si>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</si>
  <si>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</si>
  <si>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</si>
  <si>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</si>
  <si>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</si>
  <si>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</si>
  <si>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</si>
  <si>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</si>
  <si>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</si>
  <si>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</si>
  <si>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</si>
  <si>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</si>
  <si>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</si>
  <si>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</si>
  <si>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</si>
  <si>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</si>
  <si>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</si>
  <si>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</si>
  <si>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</si>
  <si>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</si>
  <si>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</si>
  <si>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</si>
  <si>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</si>
  <si>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</si>
  <si>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</si>
  <si>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</si>
  <si>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</si>
  <si>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</si>
  <si>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</si>
  <si>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</si>
  <si>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</si>
  <si>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</si>
  <si>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</si>
  <si>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</si>
  <si>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</si>
  <si>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</si>
  <si>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</si>
  <si>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</si>
  <si>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</si>
  <si>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</si>
  <si>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</si>
  <si>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</si>
  <si>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</si>
  <si>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</si>
  <si>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</si>
  <si>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</si>
  <si>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</si>
  <si>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</si>
  <si>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</si>
  <si>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</si>
  <si>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</si>
  <si>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</si>
  <si>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</si>
  <si>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</si>
  <si>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</si>
  <si>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</si>
  <si>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</si>
  <si>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</si>
  <si>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</si>
  <si>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</si>
  <si>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</si>
  <si>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</si>
  <si>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</si>
  <si>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</si>
  <si>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</si>
  <si>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</si>
  <si>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</si>
  <si>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</si>
  <si>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</si>
  <si>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</si>
  <si>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</si>
  <si>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</si>
  <si>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</si>
  <si>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</si>
  <si>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</si>
  <si>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</si>
  <si>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</si>
  <si>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</si>
  <si>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</si>
  <si>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</si>
  <si>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</si>
  <si>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</si>
  <si>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</si>
  <si>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</si>
  <si>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</si>
  <si>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</si>
  <si>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</si>
  <si>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</si>
  <si>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</si>
  <si>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</si>
  <si>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</si>
  <si>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</si>
  <si>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</si>
  <si>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</si>
  <si>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</si>
  <si>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</si>
  <si>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</si>
  <si>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</si>
  <si>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</si>
  <si>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</si>
  <si>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</si>
  <si>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</si>
  <si>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</si>
  <si>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</si>
  <si>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</si>
  <si>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</si>
  <si>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</si>
  <si>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</si>
  <si>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</si>
  <si>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</si>
  <si>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</si>
  <si>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</si>
  <si>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</si>
  <si>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</si>
  <si>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</si>
  <si>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</si>
  <si>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</si>
  <si>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</si>
  <si>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</si>
  <si>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</si>
  <si>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</si>
  <si>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</si>
  <si>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</si>
  <si>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</si>
  <si>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</si>
  <si>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</si>
  <si>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</si>
  <si>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</si>
  <si>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</si>
  <si>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</si>
  <si>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</si>
  <si>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</si>
  <si>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</si>
  <si>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</si>
  <si>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</si>
  <si>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</si>
  <si>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</si>
  <si>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</si>
  <si>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</si>
  <si>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</si>
  <si>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</si>
  <si>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</si>
  <si>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</si>
  <si>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</si>
  <si>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</si>
  <si>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</si>
  <si>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</si>
  <si>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</si>
  <si>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</si>
  <si>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</si>
  <si>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</si>
  <si>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</si>
  <si>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</si>
  <si>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</si>
  <si>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</si>
  <si>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</si>
  <si>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</si>
  <si>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</si>
  <si>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</si>
  <si>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</si>
  <si>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</si>
  <si>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</si>
  <si>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</si>
  <si>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</si>
  <si>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</si>
  <si>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</si>
  <si>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</si>
  <si>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</si>
  <si>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</si>
  <si>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</si>
  <si>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</si>
  <si>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</si>
  <si>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</si>
  <si>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</si>
  <si>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</si>
  <si>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</si>
  <si>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</si>
  <si>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</si>
  <si>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</si>
  <si>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</si>
  <si>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</si>
  <si>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</si>
  <si>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</si>
  <si>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</si>
  <si>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</si>
  <si>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</si>
  <si>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</si>
  <si>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</si>
  <si>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</si>
  <si>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</si>
  <si>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</si>
  <si>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</si>
  <si>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</si>
  <si>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</si>
  <si>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</si>
  <si>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</si>
  <si>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</si>
  <si>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</si>
  <si>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</si>
  <si>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</si>
  <si>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</si>
  <si>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</si>
  <si>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</si>
  <si>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</si>
  <si>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</si>
  <si>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</si>
  <si>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</si>
  <si>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</si>
  <si>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</si>
  <si>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</si>
  <si>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</si>
  <si>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</si>
  <si>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</si>
  <si>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</si>
  <si>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</si>
  <si>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</si>
  <si>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</si>
  <si>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</si>
  <si>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</si>
  <si>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</si>
  <si>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</si>
  <si>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</si>
  <si>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</si>
  <si>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</si>
  <si>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</si>
  <si>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</si>
  <si>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</si>
  <si>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</si>
  <si>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</si>
  <si>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</si>
  <si>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</si>
  <si>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</si>
  <si>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</si>
  <si>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</si>
  <si>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</si>
  <si>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</si>
  <si>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</si>
  <si>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</si>
  <si>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</si>
  <si>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</si>
  <si>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</si>
  <si>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</si>
  <si>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</si>
  <si>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</si>
  <si>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</si>
  <si>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</si>
  <si>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</si>
  <si>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</si>
  <si>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</si>
  <si>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</si>
  <si>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</si>
  <si>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</si>
  <si>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</si>
  <si>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</si>
  <si>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</si>
  <si>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</si>
  <si>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</si>
  <si>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</si>
  <si>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</si>
  <si>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</si>
  <si>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</si>
  <si>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</si>
  <si>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</si>
  <si>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</si>
  <si>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</si>
  <si>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</si>
  <si>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</si>
  <si>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</si>
  <si>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</si>
  <si>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</si>
  <si>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</si>
  <si>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</si>
  <si>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</si>
  <si>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</si>
  <si>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</si>
  <si>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</si>
  <si>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</si>
  <si>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</si>
  <si>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</si>
  <si>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</si>
  <si>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</si>
  <si>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</si>
  <si>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</si>
  <si>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</si>
  <si>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</si>
  <si>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</si>
  <si>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</si>
  <si>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</si>
  <si>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</si>
  <si>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</si>
  <si>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</si>
  <si>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</si>
  <si>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</si>
  <si>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</si>
  <si>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</si>
  <si>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</si>
  <si>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</si>
  <si>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</si>
  <si>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</si>
  <si>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</si>
  <si>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</si>
  <si>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</si>
  <si>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</si>
  <si>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</si>
  <si>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</si>
  <si>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</si>
  <si>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</si>
  <si>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</si>
  <si>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</si>
  <si>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</si>
  <si>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</si>
  <si>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</si>
  <si>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</si>
  <si>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</si>
  <si>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</si>
  <si>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</si>
  <si>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</si>
  <si>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</si>
  <si>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</si>
  <si>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</si>
  <si>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</si>
  <si>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</si>
  <si>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</si>
  <si>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</si>
  <si>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</si>
  <si>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</si>
  <si>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</si>
  <si>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</si>
  <si>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</si>
  <si>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</si>
  <si>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</si>
  <si>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</si>
  <si>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</si>
  <si>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</si>
  <si>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</si>
  <si>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</si>
  <si>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</si>
  <si>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</si>
  <si>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</si>
  <si>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</si>
  <si>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</si>
  <si>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</si>
  <si>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</si>
  <si>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</si>
  <si>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</si>
  <si>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</si>
  <si>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</si>
  <si>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</si>
  <si>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</si>
  <si>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</si>
  <si>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</si>
  <si>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</si>
  <si>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</si>
  <si>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</si>
  <si>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</si>
  <si>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</si>
  <si>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</si>
  <si>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</si>
  <si>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</si>
  <si>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</si>
  <si>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</si>
  <si>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</si>
  <si>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</si>
  <si>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</si>
  <si>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</si>
  <si>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</si>
  <si>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</si>
  <si>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</si>
  <si>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</si>
  <si>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</si>
  <si>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</si>
  <si>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</si>
  <si>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</si>
  <si>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</si>
  <si>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</si>
  <si>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</si>
  <si>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</si>
  <si>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</si>
  <si>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</si>
  <si>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</si>
  <si>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</si>
  <si>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</si>
  <si>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</si>
  <si>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</si>
  <si>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</si>
  <si>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</si>
  <si>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</si>
  <si>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</si>
  <si>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</si>
  <si>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</si>
  <si>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</si>
  <si>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</si>
  <si>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</si>
  <si>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</si>
  <si>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</si>
  <si>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</si>
  <si>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</si>
  <si>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</si>
  <si>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</si>
  <si>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</si>
  <si>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</si>
  <si>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</si>
  <si>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</si>
  <si>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</si>
  <si>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</si>
  <si>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</si>
  <si>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</si>
  <si>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</si>
  <si>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</si>
  <si>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</si>
  <si>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</si>
  <si>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</si>
  <si>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</si>
  <si>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</si>
  <si>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</si>
  <si>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</si>
  <si>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</si>
  <si>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</si>
  <si>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</si>
  <si>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</si>
  <si>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</si>
  <si>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</si>
  <si>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</si>
  <si>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</si>
  <si>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</si>
  <si>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</si>
  <si>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</si>
  <si>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</si>
  <si>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</si>
  <si>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</si>
  <si>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</si>
  <si>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</si>
  <si>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</si>
  <si>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</si>
  <si>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</si>
  <si>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</si>
  <si>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</si>
  <si>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</si>
  <si>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</si>
  <si>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</si>
  <si>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</si>
  <si>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</si>
  <si>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</si>
  <si>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</si>
  <si>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</si>
  <si>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</si>
  <si>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</si>
  <si>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</si>
  <si>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</si>
  <si>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</si>
  <si>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</si>
  <si>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</si>
  <si>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</si>
  <si>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</si>
  <si>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</si>
  <si>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</si>
  <si>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</si>
  <si>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</si>
  <si>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</si>
  <si>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</si>
  <si>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</si>
  <si>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</si>
  <si>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</si>
  <si>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</si>
  <si>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</si>
  <si>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</si>
  <si>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</si>
  <si>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</si>
  <si>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</si>
  <si>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</si>
  <si>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</si>
  <si>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</si>
  <si>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</si>
  <si>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</si>
  <si>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</si>
  <si>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</si>
  <si>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</si>
  <si>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</si>
  <si>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</si>
  <si>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</si>
  <si>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</si>
  <si>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</si>
  <si>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</si>
  <si>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</si>
  <si>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</si>
  <si>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</si>
  <si>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</si>
  <si>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</si>
  <si>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</si>
  <si>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</si>
  <si>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</si>
  <si>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</si>
  <si>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</si>
  <si>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</si>
  <si>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</si>
  <si>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</si>
  <si>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</si>
  <si>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</si>
  <si>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</si>
  <si>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</si>
  <si>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</si>
  <si>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</si>
  <si>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</si>
  <si>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</si>
  <si>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</si>
  <si>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</si>
  <si>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</si>
  <si>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</si>
  <si>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</si>
  <si>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</si>
  <si>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</si>
  <si>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</si>
  <si>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</si>
  <si>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</si>
  <si>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</si>
  <si>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</si>
  <si>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</si>
  <si>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DFLTPGCOH_001261</t>
  </si>
  <si>
    <t>G000000634_IO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</si>
  <si>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</si>
  <si>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</si>
  <si>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</si>
  <si>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</si>
  <si>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</si>
  <si>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</si>
  <si>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</si>
  <si>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</si>
  <si>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</si>
  <si>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</si>
  <si>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</si>
  <si>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</si>
  <si>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</si>
  <si>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LFF_1000$$$NO50R00005</t>
  </si>
  <si>
    <t>LFF_1000$$$CH75L70000</t>
  </si>
  <si>
    <t>DFLTPGCOH_002060</t>
  </si>
  <si>
    <t>DFLTPGCOH_002119</t>
  </si>
  <si>
    <t>DFLTPGCOH_002145</t>
  </si>
  <si>
    <t>DFLTPGCOH_002072</t>
  </si>
  <si>
    <t>DFLTPGCOH_002002</t>
  </si>
  <si>
    <t>DFLTPGCOH_000000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</si>
  <si>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</si>
  <si>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</si>
  <si>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</si>
  <si>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</si>
  <si>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</si>
  <si>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</si>
  <si>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</si>
  <si>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</si>
  <si>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</si>
  <si>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</si>
  <si>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</si>
  <si>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</si>
  <si>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</si>
  <si>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</si>
  <si>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</si>
  <si>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</si>
  <si>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</si>
  <si>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</si>
  <si>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</si>
  <si>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</si>
  <si>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</si>
  <si>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G000001129</t>
  </si>
  <si>
    <t>CLFF_1000$$$DE10GTX000</t>
  </si>
  <si>
    <t>H000002867_IO</t>
  </si>
  <si>
    <t>H000000772</t>
  </si>
  <si>
    <t>H000004376</t>
  </si>
  <si>
    <t>H000004379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</si>
  <si>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</si>
  <si>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</si>
  <si>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</si>
  <si>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</si>
  <si>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</si>
  <si>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</si>
  <si>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</si>
  <si>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</si>
  <si>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</si>
  <si>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</si>
  <si>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</si>
  <si>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</si>
  <si>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</si>
  <si>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</si>
  <si>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</si>
  <si>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</si>
  <si>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</si>
  <si>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</si>
  <si>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</si>
  <si>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</si>
  <si>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</si>
  <si>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</si>
  <si>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</si>
  <si>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</si>
  <si>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</si>
  <si>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</si>
  <si>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</si>
  <si>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</si>
  <si>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</si>
  <si>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</si>
  <si>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</si>
  <si>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</si>
  <si>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</si>
  <si>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</si>
  <si>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</si>
  <si>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</si>
  <si>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</si>
  <si>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</si>
  <si>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</si>
  <si>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</si>
  <si>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</si>
  <si>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</si>
  <si>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</si>
  <si>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</si>
  <si>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</si>
  <si>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</si>
  <si>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</si>
  <si>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</si>
  <si>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</si>
  <si>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</si>
  <si>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</si>
  <si>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</si>
  <si>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</si>
  <si>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</si>
  <si>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</si>
  <si>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</si>
  <si>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</si>
  <si>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</si>
  <si>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</si>
  <si>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</si>
  <si>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</si>
  <si>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</si>
  <si>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</si>
  <si>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</si>
  <si>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</si>
  <si>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</si>
  <si>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</si>
  <si>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</si>
  <si>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</si>
  <si>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</si>
  <si>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</si>
  <si>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</si>
  <si>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</si>
  <si>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</si>
  <si>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</si>
  <si>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</si>
  <si>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</si>
  <si>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</si>
  <si>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</si>
  <si>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</si>
  <si>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</si>
  <si>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</si>
  <si>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</si>
  <si>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</si>
  <si>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</si>
  <si>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</si>
  <si>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</si>
  <si>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</si>
  <si>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</si>
  <si>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</si>
  <si>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</si>
  <si>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</si>
  <si>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</si>
  <si>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</si>
  <si>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</si>
  <si>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</si>
  <si>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</si>
  <si>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</si>
  <si>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</si>
  <si>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</si>
  <si>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</si>
  <si>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</si>
  <si>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</si>
  <si>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</si>
  <si>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</si>
  <si>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</si>
  <si>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</si>
  <si>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</si>
  <si>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</si>
  <si>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</si>
  <si>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</si>
  <si>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</si>
  <si>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</si>
  <si>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</si>
  <si>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</si>
  <si>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</si>
  <si>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</si>
  <si>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</si>
  <si>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</si>
  <si>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</si>
  <si>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</si>
  <si>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</si>
  <si>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</si>
  <si>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</si>
  <si>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</si>
  <si>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</si>
  <si>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</si>
  <si>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</si>
  <si>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</si>
  <si>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</si>
  <si>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</si>
  <si>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</si>
  <si>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</si>
  <si>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</si>
  <si>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</si>
  <si>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</si>
  <si>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</si>
  <si>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</si>
  <si>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</si>
  <si>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</si>
  <si>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</si>
  <si>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</si>
  <si>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</si>
  <si>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</si>
  <si>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</si>
  <si>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</si>
  <si>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</si>
  <si>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</si>
  <si>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</si>
  <si>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</si>
  <si>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</si>
  <si>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</si>
  <si>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</si>
  <si>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</si>
  <si>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</si>
  <si>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</si>
  <si>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</si>
  <si>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</si>
  <si>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</si>
  <si>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</si>
  <si>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</si>
  <si>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</si>
  <si>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</si>
  <si>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</si>
  <si>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</si>
  <si>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</si>
  <si>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</si>
  <si>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</si>
  <si>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</si>
  <si>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</si>
  <si>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</si>
  <si>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</si>
  <si>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</si>
  <si>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</si>
  <si>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</si>
  <si>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</si>
  <si>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</si>
  <si>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</si>
  <si>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</si>
  <si>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</si>
  <si>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</si>
  <si>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</si>
  <si>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</si>
  <si>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</si>
  <si>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</si>
  <si>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</si>
  <si>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</si>
  <si>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</si>
  <si>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</si>
  <si>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</si>
  <si>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</si>
  <si>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</si>
  <si>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</si>
  <si>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</si>
  <si>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</si>
  <si>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</si>
  <si>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</si>
  <si>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</si>
  <si>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</si>
  <si>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</si>
  <si>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</si>
  <si>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</si>
  <si>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</si>
  <si>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</si>
  <si>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</si>
  <si>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</si>
  <si>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</si>
  <si>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</si>
  <si>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</si>
  <si>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</si>
  <si>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</si>
  <si>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</si>
  <si>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</si>
  <si>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</si>
  <si>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</si>
  <si>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</si>
  <si>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</si>
  <si>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</si>
  <si>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</si>
  <si>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</si>
  <si>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</si>
  <si>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</si>
  <si>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</si>
  <si>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</si>
  <si>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</si>
  <si>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</si>
  <si>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</si>
  <si>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</si>
  <si>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</si>
  <si>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</si>
  <si>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</si>
  <si>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</si>
  <si>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</si>
  <si>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</si>
  <si>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</si>
  <si>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</si>
  <si>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</si>
  <si>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</si>
  <si>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</si>
  <si>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</si>
  <si>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</si>
  <si>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</si>
  <si>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</si>
  <si>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</si>
  <si>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</si>
  <si>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</si>
  <si>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</si>
  <si>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</si>
  <si>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</si>
  <si>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</si>
  <si>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</si>
  <si>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</si>
  <si>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</si>
  <si>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</si>
  <si>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</si>
  <si>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</si>
  <si>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</si>
  <si>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</si>
  <si>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</si>
  <si>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</si>
  <si>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</si>
  <si>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</si>
  <si>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</si>
  <si>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</si>
  <si>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</si>
  <si>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</si>
  <si>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</si>
  <si>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</si>
  <si>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</si>
  <si>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</si>
  <si>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</si>
  <si>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</si>
  <si>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</si>
  <si>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</si>
  <si>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</si>
  <si>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</si>
  <si>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</si>
  <si>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</si>
  <si>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</si>
  <si>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</si>
  <si>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</si>
  <si>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</si>
  <si>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</si>
  <si>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</si>
  <si>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</si>
  <si>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</si>
  <si>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</si>
  <si>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</si>
  <si>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</si>
  <si>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</si>
  <si>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</si>
  <si>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</si>
  <si>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</si>
  <si>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</si>
  <si>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</si>
  <si>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</si>
  <si>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</si>
  <si>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</si>
  <si>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</si>
  <si>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</si>
  <si>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</si>
  <si>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</si>
  <si>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</si>
  <si>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DFLTPGCOH_BF-C2_OBJECTS</t>
  </si>
  <si>
    <t>DFLTPGCOH_BF-52_001758</t>
  </si>
  <si>
    <t>DFLTPGCOH_BF-52_001759</t>
  </si>
  <si>
    <t>DFLTPGCOH_BF-77_001022</t>
  </si>
  <si>
    <t>DFLTPGCOH_BF-77_001759</t>
  </si>
  <si>
    <t>DFLTPGCOH_BF-A4_001759</t>
  </si>
  <si>
    <t>DFLTPGCOH_BF-A4_001872</t>
  </si>
  <si>
    <t>DFLTPGCOH_BF-B3_001759</t>
  </si>
  <si>
    <t>DFLTPGCOH_BF-B3_001872</t>
  </si>
  <si>
    <t>DFLTPGCOH_BF-B4_001759</t>
  </si>
  <si>
    <t>DFLTPGCOH_BF-B5_001022</t>
  </si>
  <si>
    <t>DFLTPGCOH_BF-V9_001759</t>
  </si>
  <si>
    <t>DFLTPGCOH_DIV-31_001401_IO</t>
  </si>
  <si>
    <t>DFLTPGCOH_DIV-31_001758</t>
  </si>
  <si>
    <t>DFLTPGCOH_DIV-31_001759</t>
  </si>
  <si>
    <t>DFLTPGCOH_DIV-31_001872</t>
  </si>
  <si>
    <t>DFLTPGCOH_SBU-770_001250_IO</t>
  </si>
  <si>
    <t>DFLTPGCOH_SDV-ET1_001759</t>
  </si>
  <si>
    <t>DFLTPGCOH_SDV-EU2_001758</t>
  </si>
  <si>
    <t>DFLTPGCOH_SDV-EU2_001759</t>
  </si>
  <si>
    <t>DFLTPGCOH_SDV-SE2_001759</t>
  </si>
  <si>
    <t>DFLTPGCOH_T-01_001758</t>
  </si>
  <si>
    <t>H000001844</t>
  </si>
  <si>
    <t>unmapped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</si>
  <si>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</si>
  <si>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</si>
  <si>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</si>
  <si>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</si>
  <si>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</si>
  <si>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</si>
  <si>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</si>
  <si>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</si>
  <si>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</si>
  <si>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</si>
  <si>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</si>
  <si>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</si>
  <si>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</si>
  <si>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</si>
  <si>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</si>
  <si>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</si>
  <si>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</si>
  <si>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</si>
  <si>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</si>
  <si>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</si>
  <si>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</si>
  <si>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</si>
  <si>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</si>
  <si>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</si>
  <si>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</si>
  <si>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</si>
  <si>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</si>
  <si>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</si>
  <si>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</si>
  <si>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</si>
  <si>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</si>
  <si>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</si>
  <si>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</si>
  <si>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</si>
  <si>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</si>
  <si>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</si>
  <si>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</si>
  <si>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</si>
  <si>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</si>
  <si>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</si>
  <si>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</si>
  <si>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</si>
  <si>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</si>
  <si>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</si>
  <si>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</si>
  <si>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</si>
  <si>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</si>
  <si>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</si>
  <si>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</si>
  <si>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</si>
  <si>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</si>
  <si>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</si>
  <si>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</si>
  <si>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</si>
  <si>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</si>
  <si>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</si>
  <si>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</si>
  <si>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</si>
  <si>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</si>
  <si>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</si>
  <si>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</si>
  <si>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</si>
  <si>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</si>
  <si>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</si>
  <si>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</si>
  <si>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</si>
  <si>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</si>
  <si>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</si>
  <si>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</si>
  <si>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</si>
  <si>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</si>
  <si>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</si>
  <si>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</si>
  <si>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</si>
  <si>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</si>
  <si>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</si>
  <si>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</si>
  <si>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</si>
  <si>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</si>
  <si>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</si>
  <si>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</si>
  <si>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</si>
  <si>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</si>
  <si>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</si>
  <si>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</si>
  <si>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</si>
  <si>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</si>
  <si>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</si>
  <si>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</si>
  <si>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</si>
  <si>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</si>
  <si>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</si>
  <si>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</si>
  <si>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</si>
  <si>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</si>
  <si>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</si>
  <si>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</si>
  <si>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</si>
  <si>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</si>
  <si>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</si>
  <si>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</si>
  <si>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</si>
  <si>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</si>
  <si>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</si>
  <si>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</si>
  <si>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</si>
  <si>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</si>
  <si>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</si>
  <si>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</si>
  <si>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</si>
  <si>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</si>
  <si>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</si>
  <si>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</si>
  <si>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</si>
  <si>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</si>
  <si>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</si>
  <si>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</si>
  <si>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</si>
  <si>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</si>
  <si>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</si>
  <si>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</si>
  <si>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</si>
  <si>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</si>
  <si>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</si>
  <si>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</si>
  <si>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</si>
  <si>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</si>
  <si>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</si>
  <si>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</si>
  <si>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</si>
  <si>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</si>
  <si>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</si>
  <si>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</si>
  <si>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</si>
  <si>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</si>
  <si>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</si>
  <si>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</si>
  <si>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</si>
  <si>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</si>
  <si>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</si>
  <si>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</si>
  <si>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</si>
  <si>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</si>
  <si>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</si>
  <si>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</si>
  <si>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</si>
  <si>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</si>
  <si>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</si>
  <si>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</si>
  <si>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</si>
  <si>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</si>
  <si>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</si>
  <si>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</si>
  <si>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</si>
  <si>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</si>
  <si>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</si>
  <si>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</si>
  <si>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</si>
  <si>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</si>
  <si>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</si>
  <si>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</si>
  <si>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</si>
  <si>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</si>
  <si>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</si>
  <si>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</si>
  <si>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</si>
  <si>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</si>
  <si>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</si>
  <si>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</si>
  <si>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</si>
  <si>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</si>
  <si>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</si>
  <si>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</si>
  <si>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</si>
  <si>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</si>
  <si>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</si>
  <si>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</si>
  <si>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</si>
  <si>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</si>
  <si>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</si>
  <si>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</si>
  <si>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</si>
  <si>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</si>
  <si>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</si>
  <si>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</si>
  <si>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</si>
  <si>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</si>
  <si>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</si>
  <si>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</si>
  <si>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</si>
  <si>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</si>
  <si>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</si>
  <si>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</si>
  <si>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</si>
  <si>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</si>
  <si>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</si>
  <si>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</si>
  <si>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</si>
  <si>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</si>
  <si>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</si>
  <si>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</si>
  <si>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</si>
  <si>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</si>
  <si>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</si>
  <si>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</si>
  <si>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</si>
  <si>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</si>
  <si>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</si>
  <si>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</si>
  <si>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</si>
  <si>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</si>
  <si>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</si>
  <si>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</si>
  <si>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</si>
  <si>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</si>
  <si>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</si>
  <si>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</si>
  <si>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</si>
  <si>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</si>
  <si>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</si>
  <si>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</si>
  <si>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H000000181_IO</t>
  </si>
  <si>
    <t>H000000186_IO</t>
  </si>
  <si>
    <t>L000006422</t>
  </si>
  <si>
    <t>L000006422_IO</t>
  </si>
  <si>
    <t>L000006605</t>
  </si>
  <si>
    <t>L000006606</t>
  </si>
  <si>
    <t>L000006607</t>
  </si>
  <si>
    <t>L000012590_IO</t>
  </si>
  <si>
    <t>L000012591_IO</t>
  </si>
  <si>
    <t>L000013136</t>
  </si>
  <si>
    <t>L000013136_IO</t>
  </si>
  <si>
    <t>L000006604</t>
  </si>
  <si>
    <t>ITR_1000$$$HU161025</t>
  </si>
  <si>
    <t>L000013396</t>
  </si>
  <si>
    <t>G000000255</t>
  </si>
  <si>
    <t>L000013395</t>
  </si>
  <si>
    <t>P000000041</t>
  </si>
  <si>
    <t>G000001184</t>
  </si>
  <si>
    <t>G000001120</t>
  </si>
  <si>
    <t>TEMPEU_1000PL80GFO045</t>
  </si>
  <si>
    <t>G000001182</t>
  </si>
  <si>
    <t>TEMPEU_1000PL80GFO023</t>
  </si>
  <si>
    <t>G000001187</t>
  </si>
  <si>
    <t>G000001265</t>
  </si>
  <si>
    <t>G000001262</t>
  </si>
  <si>
    <t>G000001186</t>
  </si>
  <si>
    <t>DFLTPGCOH_001229</t>
  </si>
  <si>
    <t>P000001319</t>
  </si>
  <si>
    <t>LFF_1000$$$DE10635800</t>
  </si>
  <si>
    <t>G000000627</t>
  </si>
  <si>
    <t>G000000341</t>
  </si>
  <si>
    <t>G000001189</t>
  </si>
  <si>
    <t>G000001193</t>
  </si>
  <si>
    <t>G000001185</t>
  </si>
  <si>
    <t>ITR_1000$$$IT17711152</t>
  </si>
  <si>
    <t>TEMPLA_1000UY10120022</t>
  </si>
  <si>
    <t>TEMPLA_1000UY10100021</t>
  </si>
  <si>
    <t>LFF_7210$$$2029GIT120</t>
  </si>
  <si>
    <t>G000000250</t>
  </si>
  <si>
    <t>L000013390</t>
  </si>
  <si>
    <t>G000000246</t>
  </si>
  <si>
    <t>G000001188</t>
  </si>
  <si>
    <t>G000001190</t>
  </si>
  <si>
    <t>G000001191</t>
  </si>
  <si>
    <t>L000012590</t>
  </si>
  <si>
    <t>L000012591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</si>
  <si>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</si>
  <si>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</si>
  <si>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</si>
  <si>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</si>
  <si>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</si>
  <si>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</si>
  <si>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</si>
  <si>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</si>
  <si>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</si>
  <si>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</si>
  <si>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</si>
  <si>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</si>
  <si>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</si>
  <si>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</si>
  <si>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</si>
  <si>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</si>
  <si>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</si>
  <si>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</si>
  <si>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</si>
  <si>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1937R09209</t>
  </si>
  <si>
    <t>DE10685700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</si>
</sst>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8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  <dxf>
      <numFmt numFmtId="19" formatCode="m/d/yyyy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75.03626990741" createdVersion="7" refreshedVersion="7" minRefreshableVersion="3" recordCount="3432" xr:uid="{11839AE3-6158-4318-87AD-2C711D0BF451}">
  <cacheSource type="worksheet">
    <worksheetSource name="Proc"/>
  </cacheSource>
  <cacheFields count="19">
    <cacheField name="App" numFmtId="0">
      <sharedItems containsBlank="1" count="149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8-06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3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3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3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2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2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2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2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2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2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2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2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2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2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1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1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1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0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0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0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8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8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8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8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8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7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5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5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5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5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5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5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5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5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5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5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5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5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5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5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5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4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4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3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3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3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3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3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3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3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3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3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3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3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3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26"/>
    <s v="Jay-R Lizardo"/>
    <m/>
  </r>
  <r>
    <x v="272"/>
    <x v="1"/>
    <x v="5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2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2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2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2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2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2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2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2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2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2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2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2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2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2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2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2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9"/>
    <s v="Thomas Mervoyer"/>
    <m/>
  </r>
  <r>
    <x v="290"/>
    <x v="0"/>
    <x v="2"/>
    <s v="CLFF_1000$$$DE50O00001"/>
    <s v="H000004396"/>
    <e v="#N/A"/>
    <s v="LFF (MDG-F)"/>
    <s v="DE50O00001"/>
    <m/>
    <e v="#N/A"/>
    <x v="1"/>
    <x v="3"/>
    <d v="2025-07-14T21:50:37"/>
    <m/>
    <m/>
    <x v="1"/>
    <n v="17"/>
    <s v="Henry Ifurung Jr."/>
    <m/>
  </r>
  <r>
    <x v="291"/>
    <x v="0"/>
    <x v="2"/>
    <s v="CTEMPLA_1000BR10500161"/>
    <s v="L000013386"/>
    <e v="#N/A"/>
    <s v="Non-LFF"/>
    <s v=""/>
    <m/>
    <e v="#N/A"/>
    <x v="1"/>
    <x v="3"/>
    <d v="2025-07-15T21:50:37"/>
    <m/>
    <m/>
    <x v="1"/>
    <n v="16"/>
    <s v="Henry Ifurung Jr."/>
    <m/>
  </r>
  <r>
    <x v="292"/>
    <x v="0"/>
    <x v="2"/>
    <s v="D00120000000000"/>
    <s v="P000001232"/>
    <e v="#N/A"/>
    <s v="Non-LFF"/>
    <s v=""/>
    <m/>
    <e v="#N/A"/>
    <x v="3"/>
    <x v="3"/>
    <d v="2025-07-15T21:50:37"/>
    <m/>
    <m/>
    <x v="1"/>
    <n v="16"/>
    <s v="Roselle Delos Angeles"/>
    <m/>
  </r>
  <r>
    <x v="292"/>
    <x v="0"/>
    <x v="2"/>
    <s v="D00128200000000"/>
    <s v="P000000698"/>
    <e v="#N/A"/>
    <s v="Non-LFF"/>
    <s v=""/>
    <m/>
    <e v="#N/A"/>
    <x v="3"/>
    <x v="3"/>
    <d v="2025-07-15T21:50:37"/>
    <m/>
    <m/>
    <x v="1"/>
    <n v="1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5"/>
    <s v="Diana William"/>
    <m/>
  </r>
  <r>
    <x v="294"/>
    <x v="0"/>
    <x v="2"/>
    <s v="CSCALA_1248$LSQR"/>
    <s v="L000011363"/>
    <e v="#N/A"/>
    <s v="Non-LFF"/>
    <s v=""/>
    <m/>
    <e v="#N/A"/>
    <x v="0"/>
    <x v="3"/>
    <d v="2025-07-16T21:50:37"/>
    <m/>
    <m/>
    <x v="1"/>
    <n v="15"/>
    <s v="Diana William"/>
    <m/>
  </r>
  <r>
    <x v="295"/>
    <x v="0"/>
    <x v="2"/>
    <s v="CLFF_7210$$$2102TPSZ93 "/>
    <s v="L000013788"/>
    <e v="#N/A"/>
    <s v="LFF (MDG-F)"/>
    <s v="2102TPSZ93"/>
    <m/>
    <e v="#N/A"/>
    <x v="2"/>
    <x v="3"/>
    <d v="2025-07-16T21:50:37"/>
    <m/>
    <m/>
    <x v="1"/>
    <n v="1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0"/>
    <n v="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0"/>
    <n v="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0"/>
    <n v="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0"/>
    <n v="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0"/>
    <n v="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0"/>
    <n v="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0"/>
    <n v="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0"/>
    <n v="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0"/>
    <n v="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0"/>
    <n v="2"/>
    <s v="Rayneil Reas"/>
    <m/>
  </r>
  <r>
    <x v="314"/>
    <x v="1"/>
    <x v="5"/>
    <s v="CNOW_7210$$$0000010322 PS Active &amp; Formulations Patent Fees"/>
    <s v="G000001283"/>
    <s v="L000006422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CTEMPEU_1000CH70AD6500 SAC Patents Merck&amp;Cie"/>
    <s v="G000001283"/>
    <s v="L000006422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IPHOENX_000400763883 SAC Patents"/>
    <s v="G000001283"/>
    <s v="L000006422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CORAERP_MMOR1975.9206 PS - US&amp;SU Patent Fees"/>
    <s v="G000001283"/>
    <s v="L000006605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CORAERP_MMOR1975.9209 PS - BioP Patent Fees"/>
    <s v="G000001283"/>
    <s v="L000006606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CNOW_7210$$$0000021318 Process Sol Cell Culture Patent Fees"/>
    <s v="G000001283"/>
    <s v="L000006607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IPHOENX_000001500010 Patent Costs Chromatography-Process S"/>
    <s v="G000001283"/>
    <s v="L000012590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IPHOENX_000001500011 Patent Costs Cell Culture Media"/>
    <s v="G000001283"/>
    <s v="L000012591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CTEMPEU_1000CH70RD1108 PFM Patents M&amp;Cie"/>
    <s v="G000001283"/>
    <s v="L000013136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IPHOENX_000001500001 Patent Costs Sorbitol-Mannitol"/>
    <s v="G000001283"/>
    <s v="L000013136"/>
    <s v="Non-LFF"/>
    <s v=""/>
    <m/>
    <b v="0"/>
    <x v="2"/>
    <x v="3"/>
    <d v="2025-08-05T00:00:00"/>
    <m/>
    <m/>
    <x v="0"/>
    <n v="1"/>
    <s v="Ruby Grace Garcia"/>
    <m/>
  </r>
  <r>
    <x v="314"/>
    <x v="1"/>
    <x v="6"/>
    <s v="CLFF_7210$$$1937R09209 PS - BioP Patent Fees"/>
    <s v="G000001283"/>
    <s v="L000006604"/>
    <s v="LFF (MDG-F)"/>
    <s v="1937R09209"/>
    <m/>
    <b v="0"/>
    <x v="2"/>
    <x v="3"/>
    <d v="2025-08-05T00:00:00"/>
    <m/>
    <m/>
    <x v="0"/>
    <n v="1"/>
    <s v="Ruby Grace Garcia"/>
    <m/>
  </r>
  <r>
    <x v="315"/>
    <x v="1"/>
    <x v="5"/>
    <s v="CITR_1000$$$HU161025"/>
    <s v="G000000726"/>
    <s v="ITR_1000$$$HU161025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ZA50GIT10E"/>
    <s v="L000013397"/>
    <s v="L000013396"/>
    <s v="LFF (MDG-F)"/>
    <s v="ZA50GIT10E"/>
    <m/>
    <b v="0"/>
    <x v="0"/>
    <x v="3"/>
    <d v="2025-08-05T00:00:00"/>
    <m/>
    <m/>
    <x v="0"/>
    <n v="1"/>
    <s v="Jay-R Lizardo"/>
    <m/>
  </r>
  <r>
    <x v="315"/>
    <x v="1"/>
    <x v="5"/>
    <s v="CEMERAL_70007001993006"/>
    <s v="G000000726"/>
    <s v="G000000727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CN90GIT301"/>
    <s v="G000000253"/>
    <s v="G000000255"/>
    <s v="LFF (MDG-F)"/>
    <s v="CN90GIT301"/>
    <m/>
    <b v="0"/>
    <x v="0"/>
    <x v="3"/>
    <d v="2025-08-05T00:00:00"/>
    <m/>
    <m/>
    <x v="0"/>
    <n v="1"/>
    <s v="Jay-R Lizardo"/>
    <m/>
  </r>
  <r>
    <x v="315"/>
    <x v="1"/>
    <x v="6"/>
    <s v="CLFF_1000$$$CN90GIT306"/>
    <s v="G000001399"/>
    <s v="G000001121"/>
    <s v="LFF (MDG-F)"/>
    <s v="CN90GIT306"/>
    <m/>
    <b v="0"/>
    <x v="0"/>
    <x v="3"/>
    <d v="2025-08-05T00:00:00"/>
    <m/>
    <m/>
    <x v="0"/>
    <n v="1"/>
    <s v="Jay-R Lizardo"/>
    <m/>
  </r>
  <r>
    <x v="315"/>
    <x v="1"/>
    <x v="6"/>
    <s v="CLFF_1000$$$CN90GIT120"/>
    <s v="L000013389"/>
    <s v="L000013395"/>
    <s v="LFF (MDG-F)"/>
    <s v="CN90GIT120"/>
    <m/>
    <b v="0"/>
    <x v="0"/>
    <x v="3"/>
    <d v="2025-08-05T00:00:00"/>
    <m/>
    <m/>
    <x v="0"/>
    <n v="1"/>
    <s v="Jay-R Lizardo"/>
    <m/>
  </r>
  <r>
    <x v="315"/>
    <x v="1"/>
    <x v="6"/>
    <s v="CLFF_1000$$$CN90GM4004"/>
    <s v="G000001420"/>
    <s v="G000000243"/>
    <s v="LFF (MDG-F)"/>
    <s v="CN90GM4004"/>
    <m/>
    <b v="0"/>
    <x v="0"/>
    <x v="3"/>
    <d v="2025-08-05T00:00:00"/>
    <m/>
    <m/>
    <x v="0"/>
    <n v="1"/>
    <s v="Jay-R Lizardo"/>
    <m/>
  </r>
  <r>
    <x v="315"/>
    <x v="1"/>
    <x v="6"/>
    <s v="CLFF_1000$$$CN01GIT01B"/>
    <s v="G000000277"/>
    <s v="P000000041"/>
    <s v="LFF (MDG-F)"/>
    <s v="CN01GIT01B"/>
    <m/>
    <b v="0"/>
    <x v="0"/>
    <x v="3"/>
    <d v="2025-08-05T00:00:00"/>
    <m/>
    <m/>
    <x v="0"/>
    <n v="1"/>
    <s v="Jay-R Lizardo"/>
    <m/>
  </r>
  <r>
    <x v="315"/>
    <x v="1"/>
    <x v="6"/>
    <s v="CLFF_1000$$$DE04GIT01B"/>
    <s v="G000000277"/>
    <s v="P000000041"/>
    <s v="LFF (MDG-F)"/>
    <s v="DE04GIT01B"/>
    <m/>
    <b v="0"/>
    <x v="0"/>
    <x v="3"/>
    <d v="2025-08-05T00:00:00"/>
    <m/>
    <m/>
    <x v="0"/>
    <n v="1"/>
    <s v="Jay-R Lizardo"/>
    <m/>
  </r>
  <r>
    <x v="315"/>
    <x v="1"/>
    <x v="5"/>
    <s v="CTEMPEU_1000GB10GMP070"/>
    <s v="G000001381"/>
    <s v="G000001184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GB10005657"/>
    <s v="G000001400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GB10005920"/>
    <s v="G000001118"/>
    <s v="G000001120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GB10005645"/>
    <s v="G000001398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ES50GIT208"/>
    <s v="G000001398"/>
    <s v="G000001121"/>
    <s v="LFF (MDG-F)"/>
    <s v="ES50GIT208"/>
    <m/>
    <b v="0"/>
    <x v="0"/>
    <x v="3"/>
    <d v="2025-08-05T00:00:00"/>
    <m/>
    <m/>
    <x v="0"/>
    <n v="1"/>
    <s v="Jay-R Lizardo"/>
    <m/>
  </r>
  <r>
    <x v="315"/>
    <x v="1"/>
    <x v="6"/>
    <s v="CLFF_1000$$$ES50GIT220"/>
    <s v="G000001398"/>
    <s v="G000001121"/>
    <s v="LFF (MDG-F)"/>
    <s v="ES50GIT220"/>
    <m/>
    <b v="0"/>
    <x v="0"/>
    <x v="3"/>
    <d v="2025-08-05T00:00:00"/>
    <m/>
    <m/>
    <x v="0"/>
    <n v="1"/>
    <s v="Jay-R Lizardo"/>
    <m/>
  </r>
  <r>
    <x v="315"/>
    <x v="1"/>
    <x v="6"/>
    <s v="CLFF_1000$$$ES50GIT60L"/>
    <s v="G000001411"/>
    <s v="G000001120"/>
    <s v="LFF (MDG-F)"/>
    <s v="ES50GIT60L"/>
    <m/>
    <b v="0"/>
    <x v="0"/>
    <x v="3"/>
    <d v="2025-08-05T00:00:00"/>
    <m/>
    <m/>
    <x v="0"/>
    <n v="1"/>
    <s v="Jay-R Lizardo"/>
    <m/>
  </r>
  <r>
    <x v="315"/>
    <x v="1"/>
    <x v="6"/>
    <s v="CLFF_1000$$$NL50GMS010"/>
    <s v="G000001381"/>
    <s v="G000001184"/>
    <s v="LFF (MDG-F)"/>
    <s v="NL50GMS010"/>
    <m/>
    <b v="0"/>
    <x v="0"/>
    <x v="3"/>
    <d v="2025-08-05T00:00:00"/>
    <m/>
    <m/>
    <x v="0"/>
    <n v="1"/>
    <s v="Jay-R Lizardo"/>
    <m/>
  </r>
  <r>
    <x v="315"/>
    <x v="1"/>
    <x v="5"/>
    <s v="CTEMPLA_1000BR10501160"/>
    <s v="L000013393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LA_1000BR10501150"/>
    <s v="L000013393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BTL13"/>
    <s v="G000001398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HR227"/>
    <s v="G000001387"/>
    <s v="G000001183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FO045"/>
    <s v="G000001420"/>
    <s v="TEMPEU_1000PL80GFO04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FO025"/>
    <s v="G000001387"/>
    <s v="G000001182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FO023"/>
    <s v="G000001421"/>
    <s v="TEMPEU_1000PL80GFO023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HR221"/>
    <s v="G000001420"/>
    <s v="G000001187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BTE05"/>
    <s v="P000000765"/>
    <s v="G000000838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MS040"/>
    <s v="G000001420"/>
    <s v="G000001187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HR233"/>
    <s v="G000001388"/>
    <s v="G00000126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HR232"/>
    <s v="G000001395"/>
    <s v="G000001262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FO12A"/>
    <s v="G000001393"/>
    <s v="G000001262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FO047"/>
    <s v="G000001421"/>
    <s v="G00000118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YIT002"/>
    <s v="G000001395"/>
    <s v="DFLTPGCOH_001229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FO025"/>
    <s v="G000001420"/>
    <s v="G000001187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PH80YI"/>
    <s v="G000001394"/>
    <s v="DFLTPGCOH_001229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BTL55"/>
    <s v="G000000243"/>
    <s v="G00000063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FO120"/>
    <s v="G000001420"/>
    <s v="G000001187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FO043"/>
    <s v="G000001387"/>
    <s v="G000001182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FO123"/>
    <s v="G000001387"/>
    <s v="G000001183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LA_1000CO10100136"/>
    <s v="G000001410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LA_1000CO10100187"/>
    <s v="G000001395"/>
    <s v="G000001262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DE65GIT032"/>
    <s v="G000000256"/>
    <s v="DFLTPGCOH_BF-C2_001242"/>
    <s v="LFF (MDG-F)"/>
    <s v="DE65GIT032"/>
    <m/>
    <b v="0"/>
    <x v="0"/>
    <x v="3"/>
    <d v="2025-08-05T00:00:00"/>
    <m/>
    <m/>
    <x v="0"/>
    <n v="1"/>
    <s v="Jay-R Lizardo"/>
    <m/>
  </r>
  <r>
    <x v="315"/>
    <x v="1"/>
    <x v="6"/>
    <s v="CLFF_1000$$$DE65GIT033"/>
    <s v="G000001396"/>
    <s v="G000001121"/>
    <s v="LFF (MDG-F)"/>
    <s v="DE65GIT033"/>
    <m/>
    <b v="0"/>
    <x v="0"/>
    <x v="3"/>
    <d v="2025-08-05T00:00:00"/>
    <m/>
    <m/>
    <x v="0"/>
    <n v="1"/>
    <s v="Jay-R Lizardo"/>
    <m/>
  </r>
  <r>
    <x v="315"/>
    <x v="1"/>
    <x v="5"/>
    <s v="CEMERAL_70006502ID6502"/>
    <s v="G000001387"/>
    <s v="G000001341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IT50GIT01C"/>
    <s v="G000001396"/>
    <s v="G000001121"/>
    <s v="LFF (MDG-F)"/>
    <s v="IT50GIT01C"/>
    <m/>
    <b v="0"/>
    <x v="0"/>
    <x v="3"/>
    <d v="2025-08-05T00:00:00"/>
    <m/>
    <m/>
    <x v="0"/>
    <n v="1"/>
    <s v="Jay-R Lizardo"/>
    <m/>
  </r>
  <r>
    <x v="315"/>
    <x v="1"/>
    <x v="6"/>
    <s v="CLFF_1000$$$IT50GM9100"/>
    <s v="G000001387"/>
    <s v="G000000247"/>
    <s v="LFF (MDG-F)"/>
    <s v="IT50GM9100"/>
    <m/>
    <b v="0"/>
    <x v="0"/>
    <x v="3"/>
    <d v="2025-08-05T00:00:00"/>
    <m/>
    <m/>
    <x v="0"/>
    <n v="1"/>
    <s v="Jay-R Lizardo"/>
    <m/>
  </r>
  <r>
    <x v="315"/>
    <x v="1"/>
    <x v="5"/>
    <s v="CEMERAL_70007102318366"/>
    <s v="G000001398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US01GIT01B"/>
    <s v="G000000277"/>
    <s v="P000000041"/>
    <s v="LFF (MDG-F)"/>
    <s v="US01GIT01B"/>
    <m/>
    <b v="0"/>
    <x v="0"/>
    <x v="3"/>
    <d v="2025-08-05T00:00:00"/>
    <m/>
    <m/>
    <x v="0"/>
    <n v="1"/>
    <s v="Jay-R Lizardo"/>
    <m/>
  </r>
  <r>
    <x v="315"/>
    <x v="1"/>
    <x v="6"/>
    <s v="CLFF_1000$$$DE10518000"/>
    <s v="G000001118"/>
    <s v="G000001121"/>
    <s v="LFF (MDG-F)"/>
    <s v="DE10518000"/>
    <m/>
    <b v="0"/>
    <x v="0"/>
    <x v="3"/>
    <d v="2025-08-05T00:00:00"/>
    <m/>
    <m/>
    <x v="0"/>
    <n v="1"/>
    <s v="Jay-R Lizardo"/>
    <m/>
  </r>
  <r>
    <x v="315"/>
    <x v="1"/>
    <x v="6"/>
    <s v="CLFF_1000$$$DE10519000"/>
    <s v="G000001118"/>
    <s v="G000001121"/>
    <s v="LFF (MDG-F)"/>
    <s v="DE10519000"/>
    <m/>
    <b v="0"/>
    <x v="0"/>
    <x v="3"/>
    <d v="2025-08-05T00:00:00"/>
    <m/>
    <m/>
    <x v="0"/>
    <n v="1"/>
    <s v="Jay-R Lizardo"/>
    <m/>
  </r>
  <r>
    <x v="315"/>
    <x v="1"/>
    <x v="6"/>
    <s v="CLFF_1000$$$DE10643112"/>
    <s v="G000000726"/>
    <s v="G000000727"/>
    <s v="LFF (MDG-F)"/>
    <s v="DE10643112"/>
    <m/>
    <b v="0"/>
    <x v="0"/>
    <x v="3"/>
    <d v="2025-08-05T00:00:00"/>
    <m/>
    <m/>
    <x v="0"/>
    <n v="1"/>
    <s v="Jay-R Lizardo"/>
    <m/>
  </r>
  <r>
    <x v="315"/>
    <x v="1"/>
    <x v="6"/>
    <s v="CLFF_1000$$$DE10677003"/>
    <s v="L000013397"/>
    <s v="L000013396"/>
    <s v="LFF (MDG-F)"/>
    <s v="DE10677003"/>
    <m/>
    <b v="0"/>
    <x v="0"/>
    <x v="3"/>
    <d v="2025-08-05T00:00:00"/>
    <m/>
    <m/>
    <x v="0"/>
    <n v="1"/>
    <s v="Jay-R Lizardo"/>
    <m/>
  </r>
  <r>
    <x v="315"/>
    <x v="1"/>
    <x v="6"/>
    <s v="CLFF_1000$$$DE10517000"/>
    <s v="G000001118"/>
    <s v="G000001121"/>
    <s v="LFF (MDG-F)"/>
    <s v="DE10517000"/>
    <m/>
    <b v="0"/>
    <x v="0"/>
    <x v="3"/>
    <d v="2025-08-05T00:00:00"/>
    <m/>
    <m/>
    <x v="0"/>
    <n v="1"/>
    <s v="Jay-R Lizardo"/>
    <m/>
  </r>
  <r>
    <x v="315"/>
    <x v="1"/>
    <x v="6"/>
    <s v="CLFF_1000$$$DE10574000"/>
    <s v="G000000253"/>
    <s v="G000000255"/>
    <s v="LFF (MDG-F)"/>
    <s v="DE10574000"/>
    <m/>
    <b v="0"/>
    <x v="0"/>
    <x v="3"/>
    <d v="2025-08-05T00:00:00"/>
    <m/>
    <m/>
    <x v="0"/>
    <n v="1"/>
    <s v="Jay-R Lizardo"/>
    <m/>
  </r>
  <r>
    <x v="315"/>
    <x v="1"/>
    <x v="6"/>
    <s v="CLFF_1000$$$DE10679600"/>
    <s v="G000001396"/>
    <s v="G000001121"/>
    <s v="LFF (MDG-F)"/>
    <s v="DE10679600"/>
    <m/>
    <b v="0"/>
    <x v="0"/>
    <x v="3"/>
    <d v="2025-08-05T00:00:00"/>
    <m/>
    <m/>
    <x v="0"/>
    <n v="1"/>
    <s v="Jay-R Lizardo"/>
    <m/>
  </r>
  <r>
    <x v="315"/>
    <x v="1"/>
    <x v="6"/>
    <s v="CLFF_1000$$$DE10512500"/>
    <s v="G000001118"/>
    <s v="G000001121"/>
    <s v="LFF (MDG-F)"/>
    <s v="DE10512500"/>
    <m/>
    <b v="0"/>
    <x v="0"/>
    <x v="3"/>
    <d v="2025-08-05T00:00:00"/>
    <m/>
    <m/>
    <x v="0"/>
    <n v="1"/>
    <s v="Jay-R Lizardo"/>
    <m/>
  </r>
  <r>
    <x v="315"/>
    <x v="1"/>
    <x v="6"/>
    <s v="CLFF_1000$$$DE10656400"/>
    <s v="G000000726"/>
    <s v="G000000727"/>
    <s v="LFF (MDG-F)"/>
    <s v="DE10656400"/>
    <m/>
    <b v="0"/>
    <x v="0"/>
    <x v="3"/>
    <d v="2025-08-05T00:00:00"/>
    <m/>
    <m/>
    <x v="0"/>
    <n v="1"/>
    <s v="Jay-R Lizardo"/>
    <m/>
  </r>
  <r>
    <x v="315"/>
    <x v="1"/>
    <x v="6"/>
    <s v="CLFF_1000$$$DE10677200"/>
    <s v="G000001396"/>
    <s v="G000001121"/>
    <s v="LFF (MDG-F)"/>
    <s v="DE10677200"/>
    <m/>
    <b v="0"/>
    <x v="0"/>
    <x v="3"/>
    <d v="2025-08-05T00:00:00"/>
    <m/>
    <m/>
    <x v="0"/>
    <n v="1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0"/>
    <n v="1"/>
    <s v="Jay-R Lizardo"/>
    <m/>
  </r>
  <r>
    <x v="315"/>
    <x v="1"/>
    <x v="6"/>
    <s v="CLFF_1000$$$DE10643100"/>
    <s v="G000000726"/>
    <s v="G000000727"/>
    <s v="LFF (MDG-F)"/>
    <s v="DE10643100"/>
    <m/>
    <b v="0"/>
    <x v="0"/>
    <x v="3"/>
    <d v="2025-08-05T00:00:00"/>
    <m/>
    <m/>
    <x v="0"/>
    <n v="1"/>
    <s v="Jay-R Lizardo"/>
    <m/>
  </r>
  <r>
    <x v="315"/>
    <x v="1"/>
    <x v="6"/>
    <s v="CLFF_1000$$$DE10669636"/>
    <s v="G000001387"/>
    <s v="G000000247"/>
    <s v="LFF (MDG-F)"/>
    <s v="DE10669636"/>
    <m/>
    <b v="0"/>
    <x v="0"/>
    <x v="3"/>
    <d v="2025-08-05T00:00:00"/>
    <m/>
    <m/>
    <x v="0"/>
    <n v="1"/>
    <s v="Jay-R Lizardo"/>
    <m/>
  </r>
  <r>
    <x v="315"/>
    <x v="1"/>
    <x v="6"/>
    <s v="CLFF_1000$$$DE10635800"/>
    <s v="G000001118"/>
    <s v="LFF_1000$$$DE10635800"/>
    <s v="LFF (MDG-F)"/>
    <s v="DE10635800"/>
    <m/>
    <b v="0"/>
    <x v="0"/>
    <x v="3"/>
    <d v="2025-08-05T00:00:00"/>
    <m/>
    <m/>
    <x v="0"/>
    <n v="1"/>
    <s v="Jay-R Lizardo"/>
    <m/>
  </r>
  <r>
    <x v="315"/>
    <x v="1"/>
    <x v="6"/>
    <s v="CLFF_1000$$$DE10561800"/>
    <s v="G000001118"/>
    <s v="G000001120"/>
    <s v="LFF (MDG-F)"/>
    <s v="DE10561800"/>
    <m/>
    <b v="0"/>
    <x v="0"/>
    <x v="3"/>
    <d v="2025-08-05T00:00:00"/>
    <m/>
    <m/>
    <x v="0"/>
    <n v="1"/>
    <s v="Jay-R Lizardo"/>
    <m/>
  </r>
  <r>
    <x v="315"/>
    <x v="1"/>
    <x v="6"/>
    <s v="CLFF_1000$$$DE10GIT706"/>
    <s v="L000013397"/>
    <s v="L000013396"/>
    <s v="LFF (MDG-F)"/>
    <s v="DE10GIT706"/>
    <m/>
    <b v="0"/>
    <x v="0"/>
    <x v="3"/>
    <d v="2025-08-05T00:00:00"/>
    <m/>
    <m/>
    <x v="0"/>
    <n v="1"/>
    <s v="Jay-R Lizardo"/>
    <m/>
  </r>
  <r>
    <x v="315"/>
    <x v="1"/>
    <x v="6"/>
    <s v="CLFF_1000$$$DE10669635"/>
    <s v="G000001421"/>
    <s v="G000000243"/>
    <s v="LFF (MDG-F)"/>
    <s v="DE10669635"/>
    <m/>
    <b v="0"/>
    <x v="0"/>
    <x v="3"/>
    <d v="2025-08-05T00:00:00"/>
    <m/>
    <m/>
    <x v="0"/>
    <n v="1"/>
    <s v="Jay-R Lizardo"/>
    <m/>
  </r>
  <r>
    <x v="315"/>
    <x v="1"/>
    <x v="6"/>
    <s v="CLFF_1000$$$DE10GIT06A"/>
    <s v="G000000726"/>
    <s v="G000000727"/>
    <s v="LFF (MDG-F)"/>
    <s v="DE10GIT06A"/>
    <m/>
    <b v="0"/>
    <x v="0"/>
    <x v="3"/>
    <d v="2025-08-05T00:00:00"/>
    <m/>
    <m/>
    <x v="0"/>
    <n v="1"/>
    <s v="Jay-R Lizardo"/>
    <m/>
  </r>
  <r>
    <x v="315"/>
    <x v="1"/>
    <x v="6"/>
    <s v="CLFF_1000$$$DE10GIT05A"/>
    <s v="G000000726"/>
    <s v="G000000727"/>
    <s v="LFF (MDG-F)"/>
    <s v="DE10GIT05A"/>
    <m/>
    <b v="0"/>
    <x v="0"/>
    <x v="3"/>
    <d v="2025-08-05T00:00:00"/>
    <m/>
    <m/>
    <x v="0"/>
    <n v="1"/>
    <s v="Jay-R Lizardo"/>
    <m/>
  </r>
  <r>
    <x v="315"/>
    <x v="1"/>
    <x v="6"/>
    <s v="CLFF_1000$$$DE10YIT009"/>
    <s v="G000001233"/>
    <s v="G000000627"/>
    <s v="LFF (MDG-F)"/>
    <s v="DE10YIT009"/>
    <m/>
    <b v="0"/>
    <x v="0"/>
    <x v="3"/>
    <d v="2025-08-05T00:00:00"/>
    <m/>
    <m/>
    <x v="0"/>
    <n v="1"/>
    <s v="Jay-R Lizardo"/>
    <m/>
  </r>
  <r>
    <x v="315"/>
    <x v="1"/>
    <x v="6"/>
    <s v="CLFF_1000$$$DE10YIT008"/>
    <s v="G000001235"/>
    <s v="G000000627"/>
    <s v="LFF (MDG-F)"/>
    <s v="DE10YIT008"/>
    <m/>
    <b v="0"/>
    <x v="0"/>
    <x v="3"/>
    <d v="2025-08-05T00:00:00"/>
    <m/>
    <m/>
    <x v="0"/>
    <n v="1"/>
    <s v="Jay-R Lizardo"/>
    <m/>
  </r>
  <r>
    <x v="315"/>
    <x v="1"/>
    <x v="6"/>
    <s v="CLFF_1000$$$DE10YIT012"/>
    <s v="G000000247"/>
    <s v="G000000627"/>
    <s v="LFF (MDG-F)"/>
    <s v="DE10YIT012"/>
    <m/>
    <b v="0"/>
    <x v="0"/>
    <x v="3"/>
    <d v="2025-08-05T00:00:00"/>
    <m/>
    <m/>
    <x v="0"/>
    <n v="1"/>
    <s v="Jay-R Lizardo"/>
    <m/>
  </r>
  <r>
    <x v="315"/>
    <x v="1"/>
    <x v="6"/>
    <s v="CLFF_1000$$$DE10YIT011"/>
    <s v="G000000273"/>
    <s v="G000000627"/>
    <s v="LFF (MDG-F)"/>
    <s v="DE10YIT011"/>
    <m/>
    <b v="0"/>
    <x v="0"/>
    <x v="3"/>
    <d v="2025-08-05T00:00:00"/>
    <m/>
    <m/>
    <x v="0"/>
    <n v="1"/>
    <s v="Jay-R Lizardo"/>
    <m/>
  </r>
  <r>
    <x v="315"/>
    <x v="1"/>
    <x v="6"/>
    <s v="CLFF_1000$$$DE10669632"/>
    <s v="G000001420"/>
    <s v="G000000243"/>
    <s v="LFF (MDG-F)"/>
    <s v="DE10669632"/>
    <m/>
    <b v="0"/>
    <x v="0"/>
    <x v="3"/>
    <d v="2025-08-05T00:00:00"/>
    <m/>
    <m/>
    <x v="0"/>
    <n v="1"/>
    <s v="Jay-R Lizardo"/>
    <m/>
  </r>
  <r>
    <x v="315"/>
    <x v="1"/>
    <x v="6"/>
    <s v="CLFF_1000$$$DE10669646"/>
    <s v="G000001388"/>
    <s v="G000000341"/>
    <s v="LFF (MDG-F)"/>
    <s v="DE10669646"/>
    <m/>
    <b v="0"/>
    <x v="0"/>
    <x v="3"/>
    <d v="2025-08-05T00:00:00"/>
    <m/>
    <m/>
    <x v="0"/>
    <n v="1"/>
    <s v="Jay-R Lizardo"/>
    <m/>
  </r>
  <r>
    <x v="315"/>
    <x v="1"/>
    <x v="6"/>
    <s v="CLFF_1000$$$DE10669656"/>
    <s v="G000001393"/>
    <s v="G000001118"/>
    <s v="LFF (MDG-F)"/>
    <s v="DE10669656"/>
    <m/>
    <b v="0"/>
    <x v="0"/>
    <x v="3"/>
    <d v="2025-08-05T00:00:00"/>
    <m/>
    <m/>
    <x v="0"/>
    <n v="1"/>
    <s v="Jay-R Lizardo"/>
    <m/>
  </r>
  <r>
    <x v="315"/>
    <x v="1"/>
    <x v="6"/>
    <s v="CLFF_1000$$$DE10YIT013"/>
    <s v="G000001395"/>
    <s v="G000001118"/>
    <s v="LFF (MDG-F)"/>
    <s v="DE10YIT013"/>
    <m/>
    <b v="0"/>
    <x v="0"/>
    <x v="3"/>
    <d v="2025-08-05T00:00:00"/>
    <m/>
    <m/>
    <x v="0"/>
    <n v="1"/>
    <s v="Jay-R Lizardo"/>
    <m/>
  </r>
  <r>
    <x v="315"/>
    <x v="1"/>
    <x v="6"/>
    <s v="CLFF_1000$$$DE10638480"/>
    <s v="G000001118"/>
    <s v="G000001121"/>
    <s v="LFF (MDG-F)"/>
    <s v="DE10638480"/>
    <m/>
    <b v="0"/>
    <x v="0"/>
    <x v="3"/>
    <d v="2025-08-05T00:00:00"/>
    <m/>
    <m/>
    <x v="0"/>
    <n v="1"/>
    <s v="Jay-R Lizardo"/>
    <m/>
  </r>
  <r>
    <x v="315"/>
    <x v="1"/>
    <x v="6"/>
    <s v="CLFF_1000$$$DE10638470"/>
    <s v="G000001118"/>
    <s v="G000001121"/>
    <s v="LFF (MDG-F)"/>
    <s v="DE10638470"/>
    <m/>
    <b v="0"/>
    <x v="0"/>
    <x v="3"/>
    <d v="2025-08-05T00:00:00"/>
    <m/>
    <m/>
    <x v="0"/>
    <n v="1"/>
    <s v="Jay-R Lizardo"/>
    <m/>
  </r>
  <r>
    <x v="315"/>
    <x v="1"/>
    <x v="6"/>
    <s v="CLFF_1000$$$DE10512503"/>
    <s v="G000001118"/>
    <s v="G000001121"/>
    <s v="LFF (MDG-F)"/>
    <s v="DE10512503"/>
    <m/>
    <b v="0"/>
    <x v="0"/>
    <x v="3"/>
    <d v="2025-08-05T00:00:00"/>
    <m/>
    <m/>
    <x v="0"/>
    <n v="1"/>
    <s v="Jay-R Lizardo"/>
    <m/>
  </r>
  <r>
    <x v="315"/>
    <x v="1"/>
    <x v="6"/>
    <s v="CLFF_1000$$$DE10638460"/>
    <s v="G000001118"/>
    <s v="G000001121"/>
    <s v="LFF (MDG-F)"/>
    <s v="DE10638460"/>
    <m/>
    <b v="0"/>
    <x v="0"/>
    <x v="3"/>
    <d v="2025-08-05T00:00:00"/>
    <m/>
    <m/>
    <x v="0"/>
    <n v="1"/>
    <s v="Jay-R Lizardo"/>
    <m/>
  </r>
  <r>
    <x v="315"/>
    <x v="1"/>
    <x v="6"/>
    <s v="CLFF_1000$$$DE10512502"/>
    <s v="G000001118"/>
    <s v="G000001121"/>
    <s v="LFF (MDG-F)"/>
    <s v="DE10512502"/>
    <m/>
    <b v="0"/>
    <x v="0"/>
    <x v="3"/>
    <d v="2025-08-05T00:00:00"/>
    <m/>
    <m/>
    <x v="0"/>
    <n v="1"/>
    <s v="Jay-R Lizardo"/>
    <m/>
  </r>
  <r>
    <x v="315"/>
    <x v="1"/>
    <x v="6"/>
    <s v="CLFF_1000$$$DE10512501"/>
    <s v="G000001118"/>
    <s v="G000001121"/>
    <s v="LFF (MDG-F)"/>
    <s v="DE10512501"/>
    <m/>
    <b v="0"/>
    <x v="0"/>
    <x v="3"/>
    <d v="2025-08-05T00:00:00"/>
    <m/>
    <m/>
    <x v="0"/>
    <n v="1"/>
    <s v="Jay-R Lizardo"/>
    <m/>
  </r>
  <r>
    <x v="315"/>
    <x v="1"/>
    <x v="6"/>
    <s v="CLFF_1000$$$DE10638450"/>
    <s v="G000001118"/>
    <s v="G000001121"/>
    <s v="LFF (MDG-F)"/>
    <s v="DE10638450"/>
    <m/>
    <b v="0"/>
    <x v="0"/>
    <x v="3"/>
    <d v="2025-08-05T00:00:00"/>
    <m/>
    <m/>
    <x v="0"/>
    <n v="1"/>
    <s v="Jay-R Lizardo"/>
    <m/>
  </r>
  <r>
    <x v="315"/>
    <x v="1"/>
    <x v="6"/>
    <s v="CLFF_1000$$$DE10GMS020"/>
    <s v="G000001381"/>
    <s v="G000000243"/>
    <s v="LFF (MDG-F)"/>
    <s v="DE10GMS020"/>
    <m/>
    <b v="0"/>
    <x v="0"/>
    <x v="3"/>
    <d v="2025-08-05T00:00:00"/>
    <m/>
    <m/>
    <x v="0"/>
    <n v="1"/>
    <s v="Jay-R Lizardo"/>
    <m/>
  </r>
  <r>
    <x v="315"/>
    <x v="1"/>
    <x v="6"/>
    <s v="CLFF_1000$$$DE10GMS041"/>
    <s v="G000001420"/>
    <s v="G000000243"/>
    <s v="LFF (MDG-F)"/>
    <s v="DE10GMS041"/>
    <m/>
    <b v="0"/>
    <x v="0"/>
    <x v="3"/>
    <d v="2025-08-05T00:00:00"/>
    <m/>
    <m/>
    <x v="0"/>
    <n v="1"/>
    <s v="Jay-R Lizardo"/>
    <m/>
  </r>
  <r>
    <x v="315"/>
    <x v="1"/>
    <x v="6"/>
    <s v="CLFF_1000$$$DE10698300"/>
    <s v="G000001381"/>
    <s v="G000001184"/>
    <s v="LFF (MDG-F)"/>
    <s v="DE10698300"/>
    <m/>
    <b v="0"/>
    <x v="0"/>
    <x v="3"/>
    <d v="2025-08-05T00:00:00"/>
    <m/>
    <m/>
    <x v="0"/>
    <n v="1"/>
    <s v="Jay-R Lizardo"/>
    <m/>
  </r>
  <r>
    <x v="315"/>
    <x v="1"/>
    <x v="6"/>
    <s v="CLFF_1000$$$DE10669630"/>
    <s v="G000001381"/>
    <s v="G000001189"/>
    <s v="LFF (MDG-F)"/>
    <s v="DE10669630"/>
    <m/>
    <b v="0"/>
    <x v="0"/>
    <x v="3"/>
    <d v="2025-08-05T00:00:00"/>
    <m/>
    <m/>
    <x v="0"/>
    <n v="1"/>
    <s v="Jay-R Lizardo"/>
    <m/>
  </r>
  <r>
    <x v="315"/>
    <x v="1"/>
    <x v="6"/>
    <s v="CLFF_1000$$$DE10669642"/>
    <s v="G000001381"/>
    <s v="G000001193"/>
    <s v="LFF (MDG-F)"/>
    <s v="DE10669642"/>
    <m/>
    <b v="0"/>
    <x v="0"/>
    <x v="3"/>
    <d v="2025-08-05T00:00:00"/>
    <m/>
    <m/>
    <x v="0"/>
    <n v="1"/>
    <s v="Jay-R Lizardo"/>
    <m/>
  </r>
  <r>
    <x v="315"/>
    <x v="1"/>
    <x v="6"/>
    <s v="CLFF_1000$$$DE10Y00008"/>
    <s v="G000001381"/>
    <s v="G000001185"/>
    <s v="LFF (MDG-F)"/>
    <s v="DE10Y00008"/>
    <m/>
    <b v="0"/>
    <x v="0"/>
    <x v="3"/>
    <d v="2025-08-05T00:00:00"/>
    <m/>
    <m/>
    <x v="0"/>
    <n v="1"/>
    <s v="Jay-R Lizardo"/>
    <m/>
  </r>
  <r>
    <x v="315"/>
    <x v="1"/>
    <x v="5"/>
    <s v="CEMERAL_70006101AD1L16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CN70GIT301"/>
    <s v="G000000253"/>
    <s v="G000000255"/>
    <s v="LFF (MDG-F)"/>
    <s v="CN70GIT301"/>
    <m/>
    <b v="0"/>
    <x v="0"/>
    <x v="3"/>
    <d v="2025-08-05T00:00:00"/>
    <m/>
    <m/>
    <x v="0"/>
    <n v="1"/>
    <s v="Jay-R Lizardo"/>
    <m/>
  </r>
  <r>
    <x v="315"/>
    <x v="1"/>
    <x v="5"/>
    <s v="CITR_1000$$$IT17711152"/>
    <s v="G000001118"/>
    <s v="ITR_1000$$$IT17711152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EG50GIT051"/>
    <s v="G000001401"/>
    <s v="G000001121"/>
    <s v="LFF (MDG-F)"/>
    <s v="EG50GIT051"/>
    <m/>
    <b v="0"/>
    <x v="0"/>
    <x v="3"/>
    <d v="2025-08-05T00:00:00"/>
    <m/>
    <m/>
    <x v="0"/>
    <n v="1"/>
    <s v="Jay-R Lizardo"/>
    <m/>
  </r>
  <r>
    <x v="315"/>
    <x v="1"/>
    <x v="6"/>
    <s v="CLFF_1000$$$EG50GIT030"/>
    <s v="G000001415"/>
    <s v="G000001121"/>
    <s v="LFF (MDG-F)"/>
    <s v="EG50GIT030"/>
    <m/>
    <b v="0"/>
    <x v="0"/>
    <x v="3"/>
    <d v="2025-08-05T00:00:00"/>
    <m/>
    <m/>
    <x v="0"/>
    <n v="1"/>
    <s v="Jay-R Lizardo"/>
    <m/>
  </r>
  <r>
    <x v="315"/>
    <x v="1"/>
    <x v="5"/>
    <s v="CTEMPLA_1000UY10120022"/>
    <s v="L000013397"/>
    <s v="TEMPLA_1000UY10120022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LA_1000UY10100040"/>
    <s v="G000001420"/>
    <s v="G000001187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LA_1000UY10100037"/>
    <s v="G000001420"/>
    <s v="G000001187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LA_1000UY10100021"/>
    <s v="G000001421"/>
    <s v="TEMPLA_1000UY101000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US20CA8325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US20CA8340"/>
    <s v="G000001397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US20CA8407"/>
    <s v="G000001387"/>
    <s v="G000001183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US20F87G7C"/>
    <s v="G000001118"/>
    <s v="G000001120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CH65YIT001"/>
    <s v="G000001235"/>
    <s v="G000000627"/>
    <s v="LFF (MDG-F)"/>
    <s v="CH65YIT001"/>
    <m/>
    <b v="0"/>
    <x v="0"/>
    <x v="3"/>
    <d v="2025-08-05T00:00:00"/>
    <m/>
    <m/>
    <x v="0"/>
    <n v="1"/>
    <s v="Jay-R Lizardo"/>
    <m/>
  </r>
  <r>
    <x v="315"/>
    <x v="1"/>
    <x v="6"/>
    <s v="CLFF_1000$$$CH65GIT011"/>
    <s v="G000000726"/>
    <s v="G000000727"/>
    <s v="LFF (MDG-F)"/>
    <s v="CH65GIT011"/>
    <m/>
    <b v="0"/>
    <x v="0"/>
    <x v="3"/>
    <d v="2025-08-05T00:00:00"/>
    <m/>
    <m/>
    <x v="0"/>
    <n v="1"/>
    <s v="Jay-R Lizardo"/>
    <m/>
  </r>
  <r>
    <x v="315"/>
    <x v="1"/>
    <x v="5"/>
    <s v="CTEMPEU_1000NL40AD0095"/>
    <s v="L000013397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ORAERP_MMOR1945.9571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CH50GIT032"/>
    <s v="G000001398"/>
    <s v="G000001121"/>
    <s v="LFF (MDG-F)"/>
    <s v="CH50GIT032"/>
    <m/>
    <b v="0"/>
    <x v="0"/>
    <x v="3"/>
    <d v="2025-08-05T00:00:00"/>
    <m/>
    <m/>
    <x v="0"/>
    <n v="1"/>
    <s v="Jay-R Lizardo"/>
    <m/>
  </r>
  <r>
    <x v="315"/>
    <x v="1"/>
    <x v="6"/>
    <s v="CLFF_KR00$$$KR03GIT01B"/>
    <s v="G000000277"/>
    <s v="P000000041"/>
    <s v="LFF (MDG-F)"/>
    <s v="KR03GIT01B"/>
    <m/>
    <b v="0"/>
    <x v="0"/>
    <x v="3"/>
    <d v="2025-08-05T00:00:00"/>
    <m/>
    <m/>
    <x v="0"/>
    <n v="1"/>
    <s v="Jay-R Lizardo"/>
    <m/>
  </r>
  <r>
    <x v="315"/>
    <x v="1"/>
    <x v="5"/>
    <s v="CORAERP_MMOR1975.9579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ORAERP_MMOR1975.9855"/>
    <s v="L000013397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ORAERP_MMOR1975.9810"/>
    <s v="G000001405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ORAERP_MMOR1975.9833"/>
    <s v="G000000726"/>
    <s v="G000000727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ORAERP_MMOR1975.9852"/>
    <s v="G000001396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ORAERP_MMOR1975.9491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5061"/>
    <s v="L000013393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51763"/>
    <s v="L000013397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51757"/>
    <s v="G000001398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51793"/>
    <s v="L000013389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7210$$$2029GIT120"/>
    <s v="L000013393"/>
    <s v="LFF_7210$$$2029GIT120"/>
    <s v="LFF (MDG-F)"/>
    <s v="2029GIT120"/>
    <m/>
    <b v="0"/>
    <x v="0"/>
    <x v="3"/>
    <d v="2025-08-05T00:00:00"/>
    <m/>
    <m/>
    <x v="0"/>
    <n v="1"/>
    <s v="Jay-R Lizardo"/>
    <m/>
  </r>
  <r>
    <x v="315"/>
    <x v="1"/>
    <x v="6"/>
    <s v="CLFF_7210$$$2034GIT120"/>
    <s v="L000013397"/>
    <s v="L000013396"/>
    <s v="LFF (MDG-F)"/>
    <s v="2034GIT120"/>
    <m/>
    <b v="0"/>
    <x v="0"/>
    <x v="3"/>
    <d v="2025-08-05T00:00:00"/>
    <m/>
    <m/>
    <x v="0"/>
    <n v="1"/>
    <s v="Jay-R Lizardo"/>
    <m/>
  </r>
  <r>
    <x v="315"/>
    <x v="1"/>
    <x v="5"/>
    <s v="CNOW_7210$$$0000057801"/>
    <s v="G000001235"/>
    <s v="G000000250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57184"/>
    <s v="L000013397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56669"/>
    <s v="G000001409"/>
    <s v="G000001120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52182"/>
    <s v="G000001407"/>
    <s v="G000001120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265219"/>
    <s v="G000001398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265223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265222"/>
    <s v="L000013393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0249"/>
    <s v="G000001398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0268"/>
    <s v="L000013397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0266"/>
    <s v="G000001118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0251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0212"/>
    <s v="L000013397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0209"/>
    <s v="L000013397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0172"/>
    <s v="L000013389"/>
    <s v="L00001339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31698"/>
    <s v="L000013389"/>
    <s v="L000013390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7210$$$2123TQJZ94"/>
    <s v="G000001387"/>
    <s v="G000001343"/>
    <s v="LFF (MDG-F)"/>
    <s v="2123TQJZ94"/>
    <m/>
    <b v="0"/>
    <x v="0"/>
    <x v="3"/>
    <d v="2025-08-05T00:00:00"/>
    <m/>
    <m/>
    <x v="0"/>
    <n v="1"/>
    <s v="Jay-R Lizardo"/>
    <m/>
  </r>
  <r>
    <x v="315"/>
    <x v="1"/>
    <x v="6"/>
    <s v="CLFF_7210$$$2123GIT126"/>
    <s v="G000001396"/>
    <s v="G000001121"/>
    <s v="LFF (MDG-F)"/>
    <s v="2123GIT126"/>
    <m/>
    <b v="0"/>
    <x v="0"/>
    <x v="3"/>
    <d v="2025-08-05T00:00:00"/>
    <m/>
    <m/>
    <x v="0"/>
    <n v="1"/>
    <s v="Jay-R Lizardo"/>
    <m/>
  </r>
  <r>
    <x v="315"/>
    <x v="1"/>
    <x v="6"/>
    <s v="CLFF_7210$$$2123GMI020"/>
    <s v="G000001387"/>
    <s v="G000000247"/>
    <s v="LFF (MDG-F)"/>
    <s v="2123GMI020"/>
    <m/>
    <b v="0"/>
    <x v="0"/>
    <x v="3"/>
    <d v="2025-08-05T00:00:00"/>
    <m/>
    <m/>
    <x v="0"/>
    <n v="1"/>
    <s v="Jay-R Lizardo"/>
    <m/>
  </r>
  <r>
    <x v="315"/>
    <x v="1"/>
    <x v="6"/>
    <s v="CLFF_7210$$$2123OF0033"/>
    <s v="G000001391"/>
    <s v="G000001118"/>
    <s v="LFF (MDG-F)"/>
    <s v="2123OF0033"/>
    <m/>
    <b v="0"/>
    <x v="0"/>
    <x v="3"/>
    <d v="2025-08-05T00:00:00"/>
    <m/>
    <m/>
    <x v="0"/>
    <n v="1"/>
    <s v="Jay-R Lizardo"/>
    <m/>
  </r>
  <r>
    <x v="315"/>
    <x v="1"/>
    <x v="6"/>
    <s v="CLFF_7210$$$2123OF0027"/>
    <s v="G000001391"/>
    <s v="G000001118"/>
    <s v="LFF (MDG-F)"/>
    <s v="2123OF0027"/>
    <m/>
    <b v="0"/>
    <x v="0"/>
    <x v="3"/>
    <d v="2025-08-05T00:00:00"/>
    <m/>
    <m/>
    <x v="0"/>
    <n v="1"/>
    <s v="Jay-R Lizardo"/>
    <m/>
  </r>
  <r>
    <x v="315"/>
    <x v="1"/>
    <x v="6"/>
    <s v="CLFF_7210$$$2123GMS040"/>
    <s v="G000001420"/>
    <s v="G000001187"/>
    <s v="LFF (MDG-F)"/>
    <s v="2123GMS040"/>
    <m/>
    <b v="0"/>
    <x v="0"/>
    <x v="3"/>
    <d v="2025-08-05T00:00:00"/>
    <m/>
    <m/>
    <x v="0"/>
    <n v="1"/>
    <s v="Jay-R Lizardo"/>
    <m/>
  </r>
  <r>
    <x v="315"/>
    <x v="1"/>
    <x v="6"/>
    <s v="CLFF_7210$$$2123GMS030"/>
    <s v="G000001421"/>
    <s v="G000000243"/>
    <s v="LFF (MDG-F)"/>
    <s v="2123GMS030"/>
    <m/>
    <b v="0"/>
    <x v="0"/>
    <x v="3"/>
    <d v="2025-08-05T00:00:00"/>
    <m/>
    <m/>
    <x v="0"/>
    <n v="1"/>
    <s v="Jay-R Lizardo"/>
    <m/>
  </r>
  <r>
    <x v="315"/>
    <x v="1"/>
    <x v="6"/>
    <s v="CLFF_7210$$$2123C00009"/>
    <s v="G000001391"/>
    <s v="G000001118"/>
    <s v="LFF (MDG-F)"/>
    <s v="2123C00009"/>
    <m/>
    <b v="0"/>
    <x v="0"/>
    <x v="3"/>
    <d v="2025-08-05T00:00:00"/>
    <m/>
    <m/>
    <x v="0"/>
    <n v="1"/>
    <s v="Jay-R Lizardo"/>
    <m/>
  </r>
  <r>
    <x v="315"/>
    <x v="1"/>
    <x v="6"/>
    <s v="CLFF_7210$$$2123GIT127"/>
    <s v="L000013393"/>
    <s v="L000013396"/>
    <s v="LFF (MDG-F)"/>
    <s v="2123GIT127"/>
    <m/>
    <b v="0"/>
    <x v="0"/>
    <x v="3"/>
    <d v="2025-08-05T00:00:00"/>
    <m/>
    <m/>
    <x v="0"/>
    <n v="1"/>
    <s v="Jay-R Lizardo"/>
    <m/>
  </r>
  <r>
    <x v="315"/>
    <x v="1"/>
    <x v="6"/>
    <s v="CLFF_7210$$$2123GMB010"/>
    <s v="G000001381"/>
    <s v="G000000243"/>
    <s v="LFF (MDG-F)"/>
    <s v="2123GMB010"/>
    <m/>
    <b v="0"/>
    <x v="0"/>
    <x v="3"/>
    <d v="2025-08-05T00:00:00"/>
    <m/>
    <m/>
    <x v="0"/>
    <n v="1"/>
    <s v="Jay-R Lizardo"/>
    <m/>
  </r>
  <r>
    <x v="315"/>
    <x v="1"/>
    <x v="6"/>
    <s v="CLFF_7210$$$2123OF0010"/>
    <s v="G000001387"/>
    <s v="G000000247"/>
    <s v="LFF (MDG-F)"/>
    <s v="2123OF0010"/>
    <m/>
    <b v="0"/>
    <x v="0"/>
    <x v="3"/>
    <d v="2025-08-05T00:00:00"/>
    <m/>
    <m/>
    <x v="0"/>
    <n v="1"/>
    <s v="Jay-R Lizardo"/>
    <m/>
  </r>
  <r>
    <x v="315"/>
    <x v="1"/>
    <x v="6"/>
    <s v="CLFF_7210$$$2123GM1110"/>
    <s v="G000001387"/>
    <s v="G000000247"/>
    <s v="LFF (MDG-F)"/>
    <s v="2123GM1110"/>
    <m/>
    <b v="0"/>
    <x v="0"/>
    <x v="3"/>
    <d v="2025-08-05T00:00:00"/>
    <m/>
    <m/>
    <x v="0"/>
    <n v="1"/>
    <s v="Jay-R Lizardo"/>
    <m/>
  </r>
  <r>
    <x v="315"/>
    <x v="1"/>
    <x v="6"/>
    <s v="CLFF_7210$$$2123GMI021"/>
    <s v="G000001389"/>
    <s v="G000001118"/>
    <s v="LFF (MDG-F)"/>
    <s v="2123GMI021"/>
    <m/>
    <b v="0"/>
    <x v="0"/>
    <x v="3"/>
    <d v="2025-08-05T00:00:00"/>
    <m/>
    <m/>
    <x v="0"/>
    <n v="1"/>
    <s v="Jay-R Lizardo"/>
    <m/>
  </r>
  <r>
    <x v="315"/>
    <x v="1"/>
    <x v="6"/>
    <s v="CLFF_7210$$$2123L50005"/>
    <s v="G000001387"/>
    <s v="G000000247"/>
    <s v="LFF (MDG-F)"/>
    <s v="2123L50005"/>
    <m/>
    <b v="0"/>
    <x v="0"/>
    <x v="3"/>
    <d v="2025-08-05T00:00:00"/>
    <m/>
    <m/>
    <x v="0"/>
    <n v="1"/>
    <s v="Jay-R Lizardo"/>
    <m/>
  </r>
  <r>
    <x v="315"/>
    <x v="1"/>
    <x v="6"/>
    <s v="CLFF_7210$$$2123YIT005"/>
    <s v="G000001387"/>
    <s v="G000000246"/>
    <s v="LFF (MDG-F)"/>
    <s v="2123YIT005"/>
    <m/>
    <b v="0"/>
    <x v="0"/>
    <x v="3"/>
    <d v="2025-08-05T00:00:00"/>
    <m/>
    <m/>
    <x v="0"/>
    <n v="1"/>
    <s v="Jay-R Lizardo"/>
    <m/>
  </r>
  <r>
    <x v="315"/>
    <x v="1"/>
    <x v="6"/>
    <s v="CLFF_7210$$$2123YIT004"/>
    <s v="G000001387"/>
    <s v="G000000246"/>
    <s v="LFF (MDG-F)"/>
    <s v="2123YIT004"/>
    <m/>
    <b v="0"/>
    <x v="0"/>
    <x v="3"/>
    <d v="2025-08-05T00:00:00"/>
    <m/>
    <m/>
    <x v="0"/>
    <n v="1"/>
    <s v="Jay-R Lizardo"/>
    <m/>
  </r>
  <r>
    <x v="315"/>
    <x v="1"/>
    <x v="6"/>
    <s v="CLFF_7210$$$2123C00028"/>
    <s v="G000001390"/>
    <s v="G000001118"/>
    <s v="LFF (MDG-F)"/>
    <s v="2123C00028"/>
    <m/>
    <b v="0"/>
    <x v="0"/>
    <x v="3"/>
    <d v="2025-08-05T00:00:00"/>
    <m/>
    <m/>
    <x v="0"/>
    <n v="1"/>
    <s v="Jay-R Lizardo"/>
    <m/>
  </r>
  <r>
    <x v="315"/>
    <x v="1"/>
    <x v="6"/>
    <s v="CLFF_7210$$$2123TPSZ93"/>
    <s v="G000001387"/>
    <s v="G000001341"/>
    <s v="LFF (MDG-F)"/>
    <s v="2123TPSZ93"/>
    <m/>
    <b v="0"/>
    <x v="0"/>
    <x v="3"/>
    <d v="2025-08-05T00:00:00"/>
    <m/>
    <m/>
    <x v="0"/>
    <n v="1"/>
    <s v="Jay-R Lizardo"/>
    <m/>
  </r>
  <r>
    <x v="315"/>
    <x v="1"/>
    <x v="6"/>
    <s v="CLFF_7210$$$2123C00103"/>
    <s v="G000001387"/>
    <s v="G000000247"/>
    <s v="LFF (MDG-F)"/>
    <s v="2123C00103"/>
    <m/>
    <b v="0"/>
    <x v="0"/>
    <x v="3"/>
    <d v="2025-08-05T00:00:00"/>
    <m/>
    <m/>
    <x v="0"/>
    <n v="1"/>
    <s v="Jay-R Lizardo"/>
    <m/>
  </r>
  <r>
    <x v="315"/>
    <x v="1"/>
    <x v="6"/>
    <s v="CLFF_7210$$$2123GIT129"/>
    <s v="L000013389"/>
    <s v="L000013395"/>
    <s v="LFF (MDG-F)"/>
    <s v="2123GIT129"/>
    <m/>
    <b v="0"/>
    <x v="0"/>
    <x v="3"/>
    <d v="2025-08-05T00:00:00"/>
    <m/>
    <m/>
    <x v="0"/>
    <n v="1"/>
    <s v="Jay-R Lizardo"/>
    <m/>
  </r>
  <r>
    <x v="315"/>
    <x v="1"/>
    <x v="6"/>
    <s v="CLFF_7210$$$2123GIT027"/>
    <s v="G000001396"/>
    <s v="G000001121"/>
    <s v="LFF (MDG-F)"/>
    <s v="2123GIT027"/>
    <m/>
    <b v="0"/>
    <x v="0"/>
    <x v="3"/>
    <d v="2025-08-05T00:00:00"/>
    <m/>
    <m/>
    <x v="0"/>
    <n v="1"/>
    <s v="Jay-R Lizardo"/>
    <m/>
  </r>
  <r>
    <x v="315"/>
    <x v="1"/>
    <x v="6"/>
    <s v="CLFF_7210$$$2123GIT212"/>
    <s v="G000001399"/>
    <s v="G000001121"/>
    <s v="LFF (MDG-F)"/>
    <s v="2123GIT212"/>
    <m/>
    <b v="0"/>
    <x v="0"/>
    <x v="3"/>
    <d v="2025-08-05T00:00:00"/>
    <m/>
    <m/>
    <x v="0"/>
    <n v="1"/>
    <s v="Jay-R Lizardo"/>
    <m/>
  </r>
  <r>
    <x v="315"/>
    <x v="1"/>
    <x v="6"/>
    <s v="CLFF_7210$$$2123GIT448"/>
    <s v="G000001396"/>
    <s v="G000001121"/>
    <s v="LFF (MDG-F)"/>
    <s v="2123GIT448"/>
    <m/>
    <b v="0"/>
    <x v="0"/>
    <x v="3"/>
    <d v="2025-08-05T00:00:00"/>
    <m/>
    <m/>
    <x v="0"/>
    <n v="1"/>
    <s v="Jay-R Lizardo"/>
    <m/>
  </r>
  <r>
    <x v="315"/>
    <x v="1"/>
    <x v="6"/>
    <s v="CLFF_7210$$$2123GIT520"/>
    <s v="G000000253"/>
    <s v="G000000255"/>
    <s v="LFF (MDG-F)"/>
    <s v="2123GIT520"/>
    <m/>
    <b v="0"/>
    <x v="0"/>
    <x v="3"/>
    <d v="2025-08-05T00:00:00"/>
    <m/>
    <m/>
    <x v="0"/>
    <n v="1"/>
    <s v="Jay-R Lizardo"/>
    <m/>
  </r>
  <r>
    <x v="315"/>
    <x v="1"/>
    <x v="6"/>
    <s v="CLFF_7210$$$2123GST008"/>
    <s v="G000001401"/>
    <s v="G000001120"/>
    <s v="LFF (MDG-F)"/>
    <s v="2123GST008"/>
    <m/>
    <b v="0"/>
    <x v="0"/>
    <x v="3"/>
    <d v="2025-08-05T00:00:00"/>
    <m/>
    <m/>
    <x v="0"/>
    <n v="1"/>
    <s v="Jay-R Lizardo"/>
    <m/>
  </r>
  <r>
    <x v="315"/>
    <x v="1"/>
    <x v="6"/>
    <s v="CLFF_7210$$$2123GIT098"/>
    <s v="L000013397"/>
    <s v="L000013396"/>
    <s v="LFF (MDG-F)"/>
    <s v="2123GIT098"/>
    <m/>
    <b v="0"/>
    <x v="0"/>
    <x v="3"/>
    <d v="2025-08-05T00:00:00"/>
    <m/>
    <m/>
    <x v="0"/>
    <n v="1"/>
    <s v="Jay-R Lizardo"/>
    <m/>
  </r>
  <r>
    <x v="315"/>
    <x v="1"/>
    <x v="6"/>
    <s v="CLFF_7210$$$2123GIT096"/>
    <s v="G000001396"/>
    <s v="G000001121"/>
    <s v="LFF (MDG-F)"/>
    <s v="2123GIT096"/>
    <m/>
    <b v="0"/>
    <x v="0"/>
    <x v="3"/>
    <d v="2025-08-05T00:00:00"/>
    <m/>
    <m/>
    <x v="0"/>
    <n v="1"/>
    <s v="Jay-R Lizardo"/>
    <m/>
  </r>
  <r>
    <x v="315"/>
    <x v="1"/>
    <x v="6"/>
    <s v="CLFF_7210$$$2123C00079"/>
    <s v="G000001391"/>
    <s v="G000001118"/>
    <s v="LFF (MDG-F)"/>
    <s v="2123C00079"/>
    <m/>
    <b v="0"/>
    <x v="0"/>
    <x v="3"/>
    <d v="2025-08-05T00:00:00"/>
    <m/>
    <m/>
    <x v="0"/>
    <n v="1"/>
    <s v="Jay-R Lizardo"/>
    <m/>
  </r>
  <r>
    <x v="315"/>
    <x v="1"/>
    <x v="6"/>
    <s v="CLFF_7210$$$2123GIT135"/>
    <s v="G000000253"/>
    <s v="G000000255"/>
    <s v="LFF (MDG-F)"/>
    <s v="2123GIT135"/>
    <m/>
    <b v="0"/>
    <x v="0"/>
    <x v="3"/>
    <d v="2025-08-05T00:00:00"/>
    <m/>
    <m/>
    <x v="0"/>
    <n v="1"/>
    <s v="Jay-R Lizardo"/>
    <m/>
  </r>
  <r>
    <x v="315"/>
    <x v="1"/>
    <x v="6"/>
    <s v="CLFF_7210$$$2123GIT085"/>
    <s v="G000001398"/>
    <s v="G000001121"/>
    <s v="LFF (MDG-F)"/>
    <s v="2123GIT085"/>
    <m/>
    <b v="0"/>
    <x v="0"/>
    <x v="3"/>
    <d v="2025-08-05T00:00:00"/>
    <m/>
    <m/>
    <x v="0"/>
    <n v="1"/>
    <s v="Jay-R Lizardo"/>
    <m/>
  </r>
  <r>
    <x v="315"/>
    <x v="1"/>
    <x v="6"/>
    <s v="CLFF_7210$$$2123GIT097"/>
    <s v="G000001398"/>
    <s v="G000001121"/>
    <s v="LFF (MDG-F)"/>
    <s v="2123GIT097"/>
    <m/>
    <b v="0"/>
    <x v="0"/>
    <x v="3"/>
    <d v="2025-08-05T00:00:00"/>
    <m/>
    <m/>
    <x v="0"/>
    <n v="1"/>
    <s v="Jay-R Lizardo"/>
    <m/>
  </r>
  <r>
    <x v="315"/>
    <x v="1"/>
    <x v="6"/>
    <s v="CLFF_7210$$$2123GIT025"/>
    <s v="G000001396"/>
    <s v="G000001121"/>
    <s v="LFF (MDG-F)"/>
    <s v="2123GIT025"/>
    <m/>
    <b v="0"/>
    <x v="0"/>
    <x v="3"/>
    <d v="2025-08-05T00:00:00"/>
    <m/>
    <m/>
    <x v="0"/>
    <n v="1"/>
    <s v="Jay-R Lizardo"/>
    <m/>
  </r>
  <r>
    <x v="315"/>
    <x v="1"/>
    <x v="6"/>
    <s v="CLFF_7210$$$2123GIT311"/>
    <s v="G000001398"/>
    <s v="G000001121"/>
    <s v="LFF (MDG-F)"/>
    <s v="2123GIT311"/>
    <m/>
    <b v="0"/>
    <x v="0"/>
    <x v="3"/>
    <d v="2025-08-05T00:00:00"/>
    <m/>
    <m/>
    <x v="0"/>
    <n v="1"/>
    <s v="Jay-R Lizardo"/>
    <m/>
  </r>
  <r>
    <x v="315"/>
    <x v="1"/>
    <x v="6"/>
    <s v="CLFF_7210$$$2123GIT312"/>
    <s v="G000001399"/>
    <s v="G000001121"/>
    <s v="LFF (MDG-F)"/>
    <s v="2123GIT312"/>
    <m/>
    <b v="0"/>
    <x v="0"/>
    <x v="3"/>
    <d v="2025-08-05T00:00:00"/>
    <m/>
    <m/>
    <x v="0"/>
    <n v="1"/>
    <s v="Jay-R Lizardo"/>
    <m/>
  </r>
  <r>
    <x v="315"/>
    <x v="1"/>
    <x v="6"/>
    <s v="CLFF_7210$$$2123GIT313"/>
    <s v="G000001399"/>
    <s v="G000001121"/>
    <s v="LFF (MDG-F)"/>
    <s v="2123GIT313"/>
    <m/>
    <b v="0"/>
    <x v="0"/>
    <x v="3"/>
    <d v="2025-08-05T00:00:00"/>
    <m/>
    <m/>
    <x v="0"/>
    <n v="1"/>
    <s v="Jay-R Lizardo"/>
    <m/>
  </r>
  <r>
    <x v="315"/>
    <x v="1"/>
    <x v="5"/>
    <s v="CNOW_AUS0$$$0000092051"/>
    <s v="G000000279"/>
    <s v="G000001233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FLTFLE_22450000002721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DE10669638"/>
    <s v="G000001416"/>
    <s v="G000000243"/>
    <s v="LFF (MDG-F)"/>
    <s v="DE10669638"/>
    <m/>
    <b v="0"/>
    <x v="0"/>
    <x v="3"/>
    <d v="2025-08-05T00:00:00"/>
    <m/>
    <m/>
    <x v="0"/>
    <n v="1"/>
    <s v="Jay-R Lizardo"/>
    <m/>
  </r>
  <r>
    <x v="315"/>
    <x v="1"/>
    <x v="6"/>
    <s v="CLFF_1000$$$DE10YIT014"/>
    <s v="G000001392"/>
    <s v="G000001118"/>
    <s v="LFF (MDG-F)"/>
    <s v="DE10YIT014"/>
    <m/>
    <b v="0"/>
    <x v="0"/>
    <x v="3"/>
    <d v="2025-08-05T00:00:00"/>
    <m/>
    <m/>
    <x v="0"/>
    <n v="1"/>
    <s v="Jay-R Lizardo"/>
    <m/>
  </r>
  <r>
    <x v="315"/>
    <x v="1"/>
    <x v="6"/>
    <s v="CLFF_1000$$$DE10GMS070"/>
    <s v="G000001416"/>
    <s v="G000000243"/>
    <s v="LFF (MDG-F)"/>
    <s v="DE10GMS070"/>
    <m/>
    <b v="0"/>
    <x v="0"/>
    <x v="3"/>
    <d v="2025-08-05T00:00:00"/>
    <m/>
    <m/>
    <x v="0"/>
    <n v="1"/>
    <s v="Jay-R Lizardo"/>
    <m/>
  </r>
  <r>
    <x v="315"/>
    <x v="1"/>
    <x v="5"/>
    <s v="CTEMPNA_1000PH80GFO003"/>
    <s v="G000001416"/>
    <s v="G000001188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FO026"/>
    <s v="G000001416"/>
    <s v="G000001190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FO016"/>
    <s v="G000001416"/>
    <s v="G000001188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7210$$$2123GMS050"/>
    <s v="G000001416"/>
    <s v="G000000243"/>
    <s v="LFF (MDG-F)"/>
    <s v="2123GMS050"/>
    <m/>
    <b v="0"/>
    <x v="0"/>
    <x v="3"/>
    <d v="2025-08-05T00:00:00"/>
    <m/>
    <m/>
    <x v="0"/>
    <n v="1"/>
    <s v="Jay-R Lizardo"/>
    <m/>
  </r>
  <r>
    <x v="315"/>
    <x v="1"/>
    <x v="6"/>
    <s v="CLFF_7210$$$2123GMS080"/>
    <s v="G000001416"/>
    <s v="G000001191"/>
    <s v="LFF (MDG-F)"/>
    <s v="2123GMS080"/>
    <m/>
    <b v="0"/>
    <x v="0"/>
    <x v="3"/>
    <d v="2025-08-05T00:00:00"/>
    <m/>
    <m/>
    <x v="0"/>
    <n v="1"/>
    <s v="Jay-R Lizardo"/>
    <m/>
  </r>
  <r>
    <x v="316"/>
    <x v="1"/>
    <x v="3"/>
    <s v="PLEAN_X310201CH6802051 ESHRE global F55 costs ISS"/>
    <s v="H000000164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PLEAN_X310201CH6802059 ESHRE global FD0 costs ISS"/>
    <s v="H000004034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PLEAN_X310201CH6802060 ESHRE global FD1 costs ISS"/>
    <s v="H000000948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PLEAN_X310201DE6513299 FD COM PROM GBF"/>
    <s v="H000000176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ITEMPLA_001520001137 Conceivable Project Fertilidad"/>
    <s v="H000000176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PLEAN_X310511CH6802033 ECTRIMS Global Costs ISS F55"/>
    <s v="H000000164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PLEAN_X310511CH6802045 ECTRIMS Global Costs ISS FD0"/>
    <s v="H000004034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PLEAN_X310284DE5015620 Pimicotinib Marketing"/>
    <s v="H000000162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PLEAN_X310284DE5015630 Pimicotinib CI"/>
    <s v="H000000162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IEMERAL_000009101181 7001IC1881SI3110250000"/>
    <s v="H000000161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CEMERAL_70006403A4SS99 Marketing FE - GBF"/>
    <s v="H000000176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CLFF_1000$$$NL50C06884 VP Strategic Marketing Fertility"/>
    <s v="H000000176"/>
    <m/>
    <s v="LFF (MDG-F)"/>
    <s v="NL50C06884"/>
    <m/>
    <b v="0"/>
    <x v="1"/>
    <x v="3"/>
    <d v="2025-08-05T00:00:00"/>
    <m/>
    <m/>
    <x v="0"/>
    <n v="1"/>
    <s v="Rayneil Reas"/>
    <m/>
  </r>
  <r>
    <x v="316"/>
    <x v="1"/>
    <x v="3"/>
    <s v="PLEAN_X310281CN5013010 PI COM C&amp;E Pimi info &amp; IQVIA proposal (F"/>
    <s v="H000001056"/>
    <m/>
    <s v="Non-LFF"/>
    <s v=""/>
    <m/>
    <b v="0"/>
    <x v="1"/>
    <x v="3"/>
    <d v="2025-08-05T00:00:00"/>
    <m/>
    <m/>
    <x v="0"/>
    <n v="1"/>
    <s v="Rayneil Rea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1"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9" firstHeaderRow="1" firstDataRow="1" firstDataCol="1" rowPageCount="1" colPageCount="1"/>
  <pivotFields count="19">
    <pivotField axis="axisRow" showAll="0" sortType="ascending">
      <items count="1499">
        <item m="1" x="883"/>
        <item x="0"/>
        <item m="1" x="953"/>
        <item m="1" x="1374"/>
        <item m="1" x="536"/>
        <item m="1" x="1391"/>
        <item m="1" x="913"/>
        <item m="1" x="1003"/>
        <item m="1" x="1424"/>
        <item m="1" x="1218"/>
        <item m="1" x="906"/>
        <item m="1" x="1490"/>
        <item m="1" x="1236"/>
        <item m="1" x="1480"/>
        <item m="1" x="854"/>
        <item m="1" x="755"/>
        <item m="1" x="459"/>
        <item m="1" x="720"/>
        <item m="1" x="1444"/>
        <item m="1" x="512"/>
        <item m="1" x="820"/>
        <item m="1" x="1188"/>
        <item m="1" x="903"/>
        <item m="1" x="996"/>
        <item m="1" x="1292"/>
        <item m="1" x="1477"/>
        <item m="1" x="938"/>
        <item m="1" x="960"/>
        <item m="1" x="725"/>
        <item m="1" x="1126"/>
        <item m="1" x="885"/>
        <item m="1" x="1431"/>
        <item m="1" x="1088"/>
        <item m="1" x="521"/>
        <item m="1" x="629"/>
        <item m="1" x="1416"/>
        <item m="1" x="1180"/>
        <item m="1" x="434"/>
        <item m="1" x="1266"/>
        <item m="1" x="932"/>
        <item m="1" x="1227"/>
        <item m="1" x="813"/>
        <item m="1" x="1165"/>
        <item m="1" x="424"/>
        <item m="1" x="454"/>
        <item m="1" x="1493"/>
        <item m="1" x="1172"/>
        <item m="1" x="1240"/>
        <item m="1" x="1347"/>
        <item m="1" x="1116"/>
        <item m="1" x="1214"/>
        <item m="1" x="1053"/>
        <item m="1" x="508"/>
        <item m="1" x="699"/>
        <item m="1" x="1475"/>
        <item m="1" x="1043"/>
        <item m="1" x="1183"/>
        <item m="1" x="711"/>
        <item m="1" x="672"/>
        <item m="1" x="964"/>
        <item m="1" x="856"/>
        <item m="1" x="889"/>
        <item m="1" x="448"/>
        <item m="1" x="587"/>
        <item m="1" x="1249"/>
        <item m="1" x="1466"/>
        <item m="1" x="652"/>
        <item m="1" x="1057"/>
        <item m="1" x="1067"/>
        <item m="1" x="1244"/>
        <item m="1" x="1354"/>
        <item m="1" x="1232"/>
        <item m="1" x="527"/>
        <item m="1" x="1375"/>
        <item m="1" x="1105"/>
        <item m="1" x="1092"/>
        <item m="1" x="627"/>
        <item m="1" x="980"/>
        <item m="1" x="1327"/>
        <item m="1" x="445"/>
        <item m="1" x="1024"/>
        <item m="1" x="1377"/>
        <item m="1" x="1215"/>
        <item m="1" x="950"/>
        <item m="1" x="992"/>
        <item m="1" x="873"/>
        <item m="1" x="1108"/>
        <item m="1" x="920"/>
        <item m="1" x="1152"/>
        <item m="1" x="636"/>
        <item m="1" x="1465"/>
        <item m="1" x="990"/>
        <item m="1" x="1276"/>
        <item m="1" x="353"/>
        <item m="1" x="1481"/>
        <item m="1" x="1017"/>
        <item m="1" x="1306"/>
        <item m="1" x="1219"/>
        <item m="1" x="997"/>
        <item m="1" x="507"/>
        <item m="1" x="514"/>
        <item m="1" x="554"/>
        <item m="1" x="736"/>
        <item m="1" x="1160"/>
        <item m="1" x="921"/>
        <item m="1" x="1037"/>
        <item m="1" x="1100"/>
        <item m="1" x="1247"/>
        <item m="1" x="1330"/>
        <item m="1" x="892"/>
        <item m="1" x="613"/>
        <item m="1" x="456"/>
        <item m="1" x="599"/>
        <item m="1" x="1474"/>
        <item m="1" x="631"/>
        <item m="1" x="1312"/>
        <item m="1" x="1241"/>
        <item m="1" x="859"/>
        <item m="1" x="931"/>
        <item m="1" x="797"/>
        <item m="1" x="1054"/>
        <item m="1" x="1429"/>
        <item m="1" x="605"/>
        <item m="1" x="553"/>
        <item m="1" x="488"/>
        <item m="1" x="1154"/>
        <item m="1" x="1414"/>
        <item m="1" x="1342"/>
        <item m="1" x="999"/>
        <item m="1" x="523"/>
        <item m="1" x="1248"/>
        <item m="1" x="700"/>
        <item m="1" x="954"/>
        <item m="1" x="1129"/>
        <item m="1" x="1237"/>
        <item m="1" x="357"/>
        <item m="1" x="1186"/>
        <item m="1" x="1149"/>
        <item m="1" x="590"/>
        <item m="1" x="1038"/>
        <item m="1" x="926"/>
        <item m="1" x="879"/>
        <item m="1" x="612"/>
        <item m="1" x="548"/>
        <item m="1" x="788"/>
        <item m="1" x="975"/>
        <item m="1" x="382"/>
        <item m="1" x="721"/>
        <item m="1" x="580"/>
        <item m="1" x="322"/>
        <item m="1" x="832"/>
        <item m="1" x="1033"/>
        <item m="1" x="915"/>
        <item m="1" x="961"/>
        <item m="1" x="1280"/>
        <item m="1" x="862"/>
        <item m="1" x="1388"/>
        <item m="1" x="1112"/>
        <item m="1" x="1051"/>
        <item m="1" x="565"/>
        <item m="1" x="1198"/>
        <item m="1" x="1476"/>
        <item m="1" x="1164"/>
        <item m="1" x="1148"/>
        <item m="1" x="435"/>
        <item m="1" x="483"/>
        <item m="1" x="1018"/>
        <item m="1" x="524"/>
        <item m="1" x="1461"/>
        <item m="1" x="1127"/>
        <item m="1" x="1052"/>
        <item m="1" x="1004"/>
        <item m="1" x="805"/>
        <item m="1" x="433"/>
        <item m="1" x="533"/>
        <item m="1" x="639"/>
        <item m="1" x="1372"/>
        <item m="1" x="1404"/>
        <item m="1" x="1103"/>
        <item m="1" x="830"/>
        <item m="1" x="918"/>
        <item m="1" x="428"/>
        <item m="1" x="468"/>
        <item m="1" x="807"/>
        <item m="1" x="1032"/>
        <item m="1" x="945"/>
        <item m="1" x="603"/>
        <item m="1" x="836"/>
        <item m="1" x="550"/>
        <item m="1" x="745"/>
        <item m="1" x="667"/>
        <item m="1" x="502"/>
        <item m="1" x="638"/>
        <item m="1" x="1008"/>
        <item m="1" x="418"/>
        <item m="1" x="657"/>
        <item m="1" x="449"/>
        <item m="1" x="1142"/>
        <item m="1" x="1331"/>
        <item m="1" x="941"/>
        <item m="1" x="585"/>
        <item m="1" x="1235"/>
        <item m="1" x="1080"/>
        <item m="1" x="597"/>
        <item m="1" x="598"/>
        <item m="1" x="783"/>
        <item m="1" x="473"/>
        <item m="1" x="662"/>
        <item m="1" x="457"/>
        <item m="1" x="643"/>
        <item m="1" x="1211"/>
        <item m="1" x="722"/>
        <item m="1" x="1089"/>
        <item m="1" x="1139"/>
        <item m="1" x="1273"/>
        <item m="1" x="1277"/>
        <item m="1" x="994"/>
        <item m="1" x="835"/>
        <item m="1" x="874"/>
        <item m="1" x="1441"/>
        <item m="1" x="734"/>
        <item m="1" x="546"/>
        <item m="1" x="924"/>
        <item m="1" x="381"/>
        <item m="1" x="1445"/>
        <item m="1" x="908"/>
        <item m="1" x="342"/>
        <item m="1" x="1363"/>
        <item m="1" x="1406"/>
        <item m="1" x="1243"/>
        <item m="1" x="620"/>
        <item m="1" x="359"/>
        <item m="1" x="1293"/>
        <item m="1" x="684"/>
        <item m="1" x="320"/>
        <item m="1" x="1464"/>
        <item m="1" x="708"/>
        <item m="1" x="863"/>
        <item m="1" x="1308"/>
        <item m="1" x="395"/>
        <item m="1" x="1220"/>
        <item m="1" x="1028"/>
        <item m="1" x="893"/>
        <item m="1" x="763"/>
        <item m="1" x="510"/>
        <item m="1" x="1011"/>
        <item m="1" x="713"/>
        <item m="1" x="1251"/>
        <item m="1" x="573"/>
        <item m="1" x="1321"/>
        <item m="1" x="1328"/>
        <item m="1" x="1012"/>
        <item m="1" x="1202"/>
        <item m="1" x="619"/>
        <item m="1" x="916"/>
        <item m="1" x="1205"/>
        <item m="1" x="789"/>
        <item m="1" x="1079"/>
        <item m="1" x="718"/>
        <item m="1" x="503"/>
        <item m="1" x="707"/>
        <item m="1" x="1473"/>
        <item m="1" x="1415"/>
        <item m="1" x="560"/>
        <item m="1" x="1361"/>
        <item m="1" x="367"/>
        <item m="1" x="1383"/>
        <item m="1" x="402"/>
        <item m="1" x="704"/>
        <item m="1" x="802"/>
        <item m="1" x="749"/>
        <item m="1" x="1356"/>
        <item m="1" x="1259"/>
        <item m="1" x="500"/>
        <item m="1" x="1070"/>
        <item m="1" x="1278"/>
        <item m="1" x="1412"/>
        <item m="1" x="1319"/>
        <item m="1" x="405"/>
        <item m="1" x="1485"/>
        <item m="1" x="556"/>
        <item m="1" x="837"/>
        <item m="1" x="1281"/>
        <item m="1" x="404"/>
        <item m="1" x="1340"/>
        <item m="1" x="569"/>
        <item m="1" x="1213"/>
        <item m="1" x="1077"/>
        <item m="1" x="1055"/>
        <item m="1" x="634"/>
        <item m="1" x="596"/>
        <item m="1" x="1408"/>
        <item m="1" x="349"/>
        <item m="1" x="531"/>
        <item m="1" x="1190"/>
        <item m="1" x="1301"/>
        <item m="1" x="1228"/>
        <item m="1" x="1432"/>
        <item m="1" x="936"/>
        <item m="1" x="563"/>
        <item m="1" x="683"/>
        <item m="1" x="1002"/>
        <item m="1" x="744"/>
        <item m="1" x="1072"/>
        <item m="1" x="685"/>
        <item m="1" x="487"/>
        <item m="1" x="1140"/>
        <item m="1" x="542"/>
        <item m="1" x="422"/>
        <item m="1" x="1274"/>
        <item m="1" x="1421"/>
        <item m="1" x="1122"/>
        <item m="1" x="387"/>
        <item m="1" x="1313"/>
        <item m="1" x="1111"/>
        <item m="1" x="1221"/>
        <item m="1" x="1360"/>
        <item m="1" x="588"/>
        <item m="1" x="780"/>
        <item m="1" x="618"/>
        <item m="1" x="886"/>
        <item m="1" x="810"/>
        <item m="1" x="840"/>
        <item m="1" x="1376"/>
        <item m="1" x="822"/>
        <item m="1" x="1025"/>
        <item m="1" x="557"/>
        <item m="1" x="756"/>
        <item m="1" x="730"/>
        <item m="1" x="1073"/>
        <item m="1" x="976"/>
        <item m="1" x="1204"/>
        <item m="1" x="726"/>
        <item m="1" x="1362"/>
        <item m="1" x="564"/>
        <item m="1" x="490"/>
        <item m="1" x="746"/>
        <item m="1" x="1287"/>
        <item m="1" x="397"/>
        <item m="1" x="398"/>
        <item m="1" x="694"/>
        <item m="1" x="1367"/>
        <item m="1" x="761"/>
        <item m="1" x="406"/>
        <item m="1" x="566"/>
        <item m="1" x="808"/>
        <item m="1" x="1119"/>
        <item m="1" x="1091"/>
        <item m="1" x="762"/>
        <item m="1" x="343"/>
        <item m="1" x="481"/>
        <item m="1" x="693"/>
        <item m="1" x="581"/>
        <item m="1" x="338"/>
        <item m="1" x="1291"/>
        <item m="1" x="1420"/>
        <item m="1" x="890"/>
        <item m="1" x="1320"/>
        <item m="1" x="1380"/>
        <item m="1" x="403"/>
        <item m="1" x="1418"/>
        <item m="1" x="1156"/>
        <item m="1" x="579"/>
        <item m="1" x="765"/>
        <item m="1" x="669"/>
        <item m="1" x="1031"/>
        <item m="1" x="602"/>
        <item m="1" x="818"/>
        <item m="1" x="1113"/>
        <item m="1" x="1238"/>
        <item m="1" x="741"/>
        <item m="1" x="869"/>
        <item m="1" x="681"/>
        <item m="1" x="607"/>
        <item m="1" x="1118"/>
        <item m="1" x="1233"/>
        <item m="1" x="1395"/>
        <item m="1" x="437"/>
        <item m="1" x="641"/>
        <item m="1" x="1081"/>
        <item m="1" x="482"/>
        <item m="1" x="769"/>
        <item m="1" x="1150"/>
        <item m="1" x="415"/>
        <item m="1" x="625"/>
        <item m="1" x="735"/>
        <item m="1" x="1341"/>
        <item m="1" x="574"/>
        <item m="1" x="844"/>
        <item m="1" x="1397"/>
        <item m="1" x="525"/>
        <item m="1" x="714"/>
        <item m="1" x="902"/>
        <item m="1" x="1239"/>
        <item m="1" x="537"/>
        <item m="1" x="793"/>
        <item m="1" x="635"/>
        <item m="1" x="1131"/>
        <item m="1" x="1317"/>
        <item m="1" x="443"/>
        <item m="1" x="663"/>
        <item m="1" x="1399"/>
        <item m="1" x="1364"/>
        <item m="1" x="464"/>
        <item m="1" x="781"/>
        <item m="1" x="1305"/>
        <item m="1" x="1436"/>
        <item m="1" x="1307"/>
        <item m="1" x="1282"/>
        <item m="1" x="413"/>
        <item m="1" x="589"/>
        <item m="1" x="671"/>
        <item m="1" x="660"/>
        <item m="1" x="887"/>
        <item m="1" x="375"/>
        <item m="1" x="1074"/>
        <item m="1" x="1145"/>
        <item m="1" x="327"/>
        <item m="1" x="1405"/>
        <item m="1" x="1267"/>
        <item m="1" x="1396"/>
        <item m="1" x="1426"/>
        <item m="1" x="1462"/>
        <item m="1" x="1400"/>
        <item m="1" x="764"/>
        <item m="1" x="1124"/>
        <item m="1" x="731"/>
        <item m="1" x="1137"/>
        <item m="1" x="1102"/>
        <item m="1" x="540"/>
        <item m="1" x="578"/>
        <item m="1" x="716"/>
        <item m="1" x="1181"/>
        <item m="1" x="701"/>
        <item m="1" x="447"/>
        <item m="1" x="1446"/>
        <item m="1" x="1196"/>
        <item m="1" x="1029"/>
        <item m="1" x="1061"/>
        <item m="1" x="1110"/>
        <item m="1" x="535"/>
        <item m="1" x="877"/>
        <item m="1" x="1222"/>
        <item m="1" x="373"/>
        <item m="1" x="616"/>
        <item m="1" x="516"/>
        <item m="1" x="513"/>
        <item m="1" x="517"/>
        <item m="1" x="318"/>
        <item m="1" x="539"/>
        <item m="1" x="1336"/>
        <item m="1" x="340"/>
        <item m="1" x="986"/>
        <item m="1" x="1423"/>
        <item m="1" x="1234"/>
        <item m="1" x="494"/>
        <item m="1" x="1494"/>
        <item m="1" x="423"/>
        <item m="1" x="790"/>
        <item m="1" x="1013"/>
        <item m="1" x="469"/>
        <item m="1" x="922"/>
        <item m="1" x="1082"/>
        <item m="1" x="1350"/>
        <item m="1" x="1252"/>
        <item m="1" x="331"/>
        <item m="1" x="1014"/>
        <item m="1" x="414"/>
        <item m="1" x="650"/>
        <item m="1" x="622"/>
        <item m="1" x="384"/>
        <item m="1" x="977"/>
        <item m="1" x="984"/>
        <item m="1" x="1084"/>
        <item m="1" x="833"/>
        <item m="1" x="1333"/>
        <item m="1" x="742"/>
        <item m="1" x="1452"/>
        <item m="1" x="1087"/>
        <item m="1" x="978"/>
        <item m="1" x="642"/>
        <item m="1" x="1050"/>
        <item m="1" x="1348"/>
        <item m="1" x="1413"/>
        <item m="1" x="1392"/>
        <item m="1" x="1322"/>
        <item m="1" x="1071"/>
        <item m="1" x="1184"/>
        <item m="1" x="697"/>
        <item m="1" x="1146"/>
        <item m="1" x="971"/>
        <item m="1" x="930"/>
        <item m="1" x="928"/>
        <item m="1" x="929"/>
        <item m="1" x="626"/>
        <item m="1" x="670"/>
        <item m="1" x="1283"/>
        <item m="1" x="848"/>
        <item m="1" x="690"/>
        <item m="1" x="732"/>
        <item m="1" x="778"/>
        <item m="1" x="1030"/>
        <item m="1" x="1368"/>
        <item m="1" x="1457"/>
        <item m="1" x="575"/>
        <item m="1" x="526"/>
        <item m="1" x="363"/>
        <item m="1" x="385"/>
        <item m="1" x="682"/>
        <item m="1" x="470"/>
        <item m="1" x="798"/>
        <item m="1" x="1334"/>
        <item m="1" x="675"/>
        <item m="1" x="467"/>
        <item m="1" x="1226"/>
        <item m="1" x="344"/>
        <item m="1" x="1352"/>
        <item m="1" x="1427"/>
        <item m="1" x="1491"/>
        <item m="1" x="1366"/>
        <item m="1" x="609"/>
        <item m="1" x="386"/>
        <item m="1" x="850"/>
        <item m="1" x="934"/>
        <item m="1" x="1130"/>
        <item m="1" x="1098"/>
        <item m="1" x="1134"/>
        <item m="1" x="911"/>
        <item m="1" x="949"/>
        <item m="1" x="1390"/>
        <item m="1" x="1153"/>
        <item m="1" x="1123"/>
        <item m="1" x="1062"/>
        <item m="1" x="1135"/>
        <item m="1" x="336"/>
        <item m="1" x="341"/>
        <item m="1" x="944"/>
        <item m="1" x="1329"/>
        <item m="1" x="899"/>
        <item m="1" x="1469"/>
        <item m="1" x="868"/>
        <item m="1" x="1044"/>
        <item m="1" x="1115"/>
        <item m="1" x="729"/>
        <item m="1" x="561"/>
        <item m="1" x="937"/>
        <item m="1" x="623"/>
        <item m="1" x="1478"/>
        <item m="1" x="1393"/>
        <item m="1" x="1206"/>
        <item m="1" x="463"/>
        <item m="1" x="390"/>
        <item m="1" x="963"/>
        <item m="1" x="1207"/>
        <item m="1" x="1496"/>
        <item m="1" x="842"/>
        <item m="1" x="1443"/>
        <item m="1" x="377"/>
        <item m="1" x="491"/>
        <item m="1" x="803"/>
        <item m="1" x="894"/>
        <item m="1" x="1323"/>
        <item m="1" x="647"/>
        <item m="1" x="1326"/>
        <item m="1" x="743"/>
        <item m="1" x="1315"/>
        <item m="1" x="1479"/>
        <item m="1" x="407"/>
        <item m="1" x="1463"/>
        <item m="1" x="354"/>
        <item m="1" x="1216"/>
        <item m="1" x="834"/>
        <item m="1" x="665"/>
        <item m="1" x="628"/>
        <item m="1" x="772"/>
        <item m="1" x="371"/>
        <item m="1" x="1456"/>
        <item m="1" x="455"/>
        <item m="1" x="476"/>
        <item m="1" x="1349"/>
        <item m="1" x="1428"/>
        <item m="1" x="942"/>
        <item m="1" x="1083"/>
        <item m="1" x="784"/>
        <item m="1" x="897"/>
        <item m="1" x="1046"/>
        <item m="1" x="1163"/>
        <item m="1" x="750"/>
        <item m="1" x="1026"/>
        <item m="1" x="845"/>
        <item m="1" x="1482"/>
        <item m="1" x="335"/>
        <item m="1" x="774"/>
        <item m="1" x="715"/>
        <item m="1" x="676"/>
        <item m="1" x="1470"/>
        <item m="1" x="1288"/>
        <item m="1" x="1419"/>
        <item m="1" x="432"/>
        <item m="1" x="1430"/>
        <item m="1" x="1417"/>
        <item m="1" x="1294"/>
        <item m="1" x="529"/>
        <item m="1" x="898"/>
        <item m="1" x="991"/>
        <item m="1" x="737"/>
        <item m="1" x="1335"/>
        <item m="1" x="1121"/>
        <item m="1" x="1141"/>
        <item m="1" x="1035"/>
        <item m="1" x="378"/>
        <item m="1" x="1208"/>
        <item m="1" x="1370"/>
        <item m="1" x="775"/>
        <item m="1" x="1489"/>
        <item m="1" x="983"/>
        <item m="1" x="570"/>
        <item m="1" x="703"/>
        <item m="1" x="739"/>
        <item m="1" x="1398"/>
        <item m="1" x="1382"/>
        <item m="1" x="442"/>
        <item m="1" x="444"/>
        <item m="1" x="358"/>
        <item m="1" x="1318"/>
        <item m="1" x="360"/>
        <item m="1" x="777"/>
        <item m="1" x="677"/>
        <item m="1" x="1133"/>
        <item m="1" x="1076"/>
        <item m="1" x="1425"/>
        <item m="1" x="1357"/>
        <item m="1" x="849"/>
        <item m="1" x="1063"/>
        <item m="1" x="1298"/>
        <item m="1" x="411"/>
        <item m="1" x="843"/>
        <item m="1" x="773"/>
        <item m="1" x="1467"/>
        <item m="1" x="1434"/>
        <item m="1" x="865"/>
        <item m="1" x="471"/>
        <item m="1" x="766"/>
        <item m="1" x="939"/>
        <item m="1" x="393"/>
        <item m="1" x="1229"/>
        <item m="1" x="823"/>
        <item m="1" x="633"/>
        <item m="1" x="727"/>
        <item m="1" x="1173"/>
        <item m="1" x="1472"/>
        <item m="1" x="551"/>
        <item m="1" x="1324"/>
        <item m="1" x="545"/>
        <item m="1" x="1109"/>
        <item m="1" x="881"/>
        <item m="1" x="812"/>
        <item m="1" x="534"/>
        <item m="1" x="601"/>
        <item m="1" x="389"/>
        <item m="1" x="1189"/>
        <item m="1" x="702"/>
        <item m="1" x="426"/>
        <item m="1" x="1040"/>
        <item m="1" x="1355"/>
        <item m="1" x="895"/>
        <item m="1" x="853"/>
        <item m="1" x="324"/>
        <item m="1" x="1460"/>
        <item m="1" x="710"/>
        <item m="1" x="770"/>
        <item m="1" x="1177"/>
        <item m="1" x="1454"/>
        <item m="1" x="1379"/>
        <item m="1" x="1230"/>
        <item m="1" x="1345"/>
        <item m="1" x="506"/>
        <item m="1" x="705"/>
        <item m="1" x="538"/>
        <item m="1" x="330"/>
        <item m="1" x="943"/>
        <item m="1" x="392"/>
        <item m="1" x="614"/>
        <item m="1" x="558"/>
        <item m="1" x="504"/>
        <item m="1" x="1459"/>
        <item m="1" x="555"/>
        <item m="1" x="1157"/>
        <item m="1" x="1369"/>
        <item m="1" x="495"/>
        <item m="1" x="399"/>
        <item m="1" x="1192"/>
        <item m="1" x="1168"/>
        <item m="1" x="1209"/>
        <item m="1" x="1128"/>
        <item m="1" x="472"/>
        <item m="1" x="828"/>
        <item m="1" x="1096"/>
        <item m="1" x="1346"/>
        <item m="1" x="940"/>
        <item m="1" x="1058"/>
        <item m="1" x="1402"/>
        <item m="1" x="814"/>
        <item m="1" x="658"/>
        <item m="1" x="891"/>
        <item m="1" x="838"/>
        <item m="1" x="768"/>
        <item m="1" x="1285"/>
        <item m="1" x="972"/>
        <item m="1" x="1068"/>
        <item m="1" x="319"/>
        <item m="1" x="864"/>
        <item m="1" x="466"/>
        <item m="1" x="733"/>
        <item m="1" x="871"/>
        <item m="1" x="401"/>
        <item m="1" x="518"/>
        <item m="1" x="973"/>
        <item m="1" x="1170"/>
        <item m="1" x="1440"/>
        <item m="1" x="1483"/>
        <item m="1" x="1093"/>
        <item m="1" x="441"/>
        <item m="1" x="369"/>
        <item m="1" x="955"/>
        <item m="1" x="577"/>
        <item m="1" x="851"/>
        <item m="1" x="479"/>
        <item m="1" x="582"/>
        <item m="1" x="1009"/>
        <item m="1" x="1365"/>
        <item m="1" x="1296"/>
        <item m="1" x="712"/>
        <item m="1" x="747"/>
        <item m="1" x="1023"/>
        <item m="1" x="1453"/>
        <item m="1" x="1179"/>
        <item m="1" x="345"/>
        <item m="1" x="1407"/>
        <item m="1" x="453"/>
        <item m="1" x="1099"/>
        <item m="1" x="1144"/>
        <item m="1" x="1147"/>
        <item m="1" x="1487"/>
        <item m="1" x="380"/>
        <item m="1" x="1158"/>
        <item m="1" x="1255"/>
        <item m="1" x="1027"/>
        <item m="1" x="1197"/>
        <item m="1" x="439"/>
        <item m="1" x="831"/>
        <item m="1" x="678"/>
        <item m="1" x="1290"/>
        <item m="1" x="1385"/>
        <item m="1" x="914"/>
        <item m="1" x="1353"/>
        <item m="1" x="1401"/>
        <item m="1" x="754"/>
        <item m="1" x="1257"/>
        <item m="1" x="1120"/>
        <item m="1" x="1403"/>
        <item m="1" x="1447"/>
        <item m="1" x="1185"/>
        <item m="1" x="795"/>
        <item m="1" x="600"/>
        <item m="1" x="1435"/>
        <item m="1" x="982"/>
        <item m="1" x="956"/>
        <item m="1" x="965"/>
        <item m="1" x="1486"/>
        <item m="1" x="1210"/>
        <item m="1" x="905"/>
        <item m="1" x="1174"/>
        <item m="1" x="1151"/>
        <item m="1" x="767"/>
        <item m="1" x="668"/>
        <item m="1" x="1167"/>
        <item m="1" x="562"/>
        <item m="1" x="519"/>
        <item m="1" x="461"/>
        <item m="1" x="1448"/>
        <item m="1" x="1064"/>
        <item m="1" x="799"/>
        <item m="1" x="880"/>
        <item m="1" x="361"/>
        <item m="1" x="1437"/>
        <item m="1" x="988"/>
        <item m="1" x="1136"/>
        <item m="1" x="584"/>
        <item m="1" x="1268"/>
        <item m="1" x="771"/>
        <item m="1" x="664"/>
        <item m="1" x="1492"/>
        <item m="1" x="794"/>
        <item m="1" x="1433"/>
        <item m="1" x="1019"/>
        <item m="1" x="695"/>
        <item m="1" x="486"/>
        <item m="1" x="429"/>
        <item m="1" x="723"/>
        <item m="1" x="420"/>
        <item m="1" x="391"/>
        <item m="1" x="408"/>
        <item m="1" x="687"/>
        <item m="1" x="532"/>
        <item m="1" x="839"/>
        <item m="1" x="896"/>
        <item m="1" x="995"/>
        <item m="1" x="866"/>
        <item m="1" x="1199"/>
        <item m="1" x="1263"/>
        <item m="1" x="475"/>
        <item m="1" x="485"/>
        <item m="1" x="674"/>
        <item m="1" x="816"/>
        <item m="1" x="606"/>
        <item m="1" x="1159"/>
        <item m="1" x="909"/>
        <item m="1" x="826"/>
        <item m="1" x="959"/>
        <item m="1" x="1265"/>
        <item m="1" x="1203"/>
        <item m="1" x="1289"/>
        <item m="1" x="1045"/>
        <item m="1" x="465"/>
        <item m="1" x="1471"/>
        <item m="1" x="884"/>
        <item m="1" x="499"/>
        <item m="1" x="323"/>
        <item m="1" x="1468"/>
        <item m="1" x="952"/>
        <item m="1" x="919"/>
        <item m="1" x="691"/>
        <item m="1" x="571"/>
        <item m="1" x="655"/>
        <item m="1" x="809"/>
        <item m="1" x="1384"/>
        <item m="1" x="1303"/>
        <item m="1" x="679"/>
        <item m="1" x="752"/>
        <item m="1" x="759"/>
        <item m="1" x="1297"/>
        <item m="1" x="900"/>
        <item m="1" x="372"/>
        <item m="1" x="933"/>
        <item m="1" x="1212"/>
        <item m="1" x="1338"/>
        <item m="1" x="1231"/>
        <item m="1" x="1039"/>
        <item m="1" x="1337"/>
        <item m="1" x="351"/>
        <item m="1" x="1254"/>
        <item m="1" x="333"/>
        <item m="1" x="673"/>
        <item m="1" x="337"/>
        <item m="1" x="496"/>
        <item m="1" x="586"/>
        <item m="1" x="592"/>
        <item m="1" x="1010"/>
        <item m="1" x="1264"/>
        <item m="1" x="791"/>
        <item m="1" x="362"/>
        <item m="1" x="568"/>
        <item m="1" x="356"/>
        <item m="1" x="1351"/>
        <item m="1" x="576"/>
        <item m="1" x="912"/>
        <item m="1" x="1371"/>
        <item m="1" x="698"/>
        <item m="1" x="640"/>
        <item m="1" x="1036"/>
        <item m="1" x="593"/>
        <item m="1" x="901"/>
        <item m="1" x="1195"/>
        <item m="1" x="334"/>
        <item m="1" x="847"/>
        <item m="1" x="966"/>
        <item m="1" x="458"/>
        <item m="1" x="800"/>
        <item m="1" x="935"/>
        <item m="1" x="686"/>
        <item m="1" x="724"/>
        <item m="1" x="451"/>
        <item m="1" x="857"/>
        <item m="1" x="321"/>
        <item m="1" x="993"/>
        <item m="1" x="1386"/>
        <item m="1" x="1107"/>
        <item m="1" x="1101"/>
        <item m="1" x="1000"/>
        <item m="1" x="326"/>
        <item m="1" x="1132"/>
        <item m="1" x="1175"/>
        <item m="1" x="981"/>
        <item m="1" x="325"/>
        <item m="1" x="1332"/>
        <item m="1" x="1299"/>
        <item m="1" x="329"/>
        <item m="1" x="608"/>
        <item m="1" x="998"/>
        <item m="1" x="1253"/>
        <item m="1" x="450"/>
        <item m="1" x="346"/>
        <item m="1" x="505"/>
        <item m="1" x="396"/>
        <item m="1" x="804"/>
        <item m="1" x="617"/>
        <item m="1" x="615"/>
        <item m="1" x="786"/>
        <item m="1" x="888"/>
        <item m="1" x="792"/>
        <item m="1" x="989"/>
        <item m="1" x="841"/>
        <item m="1" x="706"/>
        <item m="1" x="821"/>
        <item m="1" x="1314"/>
        <item m="1" x="1409"/>
        <item m="1" x="666"/>
        <item m="1" x="1389"/>
        <item m="1" x="431"/>
        <item m="1" x="1378"/>
        <item m="1" x="1075"/>
        <item m="1" x="1246"/>
        <item m="1" x="1325"/>
        <item m="1" x="1005"/>
        <item m="1" x="1217"/>
        <item m="1" x="509"/>
        <item m="1" x="492"/>
        <item m="1" x="1114"/>
        <item m="1" x="1086"/>
        <item m="1" x="648"/>
        <item m="1" x="1484"/>
        <item m="1" x="1056"/>
        <item m="1" x="796"/>
        <item m="1" x="870"/>
        <item m="1" x="829"/>
        <item m="1" x="1339"/>
        <item m="1" x="1343"/>
        <item m="1" x="339"/>
        <item m="1" x="1223"/>
        <item m="1" x="1269"/>
        <item m="1" x="388"/>
        <item m="1" x="760"/>
        <item m="1" x="751"/>
        <item m="1" x="1258"/>
        <item m="1" x="957"/>
        <item m="1" x="1161"/>
        <item m="1" x="827"/>
        <item m="1" x="1178"/>
        <item m="1" x="366"/>
        <item m="1" x="489"/>
        <item m="1" x="1458"/>
        <item m="1" x="1078"/>
        <item m="1" x="1450"/>
        <item m="1" x="370"/>
        <item m="1" x="630"/>
        <item m="1" x="446"/>
        <item m="1" x="379"/>
        <item m="1" x="394"/>
        <item m="1" x="946"/>
        <item m="1" x="979"/>
        <item m="1" x="651"/>
        <item m="1" x="1069"/>
        <item m="1" x="1387"/>
        <item m="1" x="738"/>
        <item m="1" x="817"/>
        <item m="1" x="967"/>
        <item m="1" x="1455"/>
        <item m="1" x="632"/>
        <item m="1" x="644"/>
        <item m="1" x="654"/>
        <item m="1" x="1275"/>
        <item m="1" x="1411"/>
        <item m="1" x="328"/>
        <item m="1" x="1155"/>
        <item m="1" x="1451"/>
        <item m="1" x="552"/>
        <item m="1" x="867"/>
        <item m="1" x="1488"/>
        <item m="1" x="1394"/>
        <item m="1" x="541"/>
        <item m="1" x="653"/>
        <item m="1" x="740"/>
        <item m="1" x="1065"/>
        <item m="1" x="1262"/>
        <item m="1" x="497"/>
        <item m="1" x="968"/>
        <item m="1" x="493"/>
        <item m="1" x="462"/>
        <item m="1" x="410"/>
        <item m="1" x="1381"/>
        <item m="1" x="974"/>
        <item m="1" x="1422"/>
        <item m="1" x="815"/>
        <item m="1" x="1439"/>
        <item m="1" x="1191"/>
        <item m="1" x="480"/>
        <item m="1" x="1295"/>
        <item m="1" x="1309"/>
        <item m="1" x="969"/>
        <item m="1" x="1344"/>
        <item m="1" x="1182"/>
        <item m="1" x="1047"/>
        <item m="1" x="364"/>
        <item m="1" x="1193"/>
        <item m="1" x="925"/>
        <item m="1" x="858"/>
        <item m="1" x="1201"/>
        <item m="1" x="785"/>
        <item m="1" x="419"/>
        <item m="1" x="591"/>
        <item m="1" x="368"/>
        <item m="1" x="717"/>
        <item m="1" x="1095"/>
        <item m="1" x="680"/>
        <item m="1" x="543"/>
        <item m="1" x="758"/>
        <item m="1" x="436"/>
        <item m="1" x="688"/>
        <item m="1" x="559"/>
        <item m="1" x="910"/>
        <item m="1" x="1497"/>
        <item m="1" x="951"/>
        <item m="1" x="547"/>
        <item m="1" x="824"/>
        <item m="1" x="530"/>
        <item m="1" x="583"/>
        <item m="1" x="875"/>
        <item m="1" x="1143"/>
        <item m="1" x="860"/>
        <item m="1" x="1310"/>
        <item m="1" x="872"/>
        <item m="1" x="1106"/>
        <item m="1" x="421"/>
        <item m="1" x="904"/>
        <item m="1" x="544"/>
        <item m="1" x="474"/>
        <item m="1" x="1200"/>
        <item m="1" x="515"/>
        <item m="1" x="1224"/>
        <item m="1" x="416"/>
        <item m="1" x="1041"/>
        <item m="1" x="1048"/>
        <item m="1" x="452"/>
        <item m="1" x="970"/>
        <item m="1" x="348"/>
        <item m="1" x="1171"/>
        <item m="1" x="876"/>
        <item m="1" x="1097"/>
        <item m="1" x="1066"/>
        <item m="1" x="1286"/>
        <item m="1" x="1059"/>
        <item m="1" x="637"/>
        <item m="1" x="1138"/>
        <item m="1" x="1272"/>
        <item m="1" x="962"/>
        <item m="1" x="1094"/>
        <item m="1" x="427"/>
        <item m="1" x="1260"/>
        <item m="1" x="917"/>
        <item m="1" x="782"/>
        <item m="1" x="1166"/>
        <item m="1" x="692"/>
        <item m="1" x="1015"/>
        <item m="1" x="549"/>
        <item m="1" x="645"/>
        <item m="1" x="1042"/>
        <item m="1" x="811"/>
        <item m="1" x="355"/>
        <item m="1" x="689"/>
        <item m="1" x="1169"/>
        <item m="1" x="1271"/>
        <item m="1" x="374"/>
        <item m="1" x="659"/>
        <item m="1" x="594"/>
        <item m="1" x="927"/>
        <item m="1" x="1020"/>
        <item m="1" x="460"/>
        <item m="1" x="1442"/>
        <item m="1" x="425"/>
        <item m="1" x="498"/>
        <item m="1" x="1279"/>
        <item m="1" x="787"/>
        <item m="1" x="801"/>
        <item m="1" x="855"/>
        <item m="1" x="430"/>
        <item m="1" x="709"/>
        <item m="1" x="1104"/>
        <item m="1" x="1016"/>
        <item m="1" x="806"/>
        <item m="1" x="753"/>
        <item m="1" x="383"/>
        <item m="1" x="621"/>
        <item m="1" x="1085"/>
        <item m="1" x="719"/>
        <item m="1" x="882"/>
        <item m="1" x="819"/>
        <item m="1" x="1001"/>
        <item m="1" x="365"/>
        <item m="1" x="846"/>
        <item m="1" x="520"/>
        <item m="1" x="923"/>
        <item m="1" x="1049"/>
        <item m="1" x="1125"/>
        <item m="1" x="1060"/>
        <item m="1" x="1021"/>
        <item m="1" x="947"/>
        <item m="1" x="1358"/>
        <item m="1" x="1250"/>
        <item m="1" x="501"/>
        <item m="1" x="1242"/>
        <item m="1" x="696"/>
        <item m="1" x="1006"/>
        <item m="1" x="412"/>
        <item m="1" x="985"/>
        <item m="1" x="852"/>
        <item m="1" x="1284"/>
        <item m="1" x="438"/>
        <item m="1" x="1495"/>
        <item m="1" x="477"/>
        <item m="1" x="417"/>
        <item m="1" x="987"/>
        <item m="1" x="1187"/>
        <item m="1" x="1090"/>
        <item m="1" x="376"/>
        <item m="1" x="528"/>
        <item m="1" x="1316"/>
        <item m="1" x="1256"/>
        <item m="1" x="511"/>
        <item m="1" x="484"/>
        <item m="1" x="779"/>
        <item m="1" x="400"/>
        <item m="1" x="1007"/>
        <item m="1" x="440"/>
        <item m="1" x="610"/>
        <item m="1" x="907"/>
        <item m="1" x="1438"/>
        <item m="1" x="478"/>
        <item m="1" x="748"/>
        <item m="1" x="595"/>
        <item m="1" x="757"/>
        <item m="1" x="1311"/>
        <item m="1" x="1194"/>
        <item m="1" x="656"/>
        <item m="1" x="409"/>
        <item m="1" x="1359"/>
        <item m="1" x="522"/>
        <item m="1" x="1304"/>
        <item m="1" x="861"/>
        <item m="1" x="1245"/>
        <item m="1" x="604"/>
        <item m="1" x="776"/>
        <item m="1" x="1261"/>
        <item m="1" x="1449"/>
        <item m="1" x="1225"/>
        <item m="1" x="624"/>
        <item m="1" x="567"/>
        <item m="1" x="1270"/>
        <item m="1" x="1034"/>
        <item m="1" x="878"/>
        <item m="1" x="1302"/>
        <item m="1" x="350"/>
        <item m="1" x="347"/>
        <item m="1" x="1022"/>
        <item m="1" x="1162"/>
        <item m="1" x="1117"/>
        <item m="1" x="1300"/>
        <item m="1" x="825"/>
        <item m="1" x="572"/>
        <item m="1" x="646"/>
        <item m="1" x="1176"/>
        <item m="1" x="728"/>
        <item m="1" x="958"/>
        <item m="1" x="1373"/>
        <item m="1" x="611"/>
        <item m="1" x="948"/>
        <item m="1" x="332"/>
        <item m="1" x="66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m="1" x="649"/>
        <item m="1" x="1410"/>
        <item m="1" x="352"/>
        <item m="1" x="31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5">
    <i>
      <x/>
    </i>
    <i r="1">
      <x v="1491"/>
    </i>
    <i r="2">
      <x v="8"/>
    </i>
    <i r="2">
      <x v="11"/>
    </i>
    <i r="1">
      <x v="1492"/>
    </i>
    <i r="2">
      <x v="4"/>
    </i>
    <i r="2">
      <x v="8"/>
    </i>
    <i r="2">
      <x v="11"/>
    </i>
    <i r="1">
      <x v="1493"/>
    </i>
    <i r="2">
      <x v="4"/>
    </i>
    <i>
      <x v="1"/>
    </i>
    <i r="1">
      <x v="1450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F4F63A6-F71B-4DAE-A961-4FD34F09AD5E}" name="Table5" displayName="Table5" ref="A1:S2" totalsRowShown="0">
  <autoFilter ref="A1:S2" xr:uid="{5F4F63A6-F71B-4DAE-A961-4FD34F09AD5E}"/>
  <tableColumns count="19">
    <tableColumn id="1" xr3:uid="{84D2A3F5-3B6A-432D-AC6E-C04C2FB7BB0D}" name="App"/>
    <tableColumn id="2" xr3:uid="{1BE7BB52-C377-4A00-84D7-99921D967C2B}" name="Filter"/>
    <tableColumn id="3" xr3:uid="{7CE6F8AB-52A3-4618-B14B-4ADC1DC7B7C9}" name="Status"/>
    <tableColumn id="4" xr3:uid="{68F17F0E-22D6-4076-82EC-56AF4A7CAE1B}" name="Obj"/>
    <tableColumn id="5" xr3:uid="{013C0894-4793-413A-9015-3587F573E2B7}" name="Requested"/>
    <tableColumn id="6" xr3:uid="{B01AD3A0-F934-494B-912D-7617D8636BE9}" name="CurrentParent"/>
    <tableColumn id="7" xr3:uid="{649EDE3D-4003-4CEA-BE6A-F6FA098588F6}" name="type"/>
    <tableColumn id="8" xr3:uid="{542C18F2-834D-4D8B-843E-BD0FC519700D}" name="LFF_ID"/>
    <tableColumn id="9" xr3:uid="{F9DB6B3A-5783-4110-8997-69FEFBEE7356}" name="Analysis"/>
    <tableColumn id="10" xr3:uid="{F8314E2A-7F85-49D5-B407-E8B6C24C3848}" name="Check"/>
    <tableColumn id="11" xr3:uid="{F01A8D32-5B52-4528-85D7-51EED3E652ED}" name="Sector"/>
    <tableColumn id="12" xr3:uid="{715D14BD-C8A0-4FB4-A1E0-C01482D6D4E1}" name="Forecast"/>
    <tableColumn id="13" xr3:uid="{B0C54DEB-6BFE-4D6E-8308-851090921B2D}" name="DateOpened" dataDxfId="30"/>
    <tableColumn id="14" xr3:uid="{6C0E06A3-27FC-4A36-B5AB-3DE86EDC099D}" name="DateMapped"/>
    <tableColumn id="15" xr3:uid="{FAB5457C-3D13-43D3-A2B5-C40CA776C09C}" name="DateClosed"/>
    <tableColumn id="16" xr3:uid="{24DEB4C1-C791-4F96-B3B3-5412437F732F}" name="Delayed?"/>
    <tableColumn id="17" xr3:uid="{C510F385-85A4-4CD8-A5D6-89E0017D421E}" name="DaysAgeing"/>
    <tableColumn id="18" xr3:uid="{B3630368-7AC9-444B-B435-17FE8FC0B8B0}" name="Author"/>
    <tableColumn id="19" xr3:uid="{075B6B2D-1DA0-41B8-BEAF-5957F6E2D5B5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120342-6C3F-4F4D-A711-BD608B6A2C40}" name="Table7" displayName="Table7" ref="A1:S2" totalsRowShown="0">
  <autoFilter ref="A1:S2" xr:uid="{43120342-6C3F-4F4D-A711-BD608B6A2C40}"/>
  <tableColumns count="19">
    <tableColumn id="1" xr3:uid="{61A977E3-64E0-4D88-B7B3-3FDC5C1B0986}" name="App"/>
    <tableColumn id="2" xr3:uid="{7A2A5F3A-2ABB-4F8A-BBF6-4CED403D8C24}" name="Filter"/>
    <tableColumn id="3" xr3:uid="{60AB6245-A4FC-481F-ABCC-810648ABB186}" name="Status"/>
    <tableColumn id="4" xr3:uid="{2E695776-D188-45DC-856A-39FF9AB51A69}" name="Obj"/>
    <tableColumn id="5" xr3:uid="{DBDB3171-3FD0-47CB-9ACB-EF962123FC88}" name="Requested"/>
    <tableColumn id="6" xr3:uid="{8B2E82EA-20DA-4C86-8A5D-FC582BF2C1AA}" name="CurrentParent"/>
    <tableColumn id="7" xr3:uid="{4A0CA0B8-C9AE-414F-A16A-1C85E5D83F03}" name="type"/>
    <tableColumn id="8" xr3:uid="{2AD888A3-E41B-403B-BBFB-986EFBC5DF29}" name="LFF_ID"/>
    <tableColumn id="9" xr3:uid="{EBE94A6E-3617-4318-8FA1-D84F644C48C2}" name="Analysis"/>
    <tableColumn id="10" xr3:uid="{942158D9-BDFB-4DE8-BFCD-DDD39C479B17}" name="Check"/>
    <tableColumn id="11" xr3:uid="{A3688834-30F9-46E3-99D2-08036B6D1FBD}" name="Sector"/>
    <tableColumn id="12" xr3:uid="{53C0ABE2-4FA1-4540-BF02-4935207ACDD5}" name="Forecast"/>
    <tableColumn id="13" xr3:uid="{A02766E9-5ECF-46E8-895D-9A57AE1314AC}" name="DateOpened" dataDxfId="29"/>
    <tableColumn id="14" xr3:uid="{DD240EF2-98A7-4D22-83EB-3CB11DBBB599}" name="DateMapped"/>
    <tableColumn id="15" xr3:uid="{BCCC7645-2DF8-4A13-8012-D5AC18ABF812}" name="DateClosed"/>
    <tableColumn id="16" xr3:uid="{52138F05-354A-46B5-8B3C-1D327F58DDC5}" name="Delayed?"/>
    <tableColumn id="17" xr3:uid="{66172617-5A00-48B3-829B-7A2F8E5AED00}" name="DaysAgeing"/>
    <tableColumn id="18" xr3:uid="{CB3F51A1-0082-4720-972D-95FF53BA037A}" name="Author"/>
    <tableColumn id="19" xr3:uid="{C73669AA-A9E9-4D6E-93A7-644A6B8B50FD}" name="Prognosi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37" totalsRowShown="0" totalsRowDxfId="23">
  <autoFilter ref="A1:C1237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433" totalsRowShown="0">
  <autoFilter ref="A1:S3433" xr:uid="{678037D6-A574-4B81-B392-ED766472D9FE}">
    <filterColumn colId="1">
      <filters>
        <filter val="open"/>
      </filters>
    </filterColumn>
    <filterColumn colId="6">
      <filters>
        <filter val="LFF (MDG-F)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1" totalsRowShown="0">
  <autoFilter ref="A1:B13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18" sqref="C18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5">
        <v>1195</v>
      </c>
    </row>
    <row r="5" spans="1:2">
      <c r="A5" s="111" t="s">
        <v>369</v>
      </c>
      <c r="B5" s="125">
        <v>979</v>
      </c>
    </row>
    <row r="6" spans="1:2">
      <c r="A6" s="111" t="s">
        <v>404</v>
      </c>
      <c r="B6" s="125">
        <v>1</v>
      </c>
    </row>
    <row r="7" spans="1:2">
      <c r="A7" s="111" t="s">
        <v>370</v>
      </c>
      <c r="B7" s="125">
        <v>74</v>
      </c>
    </row>
    <row r="8" spans="1:2">
      <c r="A8" s="111" t="s">
        <v>403</v>
      </c>
      <c r="B8" s="125"/>
    </row>
    <row r="9" spans="1:2">
      <c r="A9" s="111" t="s">
        <v>398</v>
      </c>
      <c r="B9" s="125"/>
    </row>
    <row r="10" spans="1:2">
      <c r="A10" s="111" t="s">
        <v>377</v>
      </c>
      <c r="B10" s="125">
        <v>37</v>
      </c>
    </row>
    <row r="11" spans="1:2">
      <c r="A11" s="111" t="s">
        <v>375</v>
      </c>
      <c r="B11" s="125">
        <v>104</v>
      </c>
    </row>
    <row r="12" spans="1:2">
      <c r="A12" s="111" t="s">
        <v>405</v>
      </c>
      <c r="B12" s="125"/>
    </row>
    <row r="13" spans="1:2">
      <c r="A13" s="111" t="s">
        <v>692</v>
      </c>
      <c r="B13" s="125"/>
    </row>
    <row r="14" spans="1:2">
      <c r="A14" s="17" t="s">
        <v>568</v>
      </c>
      <c r="B14" s="125">
        <v>843</v>
      </c>
    </row>
    <row r="15" spans="1:2">
      <c r="A15" s="111" t="s">
        <v>369</v>
      </c>
      <c r="B15" s="125">
        <v>810</v>
      </c>
    </row>
    <row r="16" spans="1:2">
      <c r="A16" s="111" t="s">
        <v>370</v>
      </c>
      <c r="B16" s="125">
        <v>10</v>
      </c>
    </row>
    <row r="17" spans="1:2">
      <c r="A17" s="111" t="s">
        <v>398</v>
      </c>
      <c r="B17" s="125">
        <v>13</v>
      </c>
    </row>
    <row r="18" spans="1:2">
      <c r="A18" s="111" t="s">
        <v>377</v>
      </c>
      <c r="B18" s="125">
        <v>9</v>
      </c>
    </row>
    <row r="19" spans="1:2">
      <c r="A19" s="111" t="s">
        <v>375</v>
      </c>
      <c r="B19" s="125">
        <v>1</v>
      </c>
    </row>
    <row r="20" spans="1:2">
      <c r="A20" s="17" t="s">
        <v>569</v>
      </c>
      <c r="B20" s="125">
        <v>1247</v>
      </c>
    </row>
    <row r="21" spans="1:2">
      <c r="A21" s="111" t="s">
        <v>369</v>
      </c>
      <c r="B21" s="125">
        <v>1219</v>
      </c>
    </row>
    <row r="22" spans="1:2">
      <c r="A22" s="111" t="s">
        <v>404</v>
      </c>
      <c r="B22" s="125">
        <v>13</v>
      </c>
    </row>
    <row r="23" spans="1:2">
      <c r="A23" s="111" t="s">
        <v>398</v>
      </c>
      <c r="B23" s="125">
        <v>8</v>
      </c>
    </row>
    <row r="24" spans="1:2">
      <c r="A24" s="111" t="s">
        <v>377</v>
      </c>
      <c r="B24" s="125">
        <v>7</v>
      </c>
    </row>
    <row r="25" spans="1:2">
      <c r="A25" s="17" t="s">
        <v>570</v>
      </c>
      <c r="B25" s="125">
        <v>138</v>
      </c>
    </row>
    <row r="26" spans="1:2">
      <c r="A26" s="111" t="s">
        <v>369</v>
      </c>
      <c r="B26" s="125">
        <v>136</v>
      </c>
    </row>
    <row r="27" spans="1:2">
      <c r="A27" s="111" t="s">
        <v>377</v>
      </c>
      <c r="B27" s="125">
        <v>2</v>
      </c>
    </row>
    <row r="28" spans="1:2">
      <c r="A28" s="17" t="s">
        <v>381</v>
      </c>
      <c r="B28" s="125">
        <v>3423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CF847-3DB8-4107-8833-78EE12D71E5C}">
  <dimension ref="A1:S2"/>
  <sheetViews>
    <sheetView workbookViewId="0">
      <selection activeCell="D2" sqref="D2"/>
    </sheetView>
  </sheetViews>
  <sheetFormatPr defaultRowHeight="15"/>
  <cols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5313</v>
      </c>
      <c r="B2" t="s">
        <v>925</v>
      </c>
      <c r="C2" t="s">
        <v>375</v>
      </c>
      <c r="D2" t="s">
        <v>5311</v>
      </c>
      <c r="E2" t="s">
        <v>5312</v>
      </c>
      <c r="F2" t="s">
        <v>5533</v>
      </c>
      <c r="G2" t="s">
        <v>406</v>
      </c>
      <c r="H2" t="s">
        <v>5587</v>
      </c>
      <c r="J2" t="b">
        <v>0</v>
      </c>
      <c r="K2" t="s">
        <v>568</v>
      </c>
      <c r="L2" t="s">
        <v>4897</v>
      </c>
      <c r="M2" s="115">
        <v>45874</v>
      </c>
      <c r="P2" t="s">
        <v>2818</v>
      </c>
      <c r="Q2">
        <v>1</v>
      </c>
      <c r="R2" t="s">
        <v>489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E841-80C3-4507-B169-A5FA83FF46AA}">
  <dimension ref="A1:S2"/>
  <sheetViews>
    <sheetView workbookViewId="0">
      <selection activeCell="D2" sqref="D2"/>
    </sheetView>
  </sheetViews>
  <sheetFormatPr defaultRowHeight="15"/>
  <cols>
    <col min="4" max="4" width="23.710937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5520</v>
      </c>
      <c r="B2" t="s">
        <v>925</v>
      </c>
      <c r="C2" t="s">
        <v>404</v>
      </c>
      <c r="D2" t="s">
        <v>5368</v>
      </c>
      <c r="E2" t="s">
        <v>4412</v>
      </c>
      <c r="F2" t="s">
        <v>5549</v>
      </c>
      <c r="G2" t="s">
        <v>406</v>
      </c>
      <c r="H2" t="s">
        <v>5588</v>
      </c>
      <c r="I2" t="s">
        <v>5521</v>
      </c>
      <c r="J2" t="b">
        <v>0</v>
      </c>
      <c r="K2" t="s">
        <v>567</v>
      </c>
      <c r="M2" s="115">
        <v>45874</v>
      </c>
      <c r="P2" t="s">
        <v>2818</v>
      </c>
      <c r="Q2">
        <v>1</v>
      </c>
      <c r="R2" t="s">
        <v>1459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40"/>
  <sheetViews>
    <sheetView zoomScale="115" zoomScaleNormal="115" workbookViewId="0">
      <selection activeCell="D16" sqref="D16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5">
        <v>202</v>
      </c>
      <c r="C5"/>
      <c r="D5"/>
      <c r="E5"/>
    </row>
    <row r="6" spans="1:6">
      <c r="A6" s="111" t="s">
        <v>5313</v>
      </c>
      <c r="B6" s="125">
        <v>11</v>
      </c>
      <c r="C6"/>
      <c r="D6" s="124"/>
      <c r="E6" s="124"/>
    </row>
    <row r="7" spans="1:6">
      <c r="A7" s="112" t="s">
        <v>370</v>
      </c>
      <c r="B7" s="125">
        <v>10</v>
      </c>
      <c r="C7"/>
      <c r="D7"/>
      <c r="E7"/>
    </row>
    <row r="8" spans="1:6">
      <c r="A8" s="112" t="s">
        <v>375</v>
      </c>
      <c r="B8" s="125">
        <v>1</v>
      </c>
      <c r="C8" s="56"/>
      <c r="D8" s="124"/>
      <c r="E8" s="124"/>
    </row>
    <row r="9" spans="1:6">
      <c r="A9" s="111" t="s">
        <v>5520</v>
      </c>
      <c r="B9" s="125">
        <v>178</v>
      </c>
      <c r="C9"/>
      <c r="D9"/>
    </row>
    <row r="10" spans="1:6">
      <c r="A10" s="112" t="s">
        <v>404</v>
      </c>
      <c r="B10" s="125">
        <v>1</v>
      </c>
      <c r="C10" s="53"/>
      <c r="D10" s="124"/>
      <c r="E10" s="124"/>
    </row>
    <row r="11" spans="1:6">
      <c r="A11" s="112" t="s">
        <v>370</v>
      </c>
      <c r="B11" s="125">
        <v>73</v>
      </c>
      <c r="C11"/>
      <c r="D11"/>
    </row>
    <row r="12" spans="1:6">
      <c r="A12" s="112" t="s">
        <v>375</v>
      </c>
      <c r="B12" s="125">
        <v>104</v>
      </c>
      <c r="C12"/>
      <c r="D12"/>
    </row>
    <row r="13" spans="1:6">
      <c r="A13" s="111" t="s">
        <v>5581</v>
      </c>
      <c r="B13" s="125">
        <v>13</v>
      </c>
      <c r="C13"/>
      <c r="D13"/>
    </row>
    <row r="14" spans="1:6">
      <c r="A14" s="112" t="s">
        <v>404</v>
      </c>
      <c r="B14" s="125">
        <v>13</v>
      </c>
      <c r="C14" s="53"/>
      <c r="D14"/>
    </row>
    <row r="15" spans="1:6">
      <c r="A15" s="17" t="s">
        <v>4328</v>
      </c>
      <c r="B15" s="125">
        <v>11</v>
      </c>
      <c r="C15"/>
      <c r="D15" s="124"/>
      <c r="E15" s="124"/>
    </row>
    <row r="16" spans="1:6">
      <c r="A16" s="111" t="s">
        <v>4415</v>
      </c>
      <c r="B16" s="125">
        <v>11</v>
      </c>
      <c r="C16"/>
      <c r="D16"/>
    </row>
    <row r="17" spans="1:5">
      <c r="A17" s="112" t="s">
        <v>369</v>
      </c>
      <c r="B17" s="125">
        <v>10</v>
      </c>
      <c r="C17"/>
      <c r="D17" s="124"/>
      <c r="E17" s="124"/>
    </row>
    <row r="18" spans="1:5">
      <c r="A18" s="112" t="s">
        <v>370</v>
      </c>
      <c r="B18" s="125">
        <v>1</v>
      </c>
      <c r="C18"/>
      <c r="D18"/>
    </row>
    <row r="19" spans="1:5">
      <c r="A19" s="17" t="s">
        <v>381</v>
      </c>
      <c r="B19" s="125">
        <v>213</v>
      </c>
      <c r="C19" s="47"/>
      <c r="D19"/>
    </row>
    <row r="21" spans="1:5" ht="17.25" customHeight="1"/>
    <row r="25" spans="1:5">
      <c r="D25" s="124"/>
      <c r="E25" s="124"/>
    </row>
    <row r="36" spans="2:3">
      <c r="B36" s="126"/>
      <c r="C36" s="30"/>
    </row>
    <row r="37" spans="2:3">
      <c r="B37" s="126"/>
      <c r="C37" s="30"/>
    </row>
    <row r="38" spans="2:3">
      <c r="B38" s="126"/>
      <c r="C38" s="30"/>
    </row>
    <row r="39" spans="2:3">
      <c r="B39" s="126"/>
      <c r="C39" s="30"/>
    </row>
    <row r="40" spans="2:3">
      <c r="B40" s="126"/>
      <c r="C40" s="30"/>
    </row>
  </sheetData>
  <autoFilter ref="A2:F1358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37"/>
  <sheetViews>
    <sheetView topLeftCell="A1215" workbookViewId="0">
      <selection activeCell="F1236" sqref="F123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4418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4785</v>
      </c>
      <c r="B1197">
        <v>2</v>
      </c>
      <c r="C1197" s="117" t="s">
        <v>4</v>
      </c>
    </row>
    <row r="1198" spans="1:3">
      <c r="A1198" t="s">
        <v>4768</v>
      </c>
      <c r="B1198">
        <v>12</v>
      </c>
      <c r="C1198" s="117" t="s">
        <v>4</v>
      </c>
    </row>
    <row r="1199" spans="1:3">
      <c r="A1199" t="s">
        <v>4758</v>
      </c>
      <c r="B1199">
        <v>8</v>
      </c>
      <c r="C1199" s="117" t="s">
        <v>4</v>
      </c>
    </row>
    <row r="1200" spans="1:3">
      <c r="A1200" t="s">
        <v>4423</v>
      </c>
      <c r="B1200">
        <v>1</v>
      </c>
      <c r="C1200" s="117" t="s">
        <v>4</v>
      </c>
    </row>
    <row r="1201" spans="1:3">
      <c r="A1201" t="s">
        <v>4425</v>
      </c>
      <c r="B1201">
        <v>311</v>
      </c>
      <c r="C1201" s="117" t="s">
        <v>4</v>
      </c>
    </row>
    <row r="1202" spans="1:3">
      <c r="A1202" t="s">
        <v>4421</v>
      </c>
      <c r="B1202">
        <v>1</v>
      </c>
      <c r="C1202" s="117" t="s">
        <v>4</v>
      </c>
    </row>
    <row r="1203" spans="1:3">
      <c r="A1203" t="s">
        <v>4789</v>
      </c>
      <c r="B1203">
        <v>1</v>
      </c>
      <c r="C1203" s="117" t="s">
        <v>4</v>
      </c>
    </row>
    <row r="1204" spans="1:3">
      <c r="A1204" t="s">
        <v>4791</v>
      </c>
      <c r="B1204">
        <v>7</v>
      </c>
      <c r="C1204" s="117" t="s">
        <v>4</v>
      </c>
    </row>
    <row r="1205" spans="1:3">
      <c r="A1205" t="s">
        <v>4799</v>
      </c>
      <c r="B1205">
        <v>1</v>
      </c>
      <c r="C1205" s="117" t="s">
        <v>4</v>
      </c>
    </row>
    <row r="1206" spans="1:3">
      <c r="A1206" t="s">
        <v>4802</v>
      </c>
      <c r="B1206">
        <v>1</v>
      </c>
      <c r="C1206" s="117" t="s">
        <v>4</v>
      </c>
    </row>
    <row r="1207" spans="1:3">
      <c r="A1207" t="s">
        <v>4811</v>
      </c>
      <c r="B1207">
        <v>3</v>
      </c>
      <c r="C1207" s="117" t="s">
        <v>4</v>
      </c>
    </row>
    <row r="1208" spans="1:3">
      <c r="A1208" t="s">
        <v>4815</v>
      </c>
      <c r="B1208">
        <v>1</v>
      </c>
      <c r="C1208" s="117" t="s">
        <v>4</v>
      </c>
    </row>
    <row r="1209" spans="1:3">
      <c r="A1209" t="s">
        <v>4817</v>
      </c>
      <c r="B1209">
        <v>3</v>
      </c>
      <c r="C1209" s="117" t="s">
        <v>4</v>
      </c>
    </row>
    <row r="1210" spans="1:3">
      <c r="A1210" t="s">
        <v>4819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4826</v>
      </c>
      <c r="B1212">
        <v>1</v>
      </c>
      <c r="C1212" s="117" t="s">
        <v>4</v>
      </c>
    </row>
    <row r="1213" spans="1:3">
      <c r="A1213" t="s">
        <v>4828</v>
      </c>
      <c r="B1213">
        <v>1</v>
      </c>
      <c r="C1213" s="117" t="s">
        <v>4</v>
      </c>
    </row>
    <row r="1214" spans="1:3">
      <c r="A1214" t="s">
        <v>4833</v>
      </c>
      <c r="B1214">
        <v>1</v>
      </c>
      <c r="C1214" s="121" t="s">
        <v>4</v>
      </c>
    </row>
    <row r="1215" spans="1:3">
      <c r="A1215" t="s">
        <v>4837</v>
      </c>
      <c r="B1215">
        <v>1</v>
      </c>
      <c r="C1215" s="121" t="s">
        <v>4</v>
      </c>
    </row>
    <row r="1216" spans="1:3">
      <c r="A1216" t="s">
        <v>4841</v>
      </c>
      <c r="B1216">
        <v>2</v>
      </c>
      <c r="C1216" s="121" t="s">
        <v>4</v>
      </c>
    </row>
    <row r="1217" spans="1:3">
      <c r="A1217" t="s">
        <v>4845</v>
      </c>
      <c r="B1217">
        <v>1</v>
      </c>
      <c r="C1217" s="124" t="s">
        <v>4</v>
      </c>
    </row>
    <row r="1218" spans="1:3">
      <c r="A1218" t="s">
        <v>4847</v>
      </c>
      <c r="B1218">
        <v>1</v>
      </c>
      <c r="C1218" s="124" t="s">
        <v>4</v>
      </c>
    </row>
    <row r="1219" spans="1:3">
      <c r="A1219" t="s">
        <v>4849</v>
      </c>
      <c r="B1219">
        <v>1</v>
      </c>
      <c r="C1219" s="124" t="s">
        <v>4</v>
      </c>
    </row>
    <row r="1220" spans="1:3">
      <c r="A1220" t="s">
        <v>4857</v>
      </c>
      <c r="B1220">
        <v>1</v>
      </c>
      <c r="C1220" s="124" t="s">
        <v>4</v>
      </c>
    </row>
    <row r="1221" spans="1:3">
      <c r="A1221" t="s">
        <v>4860</v>
      </c>
      <c r="B1221">
        <v>1</v>
      </c>
      <c r="C1221" s="124" t="s">
        <v>4</v>
      </c>
    </row>
    <row r="1222" spans="1:3">
      <c r="A1222" t="s">
        <v>4861</v>
      </c>
      <c r="B1222">
        <v>1</v>
      </c>
      <c r="C1222" s="124" t="s">
        <v>4</v>
      </c>
    </row>
    <row r="1223" spans="1:3">
      <c r="A1223" t="s">
        <v>4851</v>
      </c>
      <c r="B1223">
        <v>1</v>
      </c>
      <c r="C1223" s="124" t="s">
        <v>4</v>
      </c>
    </row>
    <row r="1224" spans="1:3">
      <c r="A1224" t="s">
        <v>4856</v>
      </c>
      <c r="B1224">
        <v>4</v>
      </c>
      <c r="C1224" s="124" t="s">
        <v>4</v>
      </c>
    </row>
    <row r="1225" spans="1:3">
      <c r="A1225" t="s">
        <v>4865</v>
      </c>
      <c r="B1225">
        <v>1</v>
      </c>
      <c r="C1225" s="124" t="s">
        <v>4</v>
      </c>
    </row>
    <row r="1226" spans="1:3">
      <c r="A1226" t="s">
        <v>4869</v>
      </c>
      <c r="B1226">
        <v>18</v>
      </c>
      <c r="C1226" s="124" t="s">
        <v>4</v>
      </c>
    </row>
    <row r="1227" spans="1:3">
      <c r="A1227" t="s">
        <v>4895</v>
      </c>
      <c r="B1227">
        <v>7</v>
      </c>
      <c r="C1227" s="124" t="s">
        <v>4</v>
      </c>
    </row>
    <row r="1228" spans="1:3">
      <c r="A1228" t="s">
        <v>4898</v>
      </c>
      <c r="B1228">
        <v>3</v>
      </c>
      <c r="C1228" s="124" t="s">
        <v>4</v>
      </c>
    </row>
    <row r="1229" spans="1:3">
      <c r="A1229" t="s">
        <v>4905</v>
      </c>
      <c r="B1229">
        <v>2</v>
      </c>
      <c r="C1229" s="124" t="s">
        <v>4</v>
      </c>
    </row>
    <row r="1230" spans="1:3">
      <c r="A1230" t="s">
        <v>4906</v>
      </c>
      <c r="B1230">
        <v>3</v>
      </c>
      <c r="C1230" s="124" t="s">
        <v>4</v>
      </c>
    </row>
    <row r="1231" spans="1:3">
      <c r="A1231" t="s">
        <v>4909</v>
      </c>
      <c r="B1231">
        <v>2</v>
      </c>
      <c r="C1231" s="124" t="s">
        <v>4</v>
      </c>
    </row>
    <row r="1232" spans="1:3">
      <c r="A1232" t="s">
        <v>4910</v>
      </c>
      <c r="B1232">
        <v>1</v>
      </c>
      <c r="C1232" s="124" t="s">
        <v>4</v>
      </c>
    </row>
    <row r="1233" spans="1:3">
      <c r="A1233" s="126" t="s">
        <v>4920</v>
      </c>
      <c r="B1233" s="30">
        <v>3</v>
      </c>
      <c r="C1233" s="124" t="s">
        <v>4</v>
      </c>
    </row>
    <row r="1234" spans="1:3">
      <c r="A1234" s="126" t="s">
        <v>4922</v>
      </c>
      <c r="B1234" s="30">
        <v>1</v>
      </c>
      <c r="C1234" s="124" t="s">
        <v>4</v>
      </c>
    </row>
    <row r="1235" spans="1:3">
      <c r="A1235" s="126" t="s">
        <v>4938</v>
      </c>
      <c r="B1235" s="30">
        <v>7</v>
      </c>
      <c r="C1235" s="124" t="s">
        <v>4</v>
      </c>
    </row>
    <row r="1236" spans="1:3">
      <c r="A1236" s="126" t="s">
        <v>4947</v>
      </c>
      <c r="B1236" s="30">
        <v>18</v>
      </c>
      <c r="C1236" s="124" t="s">
        <v>4</v>
      </c>
    </row>
    <row r="1237" spans="1:3">
      <c r="A1237" s="126" t="s">
        <v>5276</v>
      </c>
      <c r="B1237" s="30">
        <v>295</v>
      </c>
      <c r="C1237" s="124" t="s">
        <v>4</v>
      </c>
    </row>
  </sheetData>
  <conditionalFormatting sqref="A2:A545 A548:A568 A570:A1036 A1038:A1232 A12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433"/>
  <sheetViews>
    <sheetView tabSelected="1" zoomScale="85" zoomScaleNormal="8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163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138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138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138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138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138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138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138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138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138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138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138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134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131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131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131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131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131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131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131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131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131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131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131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131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131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131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131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131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131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131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131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131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131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131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131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131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131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131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131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131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131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131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131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131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131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131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131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131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131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131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131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131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131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130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130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130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130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130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130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130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130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130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130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130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130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130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130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130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130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130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130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130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130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130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130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130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130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130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130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130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130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130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130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130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130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130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130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130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130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130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130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130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130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130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130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130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130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130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130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130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130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130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130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130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130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130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130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130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130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130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130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130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129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129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129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129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129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128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128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126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126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125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122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122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122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122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122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122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122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122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122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122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122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122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122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122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122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122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122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122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122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122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122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121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121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121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121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121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116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116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116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111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111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111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111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111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111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111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111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111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111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111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111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111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111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111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111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111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111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107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107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107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102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101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101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101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101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101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101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101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101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101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101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101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101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87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87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86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86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86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76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61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61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61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61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61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61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61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61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61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61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61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61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61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61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61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61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61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61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61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61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58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58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58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58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57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57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57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57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57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57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57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57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57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57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57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57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57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57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57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57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57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57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57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57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57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57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57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57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57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57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57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57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57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57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56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56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56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56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56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56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56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56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56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56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56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56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56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56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56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56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56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56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52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52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52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52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52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52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52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52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52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52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52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52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52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52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52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52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52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52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52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52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52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52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52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52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52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52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52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52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52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52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52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52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52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52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52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52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52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52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52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52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52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52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52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52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52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52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52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52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52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52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52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52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52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52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52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52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52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52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52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52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52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52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52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52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52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52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52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52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52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52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52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52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52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52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52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52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52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52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52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52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52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52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52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52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52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52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52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52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52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52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52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52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46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46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41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41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36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36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36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36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36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36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36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36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36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36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36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36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36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36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36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36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36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36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36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36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36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36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36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36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36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36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36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36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36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36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36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36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36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36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36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36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36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36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36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36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36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36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36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36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36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36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36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36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36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36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36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36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36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36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36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36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36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36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36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36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36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36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36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36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36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36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36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36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36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36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36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36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36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36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36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36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36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36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36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36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36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36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36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36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36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36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36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36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36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36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36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36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36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36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36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36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36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36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36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36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36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36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36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36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36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33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33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33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33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34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4831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31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31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4897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4415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4416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4897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26</v>
      </c>
      <c r="R2488" s="110" t="s">
        <v>1459</v>
      </c>
      <c r="S2488" s="94"/>
    </row>
    <row r="2489" spans="1:19">
      <c r="A2489" s="103" t="s">
        <v>4415</v>
      </c>
      <c r="B2489" s="94" t="str">
        <f>IFERROR(VLOOKUP(Proc[[#This Row],[App]],Table2[],3,0),"open")</f>
        <v>open</v>
      </c>
      <c r="C2489" s="117" t="s">
        <v>370</v>
      </c>
      <c r="D2489" t="s">
        <v>2319</v>
      </c>
      <c r="E2489" t="s">
        <v>430</v>
      </c>
      <c r="F2489" s="94" t="s">
        <v>4414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4835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4897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26</v>
      </c>
      <c r="R2489" s="110" t="s">
        <v>1459</v>
      </c>
      <c r="S2489" s="94"/>
    </row>
    <row r="2490" spans="1:19">
      <c r="A2490" s="103" t="s">
        <v>4415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4416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4897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26</v>
      </c>
      <c r="R2490" s="110" t="s">
        <v>1459</v>
      </c>
      <c r="S2490" s="94"/>
    </row>
    <row r="2491" spans="1:19">
      <c r="A2491" s="103" t="s">
        <v>4415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4416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4897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26</v>
      </c>
      <c r="R2491" s="110" t="s">
        <v>1459</v>
      </c>
      <c r="S2491" s="94"/>
    </row>
    <row r="2492" spans="1:19" hidden="1">
      <c r="A2492" s="103" t="s">
        <v>4415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4897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26</v>
      </c>
      <c r="R2492" s="110" t="s">
        <v>1459</v>
      </c>
      <c r="S2492" s="94"/>
    </row>
    <row r="2493" spans="1:19" hidden="1">
      <c r="A2493" s="103" t="s">
        <v>4415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4897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26</v>
      </c>
      <c r="R2493" s="110" t="s">
        <v>1459</v>
      </c>
      <c r="S2493" s="94"/>
    </row>
    <row r="2494" spans="1:19" hidden="1">
      <c r="A2494" s="103" t="s">
        <v>4415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4897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26</v>
      </c>
      <c r="R2494" s="110" t="s">
        <v>1459</v>
      </c>
      <c r="S2494" s="94"/>
    </row>
    <row r="2495" spans="1:19" hidden="1">
      <c r="A2495" s="103" t="s">
        <v>4415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4897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26</v>
      </c>
      <c r="R2495" s="110" t="s">
        <v>1459</v>
      </c>
      <c r="S2495" s="94"/>
    </row>
    <row r="2496" spans="1:19" hidden="1">
      <c r="A2496" s="103" t="s">
        <v>4415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4897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26</v>
      </c>
      <c r="R2496" s="110" t="s">
        <v>1459</v>
      </c>
      <c r="S2496" s="94"/>
    </row>
    <row r="2497" spans="1:19" hidden="1">
      <c r="A2497" s="103" t="s">
        <v>4415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4897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26</v>
      </c>
      <c r="R2497" s="110" t="s">
        <v>1459</v>
      </c>
      <c r="S2497" s="94"/>
    </row>
    <row r="2498" spans="1:19" hidden="1">
      <c r="A2498" s="103" t="s">
        <v>4415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4897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26</v>
      </c>
      <c r="R2498" s="110" t="s">
        <v>1459</v>
      </c>
      <c r="S2498" s="94"/>
    </row>
    <row r="2499" spans="1:19" hidden="1">
      <c r="A2499" t="s">
        <v>4418</v>
      </c>
      <c r="B2499" s="94" t="str">
        <f>IFERROR(VLOOKUP(Proc[[#This Row],[App]],Table2[],3,0),"open")</f>
        <v>ok</v>
      </c>
      <c r="C2499" s="103" t="s">
        <v>369</v>
      </c>
      <c r="D2499" t="s">
        <v>4417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4897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4419</v>
      </c>
      <c r="S2499" s="94"/>
    </row>
    <row r="2500" spans="1:19" hidden="1">
      <c r="A2500" t="s">
        <v>4421</v>
      </c>
      <c r="B2500" s="94" t="str">
        <f>IFERROR(VLOOKUP(Proc[[#This Row],[App]],Table2[],3,0),"open")</f>
        <v>ok</v>
      </c>
      <c r="C2500" s="103" t="s">
        <v>369</v>
      </c>
      <c r="D2500" t="s">
        <v>4420</v>
      </c>
      <c r="E2500" t="s">
        <v>4806</v>
      </c>
      <c r="F2500" s="94" t="s">
        <v>4806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4897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24</v>
      </c>
      <c r="R2500" s="110" t="s">
        <v>489</v>
      </c>
      <c r="S2500" s="94"/>
    </row>
    <row r="2501" spans="1:19" hidden="1">
      <c r="A2501" t="s">
        <v>4423</v>
      </c>
      <c r="B2501" s="94" t="str">
        <f>IFERROR(VLOOKUP(Proc[[#This Row],[App]],Table2[],3,0),"open")</f>
        <v>ok</v>
      </c>
      <c r="C2501" s="103" t="s">
        <v>369</v>
      </c>
      <c r="D2501" t="s">
        <v>4422</v>
      </c>
      <c r="E2501" t="s">
        <v>4424</v>
      </c>
      <c r="F2501" s="94" t="s">
        <v>4424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4897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24</v>
      </c>
      <c r="R2501" s="110" t="s">
        <v>489</v>
      </c>
      <c r="S2501" s="94"/>
    </row>
    <row r="2502" spans="1:19" hidden="1">
      <c r="A2502" t="s">
        <v>4425</v>
      </c>
      <c r="B2502" s="94" t="str">
        <f>IFERROR(VLOOKUP(Proc[[#This Row],[App]],Table2[],3,0),"open")</f>
        <v>ok</v>
      </c>
      <c r="C2502" s="117" t="s">
        <v>369</v>
      </c>
      <c r="D2502" t="s">
        <v>4426</v>
      </c>
      <c r="E2502" t="s">
        <v>4737</v>
      </c>
      <c r="F2502" s="94" t="s">
        <v>4737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4787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4897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24</v>
      </c>
      <c r="R2502" s="110" t="s">
        <v>485</v>
      </c>
      <c r="S2502" s="94"/>
    </row>
    <row r="2503" spans="1:19" hidden="1">
      <c r="A2503" s="103" t="s">
        <v>4425</v>
      </c>
      <c r="B2503" s="94" t="str">
        <f>IFERROR(VLOOKUP(Proc[[#This Row],[App]],Table2[],3,0),"open")</f>
        <v>ok</v>
      </c>
      <c r="C2503" s="117" t="s">
        <v>369</v>
      </c>
      <c r="D2503" t="s">
        <v>4427</v>
      </c>
      <c r="E2503" t="s">
        <v>4737</v>
      </c>
      <c r="F2503" s="94" t="s">
        <v>4737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4787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4897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24</v>
      </c>
      <c r="R2503" s="110" t="s">
        <v>485</v>
      </c>
      <c r="S2503" s="94"/>
    </row>
    <row r="2504" spans="1:19" hidden="1">
      <c r="A2504" s="103" t="s">
        <v>4425</v>
      </c>
      <c r="B2504" s="94" t="str">
        <f>IFERROR(VLOOKUP(Proc[[#This Row],[App]],Table2[],3,0),"open")</f>
        <v>ok</v>
      </c>
      <c r="C2504" s="117" t="s">
        <v>369</v>
      </c>
      <c r="D2504" t="s">
        <v>4428</v>
      </c>
      <c r="E2504" t="s">
        <v>4738</v>
      </c>
      <c r="F2504" s="94" t="s">
        <v>4738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4787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4897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24</v>
      </c>
      <c r="R2504" s="110" t="s">
        <v>485</v>
      </c>
      <c r="S2504" s="94"/>
    </row>
    <row r="2505" spans="1:19" hidden="1">
      <c r="A2505" s="103" t="s">
        <v>4425</v>
      </c>
      <c r="B2505" s="94" t="str">
        <f>IFERROR(VLOOKUP(Proc[[#This Row],[App]],Table2[],3,0),"open")</f>
        <v>ok</v>
      </c>
      <c r="C2505" s="117" t="s">
        <v>369</v>
      </c>
      <c r="D2505" t="s">
        <v>4429</v>
      </c>
      <c r="E2505" t="s">
        <v>4738</v>
      </c>
      <c r="F2505" s="94" t="s">
        <v>4738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4787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4897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24</v>
      </c>
      <c r="R2505" s="110" t="s">
        <v>485</v>
      </c>
      <c r="S2505" s="94"/>
    </row>
    <row r="2506" spans="1:19" hidden="1">
      <c r="A2506" s="103" t="s">
        <v>4425</v>
      </c>
      <c r="B2506" s="94" t="str">
        <f>IFERROR(VLOOKUP(Proc[[#This Row],[App]],Table2[],3,0),"open")</f>
        <v>ok</v>
      </c>
      <c r="C2506" s="117" t="s">
        <v>369</v>
      </c>
      <c r="D2506" t="s">
        <v>4430</v>
      </c>
      <c r="E2506" t="s">
        <v>4738</v>
      </c>
      <c r="F2506" s="94" t="s">
        <v>4738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4787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4897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24</v>
      </c>
      <c r="R2506" s="110" t="s">
        <v>485</v>
      </c>
      <c r="S2506" s="94"/>
    </row>
    <row r="2507" spans="1:19" hidden="1">
      <c r="A2507" s="103" t="s">
        <v>4425</v>
      </c>
      <c r="B2507" s="94" t="str">
        <f>IFERROR(VLOOKUP(Proc[[#This Row],[App]],Table2[],3,0),"open")</f>
        <v>ok</v>
      </c>
      <c r="C2507" s="117" t="s">
        <v>369</v>
      </c>
      <c r="D2507" t="s">
        <v>4431</v>
      </c>
      <c r="E2507" t="s">
        <v>4739</v>
      </c>
      <c r="F2507" s="94" t="s">
        <v>4739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4787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4897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24</v>
      </c>
      <c r="R2507" s="110" t="s">
        <v>485</v>
      </c>
      <c r="S2507" s="94"/>
    </row>
    <row r="2508" spans="1:19" hidden="1">
      <c r="A2508" s="103" t="s">
        <v>4425</v>
      </c>
      <c r="B2508" s="94" t="str">
        <f>IFERROR(VLOOKUP(Proc[[#This Row],[App]],Table2[],3,0),"open")</f>
        <v>ok</v>
      </c>
      <c r="C2508" s="117" t="s">
        <v>369</v>
      </c>
      <c r="D2508" t="s">
        <v>4432</v>
      </c>
      <c r="E2508" t="s">
        <v>4739</v>
      </c>
      <c r="F2508" s="94" t="s">
        <v>4739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4787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4897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24</v>
      </c>
      <c r="R2508" s="110" t="s">
        <v>485</v>
      </c>
      <c r="S2508" s="94"/>
    </row>
    <row r="2509" spans="1:19" hidden="1">
      <c r="A2509" s="103" t="s">
        <v>4425</v>
      </c>
      <c r="B2509" s="94" t="str">
        <f>IFERROR(VLOOKUP(Proc[[#This Row],[App]],Table2[],3,0),"open")</f>
        <v>ok</v>
      </c>
      <c r="C2509" s="117" t="s">
        <v>369</v>
      </c>
      <c r="D2509" t="s">
        <v>4433</v>
      </c>
      <c r="E2509" t="s">
        <v>4739</v>
      </c>
      <c r="F2509" s="94" t="s">
        <v>4739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4787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4897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24</v>
      </c>
      <c r="R2509" s="110" t="s">
        <v>485</v>
      </c>
      <c r="S2509" s="94"/>
    </row>
    <row r="2510" spans="1:19" hidden="1">
      <c r="A2510" s="103" t="s">
        <v>4425</v>
      </c>
      <c r="B2510" s="94" t="str">
        <f>IFERROR(VLOOKUP(Proc[[#This Row],[App]],Table2[],3,0),"open")</f>
        <v>ok</v>
      </c>
      <c r="C2510" s="117" t="s">
        <v>369</v>
      </c>
      <c r="D2510" t="s">
        <v>4434</v>
      </c>
      <c r="E2510" t="s">
        <v>4739</v>
      </c>
      <c r="F2510" s="94" t="s">
        <v>4739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4787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4897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24</v>
      </c>
      <c r="R2510" s="110" t="s">
        <v>485</v>
      </c>
      <c r="S2510" s="94"/>
    </row>
    <row r="2511" spans="1:19" hidden="1">
      <c r="A2511" s="103" t="s">
        <v>4425</v>
      </c>
      <c r="B2511" s="94" t="str">
        <f>IFERROR(VLOOKUP(Proc[[#This Row],[App]],Table2[],3,0),"open")</f>
        <v>ok</v>
      </c>
      <c r="C2511" s="117" t="s">
        <v>369</v>
      </c>
      <c r="D2511" t="s">
        <v>4435</v>
      </c>
      <c r="E2511" t="s">
        <v>4739</v>
      </c>
      <c r="F2511" s="94" t="s">
        <v>4739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4787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4897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24</v>
      </c>
      <c r="R2511" s="110" t="s">
        <v>485</v>
      </c>
      <c r="S2511" s="94"/>
    </row>
    <row r="2512" spans="1:19" hidden="1">
      <c r="A2512" s="103" t="s">
        <v>4425</v>
      </c>
      <c r="B2512" s="94" t="str">
        <f>IFERROR(VLOOKUP(Proc[[#This Row],[App]],Table2[],3,0),"open")</f>
        <v>ok</v>
      </c>
      <c r="C2512" s="117" t="s">
        <v>369</v>
      </c>
      <c r="D2512" t="s">
        <v>4436</v>
      </c>
      <c r="E2512" t="s">
        <v>4739</v>
      </c>
      <c r="F2512" s="94" t="s">
        <v>4739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4787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4897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24</v>
      </c>
      <c r="R2512" s="110" t="s">
        <v>485</v>
      </c>
      <c r="S2512" s="94"/>
    </row>
    <row r="2513" spans="1:19" hidden="1">
      <c r="A2513" s="103" t="s">
        <v>4425</v>
      </c>
      <c r="B2513" s="94" t="str">
        <f>IFERROR(VLOOKUP(Proc[[#This Row],[App]],Table2[],3,0),"open")</f>
        <v>ok</v>
      </c>
      <c r="C2513" s="117" t="s">
        <v>369</v>
      </c>
      <c r="D2513" t="s">
        <v>4437</v>
      </c>
      <c r="E2513" t="s">
        <v>4739</v>
      </c>
      <c r="F2513" s="94" t="s">
        <v>4739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4787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4897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24</v>
      </c>
      <c r="R2513" s="110" t="s">
        <v>485</v>
      </c>
      <c r="S2513" s="94"/>
    </row>
    <row r="2514" spans="1:19" hidden="1">
      <c r="A2514" s="103" t="s">
        <v>4425</v>
      </c>
      <c r="B2514" s="94" t="str">
        <f>IFERROR(VLOOKUP(Proc[[#This Row],[App]],Table2[],3,0),"open")</f>
        <v>ok</v>
      </c>
      <c r="C2514" s="117" t="s">
        <v>369</v>
      </c>
      <c r="D2514" t="s">
        <v>4438</v>
      </c>
      <c r="E2514" t="s">
        <v>4740</v>
      </c>
      <c r="F2514" s="94" t="s">
        <v>4740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4787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4897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24</v>
      </c>
      <c r="R2514" s="110" t="s">
        <v>485</v>
      </c>
      <c r="S2514" s="94"/>
    </row>
    <row r="2515" spans="1:19" hidden="1">
      <c r="A2515" s="103" t="s">
        <v>4425</v>
      </c>
      <c r="B2515" s="94" t="str">
        <f>IFERROR(VLOOKUP(Proc[[#This Row],[App]],Table2[],3,0),"open")</f>
        <v>ok</v>
      </c>
      <c r="C2515" s="117" t="s">
        <v>369</v>
      </c>
      <c r="D2515" t="s">
        <v>4439</v>
      </c>
      <c r="E2515" t="s">
        <v>4740</v>
      </c>
      <c r="F2515" s="94" t="s">
        <v>4740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4787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4897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24</v>
      </c>
      <c r="R2515" s="110" t="s">
        <v>485</v>
      </c>
      <c r="S2515" s="94"/>
    </row>
    <row r="2516" spans="1:19" hidden="1">
      <c r="A2516" s="103" t="s">
        <v>4425</v>
      </c>
      <c r="B2516" s="94" t="str">
        <f>IFERROR(VLOOKUP(Proc[[#This Row],[App]],Table2[],3,0),"open")</f>
        <v>ok</v>
      </c>
      <c r="C2516" s="117" t="s">
        <v>369</v>
      </c>
      <c r="D2516" t="s">
        <v>4440</v>
      </c>
      <c r="E2516" t="s">
        <v>4740</v>
      </c>
      <c r="F2516" s="94" t="s">
        <v>4740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4787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4897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24</v>
      </c>
      <c r="R2516" s="110" t="s">
        <v>485</v>
      </c>
      <c r="S2516" s="94"/>
    </row>
    <row r="2517" spans="1:19" hidden="1">
      <c r="A2517" s="103" t="s">
        <v>4425</v>
      </c>
      <c r="B2517" s="94" t="str">
        <f>IFERROR(VLOOKUP(Proc[[#This Row],[App]],Table2[],3,0),"open")</f>
        <v>ok</v>
      </c>
      <c r="C2517" s="117" t="s">
        <v>369</v>
      </c>
      <c r="D2517" t="s">
        <v>4441</v>
      </c>
      <c r="E2517" t="s">
        <v>4741</v>
      </c>
      <c r="F2517" s="94" t="s">
        <v>4741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4787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4897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24</v>
      </c>
      <c r="R2517" s="110" t="s">
        <v>485</v>
      </c>
      <c r="S2517" s="94"/>
    </row>
    <row r="2518" spans="1:19" hidden="1">
      <c r="A2518" s="103" t="s">
        <v>4425</v>
      </c>
      <c r="B2518" s="94" t="str">
        <f>IFERROR(VLOOKUP(Proc[[#This Row],[App]],Table2[],3,0),"open")</f>
        <v>ok</v>
      </c>
      <c r="C2518" s="117" t="s">
        <v>369</v>
      </c>
      <c r="D2518" t="s">
        <v>4442</v>
      </c>
      <c r="E2518" t="s">
        <v>4740</v>
      </c>
      <c r="F2518" s="94" t="s">
        <v>4740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4787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4897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24</v>
      </c>
      <c r="R2518" s="110" t="s">
        <v>485</v>
      </c>
      <c r="S2518" s="94"/>
    </row>
    <row r="2519" spans="1:19" hidden="1">
      <c r="A2519" s="103" t="s">
        <v>4425</v>
      </c>
      <c r="B2519" s="94" t="str">
        <f>IFERROR(VLOOKUP(Proc[[#This Row],[App]],Table2[],3,0),"open")</f>
        <v>ok</v>
      </c>
      <c r="C2519" s="117" t="s">
        <v>369</v>
      </c>
      <c r="D2519" t="s">
        <v>4443</v>
      </c>
      <c r="E2519" t="s">
        <v>4741</v>
      </c>
      <c r="F2519" s="94" t="s">
        <v>4741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4787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4897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24</v>
      </c>
      <c r="R2519" s="110" t="s">
        <v>485</v>
      </c>
      <c r="S2519" s="94"/>
    </row>
    <row r="2520" spans="1:19" hidden="1">
      <c r="A2520" s="103" t="s">
        <v>4425</v>
      </c>
      <c r="B2520" s="94" t="str">
        <f>IFERROR(VLOOKUP(Proc[[#This Row],[App]],Table2[],3,0),"open")</f>
        <v>ok</v>
      </c>
      <c r="C2520" s="117" t="s">
        <v>369</v>
      </c>
      <c r="D2520" t="s">
        <v>4444</v>
      </c>
      <c r="E2520" t="s">
        <v>4742</v>
      </c>
      <c r="F2520" s="94" t="s">
        <v>4742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4787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4897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24</v>
      </c>
      <c r="R2520" s="110" t="s">
        <v>485</v>
      </c>
      <c r="S2520" s="94"/>
    </row>
    <row r="2521" spans="1:19" hidden="1">
      <c r="A2521" s="103" t="s">
        <v>4425</v>
      </c>
      <c r="B2521" s="94" t="str">
        <f>IFERROR(VLOOKUP(Proc[[#This Row],[App]],Table2[],3,0),"open")</f>
        <v>ok</v>
      </c>
      <c r="C2521" s="117" t="s">
        <v>369</v>
      </c>
      <c r="D2521" t="s">
        <v>4445</v>
      </c>
      <c r="E2521" t="s">
        <v>4741</v>
      </c>
      <c r="F2521" s="94" t="s">
        <v>4741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4787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4897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24</v>
      </c>
      <c r="R2521" s="110" t="s">
        <v>485</v>
      </c>
      <c r="S2521" s="94"/>
    </row>
    <row r="2522" spans="1:19" hidden="1">
      <c r="A2522" s="103" t="s">
        <v>4425</v>
      </c>
      <c r="B2522" s="94" t="str">
        <f>IFERROR(VLOOKUP(Proc[[#This Row],[App]],Table2[],3,0),"open")</f>
        <v>ok</v>
      </c>
      <c r="C2522" s="117" t="s">
        <v>369</v>
      </c>
      <c r="D2522" t="s">
        <v>4446</v>
      </c>
      <c r="E2522" t="s">
        <v>4741</v>
      </c>
      <c r="F2522" s="94" t="s">
        <v>4741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4787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4897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24</v>
      </c>
      <c r="R2522" s="110" t="s">
        <v>485</v>
      </c>
      <c r="S2522" s="94"/>
    </row>
    <row r="2523" spans="1:19" hidden="1">
      <c r="A2523" s="103" t="s">
        <v>4425</v>
      </c>
      <c r="B2523" s="94" t="str">
        <f>IFERROR(VLOOKUP(Proc[[#This Row],[App]],Table2[],3,0),"open")</f>
        <v>ok</v>
      </c>
      <c r="C2523" s="117" t="s">
        <v>369</v>
      </c>
      <c r="D2523" t="s">
        <v>4447</v>
      </c>
      <c r="E2523" t="s">
        <v>4740</v>
      </c>
      <c r="F2523" s="94" t="s">
        <v>4740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4787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4897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24</v>
      </c>
      <c r="R2523" s="110" t="s">
        <v>485</v>
      </c>
      <c r="S2523" s="94"/>
    </row>
    <row r="2524" spans="1:19" hidden="1">
      <c r="A2524" s="103" t="s">
        <v>4425</v>
      </c>
      <c r="B2524" s="94" t="str">
        <f>IFERROR(VLOOKUP(Proc[[#This Row],[App]],Table2[],3,0),"open")</f>
        <v>ok</v>
      </c>
      <c r="C2524" s="117" t="s">
        <v>369</v>
      </c>
      <c r="D2524" t="s">
        <v>4448</v>
      </c>
      <c r="E2524" t="s">
        <v>4740</v>
      </c>
      <c r="F2524" s="94" t="s">
        <v>4740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4787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4897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24</v>
      </c>
      <c r="R2524" s="110" t="s">
        <v>485</v>
      </c>
      <c r="S2524" s="94"/>
    </row>
    <row r="2525" spans="1:19" hidden="1">
      <c r="A2525" s="103" t="s">
        <v>4425</v>
      </c>
      <c r="B2525" s="94" t="str">
        <f>IFERROR(VLOOKUP(Proc[[#This Row],[App]],Table2[],3,0),"open")</f>
        <v>ok</v>
      </c>
      <c r="C2525" s="117" t="s">
        <v>369</v>
      </c>
      <c r="D2525" t="s">
        <v>4449</v>
      </c>
      <c r="E2525" t="s">
        <v>4740</v>
      </c>
      <c r="F2525" s="94" t="s">
        <v>4740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4787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4897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24</v>
      </c>
      <c r="R2525" s="110" t="s">
        <v>485</v>
      </c>
      <c r="S2525" s="94"/>
    </row>
    <row r="2526" spans="1:19" hidden="1">
      <c r="A2526" s="103" t="s">
        <v>4425</v>
      </c>
      <c r="B2526" s="94" t="str">
        <f>IFERROR(VLOOKUP(Proc[[#This Row],[App]],Table2[],3,0),"open")</f>
        <v>ok</v>
      </c>
      <c r="C2526" s="117" t="s">
        <v>369</v>
      </c>
      <c r="D2526" t="s">
        <v>4450</v>
      </c>
      <c r="E2526" t="s">
        <v>4740</v>
      </c>
      <c r="F2526" s="94" t="s">
        <v>4740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4787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4897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24</v>
      </c>
      <c r="R2526" s="110" t="s">
        <v>485</v>
      </c>
      <c r="S2526" s="94"/>
    </row>
    <row r="2527" spans="1:19" hidden="1">
      <c r="A2527" s="103" t="s">
        <v>4425</v>
      </c>
      <c r="B2527" s="94" t="str">
        <f>IFERROR(VLOOKUP(Proc[[#This Row],[App]],Table2[],3,0),"open")</f>
        <v>ok</v>
      </c>
      <c r="C2527" s="117" t="s">
        <v>369</v>
      </c>
      <c r="D2527" t="s">
        <v>4451</v>
      </c>
      <c r="E2527" t="s">
        <v>4740</v>
      </c>
      <c r="F2527" s="94" t="s">
        <v>4740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4787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4897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24</v>
      </c>
      <c r="R2527" s="110" t="s">
        <v>485</v>
      </c>
      <c r="S2527" s="94"/>
    </row>
    <row r="2528" spans="1:19" hidden="1">
      <c r="A2528" s="103" t="s">
        <v>4425</v>
      </c>
      <c r="B2528" s="94" t="str">
        <f>IFERROR(VLOOKUP(Proc[[#This Row],[App]],Table2[],3,0),"open")</f>
        <v>ok</v>
      </c>
      <c r="C2528" s="117" t="s">
        <v>369</v>
      </c>
      <c r="D2528" t="s">
        <v>4452</v>
      </c>
      <c r="E2528" t="s">
        <v>4742</v>
      </c>
      <c r="F2528" s="94" t="s">
        <v>4742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4787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4897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24</v>
      </c>
      <c r="R2528" s="110" t="s">
        <v>485</v>
      </c>
      <c r="S2528" s="94"/>
    </row>
    <row r="2529" spans="1:19" hidden="1">
      <c r="A2529" s="103" t="s">
        <v>4425</v>
      </c>
      <c r="B2529" s="94" t="str">
        <f>IFERROR(VLOOKUP(Proc[[#This Row],[App]],Table2[],3,0),"open")</f>
        <v>ok</v>
      </c>
      <c r="C2529" s="117" t="s">
        <v>369</v>
      </c>
      <c r="D2529" t="s">
        <v>4453</v>
      </c>
      <c r="E2529" t="s">
        <v>4740</v>
      </c>
      <c r="F2529" s="94" t="s">
        <v>4740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4787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4897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24</v>
      </c>
      <c r="R2529" s="110" t="s">
        <v>485</v>
      </c>
      <c r="S2529" s="94"/>
    </row>
    <row r="2530" spans="1:19" hidden="1">
      <c r="A2530" s="103" t="s">
        <v>4425</v>
      </c>
      <c r="B2530" s="94" t="str">
        <f>IFERROR(VLOOKUP(Proc[[#This Row],[App]],Table2[],3,0),"open")</f>
        <v>ok</v>
      </c>
      <c r="C2530" s="117" t="s">
        <v>369</v>
      </c>
      <c r="D2530" t="s">
        <v>4454</v>
      </c>
      <c r="E2530" t="s">
        <v>4740</v>
      </c>
      <c r="F2530" s="94" t="s">
        <v>4740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4787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4897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24</v>
      </c>
      <c r="R2530" s="110" t="s">
        <v>485</v>
      </c>
      <c r="S2530" s="94"/>
    </row>
    <row r="2531" spans="1:19" hidden="1">
      <c r="A2531" s="103" t="s">
        <v>4425</v>
      </c>
      <c r="B2531" s="94" t="str">
        <f>IFERROR(VLOOKUP(Proc[[#This Row],[App]],Table2[],3,0),"open")</f>
        <v>ok</v>
      </c>
      <c r="C2531" s="117" t="s">
        <v>369</v>
      </c>
      <c r="D2531" t="s">
        <v>4455</v>
      </c>
      <c r="E2531" t="s">
        <v>4740</v>
      </c>
      <c r="F2531" s="94" t="s">
        <v>4740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4787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4897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24</v>
      </c>
      <c r="R2531" s="110" t="s">
        <v>485</v>
      </c>
      <c r="S2531" s="94"/>
    </row>
    <row r="2532" spans="1:19" hidden="1">
      <c r="A2532" s="103" t="s">
        <v>4425</v>
      </c>
      <c r="B2532" s="94" t="str">
        <f>IFERROR(VLOOKUP(Proc[[#This Row],[App]],Table2[],3,0),"open")</f>
        <v>ok</v>
      </c>
      <c r="C2532" s="117" t="s">
        <v>369</v>
      </c>
      <c r="D2532" t="s">
        <v>4456</v>
      </c>
      <c r="E2532" t="s">
        <v>4742</v>
      </c>
      <c r="F2532" s="94" t="s">
        <v>4742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4787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4897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24</v>
      </c>
      <c r="R2532" s="110" t="s">
        <v>485</v>
      </c>
      <c r="S2532" s="94"/>
    </row>
    <row r="2533" spans="1:19" hidden="1">
      <c r="A2533" s="103" t="s">
        <v>4425</v>
      </c>
      <c r="B2533" s="94" t="str">
        <f>IFERROR(VLOOKUP(Proc[[#This Row],[App]],Table2[],3,0),"open")</f>
        <v>ok</v>
      </c>
      <c r="C2533" s="117" t="s">
        <v>369</v>
      </c>
      <c r="D2533" t="s">
        <v>4457</v>
      </c>
      <c r="E2533" t="s">
        <v>4740</v>
      </c>
      <c r="F2533" s="94" t="s">
        <v>4740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4787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4897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24</v>
      </c>
      <c r="R2533" s="110" t="s">
        <v>485</v>
      </c>
      <c r="S2533" s="94"/>
    </row>
    <row r="2534" spans="1:19" hidden="1">
      <c r="A2534" s="103" t="s">
        <v>4425</v>
      </c>
      <c r="B2534" s="94" t="str">
        <f>IFERROR(VLOOKUP(Proc[[#This Row],[App]],Table2[],3,0),"open")</f>
        <v>ok</v>
      </c>
      <c r="C2534" s="117" t="s">
        <v>369</v>
      </c>
      <c r="D2534" t="s">
        <v>4458</v>
      </c>
      <c r="E2534" t="s">
        <v>4740</v>
      </c>
      <c r="F2534" s="94" t="s">
        <v>4740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4787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4897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24</v>
      </c>
      <c r="R2534" s="110" t="s">
        <v>485</v>
      </c>
      <c r="S2534" s="94"/>
    </row>
    <row r="2535" spans="1:19" hidden="1">
      <c r="A2535" s="103" t="s">
        <v>4425</v>
      </c>
      <c r="B2535" s="94" t="str">
        <f>IFERROR(VLOOKUP(Proc[[#This Row],[App]],Table2[],3,0),"open")</f>
        <v>ok</v>
      </c>
      <c r="C2535" s="117" t="s">
        <v>369</v>
      </c>
      <c r="D2535" t="s">
        <v>4459</v>
      </c>
      <c r="E2535" t="s">
        <v>4740</v>
      </c>
      <c r="F2535" s="94" t="s">
        <v>4740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4787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4897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24</v>
      </c>
      <c r="R2535" s="110" t="s">
        <v>485</v>
      </c>
      <c r="S2535" s="94"/>
    </row>
    <row r="2536" spans="1:19" hidden="1">
      <c r="A2536" s="103" t="s">
        <v>4425</v>
      </c>
      <c r="B2536" s="94" t="str">
        <f>IFERROR(VLOOKUP(Proc[[#This Row],[App]],Table2[],3,0),"open")</f>
        <v>ok</v>
      </c>
      <c r="C2536" s="117" t="s">
        <v>369</v>
      </c>
      <c r="D2536" t="s">
        <v>4460</v>
      </c>
      <c r="E2536" t="s">
        <v>4741</v>
      </c>
      <c r="F2536" s="94" t="s">
        <v>4741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4787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4897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24</v>
      </c>
      <c r="R2536" s="110" t="s">
        <v>485</v>
      </c>
      <c r="S2536" s="94"/>
    </row>
    <row r="2537" spans="1:19" hidden="1">
      <c r="A2537" s="103" t="s">
        <v>4425</v>
      </c>
      <c r="B2537" s="94" t="str">
        <f>IFERROR(VLOOKUP(Proc[[#This Row],[App]],Table2[],3,0),"open")</f>
        <v>ok</v>
      </c>
      <c r="C2537" s="117" t="s">
        <v>369</v>
      </c>
      <c r="D2537" t="s">
        <v>4461</v>
      </c>
      <c r="E2537" t="s">
        <v>4740</v>
      </c>
      <c r="F2537" s="94" t="s">
        <v>4740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4787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4897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24</v>
      </c>
      <c r="R2537" s="110" t="s">
        <v>485</v>
      </c>
      <c r="S2537" s="94"/>
    </row>
    <row r="2538" spans="1:19" hidden="1">
      <c r="A2538" s="103" t="s">
        <v>4425</v>
      </c>
      <c r="B2538" s="94" t="str">
        <f>IFERROR(VLOOKUP(Proc[[#This Row],[App]],Table2[],3,0),"open")</f>
        <v>ok</v>
      </c>
      <c r="C2538" s="117" t="s">
        <v>369</v>
      </c>
      <c r="D2538" t="s">
        <v>4462</v>
      </c>
      <c r="E2538" t="s">
        <v>4742</v>
      </c>
      <c r="F2538" s="94" t="s">
        <v>4742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4787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4897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24</v>
      </c>
      <c r="R2538" s="110" t="s">
        <v>485</v>
      </c>
      <c r="S2538" s="94"/>
    </row>
    <row r="2539" spans="1:19" hidden="1">
      <c r="A2539" s="103" t="s">
        <v>4425</v>
      </c>
      <c r="B2539" s="94" t="str">
        <f>IFERROR(VLOOKUP(Proc[[#This Row],[App]],Table2[],3,0),"open")</f>
        <v>ok</v>
      </c>
      <c r="C2539" s="117" t="s">
        <v>369</v>
      </c>
      <c r="D2539" t="s">
        <v>4463</v>
      </c>
      <c r="E2539" t="s">
        <v>4742</v>
      </c>
      <c r="F2539" s="94" t="s">
        <v>4742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4787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4897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24</v>
      </c>
      <c r="R2539" s="110" t="s">
        <v>485</v>
      </c>
      <c r="S2539" s="94"/>
    </row>
    <row r="2540" spans="1:19" hidden="1">
      <c r="A2540" s="103" t="s">
        <v>4425</v>
      </c>
      <c r="B2540" s="94" t="str">
        <f>IFERROR(VLOOKUP(Proc[[#This Row],[App]],Table2[],3,0),"open")</f>
        <v>ok</v>
      </c>
      <c r="C2540" s="117" t="s">
        <v>369</v>
      </c>
      <c r="D2540" t="s">
        <v>4464</v>
      </c>
      <c r="E2540" t="s">
        <v>4740</v>
      </c>
      <c r="F2540" s="94" t="s">
        <v>4740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4787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4897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24</v>
      </c>
      <c r="R2540" s="110" t="s">
        <v>485</v>
      </c>
      <c r="S2540" s="94"/>
    </row>
    <row r="2541" spans="1:19" hidden="1">
      <c r="A2541" s="103" t="s">
        <v>4425</v>
      </c>
      <c r="B2541" s="94" t="str">
        <f>IFERROR(VLOOKUP(Proc[[#This Row],[App]],Table2[],3,0),"open")</f>
        <v>ok</v>
      </c>
      <c r="C2541" s="117" t="s">
        <v>369</v>
      </c>
      <c r="D2541" t="s">
        <v>4465</v>
      </c>
      <c r="E2541" t="s">
        <v>4740</v>
      </c>
      <c r="F2541" s="94" t="s">
        <v>4740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4787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4897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24</v>
      </c>
      <c r="R2541" s="110" t="s">
        <v>485</v>
      </c>
      <c r="S2541" s="94"/>
    </row>
    <row r="2542" spans="1:19" hidden="1">
      <c r="A2542" s="103" t="s">
        <v>4425</v>
      </c>
      <c r="B2542" s="94" t="str">
        <f>IFERROR(VLOOKUP(Proc[[#This Row],[App]],Table2[],3,0),"open")</f>
        <v>ok</v>
      </c>
      <c r="C2542" s="117" t="s">
        <v>369</v>
      </c>
      <c r="D2542" t="s">
        <v>4466</v>
      </c>
      <c r="E2542" t="s">
        <v>4740</v>
      </c>
      <c r="F2542" s="94" t="s">
        <v>4740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4787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4897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24</v>
      </c>
      <c r="R2542" s="110" t="s">
        <v>485</v>
      </c>
      <c r="S2542" s="94"/>
    </row>
    <row r="2543" spans="1:19" hidden="1">
      <c r="A2543" s="103" t="s">
        <v>4425</v>
      </c>
      <c r="B2543" s="94" t="str">
        <f>IFERROR(VLOOKUP(Proc[[#This Row],[App]],Table2[],3,0),"open")</f>
        <v>ok</v>
      </c>
      <c r="C2543" s="117" t="s">
        <v>369</v>
      </c>
      <c r="D2543" t="s">
        <v>4467</v>
      </c>
      <c r="E2543" t="s">
        <v>4741</v>
      </c>
      <c r="F2543" s="94" t="s">
        <v>4741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4787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4897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24</v>
      </c>
      <c r="R2543" s="110" t="s">
        <v>485</v>
      </c>
      <c r="S2543" s="94"/>
    </row>
    <row r="2544" spans="1:19" hidden="1">
      <c r="A2544" s="103" t="s">
        <v>4425</v>
      </c>
      <c r="B2544" s="94" t="str">
        <f>IFERROR(VLOOKUP(Proc[[#This Row],[App]],Table2[],3,0),"open")</f>
        <v>ok</v>
      </c>
      <c r="C2544" s="117" t="s">
        <v>369</v>
      </c>
      <c r="D2544" t="s">
        <v>4468</v>
      </c>
      <c r="E2544" t="s">
        <v>4741</v>
      </c>
      <c r="F2544" s="94" t="s">
        <v>4741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4787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4897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24</v>
      </c>
      <c r="R2544" s="110" t="s">
        <v>485</v>
      </c>
      <c r="S2544" s="94"/>
    </row>
    <row r="2545" spans="1:19" hidden="1">
      <c r="A2545" s="103" t="s">
        <v>4425</v>
      </c>
      <c r="B2545" s="94" t="str">
        <f>IFERROR(VLOOKUP(Proc[[#This Row],[App]],Table2[],3,0),"open")</f>
        <v>ok</v>
      </c>
      <c r="C2545" s="117" t="s">
        <v>369</v>
      </c>
      <c r="D2545" t="s">
        <v>4469</v>
      </c>
      <c r="E2545" t="s">
        <v>4741</v>
      </c>
      <c r="F2545" s="94" t="s">
        <v>4741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4787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4897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24</v>
      </c>
      <c r="R2545" s="110" t="s">
        <v>485</v>
      </c>
      <c r="S2545" s="94"/>
    </row>
    <row r="2546" spans="1:19" hidden="1">
      <c r="A2546" s="103" t="s">
        <v>4425</v>
      </c>
      <c r="B2546" s="94" t="str">
        <f>IFERROR(VLOOKUP(Proc[[#This Row],[App]],Table2[],3,0),"open")</f>
        <v>ok</v>
      </c>
      <c r="C2546" s="117" t="s">
        <v>369</v>
      </c>
      <c r="D2546" t="s">
        <v>4470</v>
      </c>
      <c r="E2546" t="s">
        <v>4741</v>
      </c>
      <c r="F2546" s="94" t="s">
        <v>4741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4787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4897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24</v>
      </c>
      <c r="R2546" s="110" t="s">
        <v>485</v>
      </c>
      <c r="S2546" s="94"/>
    </row>
    <row r="2547" spans="1:19" hidden="1">
      <c r="A2547" s="103" t="s">
        <v>4425</v>
      </c>
      <c r="B2547" s="94" t="str">
        <f>IFERROR(VLOOKUP(Proc[[#This Row],[App]],Table2[],3,0),"open")</f>
        <v>ok</v>
      </c>
      <c r="C2547" s="117" t="s">
        <v>369</v>
      </c>
      <c r="D2547" t="s">
        <v>4471</v>
      </c>
      <c r="E2547" t="s">
        <v>4741</v>
      </c>
      <c r="F2547" s="94" t="s">
        <v>4741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4787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4897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24</v>
      </c>
      <c r="R2547" s="110" t="s">
        <v>485</v>
      </c>
      <c r="S2547" s="94"/>
    </row>
    <row r="2548" spans="1:19" hidden="1">
      <c r="A2548" s="103" t="s">
        <v>4425</v>
      </c>
      <c r="B2548" s="94" t="str">
        <f>IFERROR(VLOOKUP(Proc[[#This Row],[App]],Table2[],3,0),"open")</f>
        <v>ok</v>
      </c>
      <c r="C2548" s="117" t="s">
        <v>369</v>
      </c>
      <c r="D2548" t="s">
        <v>4472</v>
      </c>
      <c r="E2548" t="s">
        <v>4741</v>
      </c>
      <c r="F2548" s="94" t="s">
        <v>4741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4787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4897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24</v>
      </c>
      <c r="R2548" s="110" t="s">
        <v>485</v>
      </c>
      <c r="S2548" s="94"/>
    </row>
    <row r="2549" spans="1:19" hidden="1">
      <c r="A2549" s="103" t="s">
        <v>4425</v>
      </c>
      <c r="B2549" s="94" t="str">
        <f>IFERROR(VLOOKUP(Proc[[#This Row],[App]],Table2[],3,0),"open")</f>
        <v>ok</v>
      </c>
      <c r="C2549" s="117" t="s">
        <v>369</v>
      </c>
      <c r="D2549" t="s">
        <v>4473</v>
      </c>
      <c r="E2549" t="s">
        <v>4741</v>
      </c>
      <c r="F2549" s="94" t="s">
        <v>4741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4787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4897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24</v>
      </c>
      <c r="R2549" s="110" t="s">
        <v>485</v>
      </c>
      <c r="S2549" s="94"/>
    </row>
    <row r="2550" spans="1:19" hidden="1">
      <c r="A2550" s="103" t="s">
        <v>4425</v>
      </c>
      <c r="B2550" s="94" t="str">
        <f>IFERROR(VLOOKUP(Proc[[#This Row],[App]],Table2[],3,0),"open")</f>
        <v>ok</v>
      </c>
      <c r="C2550" s="117" t="s">
        <v>369</v>
      </c>
      <c r="D2550" t="s">
        <v>4474</v>
      </c>
      <c r="E2550" t="s">
        <v>4741</v>
      </c>
      <c r="F2550" s="94" t="s">
        <v>4741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4787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4897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24</v>
      </c>
      <c r="R2550" s="110" t="s">
        <v>485</v>
      </c>
      <c r="S2550" s="94"/>
    </row>
    <row r="2551" spans="1:19" hidden="1">
      <c r="A2551" s="103" t="s">
        <v>4425</v>
      </c>
      <c r="B2551" s="94" t="str">
        <f>IFERROR(VLOOKUP(Proc[[#This Row],[App]],Table2[],3,0),"open")</f>
        <v>ok</v>
      </c>
      <c r="C2551" s="117" t="s">
        <v>369</v>
      </c>
      <c r="D2551" t="s">
        <v>4475</v>
      </c>
      <c r="E2551" t="s">
        <v>4741</v>
      </c>
      <c r="F2551" s="94" t="s">
        <v>4741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4787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4897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24</v>
      </c>
      <c r="R2551" s="110" t="s">
        <v>485</v>
      </c>
      <c r="S2551" s="94"/>
    </row>
    <row r="2552" spans="1:19" hidden="1">
      <c r="A2552" s="103" t="s">
        <v>4425</v>
      </c>
      <c r="B2552" s="94" t="str">
        <f>IFERROR(VLOOKUP(Proc[[#This Row],[App]],Table2[],3,0),"open")</f>
        <v>ok</v>
      </c>
      <c r="C2552" s="117" t="s">
        <v>369</v>
      </c>
      <c r="D2552" t="s">
        <v>4476</v>
      </c>
      <c r="E2552" t="s">
        <v>4741</v>
      </c>
      <c r="F2552" s="94" t="s">
        <v>4741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4787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4897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24</v>
      </c>
      <c r="R2552" s="110" t="s">
        <v>485</v>
      </c>
      <c r="S2552" s="94"/>
    </row>
    <row r="2553" spans="1:19" hidden="1">
      <c r="A2553" s="103" t="s">
        <v>4425</v>
      </c>
      <c r="B2553" s="94" t="str">
        <f>IFERROR(VLOOKUP(Proc[[#This Row],[App]],Table2[],3,0),"open")</f>
        <v>ok</v>
      </c>
      <c r="C2553" s="117" t="s">
        <v>369</v>
      </c>
      <c r="D2553" t="s">
        <v>4477</v>
      </c>
      <c r="E2553" t="s">
        <v>4741</v>
      </c>
      <c r="F2553" s="94" t="s">
        <v>4741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4787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4897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24</v>
      </c>
      <c r="R2553" s="110" t="s">
        <v>485</v>
      </c>
      <c r="S2553" s="94"/>
    </row>
    <row r="2554" spans="1:19" hidden="1">
      <c r="A2554" s="103" t="s">
        <v>4425</v>
      </c>
      <c r="B2554" s="94" t="str">
        <f>IFERROR(VLOOKUP(Proc[[#This Row],[App]],Table2[],3,0),"open")</f>
        <v>ok</v>
      </c>
      <c r="C2554" s="117" t="s">
        <v>369</v>
      </c>
      <c r="D2554" t="s">
        <v>4478</v>
      </c>
      <c r="E2554" t="s">
        <v>4741</v>
      </c>
      <c r="F2554" s="94" t="s">
        <v>4741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4787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4897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24</v>
      </c>
      <c r="R2554" s="110" t="s">
        <v>485</v>
      </c>
      <c r="S2554" s="94"/>
    </row>
    <row r="2555" spans="1:19" hidden="1">
      <c r="A2555" s="103" t="s">
        <v>4425</v>
      </c>
      <c r="B2555" s="94" t="str">
        <f>IFERROR(VLOOKUP(Proc[[#This Row],[App]],Table2[],3,0),"open")</f>
        <v>ok</v>
      </c>
      <c r="C2555" s="117" t="s">
        <v>369</v>
      </c>
      <c r="D2555" t="s">
        <v>4479</v>
      </c>
      <c r="E2555" t="s">
        <v>4741</v>
      </c>
      <c r="F2555" s="94" t="s">
        <v>4741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4787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4897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24</v>
      </c>
      <c r="R2555" s="110" t="s">
        <v>485</v>
      </c>
      <c r="S2555" s="94"/>
    </row>
    <row r="2556" spans="1:19" hidden="1">
      <c r="A2556" s="103" t="s">
        <v>4425</v>
      </c>
      <c r="B2556" s="94" t="str">
        <f>IFERROR(VLOOKUP(Proc[[#This Row],[App]],Table2[],3,0),"open")</f>
        <v>ok</v>
      </c>
      <c r="C2556" s="117" t="s">
        <v>369</v>
      </c>
      <c r="D2556" t="s">
        <v>4480</v>
      </c>
      <c r="E2556" t="s">
        <v>4741</v>
      </c>
      <c r="F2556" s="94" t="s">
        <v>4741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4787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4897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24</v>
      </c>
      <c r="R2556" s="110" t="s">
        <v>485</v>
      </c>
      <c r="S2556" s="94"/>
    </row>
    <row r="2557" spans="1:19" hidden="1">
      <c r="A2557" s="103" t="s">
        <v>4425</v>
      </c>
      <c r="B2557" s="94" t="str">
        <f>IFERROR(VLOOKUP(Proc[[#This Row],[App]],Table2[],3,0),"open")</f>
        <v>ok</v>
      </c>
      <c r="C2557" s="117" t="s">
        <v>369</v>
      </c>
      <c r="D2557" t="s">
        <v>4481</v>
      </c>
      <c r="E2557" t="s">
        <v>4740</v>
      </c>
      <c r="F2557" s="94" t="s">
        <v>4740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4787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4897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24</v>
      </c>
      <c r="R2557" s="110" t="s">
        <v>485</v>
      </c>
      <c r="S2557" s="94"/>
    </row>
    <row r="2558" spans="1:19" hidden="1">
      <c r="A2558" s="103" t="s">
        <v>4425</v>
      </c>
      <c r="B2558" s="94" t="str">
        <f>IFERROR(VLOOKUP(Proc[[#This Row],[App]],Table2[],3,0),"open")</f>
        <v>ok</v>
      </c>
      <c r="C2558" s="117" t="s">
        <v>369</v>
      </c>
      <c r="D2558" t="s">
        <v>4482</v>
      </c>
      <c r="E2558" t="s">
        <v>4740</v>
      </c>
      <c r="F2558" s="94" t="s">
        <v>4740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4787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4897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24</v>
      </c>
      <c r="R2558" s="110" t="s">
        <v>485</v>
      </c>
      <c r="S2558" s="94"/>
    </row>
    <row r="2559" spans="1:19" hidden="1">
      <c r="A2559" s="103" t="s">
        <v>4425</v>
      </c>
      <c r="B2559" s="94" t="str">
        <f>IFERROR(VLOOKUP(Proc[[#This Row],[App]],Table2[],3,0),"open")</f>
        <v>ok</v>
      </c>
      <c r="C2559" s="117" t="s">
        <v>369</v>
      </c>
      <c r="D2559" t="s">
        <v>4483</v>
      </c>
      <c r="E2559" t="s">
        <v>4740</v>
      </c>
      <c r="F2559" s="94" t="s">
        <v>4740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4787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4897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24</v>
      </c>
      <c r="R2559" s="110" t="s">
        <v>485</v>
      </c>
      <c r="S2559" s="94"/>
    </row>
    <row r="2560" spans="1:19" hidden="1">
      <c r="A2560" s="103" t="s">
        <v>4425</v>
      </c>
      <c r="B2560" s="94" t="str">
        <f>IFERROR(VLOOKUP(Proc[[#This Row],[App]],Table2[],3,0),"open")</f>
        <v>ok</v>
      </c>
      <c r="C2560" s="117" t="s">
        <v>369</v>
      </c>
      <c r="D2560" t="s">
        <v>4484</v>
      </c>
      <c r="E2560" t="s">
        <v>4741</v>
      </c>
      <c r="F2560" s="94" t="s">
        <v>4741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4787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4897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24</v>
      </c>
      <c r="R2560" s="110" t="s">
        <v>485</v>
      </c>
      <c r="S2560" s="94"/>
    </row>
    <row r="2561" spans="1:19" hidden="1">
      <c r="A2561" s="103" t="s">
        <v>4425</v>
      </c>
      <c r="B2561" s="94" t="str">
        <f>IFERROR(VLOOKUP(Proc[[#This Row],[App]],Table2[],3,0),"open")</f>
        <v>ok</v>
      </c>
      <c r="C2561" s="117" t="s">
        <v>369</v>
      </c>
      <c r="D2561" t="s">
        <v>4485</v>
      </c>
      <c r="E2561" t="s">
        <v>4741</v>
      </c>
      <c r="F2561" s="94" t="s">
        <v>4741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4787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4897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24</v>
      </c>
      <c r="R2561" s="110" t="s">
        <v>485</v>
      </c>
      <c r="S2561" s="94"/>
    </row>
    <row r="2562" spans="1:19" hidden="1">
      <c r="A2562" s="103" t="s">
        <v>4425</v>
      </c>
      <c r="B2562" s="94" t="str">
        <f>IFERROR(VLOOKUP(Proc[[#This Row],[App]],Table2[],3,0),"open")</f>
        <v>ok</v>
      </c>
      <c r="C2562" s="117" t="s">
        <v>369</v>
      </c>
      <c r="D2562" t="s">
        <v>4486</v>
      </c>
      <c r="E2562" t="s">
        <v>4741</v>
      </c>
      <c r="F2562" s="94" t="s">
        <v>4741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4787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4897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24</v>
      </c>
      <c r="R2562" s="110" t="s">
        <v>485</v>
      </c>
      <c r="S2562" s="94"/>
    </row>
    <row r="2563" spans="1:19" hidden="1">
      <c r="A2563" s="103" t="s">
        <v>4425</v>
      </c>
      <c r="B2563" s="94" t="str">
        <f>IFERROR(VLOOKUP(Proc[[#This Row],[App]],Table2[],3,0),"open")</f>
        <v>ok</v>
      </c>
      <c r="C2563" s="117" t="s">
        <v>369</v>
      </c>
      <c r="D2563" t="s">
        <v>4487</v>
      </c>
      <c r="E2563" t="s">
        <v>4741</v>
      </c>
      <c r="F2563" s="94" t="s">
        <v>4741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4787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4897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24</v>
      </c>
      <c r="R2563" s="110" t="s">
        <v>485</v>
      </c>
      <c r="S2563" s="94"/>
    </row>
    <row r="2564" spans="1:19" hidden="1">
      <c r="A2564" s="103" t="s">
        <v>4425</v>
      </c>
      <c r="B2564" s="94" t="str">
        <f>IFERROR(VLOOKUP(Proc[[#This Row],[App]],Table2[],3,0),"open")</f>
        <v>ok</v>
      </c>
      <c r="C2564" s="117" t="s">
        <v>369</v>
      </c>
      <c r="D2564" t="s">
        <v>4488</v>
      </c>
      <c r="E2564" t="s">
        <v>4741</v>
      </c>
      <c r="F2564" s="94" t="s">
        <v>4741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4787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4897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24</v>
      </c>
      <c r="R2564" s="110" t="s">
        <v>485</v>
      </c>
      <c r="S2564" s="94"/>
    </row>
    <row r="2565" spans="1:19" hidden="1">
      <c r="A2565" s="103" t="s">
        <v>4425</v>
      </c>
      <c r="B2565" s="94" t="str">
        <f>IFERROR(VLOOKUP(Proc[[#This Row],[App]],Table2[],3,0),"open")</f>
        <v>ok</v>
      </c>
      <c r="C2565" s="117" t="s">
        <v>369</v>
      </c>
      <c r="D2565" t="s">
        <v>4489</v>
      </c>
      <c r="E2565" t="s">
        <v>4741</v>
      </c>
      <c r="F2565" s="94" t="s">
        <v>4741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4787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4897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24</v>
      </c>
      <c r="R2565" s="110" t="s">
        <v>485</v>
      </c>
      <c r="S2565" s="94"/>
    </row>
    <row r="2566" spans="1:19" hidden="1">
      <c r="A2566" s="103" t="s">
        <v>4425</v>
      </c>
      <c r="B2566" s="94" t="str">
        <f>IFERROR(VLOOKUP(Proc[[#This Row],[App]],Table2[],3,0),"open")</f>
        <v>ok</v>
      </c>
      <c r="C2566" s="117" t="s">
        <v>369</v>
      </c>
      <c r="D2566" t="s">
        <v>4490</v>
      </c>
      <c r="E2566" t="s">
        <v>4741</v>
      </c>
      <c r="F2566" s="94" t="s">
        <v>4741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4787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4897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24</v>
      </c>
      <c r="R2566" s="110" t="s">
        <v>485</v>
      </c>
      <c r="S2566" s="94"/>
    </row>
    <row r="2567" spans="1:19" hidden="1">
      <c r="A2567" s="103" t="s">
        <v>4425</v>
      </c>
      <c r="B2567" s="94" t="str">
        <f>IFERROR(VLOOKUP(Proc[[#This Row],[App]],Table2[],3,0),"open")</f>
        <v>ok</v>
      </c>
      <c r="C2567" s="117" t="s">
        <v>369</v>
      </c>
      <c r="D2567" t="s">
        <v>4491</v>
      </c>
      <c r="E2567" t="s">
        <v>4741</v>
      </c>
      <c r="F2567" s="94" t="s">
        <v>4741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4787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4897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24</v>
      </c>
      <c r="R2567" s="110" t="s">
        <v>485</v>
      </c>
      <c r="S2567" s="94"/>
    </row>
    <row r="2568" spans="1:19" hidden="1">
      <c r="A2568" s="103" t="s">
        <v>4425</v>
      </c>
      <c r="B2568" s="94" t="str">
        <f>IFERROR(VLOOKUP(Proc[[#This Row],[App]],Table2[],3,0),"open")</f>
        <v>ok</v>
      </c>
      <c r="C2568" s="117" t="s">
        <v>369</v>
      </c>
      <c r="D2568" t="s">
        <v>4492</v>
      </c>
      <c r="E2568" t="s">
        <v>4741</v>
      </c>
      <c r="F2568" s="94" t="s">
        <v>4741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4787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4897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24</v>
      </c>
      <c r="R2568" s="110" t="s">
        <v>485</v>
      </c>
      <c r="S2568" s="94"/>
    </row>
    <row r="2569" spans="1:19" hidden="1">
      <c r="A2569" s="103" t="s">
        <v>4425</v>
      </c>
      <c r="B2569" s="94" t="str">
        <f>IFERROR(VLOOKUP(Proc[[#This Row],[App]],Table2[],3,0),"open")</f>
        <v>ok</v>
      </c>
      <c r="C2569" s="117" t="s">
        <v>369</v>
      </c>
      <c r="D2569" t="s">
        <v>4493</v>
      </c>
      <c r="E2569" t="s">
        <v>4741</v>
      </c>
      <c r="F2569" s="94" t="s">
        <v>4741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4787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4897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24</v>
      </c>
      <c r="R2569" s="110" t="s">
        <v>485</v>
      </c>
      <c r="S2569" s="94"/>
    </row>
    <row r="2570" spans="1:19" hidden="1">
      <c r="A2570" s="103" t="s">
        <v>4425</v>
      </c>
      <c r="B2570" s="94" t="str">
        <f>IFERROR(VLOOKUP(Proc[[#This Row],[App]],Table2[],3,0),"open")</f>
        <v>ok</v>
      </c>
      <c r="C2570" s="117" t="s">
        <v>369</v>
      </c>
      <c r="D2570" t="s">
        <v>4494</v>
      </c>
      <c r="E2570" t="s">
        <v>4741</v>
      </c>
      <c r="F2570" s="94" t="s">
        <v>4741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4787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4897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24</v>
      </c>
      <c r="R2570" s="110" t="s">
        <v>485</v>
      </c>
      <c r="S2570" s="94"/>
    </row>
    <row r="2571" spans="1:19" hidden="1">
      <c r="A2571" s="103" t="s">
        <v>4425</v>
      </c>
      <c r="B2571" s="94" t="str">
        <f>IFERROR(VLOOKUP(Proc[[#This Row],[App]],Table2[],3,0),"open")</f>
        <v>ok</v>
      </c>
      <c r="C2571" s="117" t="s">
        <v>369</v>
      </c>
      <c r="D2571" t="s">
        <v>4495</v>
      </c>
      <c r="E2571" t="s">
        <v>4741</v>
      </c>
      <c r="F2571" s="94" t="s">
        <v>4741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4787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4897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24</v>
      </c>
      <c r="R2571" s="110" t="s">
        <v>485</v>
      </c>
      <c r="S2571" s="94"/>
    </row>
    <row r="2572" spans="1:19" hidden="1">
      <c r="A2572" s="103" t="s">
        <v>4425</v>
      </c>
      <c r="B2572" s="94" t="str">
        <f>IFERROR(VLOOKUP(Proc[[#This Row],[App]],Table2[],3,0),"open")</f>
        <v>ok</v>
      </c>
      <c r="C2572" s="117" t="s">
        <v>369</v>
      </c>
      <c r="D2572" t="s">
        <v>4496</v>
      </c>
      <c r="E2572" t="s">
        <v>4741</v>
      </c>
      <c r="F2572" s="94" t="s">
        <v>4741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4787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4897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24</v>
      </c>
      <c r="R2572" s="110" t="s">
        <v>485</v>
      </c>
      <c r="S2572" s="94"/>
    </row>
    <row r="2573" spans="1:19" hidden="1">
      <c r="A2573" s="103" t="s">
        <v>4425</v>
      </c>
      <c r="B2573" s="94" t="str">
        <f>IFERROR(VLOOKUP(Proc[[#This Row],[App]],Table2[],3,0),"open")</f>
        <v>ok</v>
      </c>
      <c r="C2573" s="117" t="s">
        <v>369</v>
      </c>
      <c r="D2573" t="s">
        <v>4497</v>
      </c>
      <c r="E2573" t="s">
        <v>4741</v>
      </c>
      <c r="F2573" s="94" t="s">
        <v>4741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4787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4897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24</v>
      </c>
      <c r="R2573" s="110" t="s">
        <v>485</v>
      </c>
      <c r="S2573" s="94"/>
    </row>
    <row r="2574" spans="1:19" hidden="1">
      <c r="A2574" s="103" t="s">
        <v>4425</v>
      </c>
      <c r="B2574" s="94" t="str">
        <f>IFERROR(VLOOKUP(Proc[[#This Row],[App]],Table2[],3,0),"open")</f>
        <v>ok</v>
      </c>
      <c r="C2574" s="117" t="s">
        <v>369</v>
      </c>
      <c r="D2574" t="s">
        <v>4498</v>
      </c>
      <c r="E2574" t="s">
        <v>4741</v>
      </c>
      <c r="F2574" s="94" t="s">
        <v>4741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4787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4897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24</v>
      </c>
      <c r="R2574" s="110" t="s">
        <v>485</v>
      </c>
      <c r="S2574" s="94"/>
    </row>
    <row r="2575" spans="1:19" hidden="1">
      <c r="A2575" s="103" t="s">
        <v>4425</v>
      </c>
      <c r="B2575" s="94" t="str">
        <f>IFERROR(VLOOKUP(Proc[[#This Row],[App]],Table2[],3,0),"open")</f>
        <v>ok</v>
      </c>
      <c r="C2575" s="117" t="s">
        <v>369</v>
      </c>
      <c r="D2575" t="s">
        <v>4499</v>
      </c>
      <c r="E2575" t="s">
        <v>4741</v>
      </c>
      <c r="F2575" s="94" t="s">
        <v>4741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4787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4897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24</v>
      </c>
      <c r="R2575" s="110" t="s">
        <v>485</v>
      </c>
      <c r="S2575" s="94"/>
    </row>
    <row r="2576" spans="1:19" hidden="1">
      <c r="A2576" s="103" t="s">
        <v>4425</v>
      </c>
      <c r="B2576" s="94" t="str">
        <f>IFERROR(VLOOKUP(Proc[[#This Row],[App]],Table2[],3,0),"open")</f>
        <v>ok</v>
      </c>
      <c r="C2576" s="117" t="s">
        <v>369</v>
      </c>
      <c r="D2576" t="s">
        <v>4500</v>
      </c>
      <c r="E2576" t="s">
        <v>4741</v>
      </c>
      <c r="F2576" s="94" t="s">
        <v>4741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4787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4897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24</v>
      </c>
      <c r="R2576" s="110" t="s">
        <v>485</v>
      </c>
      <c r="S2576" s="94"/>
    </row>
    <row r="2577" spans="1:19" hidden="1">
      <c r="A2577" s="103" t="s">
        <v>4425</v>
      </c>
      <c r="B2577" s="94" t="str">
        <f>IFERROR(VLOOKUP(Proc[[#This Row],[App]],Table2[],3,0),"open")</f>
        <v>ok</v>
      </c>
      <c r="C2577" s="117" t="s">
        <v>369</v>
      </c>
      <c r="D2577" t="s">
        <v>4501</v>
      </c>
      <c r="E2577" t="s">
        <v>4741</v>
      </c>
      <c r="F2577" s="94" t="s">
        <v>4741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4787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4897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24</v>
      </c>
      <c r="R2577" s="110" t="s">
        <v>485</v>
      </c>
      <c r="S2577" s="94"/>
    </row>
    <row r="2578" spans="1:19" hidden="1">
      <c r="A2578" s="103" t="s">
        <v>4425</v>
      </c>
      <c r="B2578" s="94" t="str">
        <f>IFERROR(VLOOKUP(Proc[[#This Row],[App]],Table2[],3,0),"open")</f>
        <v>ok</v>
      </c>
      <c r="C2578" s="117" t="s">
        <v>369</v>
      </c>
      <c r="D2578" t="s">
        <v>4502</v>
      </c>
      <c r="E2578" t="s">
        <v>4743</v>
      </c>
      <c r="F2578" s="94" t="s">
        <v>4743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4787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4897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24</v>
      </c>
      <c r="R2578" s="110" t="s">
        <v>485</v>
      </c>
      <c r="S2578" s="94"/>
    </row>
    <row r="2579" spans="1:19" hidden="1">
      <c r="A2579" s="103" t="s">
        <v>4425</v>
      </c>
      <c r="B2579" s="94" t="str">
        <f>IFERROR(VLOOKUP(Proc[[#This Row],[App]],Table2[],3,0),"open")</f>
        <v>ok</v>
      </c>
      <c r="C2579" s="117" t="s">
        <v>369</v>
      </c>
      <c r="D2579" t="s">
        <v>4503</v>
      </c>
      <c r="E2579" t="s">
        <v>4744</v>
      </c>
      <c r="F2579" s="94" t="s">
        <v>4744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4787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4897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24</v>
      </c>
      <c r="R2579" s="110" t="s">
        <v>485</v>
      </c>
      <c r="S2579" s="94"/>
    </row>
    <row r="2580" spans="1:19" hidden="1">
      <c r="A2580" s="103" t="s">
        <v>4425</v>
      </c>
      <c r="B2580" s="94" t="str">
        <f>IFERROR(VLOOKUP(Proc[[#This Row],[App]],Table2[],3,0),"open")</f>
        <v>ok</v>
      </c>
      <c r="C2580" s="117" t="s">
        <v>369</v>
      </c>
      <c r="D2580" t="s">
        <v>4504</v>
      </c>
      <c r="E2580" t="s">
        <v>4743</v>
      </c>
      <c r="F2580" s="94" t="s">
        <v>4743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4787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4897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24</v>
      </c>
      <c r="R2580" s="110" t="s">
        <v>485</v>
      </c>
      <c r="S2580" s="94"/>
    </row>
    <row r="2581" spans="1:19" hidden="1">
      <c r="A2581" s="103" t="s">
        <v>4425</v>
      </c>
      <c r="B2581" s="94" t="str">
        <f>IFERROR(VLOOKUP(Proc[[#This Row],[App]],Table2[],3,0),"open")</f>
        <v>ok</v>
      </c>
      <c r="C2581" s="117" t="s">
        <v>369</v>
      </c>
      <c r="D2581" t="s">
        <v>4505</v>
      </c>
      <c r="E2581" t="s">
        <v>4745</v>
      </c>
      <c r="F2581" s="94" t="s">
        <v>4745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4787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4897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24</v>
      </c>
      <c r="R2581" s="110" t="s">
        <v>485</v>
      </c>
      <c r="S2581" s="94"/>
    </row>
    <row r="2582" spans="1:19" hidden="1">
      <c r="A2582" s="103" t="s">
        <v>4425</v>
      </c>
      <c r="B2582" s="94" t="str">
        <f>IFERROR(VLOOKUP(Proc[[#This Row],[App]],Table2[],3,0),"open")</f>
        <v>ok</v>
      </c>
      <c r="C2582" s="117" t="s">
        <v>369</v>
      </c>
      <c r="D2582" t="s">
        <v>4506</v>
      </c>
      <c r="E2582" t="s">
        <v>4743</v>
      </c>
      <c r="F2582" s="94" t="s">
        <v>4743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4787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4897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24</v>
      </c>
      <c r="R2582" s="110" t="s">
        <v>485</v>
      </c>
      <c r="S2582" s="94"/>
    </row>
    <row r="2583" spans="1:19" hidden="1">
      <c r="A2583" s="103" t="s">
        <v>4425</v>
      </c>
      <c r="B2583" s="94" t="str">
        <f>IFERROR(VLOOKUP(Proc[[#This Row],[App]],Table2[],3,0),"open")</f>
        <v>ok</v>
      </c>
      <c r="C2583" s="117" t="s">
        <v>369</v>
      </c>
      <c r="D2583" t="s">
        <v>4507</v>
      </c>
      <c r="E2583" t="s">
        <v>4743</v>
      </c>
      <c r="F2583" s="94" t="s">
        <v>4743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4787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4897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24</v>
      </c>
      <c r="R2583" s="110" t="s">
        <v>485</v>
      </c>
      <c r="S2583" s="94"/>
    </row>
    <row r="2584" spans="1:19" hidden="1">
      <c r="A2584" s="103" t="s">
        <v>4425</v>
      </c>
      <c r="B2584" s="94" t="str">
        <f>IFERROR(VLOOKUP(Proc[[#This Row],[App]],Table2[],3,0),"open")</f>
        <v>ok</v>
      </c>
      <c r="C2584" s="117" t="s">
        <v>369</v>
      </c>
      <c r="D2584" t="s">
        <v>4508</v>
      </c>
      <c r="E2584" t="s">
        <v>4743</v>
      </c>
      <c r="F2584" s="94" t="s">
        <v>4743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4787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4897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24</v>
      </c>
      <c r="R2584" s="110" t="s">
        <v>485</v>
      </c>
      <c r="S2584" s="94"/>
    </row>
    <row r="2585" spans="1:19" hidden="1">
      <c r="A2585" s="103" t="s">
        <v>4425</v>
      </c>
      <c r="B2585" s="94" t="str">
        <f>IFERROR(VLOOKUP(Proc[[#This Row],[App]],Table2[],3,0),"open")</f>
        <v>ok</v>
      </c>
      <c r="C2585" s="117" t="s">
        <v>369</v>
      </c>
      <c r="D2585" t="s">
        <v>4509</v>
      </c>
      <c r="E2585" t="s">
        <v>4745</v>
      </c>
      <c r="F2585" s="94" t="s">
        <v>4745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4787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4897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24</v>
      </c>
      <c r="R2585" s="110" t="s">
        <v>485</v>
      </c>
      <c r="S2585" s="94"/>
    </row>
    <row r="2586" spans="1:19" hidden="1">
      <c r="A2586" s="103" t="s">
        <v>4425</v>
      </c>
      <c r="B2586" s="94" t="str">
        <f>IFERROR(VLOOKUP(Proc[[#This Row],[App]],Table2[],3,0),"open")</f>
        <v>ok</v>
      </c>
      <c r="C2586" s="117" t="s">
        <v>369</v>
      </c>
      <c r="D2586" t="s">
        <v>4510</v>
      </c>
      <c r="E2586" t="s">
        <v>4744</v>
      </c>
      <c r="F2586" s="94" t="s">
        <v>4744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4787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4897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24</v>
      </c>
      <c r="R2586" s="110" t="s">
        <v>485</v>
      </c>
      <c r="S2586" s="94"/>
    </row>
    <row r="2587" spans="1:19" hidden="1">
      <c r="A2587" s="103" t="s">
        <v>4425</v>
      </c>
      <c r="B2587" s="94" t="str">
        <f>IFERROR(VLOOKUP(Proc[[#This Row],[App]],Table2[],3,0),"open")</f>
        <v>ok</v>
      </c>
      <c r="C2587" s="117" t="s">
        <v>369</v>
      </c>
      <c r="D2587" t="s">
        <v>4511</v>
      </c>
      <c r="E2587" t="s">
        <v>4743</v>
      </c>
      <c r="F2587" s="94" t="s">
        <v>4743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4787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4897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24</v>
      </c>
      <c r="R2587" s="110" t="s">
        <v>485</v>
      </c>
      <c r="S2587" s="94"/>
    </row>
    <row r="2588" spans="1:19" hidden="1">
      <c r="A2588" s="103" t="s">
        <v>4425</v>
      </c>
      <c r="B2588" s="94" t="str">
        <f>IFERROR(VLOOKUP(Proc[[#This Row],[App]],Table2[],3,0),"open")</f>
        <v>ok</v>
      </c>
      <c r="C2588" s="117" t="s">
        <v>369</v>
      </c>
      <c r="D2588" t="s">
        <v>4512</v>
      </c>
      <c r="E2588" t="s">
        <v>4743</v>
      </c>
      <c r="F2588" s="94" t="s">
        <v>4743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4787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4897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24</v>
      </c>
      <c r="R2588" s="110" t="s">
        <v>485</v>
      </c>
      <c r="S2588" s="94"/>
    </row>
    <row r="2589" spans="1:19" hidden="1">
      <c r="A2589" s="103" t="s">
        <v>4425</v>
      </c>
      <c r="B2589" s="94" t="str">
        <f>IFERROR(VLOOKUP(Proc[[#This Row],[App]],Table2[],3,0),"open")</f>
        <v>ok</v>
      </c>
      <c r="C2589" s="117" t="s">
        <v>369</v>
      </c>
      <c r="D2589" t="s">
        <v>4513</v>
      </c>
      <c r="E2589" t="s">
        <v>4743</v>
      </c>
      <c r="F2589" s="94" t="s">
        <v>4743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4787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4897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24</v>
      </c>
      <c r="R2589" s="110" t="s">
        <v>485</v>
      </c>
      <c r="S2589" s="94"/>
    </row>
    <row r="2590" spans="1:19" hidden="1">
      <c r="A2590" s="103" t="s">
        <v>4425</v>
      </c>
      <c r="B2590" s="94" t="str">
        <f>IFERROR(VLOOKUP(Proc[[#This Row],[App]],Table2[],3,0),"open")</f>
        <v>ok</v>
      </c>
      <c r="C2590" s="117" t="s">
        <v>369</v>
      </c>
      <c r="D2590" t="s">
        <v>4514</v>
      </c>
      <c r="E2590" t="s">
        <v>4743</v>
      </c>
      <c r="F2590" s="94" t="s">
        <v>4743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4787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4897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24</v>
      </c>
      <c r="R2590" s="110" t="s">
        <v>485</v>
      </c>
      <c r="S2590" s="94"/>
    </row>
    <row r="2591" spans="1:19" hidden="1">
      <c r="A2591" s="103" t="s">
        <v>4425</v>
      </c>
      <c r="B2591" s="94" t="str">
        <f>IFERROR(VLOOKUP(Proc[[#This Row],[App]],Table2[],3,0),"open")</f>
        <v>ok</v>
      </c>
      <c r="C2591" s="117" t="s">
        <v>369</v>
      </c>
      <c r="D2591" t="s">
        <v>4515</v>
      </c>
      <c r="E2591" t="s">
        <v>4743</v>
      </c>
      <c r="F2591" s="94" t="s">
        <v>4743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4787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4897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24</v>
      </c>
      <c r="R2591" s="110" t="s">
        <v>485</v>
      </c>
      <c r="S2591" s="94"/>
    </row>
    <row r="2592" spans="1:19" hidden="1">
      <c r="A2592" s="103" t="s">
        <v>4425</v>
      </c>
      <c r="B2592" s="94" t="str">
        <f>IFERROR(VLOOKUP(Proc[[#This Row],[App]],Table2[],3,0),"open")</f>
        <v>ok</v>
      </c>
      <c r="C2592" s="117" t="s">
        <v>369</v>
      </c>
      <c r="D2592" t="s">
        <v>4516</v>
      </c>
      <c r="E2592" t="s">
        <v>4743</v>
      </c>
      <c r="F2592" s="94" t="s">
        <v>4743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4787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4897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24</v>
      </c>
      <c r="R2592" s="110" t="s">
        <v>485</v>
      </c>
      <c r="S2592" s="94"/>
    </row>
    <row r="2593" spans="1:19" hidden="1">
      <c r="A2593" s="103" t="s">
        <v>4425</v>
      </c>
      <c r="B2593" s="94" t="str">
        <f>IFERROR(VLOOKUP(Proc[[#This Row],[App]],Table2[],3,0),"open")</f>
        <v>ok</v>
      </c>
      <c r="C2593" s="117" t="s">
        <v>369</v>
      </c>
      <c r="D2593" t="s">
        <v>4517</v>
      </c>
      <c r="E2593" t="s">
        <v>4743</v>
      </c>
      <c r="F2593" s="94" t="s">
        <v>4743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4787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4897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24</v>
      </c>
      <c r="R2593" s="110" t="s">
        <v>485</v>
      </c>
      <c r="S2593" s="94"/>
    </row>
    <row r="2594" spans="1:19" hidden="1">
      <c r="A2594" s="103" t="s">
        <v>4425</v>
      </c>
      <c r="B2594" s="94" t="str">
        <f>IFERROR(VLOOKUP(Proc[[#This Row],[App]],Table2[],3,0),"open")</f>
        <v>ok</v>
      </c>
      <c r="C2594" s="117" t="s">
        <v>369</v>
      </c>
      <c r="D2594" t="s">
        <v>4518</v>
      </c>
      <c r="E2594" t="s">
        <v>4743</v>
      </c>
      <c r="F2594" s="94" t="s">
        <v>4743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4787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4897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24</v>
      </c>
      <c r="R2594" s="110" t="s">
        <v>485</v>
      </c>
      <c r="S2594" s="94"/>
    </row>
    <row r="2595" spans="1:19" hidden="1">
      <c r="A2595" s="103" t="s">
        <v>4425</v>
      </c>
      <c r="B2595" s="94" t="str">
        <f>IFERROR(VLOOKUP(Proc[[#This Row],[App]],Table2[],3,0),"open")</f>
        <v>ok</v>
      </c>
      <c r="C2595" s="117" t="s">
        <v>369</v>
      </c>
      <c r="D2595" t="s">
        <v>4519</v>
      </c>
      <c r="E2595" t="s">
        <v>4743</v>
      </c>
      <c r="F2595" s="94" t="s">
        <v>4743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4787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4897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24</v>
      </c>
      <c r="R2595" s="110" t="s">
        <v>485</v>
      </c>
      <c r="S2595" s="94"/>
    </row>
    <row r="2596" spans="1:19" hidden="1">
      <c r="A2596" s="103" t="s">
        <v>4425</v>
      </c>
      <c r="B2596" s="94" t="str">
        <f>IFERROR(VLOOKUP(Proc[[#This Row],[App]],Table2[],3,0),"open")</f>
        <v>ok</v>
      </c>
      <c r="C2596" s="117" t="s">
        <v>369</v>
      </c>
      <c r="D2596" t="s">
        <v>4520</v>
      </c>
      <c r="E2596" t="s">
        <v>4743</v>
      </c>
      <c r="F2596" s="94" t="s">
        <v>4743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4787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4897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24</v>
      </c>
      <c r="R2596" s="110" t="s">
        <v>485</v>
      </c>
      <c r="S2596" s="94"/>
    </row>
    <row r="2597" spans="1:19" hidden="1">
      <c r="A2597" s="103" t="s">
        <v>4425</v>
      </c>
      <c r="B2597" s="94" t="str">
        <f>IFERROR(VLOOKUP(Proc[[#This Row],[App]],Table2[],3,0),"open")</f>
        <v>ok</v>
      </c>
      <c r="C2597" s="117" t="s">
        <v>369</v>
      </c>
      <c r="D2597" t="s">
        <v>4521</v>
      </c>
      <c r="E2597" t="s">
        <v>4743</v>
      </c>
      <c r="F2597" s="94" t="s">
        <v>4743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4787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4897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24</v>
      </c>
      <c r="R2597" s="110" t="s">
        <v>485</v>
      </c>
      <c r="S2597" s="94"/>
    </row>
    <row r="2598" spans="1:19" hidden="1">
      <c r="A2598" s="103" t="s">
        <v>4425</v>
      </c>
      <c r="B2598" s="94" t="str">
        <f>IFERROR(VLOOKUP(Proc[[#This Row],[App]],Table2[],3,0),"open")</f>
        <v>ok</v>
      </c>
      <c r="C2598" s="117" t="s">
        <v>369</v>
      </c>
      <c r="D2598" t="s">
        <v>4522</v>
      </c>
      <c r="E2598" t="s">
        <v>4743</v>
      </c>
      <c r="F2598" s="94" t="s">
        <v>4743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4787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4897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24</v>
      </c>
      <c r="R2598" s="110" t="s">
        <v>485</v>
      </c>
      <c r="S2598" s="94"/>
    </row>
    <row r="2599" spans="1:19" hidden="1">
      <c r="A2599" s="103" t="s">
        <v>4425</v>
      </c>
      <c r="B2599" s="94" t="str">
        <f>IFERROR(VLOOKUP(Proc[[#This Row],[App]],Table2[],3,0),"open")</f>
        <v>ok</v>
      </c>
      <c r="C2599" s="117" t="s">
        <v>369</v>
      </c>
      <c r="D2599" t="s">
        <v>4523</v>
      </c>
      <c r="E2599" t="s">
        <v>4743</v>
      </c>
      <c r="F2599" s="94" t="s">
        <v>4743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4787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4897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24</v>
      </c>
      <c r="R2599" s="110" t="s">
        <v>485</v>
      </c>
      <c r="S2599" s="94"/>
    </row>
    <row r="2600" spans="1:19" hidden="1">
      <c r="A2600" s="103" t="s">
        <v>4425</v>
      </c>
      <c r="B2600" s="94" t="str">
        <f>IFERROR(VLOOKUP(Proc[[#This Row],[App]],Table2[],3,0),"open")</f>
        <v>ok</v>
      </c>
      <c r="C2600" s="117" t="s">
        <v>369</v>
      </c>
      <c r="D2600" t="s">
        <v>4524</v>
      </c>
      <c r="E2600" t="s">
        <v>4743</v>
      </c>
      <c r="F2600" s="94" t="s">
        <v>4743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4787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4897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24</v>
      </c>
      <c r="R2600" s="110" t="s">
        <v>485</v>
      </c>
      <c r="S2600" s="94"/>
    </row>
    <row r="2601" spans="1:19" hidden="1">
      <c r="A2601" s="103" t="s">
        <v>4425</v>
      </c>
      <c r="B2601" s="94" t="str">
        <f>IFERROR(VLOOKUP(Proc[[#This Row],[App]],Table2[],3,0),"open")</f>
        <v>ok</v>
      </c>
      <c r="C2601" s="117" t="s">
        <v>369</v>
      </c>
      <c r="D2601" t="s">
        <v>4525</v>
      </c>
      <c r="E2601" t="s">
        <v>4743</v>
      </c>
      <c r="F2601" s="94" t="s">
        <v>4743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4787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4897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24</v>
      </c>
      <c r="R2601" s="110" t="s">
        <v>485</v>
      </c>
      <c r="S2601" s="94"/>
    </row>
    <row r="2602" spans="1:19" hidden="1">
      <c r="A2602" s="103" t="s">
        <v>4425</v>
      </c>
      <c r="B2602" s="94" t="str">
        <f>IFERROR(VLOOKUP(Proc[[#This Row],[App]],Table2[],3,0),"open")</f>
        <v>ok</v>
      </c>
      <c r="C2602" s="117" t="s">
        <v>369</v>
      </c>
      <c r="D2602" t="s">
        <v>4526</v>
      </c>
      <c r="E2602" t="s">
        <v>4743</v>
      </c>
      <c r="F2602" s="94" t="s">
        <v>4743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4788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4897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24</v>
      </c>
      <c r="R2602" s="110" t="s">
        <v>485</v>
      </c>
      <c r="S2602" s="94"/>
    </row>
    <row r="2603" spans="1:19" hidden="1">
      <c r="A2603" s="103" t="s">
        <v>4425</v>
      </c>
      <c r="B2603" s="94" t="str">
        <f>IFERROR(VLOOKUP(Proc[[#This Row],[App]],Table2[],3,0),"open")</f>
        <v>ok</v>
      </c>
      <c r="C2603" s="117" t="s">
        <v>369</v>
      </c>
      <c r="D2603" t="s">
        <v>4527</v>
      </c>
      <c r="E2603" t="s">
        <v>4744</v>
      </c>
      <c r="F2603" s="94" t="s">
        <v>4744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4788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4897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24</v>
      </c>
      <c r="R2603" s="110" t="s">
        <v>485</v>
      </c>
      <c r="S2603" s="94"/>
    </row>
    <row r="2604" spans="1:19" hidden="1">
      <c r="A2604" s="103" t="s">
        <v>4425</v>
      </c>
      <c r="B2604" s="94" t="str">
        <f>IFERROR(VLOOKUP(Proc[[#This Row],[App]],Table2[],3,0),"open")</f>
        <v>ok</v>
      </c>
      <c r="C2604" s="117" t="s">
        <v>369</v>
      </c>
      <c r="D2604" t="s">
        <v>4528</v>
      </c>
      <c r="E2604" t="s">
        <v>4744</v>
      </c>
      <c r="F2604" s="94" t="s">
        <v>4744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4788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4897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24</v>
      </c>
      <c r="R2604" s="110" t="s">
        <v>485</v>
      </c>
      <c r="S2604" s="94"/>
    </row>
    <row r="2605" spans="1:19" hidden="1">
      <c r="A2605" s="103" t="s">
        <v>4425</v>
      </c>
      <c r="B2605" s="94" t="str">
        <f>IFERROR(VLOOKUP(Proc[[#This Row],[App]],Table2[],3,0),"open")</f>
        <v>ok</v>
      </c>
      <c r="C2605" s="117" t="s">
        <v>369</v>
      </c>
      <c r="D2605" t="s">
        <v>4529</v>
      </c>
      <c r="E2605" t="s">
        <v>4743</v>
      </c>
      <c r="F2605" s="94" t="s">
        <v>4743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4788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4897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24</v>
      </c>
      <c r="R2605" s="110" t="s">
        <v>485</v>
      </c>
      <c r="S2605" s="94"/>
    </row>
    <row r="2606" spans="1:19" hidden="1">
      <c r="A2606" s="103" t="s">
        <v>4425</v>
      </c>
      <c r="B2606" s="94" t="str">
        <f>IFERROR(VLOOKUP(Proc[[#This Row],[App]],Table2[],3,0),"open")</f>
        <v>ok</v>
      </c>
      <c r="C2606" s="117" t="s">
        <v>369</v>
      </c>
      <c r="D2606" t="s">
        <v>4530</v>
      </c>
      <c r="E2606" t="s">
        <v>4744</v>
      </c>
      <c r="F2606" s="94" t="s">
        <v>4744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4788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4897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24</v>
      </c>
      <c r="R2606" s="110" t="s">
        <v>485</v>
      </c>
      <c r="S2606" s="94"/>
    </row>
    <row r="2607" spans="1:19" hidden="1">
      <c r="A2607" s="103" t="s">
        <v>4425</v>
      </c>
      <c r="B2607" s="94" t="str">
        <f>IFERROR(VLOOKUP(Proc[[#This Row],[App]],Table2[],3,0),"open")</f>
        <v>ok</v>
      </c>
      <c r="C2607" s="117" t="s">
        <v>369</v>
      </c>
      <c r="D2607" t="s">
        <v>4531</v>
      </c>
      <c r="E2607" t="s">
        <v>4743</v>
      </c>
      <c r="F2607" s="94" t="s">
        <v>4743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4788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4897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24</v>
      </c>
      <c r="R2607" s="110" t="s">
        <v>485</v>
      </c>
      <c r="S2607" s="94"/>
    </row>
    <row r="2608" spans="1:19" hidden="1">
      <c r="A2608" s="103" t="s">
        <v>4425</v>
      </c>
      <c r="B2608" s="94" t="str">
        <f>IFERROR(VLOOKUP(Proc[[#This Row],[App]],Table2[],3,0),"open")</f>
        <v>ok</v>
      </c>
      <c r="C2608" s="117" t="s">
        <v>369</v>
      </c>
      <c r="D2608" t="s">
        <v>4532</v>
      </c>
      <c r="E2608" t="s">
        <v>4744</v>
      </c>
      <c r="F2608" s="94" t="s">
        <v>4744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4788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4897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24</v>
      </c>
      <c r="R2608" s="110" t="s">
        <v>485</v>
      </c>
      <c r="S2608" s="94"/>
    </row>
    <row r="2609" spans="1:19" hidden="1">
      <c r="A2609" s="103" t="s">
        <v>4425</v>
      </c>
      <c r="B2609" s="94" t="str">
        <f>IFERROR(VLOOKUP(Proc[[#This Row],[App]],Table2[],3,0),"open")</f>
        <v>ok</v>
      </c>
      <c r="C2609" s="117" t="s">
        <v>369</v>
      </c>
      <c r="D2609" t="s">
        <v>4533</v>
      </c>
      <c r="E2609" t="s">
        <v>4743</v>
      </c>
      <c r="F2609" s="94" t="s">
        <v>4743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4788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4897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24</v>
      </c>
      <c r="R2609" s="110" t="s">
        <v>485</v>
      </c>
      <c r="S2609" s="94"/>
    </row>
    <row r="2610" spans="1:19" hidden="1">
      <c r="A2610" s="103" t="s">
        <v>4425</v>
      </c>
      <c r="B2610" s="94" t="str">
        <f>IFERROR(VLOOKUP(Proc[[#This Row],[App]],Table2[],3,0),"open")</f>
        <v>ok</v>
      </c>
      <c r="C2610" s="117" t="s">
        <v>369</v>
      </c>
      <c r="D2610" t="s">
        <v>4534</v>
      </c>
      <c r="E2610" t="s">
        <v>4744</v>
      </c>
      <c r="F2610" s="94" t="s">
        <v>4744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4788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4897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24</v>
      </c>
      <c r="R2610" s="110" t="s">
        <v>485</v>
      </c>
      <c r="S2610" s="94"/>
    </row>
    <row r="2611" spans="1:19" hidden="1">
      <c r="A2611" s="103" t="s">
        <v>4425</v>
      </c>
      <c r="B2611" s="94" t="str">
        <f>IFERROR(VLOOKUP(Proc[[#This Row],[App]],Table2[],3,0),"open")</f>
        <v>ok</v>
      </c>
      <c r="C2611" s="117" t="s">
        <v>369</v>
      </c>
      <c r="D2611" t="s">
        <v>4535</v>
      </c>
      <c r="E2611" t="s">
        <v>4746</v>
      </c>
      <c r="F2611" s="94" t="s">
        <v>4746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4788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4897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24</v>
      </c>
      <c r="R2611" s="110" t="s">
        <v>485</v>
      </c>
      <c r="S2611" s="94"/>
    </row>
    <row r="2612" spans="1:19" hidden="1">
      <c r="A2612" s="103" t="s">
        <v>4425</v>
      </c>
      <c r="B2612" s="94" t="str">
        <f>IFERROR(VLOOKUP(Proc[[#This Row],[App]],Table2[],3,0),"open")</f>
        <v>ok</v>
      </c>
      <c r="C2612" s="117" t="s">
        <v>369</v>
      </c>
      <c r="D2612" t="s">
        <v>4536</v>
      </c>
      <c r="E2612" t="s">
        <v>4744</v>
      </c>
      <c r="F2612" s="94" t="s">
        <v>4744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4788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4897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24</v>
      </c>
      <c r="R2612" s="110" t="s">
        <v>485</v>
      </c>
      <c r="S2612" s="94"/>
    </row>
    <row r="2613" spans="1:19" hidden="1">
      <c r="A2613" s="103" t="s">
        <v>4425</v>
      </c>
      <c r="B2613" s="94" t="str">
        <f>IFERROR(VLOOKUP(Proc[[#This Row],[App]],Table2[],3,0),"open")</f>
        <v>ok</v>
      </c>
      <c r="C2613" s="117" t="s">
        <v>369</v>
      </c>
      <c r="D2613" t="s">
        <v>4537</v>
      </c>
      <c r="E2613" t="s">
        <v>4744</v>
      </c>
      <c r="F2613" s="94" t="s">
        <v>4744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4788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4897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24</v>
      </c>
      <c r="R2613" s="110" t="s">
        <v>485</v>
      </c>
      <c r="S2613" s="94"/>
    </row>
    <row r="2614" spans="1:19" hidden="1">
      <c r="A2614" s="103" t="s">
        <v>4425</v>
      </c>
      <c r="B2614" s="94" t="str">
        <f>IFERROR(VLOOKUP(Proc[[#This Row],[App]],Table2[],3,0),"open")</f>
        <v>ok</v>
      </c>
      <c r="C2614" s="117" t="s">
        <v>369</v>
      </c>
      <c r="D2614" t="s">
        <v>4538</v>
      </c>
      <c r="E2614" t="s">
        <v>4744</v>
      </c>
      <c r="F2614" s="94" t="s">
        <v>4744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4788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4897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24</v>
      </c>
      <c r="R2614" s="110" t="s">
        <v>485</v>
      </c>
      <c r="S2614" s="94"/>
    </row>
    <row r="2615" spans="1:19" hidden="1">
      <c r="A2615" s="103" t="s">
        <v>4425</v>
      </c>
      <c r="B2615" s="94" t="str">
        <f>IFERROR(VLOOKUP(Proc[[#This Row],[App]],Table2[],3,0),"open")</f>
        <v>ok</v>
      </c>
      <c r="C2615" s="117" t="s">
        <v>369</v>
      </c>
      <c r="D2615" t="s">
        <v>4539</v>
      </c>
      <c r="E2615" t="s">
        <v>4744</v>
      </c>
      <c r="F2615" s="94" t="s">
        <v>4744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4788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4897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24</v>
      </c>
      <c r="R2615" s="110" t="s">
        <v>485</v>
      </c>
      <c r="S2615" s="94"/>
    </row>
    <row r="2616" spans="1:19" hidden="1">
      <c r="A2616" s="103" t="s">
        <v>4425</v>
      </c>
      <c r="B2616" s="94" t="str">
        <f>IFERROR(VLOOKUP(Proc[[#This Row],[App]],Table2[],3,0),"open")</f>
        <v>ok</v>
      </c>
      <c r="C2616" s="117" t="s">
        <v>369</v>
      </c>
      <c r="D2616" t="s">
        <v>4540</v>
      </c>
      <c r="E2616" t="s">
        <v>4744</v>
      </c>
      <c r="F2616" s="94" t="s">
        <v>4744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4788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4897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24</v>
      </c>
      <c r="R2616" s="110" t="s">
        <v>485</v>
      </c>
      <c r="S2616" s="94"/>
    </row>
    <row r="2617" spans="1:19" hidden="1">
      <c r="A2617" s="103" t="s">
        <v>4425</v>
      </c>
      <c r="B2617" s="94" t="str">
        <f>IFERROR(VLOOKUP(Proc[[#This Row],[App]],Table2[],3,0),"open")</f>
        <v>ok</v>
      </c>
      <c r="C2617" s="117" t="s">
        <v>369</v>
      </c>
      <c r="D2617" t="s">
        <v>4541</v>
      </c>
      <c r="E2617" t="s">
        <v>4747</v>
      </c>
      <c r="F2617" s="94" t="s">
        <v>4747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4788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4897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24</v>
      </c>
      <c r="R2617" s="110" t="s">
        <v>485</v>
      </c>
      <c r="S2617" s="94"/>
    </row>
    <row r="2618" spans="1:19" hidden="1">
      <c r="A2618" s="103" t="s">
        <v>4425</v>
      </c>
      <c r="B2618" s="94" t="str">
        <f>IFERROR(VLOOKUP(Proc[[#This Row],[App]],Table2[],3,0),"open")</f>
        <v>ok</v>
      </c>
      <c r="C2618" s="117" t="s">
        <v>369</v>
      </c>
      <c r="D2618" t="s">
        <v>4542</v>
      </c>
      <c r="E2618" t="s">
        <v>4744</v>
      </c>
      <c r="F2618" s="94" t="s">
        <v>4744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4788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4897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24</v>
      </c>
      <c r="R2618" s="110" t="s">
        <v>485</v>
      </c>
      <c r="S2618" s="94"/>
    </row>
    <row r="2619" spans="1:19" hidden="1">
      <c r="A2619" s="103" t="s">
        <v>4425</v>
      </c>
      <c r="B2619" s="94" t="str">
        <f>IFERROR(VLOOKUP(Proc[[#This Row],[App]],Table2[],3,0),"open")</f>
        <v>ok</v>
      </c>
      <c r="C2619" s="117" t="s">
        <v>369</v>
      </c>
      <c r="D2619" t="s">
        <v>4543</v>
      </c>
      <c r="E2619" t="s">
        <v>4744</v>
      </c>
      <c r="F2619" s="94" t="s">
        <v>4744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4788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4897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24</v>
      </c>
      <c r="R2619" s="110" t="s">
        <v>485</v>
      </c>
      <c r="S2619" s="94"/>
    </row>
    <row r="2620" spans="1:19" hidden="1">
      <c r="A2620" s="103" t="s">
        <v>4425</v>
      </c>
      <c r="B2620" s="94" t="str">
        <f>IFERROR(VLOOKUP(Proc[[#This Row],[App]],Table2[],3,0),"open")</f>
        <v>ok</v>
      </c>
      <c r="C2620" s="117" t="s">
        <v>369</v>
      </c>
      <c r="D2620" t="s">
        <v>4544</v>
      </c>
      <c r="E2620" t="s">
        <v>4744</v>
      </c>
      <c r="F2620" s="94" t="s">
        <v>4744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4788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4897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24</v>
      </c>
      <c r="R2620" s="110" t="s">
        <v>485</v>
      </c>
      <c r="S2620" s="94"/>
    </row>
    <row r="2621" spans="1:19" hidden="1">
      <c r="A2621" s="103" t="s">
        <v>4425</v>
      </c>
      <c r="B2621" s="94" t="str">
        <f>IFERROR(VLOOKUP(Proc[[#This Row],[App]],Table2[],3,0),"open")</f>
        <v>ok</v>
      </c>
      <c r="C2621" s="117" t="s">
        <v>369</v>
      </c>
      <c r="D2621" t="s">
        <v>4545</v>
      </c>
      <c r="E2621" t="s">
        <v>4744</v>
      </c>
      <c r="F2621" s="94" t="s">
        <v>4744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4788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4897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24</v>
      </c>
      <c r="R2621" s="110" t="s">
        <v>485</v>
      </c>
      <c r="S2621" s="94"/>
    </row>
    <row r="2622" spans="1:19" hidden="1">
      <c r="A2622" s="103" t="s">
        <v>4425</v>
      </c>
      <c r="B2622" s="94" t="str">
        <f>IFERROR(VLOOKUP(Proc[[#This Row],[App]],Table2[],3,0),"open")</f>
        <v>ok</v>
      </c>
      <c r="C2622" s="117" t="s">
        <v>369</v>
      </c>
      <c r="D2622" t="s">
        <v>4546</v>
      </c>
      <c r="E2622" t="s">
        <v>4747</v>
      </c>
      <c r="F2622" s="94" t="s">
        <v>4747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4788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4897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24</v>
      </c>
      <c r="R2622" s="110" t="s">
        <v>485</v>
      </c>
      <c r="S2622" s="94"/>
    </row>
    <row r="2623" spans="1:19" hidden="1">
      <c r="A2623" s="103" t="s">
        <v>4425</v>
      </c>
      <c r="B2623" s="94" t="str">
        <f>IFERROR(VLOOKUP(Proc[[#This Row],[App]],Table2[],3,0),"open")</f>
        <v>ok</v>
      </c>
      <c r="C2623" s="117" t="s">
        <v>369</v>
      </c>
      <c r="D2623" t="s">
        <v>4547</v>
      </c>
      <c r="E2623" t="s">
        <v>4744</v>
      </c>
      <c r="F2623" s="94" t="s">
        <v>4744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4788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4897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24</v>
      </c>
      <c r="R2623" s="110" t="s">
        <v>485</v>
      </c>
      <c r="S2623" s="94"/>
    </row>
    <row r="2624" spans="1:19" hidden="1">
      <c r="A2624" s="103" t="s">
        <v>4425</v>
      </c>
      <c r="B2624" s="94" t="str">
        <f>IFERROR(VLOOKUP(Proc[[#This Row],[App]],Table2[],3,0),"open")</f>
        <v>ok</v>
      </c>
      <c r="C2624" s="117" t="s">
        <v>369</v>
      </c>
      <c r="D2624" t="s">
        <v>4548</v>
      </c>
      <c r="E2624" t="s">
        <v>4744</v>
      </c>
      <c r="F2624" s="94" t="s">
        <v>4744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4788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4897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24</v>
      </c>
      <c r="R2624" s="110" t="s">
        <v>485</v>
      </c>
      <c r="S2624" s="94"/>
    </row>
    <row r="2625" spans="1:19" hidden="1">
      <c r="A2625" s="103" t="s">
        <v>4425</v>
      </c>
      <c r="B2625" s="94" t="str">
        <f>IFERROR(VLOOKUP(Proc[[#This Row],[App]],Table2[],3,0),"open")</f>
        <v>ok</v>
      </c>
      <c r="C2625" s="117" t="s">
        <v>369</v>
      </c>
      <c r="D2625" t="s">
        <v>4549</v>
      </c>
      <c r="E2625" t="s">
        <v>4743</v>
      </c>
      <c r="F2625" s="94" t="s">
        <v>4743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4788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4897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24</v>
      </c>
      <c r="R2625" s="110" t="s">
        <v>485</v>
      </c>
      <c r="S2625" s="94"/>
    </row>
    <row r="2626" spans="1:19" hidden="1">
      <c r="A2626" s="103" t="s">
        <v>4425</v>
      </c>
      <c r="B2626" s="94" t="str">
        <f>IFERROR(VLOOKUP(Proc[[#This Row],[App]],Table2[],3,0),"open")</f>
        <v>ok</v>
      </c>
      <c r="C2626" s="117" t="s">
        <v>369</v>
      </c>
      <c r="D2626" t="s">
        <v>4550</v>
      </c>
      <c r="E2626" t="s">
        <v>4744</v>
      </c>
      <c r="F2626" s="94" t="s">
        <v>4744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4788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4897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24</v>
      </c>
      <c r="R2626" s="110" t="s">
        <v>485</v>
      </c>
      <c r="S2626" s="94"/>
    </row>
    <row r="2627" spans="1:19" hidden="1">
      <c r="A2627" s="103" t="s">
        <v>4425</v>
      </c>
      <c r="B2627" s="94" t="str">
        <f>IFERROR(VLOOKUP(Proc[[#This Row],[App]],Table2[],3,0),"open")</f>
        <v>ok</v>
      </c>
      <c r="C2627" s="117" t="s">
        <v>369</v>
      </c>
      <c r="D2627" t="s">
        <v>4551</v>
      </c>
      <c r="E2627" t="s">
        <v>4744</v>
      </c>
      <c r="F2627" s="94" t="s">
        <v>4744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4788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4897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24</v>
      </c>
      <c r="R2627" s="110" t="s">
        <v>485</v>
      </c>
      <c r="S2627" s="94"/>
    </row>
    <row r="2628" spans="1:19" hidden="1">
      <c r="A2628" s="103" t="s">
        <v>4425</v>
      </c>
      <c r="B2628" s="94" t="str">
        <f>IFERROR(VLOOKUP(Proc[[#This Row],[App]],Table2[],3,0),"open")</f>
        <v>ok</v>
      </c>
      <c r="C2628" s="117" t="s">
        <v>369</v>
      </c>
      <c r="D2628" t="s">
        <v>4552</v>
      </c>
      <c r="E2628" t="s">
        <v>4746</v>
      </c>
      <c r="F2628" s="94" t="s">
        <v>4746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4788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4897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24</v>
      </c>
      <c r="R2628" s="110" t="s">
        <v>485</v>
      </c>
      <c r="S2628" s="94"/>
    </row>
    <row r="2629" spans="1:19" hidden="1">
      <c r="A2629" s="103" t="s">
        <v>4425</v>
      </c>
      <c r="B2629" s="94" t="str">
        <f>IFERROR(VLOOKUP(Proc[[#This Row],[App]],Table2[],3,0),"open")</f>
        <v>ok</v>
      </c>
      <c r="C2629" s="117" t="s">
        <v>369</v>
      </c>
      <c r="D2629" t="s">
        <v>4553</v>
      </c>
      <c r="E2629" t="s">
        <v>4744</v>
      </c>
      <c r="F2629" s="94" t="s">
        <v>4744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4788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4897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24</v>
      </c>
      <c r="R2629" s="110" t="s">
        <v>485</v>
      </c>
      <c r="S2629" s="94"/>
    </row>
    <row r="2630" spans="1:19" hidden="1">
      <c r="A2630" s="103" t="s">
        <v>4425</v>
      </c>
      <c r="B2630" s="94" t="str">
        <f>IFERROR(VLOOKUP(Proc[[#This Row],[App]],Table2[],3,0),"open")</f>
        <v>ok</v>
      </c>
      <c r="C2630" s="117" t="s">
        <v>369</v>
      </c>
      <c r="D2630" t="s">
        <v>4554</v>
      </c>
      <c r="E2630" t="s">
        <v>4744</v>
      </c>
      <c r="F2630" s="94" t="s">
        <v>4744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4788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4897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24</v>
      </c>
      <c r="R2630" s="110" t="s">
        <v>485</v>
      </c>
      <c r="S2630" s="94"/>
    </row>
    <row r="2631" spans="1:19" hidden="1">
      <c r="A2631" s="103" t="s">
        <v>4425</v>
      </c>
      <c r="B2631" s="94" t="str">
        <f>IFERROR(VLOOKUP(Proc[[#This Row],[App]],Table2[],3,0),"open")</f>
        <v>ok</v>
      </c>
      <c r="C2631" s="117" t="s">
        <v>369</v>
      </c>
      <c r="D2631" t="s">
        <v>4555</v>
      </c>
      <c r="E2631" t="s">
        <v>4744</v>
      </c>
      <c r="F2631" s="94" t="s">
        <v>4744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4788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4897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24</v>
      </c>
      <c r="R2631" s="110" t="s">
        <v>485</v>
      </c>
      <c r="S2631" s="94"/>
    </row>
    <row r="2632" spans="1:19" hidden="1">
      <c r="A2632" s="103" t="s">
        <v>4425</v>
      </c>
      <c r="B2632" s="94" t="str">
        <f>IFERROR(VLOOKUP(Proc[[#This Row],[App]],Table2[],3,0),"open")</f>
        <v>ok</v>
      </c>
      <c r="C2632" s="117" t="s">
        <v>369</v>
      </c>
      <c r="D2632" t="s">
        <v>4556</v>
      </c>
      <c r="E2632" t="s">
        <v>4746</v>
      </c>
      <c r="F2632" s="94" t="s">
        <v>4746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4788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4897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24</v>
      </c>
      <c r="R2632" s="110" t="s">
        <v>485</v>
      </c>
      <c r="S2632" s="94"/>
    </row>
    <row r="2633" spans="1:19" hidden="1">
      <c r="A2633" s="103" t="s">
        <v>4425</v>
      </c>
      <c r="B2633" s="94" t="str">
        <f>IFERROR(VLOOKUP(Proc[[#This Row],[App]],Table2[],3,0),"open")</f>
        <v>ok</v>
      </c>
      <c r="C2633" s="117" t="s">
        <v>369</v>
      </c>
      <c r="D2633" t="s">
        <v>4557</v>
      </c>
      <c r="E2633" t="s">
        <v>4746</v>
      </c>
      <c r="F2633" s="94" t="s">
        <v>4746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4788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4897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24</v>
      </c>
      <c r="R2633" s="110" t="s">
        <v>485</v>
      </c>
      <c r="S2633" s="94"/>
    </row>
    <row r="2634" spans="1:19" hidden="1">
      <c r="A2634" s="103" t="s">
        <v>4425</v>
      </c>
      <c r="B2634" s="94" t="str">
        <f>IFERROR(VLOOKUP(Proc[[#This Row],[App]],Table2[],3,0),"open")</f>
        <v>ok</v>
      </c>
      <c r="C2634" s="117" t="s">
        <v>369</v>
      </c>
      <c r="D2634" t="s">
        <v>4558</v>
      </c>
      <c r="E2634" t="s">
        <v>4747</v>
      </c>
      <c r="F2634" s="94" t="s">
        <v>4747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4788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4897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24</v>
      </c>
      <c r="R2634" s="110" t="s">
        <v>485</v>
      </c>
      <c r="S2634" s="94"/>
    </row>
    <row r="2635" spans="1:19" hidden="1">
      <c r="A2635" s="103" t="s">
        <v>4425</v>
      </c>
      <c r="B2635" s="94" t="str">
        <f>IFERROR(VLOOKUP(Proc[[#This Row],[App]],Table2[],3,0),"open")</f>
        <v>ok</v>
      </c>
      <c r="C2635" s="117" t="s">
        <v>369</v>
      </c>
      <c r="D2635" t="s">
        <v>4559</v>
      </c>
      <c r="E2635" t="s">
        <v>4747</v>
      </c>
      <c r="F2635" s="94" t="s">
        <v>4747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4788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4897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24</v>
      </c>
      <c r="R2635" s="110" t="s">
        <v>485</v>
      </c>
      <c r="S2635" s="94"/>
    </row>
    <row r="2636" spans="1:19" hidden="1">
      <c r="A2636" s="103" t="s">
        <v>4425</v>
      </c>
      <c r="B2636" s="94" t="str">
        <f>IFERROR(VLOOKUP(Proc[[#This Row],[App]],Table2[],3,0),"open")</f>
        <v>ok</v>
      </c>
      <c r="C2636" s="117" t="s">
        <v>369</v>
      </c>
      <c r="D2636" t="s">
        <v>4560</v>
      </c>
      <c r="E2636" t="s">
        <v>4747</v>
      </c>
      <c r="F2636" s="94" t="s">
        <v>4747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4788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4897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24</v>
      </c>
      <c r="R2636" s="110" t="s">
        <v>485</v>
      </c>
      <c r="S2636" s="94"/>
    </row>
    <row r="2637" spans="1:19" hidden="1">
      <c r="A2637" s="103" t="s">
        <v>4425</v>
      </c>
      <c r="B2637" s="94" t="str">
        <f>IFERROR(VLOOKUP(Proc[[#This Row],[App]],Table2[],3,0),"open")</f>
        <v>ok</v>
      </c>
      <c r="C2637" s="117" t="s">
        <v>369</v>
      </c>
      <c r="D2637" t="s">
        <v>4561</v>
      </c>
      <c r="E2637" t="s">
        <v>4744</v>
      </c>
      <c r="F2637" s="94" t="s">
        <v>4744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4788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4897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24</v>
      </c>
      <c r="R2637" s="110" t="s">
        <v>485</v>
      </c>
      <c r="S2637" s="94"/>
    </row>
    <row r="2638" spans="1:19" hidden="1">
      <c r="A2638" s="103" t="s">
        <v>4425</v>
      </c>
      <c r="B2638" s="94" t="str">
        <f>IFERROR(VLOOKUP(Proc[[#This Row],[App]],Table2[],3,0),"open")</f>
        <v>ok</v>
      </c>
      <c r="C2638" s="117" t="s">
        <v>369</v>
      </c>
      <c r="D2638" t="s">
        <v>4562</v>
      </c>
      <c r="E2638" t="s">
        <v>4744</v>
      </c>
      <c r="F2638" s="94" t="s">
        <v>4744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4788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4897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24</v>
      </c>
      <c r="R2638" s="110" t="s">
        <v>485</v>
      </c>
      <c r="S2638" s="94"/>
    </row>
    <row r="2639" spans="1:19" hidden="1">
      <c r="A2639" s="103" t="s">
        <v>4425</v>
      </c>
      <c r="B2639" s="94" t="str">
        <f>IFERROR(VLOOKUP(Proc[[#This Row],[App]],Table2[],3,0),"open")</f>
        <v>ok</v>
      </c>
      <c r="C2639" s="117" t="s">
        <v>369</v>
      </c>
      <c r="D2639" t="s">
        <v>4563</v>
      </c>
      <c r="E2639" t="s">
        <v>4746</v>
      </c>
      <c r="F2639" s="94" t="s">
        <v>4746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4788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4897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24</v>
      </c>
      <c r="R2639" s="110" t="s">
        <v>485</v>
      </c>
      <c r="S2639" s="94"/>
    </row>
    <row r="2640" spans="1:19" hidden="1">
      <c r="A2640" s="103" t="s">
        <v>4425</v>
      </c>
      <c r="B2640" s="94" t="str">
        <f>IFERROR(VLOOKUP(Proc[[#This Row],[App]],Table2[],3,0),"open")</f>
        <v>ok</v>
      </c>
      <c r="C2640" s="117" t="s">
        <v>369</v>
      </c>
      <c r="D2640" t="s">
        <v>4564</v>
      </c>
      <c r="E2640" t="s">
        <v>4746</v>
      </c>
      <c r="F2640" s="94" t="s">
        <v>4746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4788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4897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24</v>
      </c>
      <c r="R2640" s="110" t="s">
        <v>485</v>
      </c>
      <c r="S2640" s="94"/>
    </row>
    <row r="2641" spans="1:19" hidden="1">
      <c r="A2641" s="103" t="s">
        <v>4425</v>
      </c>
      <c r="B2641" s="94" t="str">
        <f>IFERROR(VLOOKUP(Proc[[#This Row],[App]],Table2[],3,0),"open")</f>
        <v>ok</v>
      </c>
      <c r="C2641" s="117" t="s">
        <v>369</v>
      </c>
      <c r="D2641" t="s">
        <v>4565</v>
      </c>
      <c r="E2641" t="s">
        <v>4746</v>
      </c>
      <c r="F2641" s="94" t="s">
        <v>4746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4788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4897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24</v>
      </c>
      <c r="R2641" s="110" t="s">
        <v>485</v>
      </c>
      <c r="S2641" s="94"/>
    </row>
    <row r="2642" spans="1:19" hidden="1">
      <c r="A2642" s="103" t="s">
        <v>4425</v>
      </c>
      <c r="B2642" s="94" t="str">
        <f>IFERROR(VLOOKUP(Proc[[#This Row],[App]],Table2[],3,0),"open")</f>
        <v>ok</v>
      </c>
      <c r="C2642" s="117" t="s">
        <v>369</v>
      </c>
      <c r="D2642" t="s">
        <v>4566</v>
      </c>
      <c r="E2642" t="s">
        <v>4746</v>
      </c>
      <c r="F2642" s="94" t="s">
        <v>4746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4788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4897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24</v>
      </c>
      <c r="R2642" s="110" t="s">
        <v>485</v>
      </c>
      <c r="S2642" s="94"/>
    </row>
    <row r="2643" spans="1:19" hidden="1">
      <c r="A2643" s="103" t="s">
        <v>4425</v>
      </c>
      <c r="B2643" s="94" t="str">
        <f>IFERROR(VLOOKUP(Proc[[#This Row],[App]],Table2[],3,0),"open")</f>
        <v>ok</v>
      </c>
      <c r="C2643" s="117" t="s">
        <v>369</v>
      </c>
      <c r="D2643" t="s">
        <v>4567</v>
      </c>
      <c r="E2643" t="s">
        <v>4744</v>
      </c>
      <c r="F2643" s="94" t="s">
        <v>4744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4788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4897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24</v>
      </c>
      <c r="R2643" s="110" t="s">
        <v>485</v>
      </c>
      <c r="S2643" s="94"/>
    </row>
    <row r="2644" spans="1:19" hidden="1">
      <c r="A2644" s="103" t="s">
        <v>4425</v>
      </c>
      <c r="B2644" s="94" t="str">
        <f>IFERROR(VLOOKUP(Proc[[#This Row],[App]],Table2[],3,0),"open")</f>
        <v>ok</v>
      </c>
      <c r="C2644" s="117" t="s">
        <v>369</v>
      </c>
      <c r="D2644" t="s">
        <v>4568</v>
      </c>
      <c r="E2644" t="s">
        <v>4744</v>
      </c>
      <c r="F2644" s="94" t="s">
        <v>4744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4788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4897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24</v>
      </c>
      <c r="R2644" s="110" t="s">
        <v>485</v>
      </c>
      <c r="S2644" s="94"/>
    </row>
    <row r="2645" spans="1:19" hidden="1">
      <c r="A2645" s="103" t="s">
        <v>4425</v>
      </c>
      <c r="B2645" s="94" t="str">
        <f>IFERROR(VLOOKUP(Proc[[#This Row],[App]],Table2[],3,0),"open")</f>
        <v>ok</v>
      </c>
      <c r="C2645" s="117" t="s">
        <v>369</v>
      </c>
      <c r="D2645" t="s">
        <v>4569</v>
      </c>
      <c r="E2645" t="s">
        <v>4744</v>
      </c>
      <c r="F2645" s="94" t="s">
        <v>4744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4788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4897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24</v>
      </c>
      <c r="R2645" s="110" t="s">
        <v>485</v>
      </c>
      <c r="S2645" s="94"/>
    </row>
    <row r="2646" spans="1:19" hidden="1">
      <c r="A2646" s="103" t="s">
        <v>4425</v>
      </c>
      <c r="B2646" s="94" t="str">
        <f>IFERROR(VLOOKUP(Proc[[#This Row],[App]],Table2[],3,0),"open")</f>
        <v>ok</v>
      </c>
      <c r="C2646" s="117" t="s">
        <v>369</v>
      </c>
      <c r="D2646" t="s">
        <v>4570</v>
      </c>
      <c r="E2646" t="s">
        <v>4744</v>
      </c>
      <c r="F2646" s="94" t="s">
        <v>4744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4788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4897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24</v>
      </c>
      <c r="R2646" s="110" t="s">
        <v>485</v>
      </c>
      <c r="S2646" s="94"/>
    </row>
    <row r="2647" spans="1:19" hidden="1">
      <c r="A2647" s="103" t="s">
        <v>4425</v>
      </c>
      <c r="B2647" s="94" t="str">
        <f>IFERROR(VLOOKUP(Proc[[#This Row],[App]],Table2[],3,0),"open")</f>
        <v>ok</v>
      </c>
      <c r="C2647" s="117" t="s">
        <v>369</v>
      </c>
      <c r="D2647" t="s">
        <v>4571</v>
      </c>
      <c r="E2647" t="s">
        <v>4746</v>
      </c>
      <c r="F2647" s="94" t="s">
        <v>4746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4788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4897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24</v>
      </c>
      <c r="R2647" s="110" t="s">
        <v>485</v>
      </c>
      <c r="S2647" s="94"/>
    </row>
    <row r="2648" spans="1:19" hidden="1">
      <c r="A2648" s="103" t="s">
        <v>4425</v>
      </c>
      <c r="B2648" s="94" t="str">
        <f>IFERROR(VLOOKUP(Proc[[#This Row],[App]],Table2[],3,0),"open")</f>
        <v>ok</v>
      </c>
      <c r="C2648" s="117" t="s">
        <v>369</v>
      </c>
      <c r="D2648" t="s">
        <v>4572</v>
      </c>
      <c r="E2648" t="s">
        <v>4747</v>
      </c>
      <c r="F2648" s="94" t="s">
        <v>4747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4788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4897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24</v>
      </c>
      <c r="R2648" s="110" t="s">
        <v>485</v>
      </c>
      <c r="S2648" s="94"/>
    </row>
    <row r="2649" spans="1:19" hidden="1">
      <c r="A2649" s="103" t="s">
        <v>4425</v>
      </c>
      <c r="B2649" s="94" t="str">
        <f>IFERROR(VLOOKUP(Proc[[#This Row],[App]],Table2[],3,0),"open")</f>
        <v>ok</v>
      </c>
      <c r="C2649" s="117" t="s">
        <v>369</v>
      </c>
      <c r="D2649" t="s">
        <v>4573</v>
      </c>
      <c r="E2649" t="s">
        <v>4747</v>
      </c>
      <c r="F2649" s="94" t="s">
        <v>4747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4788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4897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24</v>
      </c>
      <c r="R2649" s="110" t="s">
        <v>485</v>
      </c>
      <c r="S2649" s="94"/>
    </row>
    <row r="2650" spans="1:19" hidden="1">
      <c r="A2650" s="103" t="s">
        <v>4425</v>
      </c>
      <c r="B2650" s="94" t="str">
        <f>IFERROR(VLOOKUP(Proc[[#This Row],[App]],Table2[],3,0),"open")</f>
        <v>ok</v>
      </c>
      <c r="C2650" s="117" t="s">
        <v>369</v>
      </c>
      <c r="D2650" t="s">
        <v>4574</v>
      </c>
      <c r="E2650" t="s">
        <v>4747</v>
      </c>
      <c r="F2650" s="94" t="s">
        <v>4747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4788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4897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24</v>
      </c>
      <c r="R2650" s="110" t="s">
        <v>485</v>
      </c>
      <c r="S2650" s="94"/>
    </row>
    <row r="2651" spans="1:19" hidden="1">
      <c r="A2651" s="103" t="s">
        <v>4425</v>
      </c>
      <c r="B2651" s="94" t="str">
        <f>IFERROR(VLOOKUP(Proc[[#This Row],[App]],Table2[],3,0),"open")</f>
        <v>ok</v>
      </c>
      <c r="C2651" s="117" t="s">
        <v>369</v>
      </c>
      <c r="D2651" t="s">
        <v>4575</v>
      </c>
      <c r="E2651" t="s">
        <v>4747</v>
      </c>
      <c r="F2651" s="94" t="s">
        <v>4747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4788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4897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24</v>
      </c>
      <c r="R2651" s="110" t="s">
        <v>485</v>
      </c>
      <c r="S2651" s="94"/>
    </row>
    <row r="2652" spans="1:19" hidden="1">
      <c r="A2652" s="103" t="s">
        <v>4425</v>
      </c>
      <c r="B2652" s="94" t="str">
        <f>IFERROR(VLOOKUP(Proc[[#This Row],[App]],Table2[],3,0),"open")</f>
        <v>ok</v>
      </c>
      <c r="C2652" s="117" t="s">
        <v>369</v>
      </c>
      <c r="D2652" t="s">
        <v>4576</v>
      </c>
      <c r="E2652" t="s">
        <v>4744</v>
      </c>
      <c r="F2652" s="94" t="s">
        <v>4744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4788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4897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24</v>
      </c>
      <c r="R2652" s="110" t="s">
        <v>485</v>
      </c>
      <c r="S2652" s="94"/>
    </row>
    <row r="2653" spans="1:19" hidden="1">
      <c r="A2653" s="103" t="s">
        <v>4425</v>
      </c>
      <c r="B2653" s="94" t="str">
        <f>IFERROR(VLOOKUP(Proc[[#This Row],[App]],Table2[],3,0),"open")</f>
        <v>ok</v>
      </c>
      <c r="C2653" s="117" t="s">
        <v>369</v>
      </c>
      <c r="D2653" t="s">
        <v>4577</v>
      </c>
      <c r="E2653" t="s">
        <v>4743</v>
      </c>
      <c r="F2653" s="94" t="s">
        <v>4743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4788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4897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24</v>
      </c>
      <c r="R2653" s="110" t="s">
        <v>485</v>
      </c>
      <c r="S2653" s="94"/>
    </row>
    <row r="2654" spans="1:19" hidden="1">
      <c r="A2654" s="103" t="s">
        <v>4425</v>
      </c>
      <c r="B2654" s="94" t="str">
        <f>IFERROR(VLOOKUP(Proc[[#This Row],[App]],Table2[],3,0),"open")</f>
        <v>ok</v>
      </c>
      <c r="C2654" s="117" t="s">
        <v>369</v>
      </c>
      <c r="D2654" t="s">
        <v>4578</v>
      </c>
      <c r="E2654" t="s">
        <v>4743</v>
      </c>
      <c r="F2654" s="94" t="s">
        <v>4743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4788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4897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24</v>
      </c>
      <c r="R2654" s="110" t="s">
        <v>485</v>
      </c>
      <c r="S2654" s="94"/>
    </row>
    <row r="2655" spans="1:19" hidden="1">
      <c r="A2655" s="103" t="s">
        <v>4425</v>
      </c>
      <c r="B2655" s="94" t="str">
        <f>IFERROR(VLOOKUP(Proc[[#This Row],[App]],Table2[],3,0),"open")</f>
        <v>ok</v>
      </c>
      <c r="C2655" s="117" t="s">
        <v>369</v>
      </c>
      <c r="D2655" t="s">
        <v>4579</v>
      </c>
      <c r="E2655" t="s">
        <v>4747</v>
      </c>
      <c r="F2655" s="94" t="s">
        <v>4747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4788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4897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24</v>
      </c>
      <c r="R2655" s="110" t="s">
        <v>485</v>
      </c>
      <c r="S2655" s="94"/>
    </row>
    <row r="2656" spans="1:19" hidden="1">
      <c r="A2656" s="103" t="s">
        <v>4425</v>
      </c>
      <c r="B2656" s="94" t="str">
        <f>IFERROR(VLOOKUP(Proc[[#This Row],[App]],Table2[],3,0),"open")</f>
        <v>ok</v>
      </c>
      <c r="C2656" s="117" t="s">
        <v>369</v>
      </c>
      <c r="D2656" t="s">
        <v>4580</v>
      </c>
      <c r="E2656" t="s">
        <v>4743</v>
      </c>
      <c r="F2656" s="94" t="s">
        <v>4743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4788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4897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24</v>
      </c>
      <c r="R2656" s="110" t="s">
        <v>485</v>
      </c>
      <c r="S2656" s="94"/>
    </row>
    <row r="2657" spans="1:19" hidden="1">
      <c r="A2657" s="103" t="s">
        <v>4425</v>
      </c>
      <c r="B2657" s="94" t="str">
        <f>IFERROR(VLOOKUP(Proc[[#This Row],[App]],Table2[],3,0),"open")</f>
        <v>ok</v>
      </c>
      <c r="C2657" s="117" t="s">
        <v>369</v>
      </c>
      <c r="D2657" t="s">
        <v>4581</v>
      </c>
      <c r="E2657" t="s">
        <v>4748</v>
      </c>
      <c r="F2657" s="94" t="s">
        <v>4748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4788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4897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24</v>
      </c>
      <c r="R2657" s="110" t="s">
        <v>485</v>
      </c>
      <c r="S2657" s="94"/>
    </row>
    <row r="2658" spans="1:19" hidden="1">
      <c r="A2658" s="103" t="s">
        <v>4425</v>
      </c>
      <c r="B2658" s="94" t="str">
        <f>IFERROR(VLOOKUP(Proc[[#This Row],[App]],Table2[],3,0),"open")</f>
        <v>ok</v>
      </c>
      <c r="C2658" s="117" t="s">
        <v>369</v>
      </c>
      <c r="D2658" t="s">
        <v>4582</v>
      </c>
      <c r="E2658" t="s">
        <v>4748</v>
      </c>
      <c r="F2658" s="94" t="s">
        <v>4748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4788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4897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24</v>
      </c>
      <c r="R2658" s="110" t="s">
        <v>485</v>
      </c>
      <c r="S2658" s="94"/>
    </row>
    <row r="2659" spans="1:19" hidden="1">
      <c r="A2659" s="103" t="s">
        <v>4425</v>
      </c>
      <c r="B2659" s="94" t="str">
        <f>IFERROR(VLOOKUP(Proc[[#This Row],[App]],Table2[],3,0),"open")</f>
        <v>ok</v>
      </c>
      <c r="C2659" s="117" t="s">
        <v>369</v>
      </c>
      <c r="D2659" t="s">
        <v>4583</v>
      </c>
      <c r="E2659" t="s">
        <v>4748</v>
      </c>
      <c r="F2659" s="94" t="s">
        <v>4748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4788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4897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24</v>
      </c>
      <c r="R2659" s="110" t="s">
        <v>485</v>
      </c>
      <c r="S2659" s="94"/>
    </row>
    <row r="2660" spans="1:19" hidden="1">
      <c r="A2660" s="103" t="s">
        <v>4425</v>
      </c>
      <c r="B2660" s="94" t="str">
        <f>IFERROR(VLOOKUP(Proc[[#This Row],[App]],Table2[],3,0),"open")</f>
        <v>ok</v>
      </c>
      <c r="C2660" s="117" t="s">
        <v>369</v>
      </c>
      <c r="D2660" t="s">
        <v>4584</v>
      </c>
      <c r="E2660" t="s">
        <v>4748</v>
      </c>
      <c r="F2660" s="94" t="s">
        <v>4748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4788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4897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24</v>
      </c>
      <c r="R2660" s="110" t="s">
        <v>485</v>
      </c>
      <c r="S2660" s="94"/>
    </row>
    <row r="2661" spans="1:19" hidden="1">
      <c r="A2661" s="103" t="s">
        <v>4425</v>
      </c>
      <c r="B2661" s="94" t="str">
        <f>IFERROR(VLOOKUP(Proc[[#This Row],[App]],Table2[],3,0),"open")</f>
        <v>ok</v>
      </c>
      <c r="C2661" s="117" t="s">
        <v>369</v>
      </c>
      <c r="D2661" t="s">
        <v>4585</v>
      </c>
      <c r="E2661" t="s">
        <v>4748</v>
      </c>
      <c r="F2661" s="94" t="s">
        <v>4748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4788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4897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24</v>
      </c>
      <c r="R2661" s="110" t="s">
        <v>485</v>
      </c>
      <c r="S2661" s="94"/>
    </row>
    <row r="2662" spans="1:19" hidden="1">
      <c r="A2662" s="103" t="s">
        <v>4425</v>
      </c>
      <c r="B2662" s="94" t="str">
        <f>IFERROR(VLOOKUP(Proc[[#This Row],[App]],Table2[],3,0),"open")</f>
        <v>ok</v>
      </c>
      <c r="C2662" s="117" t="s">
        <v>369</v>
      </c>
      <c r="D2662" t="s">
        <v>4586</v>
      </c>
      <c r="E2662" t="s">
        <v>4748</v>
      </c>
      <c r="F2662" s="94" t="s">
        <v>4748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4788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4897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24</v>
      </c>
      <c r="R2662" s="110" t="s">
        <v>485</v>
      </c>
      <c r="S2662" s="94"/>
    </row>
    <row r="2663" spans="1:19" hidden="1">
      <c r="A2663" s="103" t="s">
        <v>4425</v>
      </c>
      <c r="B2663" s="94" t="str">
        <f>IFERROR(VLOOKUP(Proc[[#This Row],[App]],Table2[],3,0),"open")</f>
        <v>ok</v>
      </c>
      <c r="C2663" s="117" t="s">
        <v>369</v>
      </c>
      <c r="D2663" t="s">
        <v>4587</v>
      </c>
      <c r="E2663" t="s">
        <v>4749</v>
      </c>
      <c r="F2663" s="94" t="s">
        <v>4749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4788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4897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24</v>
      </c>
      <c r="R2663" s="110" t="s">
        <v>485</v>
      </c>
      <c r="S2663" s="94"/>
    </row>
    <row r="2664" spans="1:19" hidden="1">
      <c r="A2664" s="103" t="s">
        <v>4425</v>
      </c>
      <c r="B2664" s="94" t="str">
        <f>IFERROR(VLOOKUP(Proc[[#This Row],[App]],Table2[],3,0),"open")</f>
        <v>ok</v>
      </c>
      <c r="C2664" s="117" t="s">
        <v>369</v>
      </c>
      <c r="D2664" t="s">
        <v>4588</v>
      </c>
      <c r="E2664" t="s">
        <v>4749</v>
      </c>
      <c r="F2664" s="94" t="s">
        <v>4749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4788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4897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24</v>
      </c>
      <c r="R2664" s="110" t="s">
        <v>485</v>
      </c>
      <c r="S2664" s="94"/>
    </row>
    <row r="2665" spans="1:19" hidden="1">
      <c r="A2665" s="103" t="s">
        <v>4425</v>
      </c>
      <c r="B2665" s="94" t="str">
        <f>IFERROR(VLOOKUP(Proc[[#This Row],[App]],Table2[],3,0),"open")</f>
        <v>ok</v>
      </c>
      <c r="C2665" s="117" t="s">
        <v>369</v>
      </c>
      <c r="D2665" t="s">
        <v>4589</v>
      </c>
      <c r="E2665" t="s">
        <v>4749</v>
      </c>
      <c r="F2665" s="94" t="s">
        <v>4749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4788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4897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24</v>
      </c>
      <c r="R2665" s="110" t="s">
        <v>485</v>
      </c>
      <c r="S2665" s="94"/>
    </row>
    <row r="2666" spans="1:19" hidden="1">
      <c r="A2666" s="103" t="s">
        <v>4425</v>
      </c>
      <c r="B2666" s="94" t="str">
        <f>IFERROR(VLOOKUP(Proc[[#This Row],[App]],Table2[],3,0),"open")</f>
        <v>ok</v>
      </c>
      <c r="C2666" s="117" t="s">
        <v>369</v>
      </c>
      <c r="D2666" t="s">
        <v>4590</v>
      </c>
      <c r="E2666" t="s">
        <v>4749</v>
      </c>
      <c r="F2666" s="94" t="s">
        <v>4749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4788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4897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24</v>
      </c>
      <c r="R2666" s="110" t="s">
        <v>485</v>
      </c>
      <c r="S2666" s="94"/>
    </row>
    <row r="2667" spans="1:19" hidden="1">
      <c r="A2667" s="103" t="s">
        <v>4425</v>
      </c>
      <c r="B2667" s="94" t="str">
        <f>IFERROR(VLOOKUP(Proc[[#This Row],[App]],Table2[],3,0),"open")</f>
        <v>ok</v>
      </c>
      <c r="C2667" s="117" t="s">
        <v>369</v>
      </c>
      <c r="D2667" t="s">
        <v>4591</v>
      </c>
      <c r="E2667" t="s">
        <v>4749</v>
      </c>
      <c r="F2667" s="94" t="s">
        <v>4749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4788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4897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24</v>
      </c>
      <c r="R2667" s="110" t="s">
        <v>485</v>
      </c>
      <c r="S2667" s="94"/>
    </row>
    <row r="2668" spans="1:19" hidden="1">
      <c r="A2668" s="103" t="s">
        <v>4425</v>
      </c>
      <c r="B2668" s="94" t="str">
        <f>IFERROR(VLOOKUP(Proc[[#This Row],[App]],Table2[],3,0),"open")</f>
        <v>ok</v>
      </c>
      <c r="C2668" s="117" t="s">
        <v>369</v>
      </c>
      <c r="D2668" t="s">
        <v>4592</v>
      </c>
      <c r="E2668" t="s">
        <v>4749</v>
      </c>
      <c r="F2668" s="94" t="s">
        <v>4749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4788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4897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24</v>
      </c>
      <c r="R2668" s="110" t="s">
        <v>485</v>
      </c>
      <c r="S2668" s="94"/>
    </row>
    <row r="2669" spans="1:19" hidden="1">
      <c r="A2669" s="103" t="s">
        <v>4425</v>
      </c>
      <c r="B2669" s="94" t="str">
        <f>IFERROR(VLOOKUP(Proc[[#This Row],[App]],Table2[],3,0),"open")</f>
        <v>ok</v>
      </c>
      <c r="C2669" s="117" t="s">
        <v>369</v>
      </c>
      <c r="D2669" t="s">
        <v>4593</v>
      </c>
      <c r="E2669" t="s">
        <v>4749</v>
      </c>
      <c r="F2669" s="94" t="s">
        <v>4749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4788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4897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24</v>
      </c>
      <c r="R2669" s="110" t="s">
        <v>485</v>
      </c>
      <c r="S2669" s="94"/>
    </row>
    <row r="2670" spans="1:19" hidden="1">
      <c r="A2670" s="103" t="s">
        <v>4425</v>
      </c>
      <c r="B2670" s="94" t="str">
        <f>IFERROR(VLOOKUP(Proc[[#This Row],[App]],Table2[],3,0),"open")</f>
        <v>ok</v>
      </c>
      <c r="C2670" s="117" t="s">
        <v>369</v>
      </c>
      <c r="D2670" t="s">
        <v>4594</v>
      </c>
      <c r="E2670" t="s">
        <v>4750</v>
      </c>
      <c r="F2670" s="94" t="s">
        <v>4750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4788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4897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24</v>
      </c>
      <c r="R2670" s="110" t="s">
        <v>485</v>
      </c>
      <c r="S2670" s="94"/>
    </row>
    <row r="2671" spans="1:19" hidden="1">
      <c r="A2671" s="103" t="s">
        <v>4425</v>
      </c>
      <c r="B2671" s="94" t="str">
        <f>IFERROR(VLOOKUP(Proc[[#This Row],[App]],Table2[],3,0),"open")</f>
        <v>ok</v>
      </c>
      <c r="C2671" s="117" t="s">
        <v>369</v>
      </c>
      <c r="D2671" t="s">
        <v>4595</v>
      </c>
      <c r="E2671" t="s">
        <v>4750</v>
      </c>
      <c r="F2671" s="94" t="s">
        <v>4750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4788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4897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24</v>
      </c>
      <c r="R2671" s="110" t="s">
        <v>485</v>
      </c>
      <c r="S2671" s="94"/>
    </row>
    <row r="2672" spans="1:19" hidden="1">
      <c r="A2672" s="103" t="s">
        <v>4425</v>
      </c>
      <c r="B2672" s="94" t="str">
        <f>IFERROR(VLOOKUP(Proc[[#This Row],[App]],Table2[],3,0),"open")</f>
        <v>ok</v>
      </c>
      <c r="C2672" s="117" t="s">
        <v>369</v>
      </c>
      <c r="D2672" t="s">
        <v>4596</v>
      </c>
      <c r="E2672" t="s">
        <v>4750</v>
      </c>
      <c r="F2672" s="94" t="s">
        <v>4750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4788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4897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24</v>
      </c>
      <c r="R2672" s="110" t="s">
        <v>485</v>
      </c>
      <c r="S2672" s="94"/>
    </row>
    <row r="2673" spans="1:19" hidden="1">
      <c r="A2673" s="103" t="s">
        <v>4425</v>
      </c>
      <c r="B2673" s="94" t="str">
        <f>IFERROR(VLOOKUP(Proc[[#This Row],[App]],Table2[],3,0),"open")</f>
        <v>ok</v>
      </c>
      <c r="C2673" s="117" t="s">
        <v>369</v>
      </c>
      <c r="D2673" t="s">
        <v>4597</v>
      </c>
      <c r="E2673" t="s">
        <v>4751</v>
      </c>
      <c r="F2673" s="94" t="s">
        <v>4751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4788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4897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24</v>
      </c>
      <c r="R2673" s="110" t="s">
        <v>485</v>
      </c>
      <c r="S2673" s="94"/>
    </row>
    <row r="2674" spans="1:19" hidden="1">
      <c r="A2674" s="103" t="s">
        <v>4425</v>
      </c>
      <c r="B2674" s="94" t="str">
        <f>IFERROR(VLOOKUP(Proc[[#This Row],[App]],Table2[],3,0),"open")</f>
        <v>ok</v>
      </c>
      <c r="C2674" s="117" t="s">
        <v>369</v>
      </c>
      <c r="D2674" t="s">
        <v>4598</v>
      </c>
      <c r="E2674" t="s">
        <v>4750</v>
      </c>
      <c r="F2674" s="94" t="s">
        <v>4750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4788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4897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24</v>
      </c>
      <c r="R2674" s="110" t="s">
        <v>485</v>
      </c>
      <c r="S2674" s="94"/>
    </row>
    <row r="2675" spans="1:19" hidden="1">
      <c r="A2675" s="103" t="s">
        <v>4425</v>
      </c>
      <c r="B2675" s="94" t="str">
        <f>IFERROR(VLOOKUP(Proc[[#This Row],[App]],Table2[],3,0),"open")</f>
        <v>ok</v>
      </c>
      <c r="C2675" s="117" t="s">
        <v>369</v>
      </c>
      <c r="D2675" t="s">
        <v>4599</v>
      </c>
      <c r="E2675" t="s">
        <v>4751</v>
      </c>
      <c r="F2675" s="94" t="s">
        <v>4751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4788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4897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24</v>
      </c>
      <c r="R2675" s="110" t="s">
        <v>485</v>
      </c>
      <c r="S2675" s="94"/>
    </row>
    <row r="2676" spans="1:19" hidden="1">
      <c r="A2676" s="103" t="s">
        <v>4425</v>
      </c>
      <c r="B2676" s="94" t="str">
        <f>IFERROR(VLOOKUP(Proc[[#This Row],[App]],Table2[],3,0),"open")</f>
        <v>ok</v>
      </c>
      <c r="C2676" s="117" t="s">
        <v>369</v>
      </c>
      <c r="D2676" t="s">
        <v>4600</v>
      </c>
      <c r="E2676" t="s">
        <v>4752</v>
      </c>
      <c r="F2676" s="94" t="s">
        <v>4752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4788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4897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24</v>
      </c>
      <c r="R2676" s="110" t="s">
        <v>485</v>
      </c>
      <c r="S2676" s="94"/>
    </row>
    <row r="2677" spans="1:19" hidden="1">
      <c r="A2677" s="103" t="s">
        <v>4425</v>
      </c>
      <c r="B2677" s="94" t="str">
        <f>IFERROR(VLOOKUP(Proc[[#This Row],[App]],Table2[],3,0),"open")</f>
        <v>ok</v>
      </c>
      <c r="C2677" s="117" t="s">
        <v>369</v>
      </c>
      <c r="D2677" t="s">
        <v>4601</v>
      </c>
      <c r="E2677" t="s">
        <v>4751</v>
      </c>
      <c r="F2677" s="94" t="s">
        <v>4751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4788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4897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24</v>
      </c>
      <c r="R2677" s="110" t="s">
        <v>485</v>
      </c>
      <c r="S2677" s="94"/>
    </row>
    <row r="2678" spans="1:19" hidden="1">
      <c r="A2678" s="103" t="s">
        <v>4425</v>
      </c>
      <c r="B2678" s="94" t="str">
        <f>IFERROR(VLOOKUP(Proc[[#This Row],[App]],Table2[],3,0),"open")</f>
        <v>ok</v>
      </c>
      <c r="C2678" s="117" t="s">
        <v>369</v>
      </c>
      <c r="D2678" t="s">
        <v>4602</v>
      </c>
      <c r="E2678" t="s">
        <v>4751</v>
      </c>
      <c r="F2678" s="94" t="s">
        <v>4751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4788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4897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24</v>
      </c>
      <c r="R2678" s="110" t="s">
        <v>485</v>
      </c>
      <c r="S2678" s="94"/>
    </row>
    <row r="2679" spans="1:19" hidden="1">
      <c r="A2679" s="103" t="s">
        <v>4425</v>
      </c>
      <c r="B2679" s="94" t="str">
        <f>IFERROR(VLOOKUP(Proc[[#This Row],[App]],Table2[],3,0),"open")</f>
        <v>ok</v>
      </c>
      <c r="C2679" s="117" t="s">
        <v>369</v>
      </c>
      <c r="D2679" t="s">
        <v>4603</v>
      </c>
      <c r="E2679" t="s">
        <v>4750</v>
      </c>
      <c r="F2679" s="94" t="s">
        <v>4750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4788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4897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24</v>
      </c>
      <c r="R2679" s="110" t="s">
        <v>485</v>
      </c>
      <c r="S2679" s="94"/>
    </row>
    <row r="2680" spans="1:19" hidden="1">
      <c r="A2680" s="103" t="s">
        <v>4425</v>
      </c>
      <c r="B2680" s="94" t="str">
        <f>IFERROR(VLOOKUP(Proc[[#This Row],[App]],Table2[],3,0),"open")</f>
        <v>ok</v>
      </c>
      <c r="C2680" s="117" t="s">
        <v>369</v>
      </c>
      <c r="D2680" t="s">
        <v>4604</v>
      </c>
      <c r="E2680" t="s">
        <v>4750</v>
      </c>
      <c r="F2680" s="94" t="s">
        <v>4750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4788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4897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24</v>
      </c>
      <c r="R2680" s="110" t="s">
        <v>485</v>
      </c>
      <c r="S2680" s="94"/>
    </row>
    <row r="2681" spans="1:19" hidden="1">
      <c r="A2681" s="103" t="s">
        <v>4425</v>
      </c>
      <c r="B2681" s="94" t="str">
        <f>IFERROR(VLOOKUP(Proc[[#This Row],[App]],Table2[],3,0),"open")</f>
        <v>ok</v>
      </c>
      <c r="C2681" s="117" t="s">
        <v>369</v>
      </c>
      <c r="D2681" t="s">
        <v>4605</v>
      </c>
      <c r="E2681" t="s">
        <v>4750</v>
      </c>
      <c r="F2681" s="94" t="s">
        <v>4750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4788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4897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24</v>
      </c>
      <c r="R2681" s="110" t="s">
        <v>485</v>
      </c>
      <c r="S2681" s="94"/>
    </row>
    <row r="2682" spans="1:19" hidden="1">
      <c r="A2682" s="103" t="s">
        <v>4425</v>
      </c>
      <c r="B2682" s="94" t="str">
        <f>IFERROR(VLOOKUP(Proc[[#This Row],[App]],Table2[],3,0),"open")</f>
        <v>ok</v>
      </c>
      <c r="C2682" s="117" t="s">
        <v>369</v>
      </c>
      <c r="D2682" t="s">
        <v>4606</v>
      </c>
      <c r="E2682" t="s">
        <v>4750</v>
      </c>
      <c r="F2682" s="94" t="s">
        <v>4750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4788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4897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24</v>
      </c>
      <c r="R2682" s="110" t="s">
        <v>485</v>
      </c>
      <c r="S2682" s="94"/>
    </row>
    <row r="2683" spans="1:19" hidden="1">
      <c r="A2683" s="103" t="s">
        <v>4425</v>
      </c>
      <c r="B2683" s="94" t="str">
        <f>IFERROR(VLOOKUP(Proc[[#This Row],[App]],Table2[],3,0),"open")</f>
        <v>ok</v>
      </c>
      <c r="C2683" s="117" t="s">
        <v>369</v>
      </c>
      <c r="D2683" t="s">
        <v>4607</v>
      </c>
      <c r="E2683" t="s">
        <v>4750</v>
      </c>
      <c r="F2683" s="94" t="s">
        <v>4750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4788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4897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24</v>
      </c>
      <c r="R2683" s="110" t="s">
        <v>485</v>
      </c>
      <c r="S2683" s="94"/>
    </row>
    <row r="2684" spans="1:19" hidden="1">
      <c r="A2684" s="103" t="s">
        <v>4425</v>
      </c>
      <c r="B2684" s="94" t="str">
        <f>IFERROR(VLOOKUP(Proc[[#This Row],[App]],Table2[],3,0),"open")</f>
        <v>ok</v>
      </c>
      <c r="C2684" s="117" t="s">
        <v>369</v>
      </c>
      <c r="D2684" t="s">
        <v>4608</v>
      </c>
      <c r="E2684" t="s">
        <v>4752</v>
      </c>
      <c r="F2684" s="94" t="s">
        <v>4752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4788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4897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24</v>
      </c>
      <c r="R2684" s="110" t="s">
        <v>485</v>
      </c>
      <c r="S2684" s="94"/>
    </row>
    <row r="2685" spans="1:19" hidden="1">
      <c r="A2685" s="103" t="s">
        <v>4425</v>
      </c>
      <c r="B2685" s="94" t="str">
        <f>IFERROR(VLOOKUP(Proc[[#This Row],[App]],Table2[],3,0),"open")</f>
        <v>ok</v>
      </c>
      <c r="C2685" s="117" t="s">
        <v>369</v>
      </c>
      <c r="D2685" t="s">
        <v>4609</v>
      </c>
      <c r="E2685" t="s">
        <v>4750</v>
      </c>
      <c r="F2685" s="94" t="s">
        <v>4750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4788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4897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24</v>
      </c>
      <c r="R2685" s="110" t="s">
        <v>485</v>
      </c>
      <c r="S2685" s="94"/>
    </row>
    <row r="2686" spans="1:19" hidden="1">
      <c r="A2686" s="103" t="s">
        <v>4425</v>
      </c>
      <c r="B2686" s="94" t="str">
        <f>IFERROR(VLOOKUP(Proc[[#This Row],[App]],Table2[],3,0),"open")</f>
        <v>ok</v>
      </c>
      <c r="C2686" s="117" t="s">
        <v>369</v>
      </c>
      <c r="D2686" t="s">
        <v>4610</v>
      </c>
      <c r="E2686" t="s">
        <v>4750</v>
      </c>
      <c r="F2686" s="94" t="s">
        <v>4750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4788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4897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24</v>
      </c>
      <c r="R2686" s="110" t="s">
        <v>485</v>
      </c>
      <c r="S2686" s="94"/>
    </row>
    <row r="2687" spans="1:19" hidden="1">
      <c r="A2687" s="103" t="s">
        <v>4425</v>
      </c>
      <c r="B2687" s="94" t="str">
        <f>IFERROR(VLOOKUP(Proc[[#This Row],[App]],Table2[],3,0),"open")</f>
        <v>ok</v>
      </c>
      <c r="C2687" s="117" t="s">
        <v>369</v>
      </c>
      <c r="D2687" t="s">
        <v>4611</v>
      </c>
      <c r="E2687" t="s">
        <v>4750</v>
      </c>
      <c r="F2687" s="94" t="s">
        <v>4750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4788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4897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24</v>
      </c>
      <c r="R2687" s="110" t="s">
        <v>485</v>
      </c>
      <c r="S2687" s="94"/>
    </row>
    <row r="2688" spans="1:19" hidden="1">
      <c r="A2688" s="103" t="s">
        <v>4425</v>
      </c>
      <c r="B2688" s="94" t="str">
        <f>IFERROR(VLOOKUP(Proc[[#This Row],[App]],Table2[],3,0),"open")</f>
        <v>ok</v>
      </c>
      <c r="C2688" s="117" t="s">
        <v>369</v>
      </c>
      <c r="D2688" t="s">
        <v>4612</v>
      </c>
      <c r="E2688" t="s">
        <v>4752</v>
      </c>
      <c r="F2688" s="94" t="s">
        <v>4752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4788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4897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24</v>
      </c>
      <c r="R2688" s="110" t="s">
        <v>485</v>
      </c>
      <c r="S2688" s="94"/>
    </row>
    <row r="2689" spans="1:19" hidden="1">
      <c r="A2689" s="103" t="s">
        <v>4425</v>
      </c>
      <c r="B2689" s="94" t="str">
        <f>IFERROR(VLOOKUP(Proc[[#This Row],[App]],Table2[],3,0),"open")</f>
        <v>ok</v>
      </c>
      <c r="C2689" s="117" t="s">
        <v>369</v>
      </c>
      <c r="D2689" t="s">
        <v>4613</v>
      </c>
      <c r="E2689" t="s">
        <v>4750</v>
      </c>
      <c r="F2689" s="94" t="s">
        <v>4750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4788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4897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24</v>
      </c>
      <c r="R2689" s="110" t="s">
        <v>485</v>
      </c>
      <c r="S2689" s="94"/>
    </row>
    <row r="2690" spans="1:19" hidden="1">
      <c r="A2690" s="103" t="s">
        <v>4425</v>
      </c>
      <c r="B2690" s="94" t="str">
        <f>IFERROR(VLOOKUP(Proc[[#This Row],[App]],Table2[],3,0),"open")</f>
        <v>ok</v>
      </c>
      <c r="C2690" s="117" t="s">
        <v>369</v>
      </c>
      <c r="D2690" t="s">
        <v>4614</v>
      </c>
      <c r="E2690" t="s">
        <v>4750</v>
      </c>
      <c r="F2690" s="94" t="s">
        <v>4750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4788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4897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24</v>
      </c>
      <c r="R2690" s="110" t="s">
        <v>485</v>
      </c>
      <c r="S2690" s="94"/>
    </row>
    <row r="2691" spans="1:19" hidden="1">
      <c r="A2691" s="103" t="s">
        <v>4425</v>
      </c>
      <c r="B2691" s="94" t="str">
        <f>IFERROR(VLOOKUP(Proc[[#This Row],[App]],Table2[],3,0),"open")</f>
        <v>ok</v>
      </c>
      <c r="C2691" s="117" t="s">
        <v>369</v>
      </c>
      <c r="D2691" t="s">
        <v>4615</v>
      </c>
      <c r="E2691" t="s">
        <v>4750</v>
      </c>
      <c r="F2691" s="94" t="s">
        <v>4750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4788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4897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24</v>
      </c>
      <c r="R2691" s="110" t="s">
        <v>485</v>
      </c>
      <c r="S2691" s="94"/>
    </row>
    <row r="2692" spans="1:19" hidden="1">
      <c r="A2692" s="103" t="s">
        <v>4425</v>
      </c>
      <c r="B2692" s="94" t="str">
        <f>IFERROR(VLOOKUP(Proc[[#This Row],[App]],Table2[],3,0),"open")</f>
        <v>ok</v>
      </c>
      <c r="C2692" s="117" t="s">
        <v>369</v>
      </c>
      <c r="D2692" t="s">
        <v>4616</v>
      </c>
      <c r="E2692" t="s">
        <v>4751</v>
      </c>
      <c r="F2692" s="94" t="s">
        <v>4751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4788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4897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24</v>
      </c>
      <c r="R2692" s="110" t="s">
        <v>485</v>
      </c>
      <c r="S2692" s="94"/>
    </row>
    <row r="2693" spans="1:19" hidden="1">
      <c r="A2693" s="103" t="s">
        <v>4425</v>
      </c>
      <c r="B2693" s="94" t="str">
        <f>IFERROR(VLOOKUP(Proc[[#This Row],[App]],Table2[],3,0),"open")</f>
        <v>ok</v>
      </c>
      <c r="C2693" s="117" t="s">
        <v>369</v>
      </c>
      <c r="D2693" t="s">
        <v>4617</v>
      </c>
      <c r="E2693" t="s">
        <v>4750</v>
      </c>
      <c r="F2693" s="94" t="s">
        <v>4750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4788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4897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24</v>
      </c>
      <c r="R2693" s="110" t="s">
        <v>485</v>
      </c>
      <c r="S2693" s="94"/>
    </row>
    <row r="2694" spans="1:19" hidden="1">
      <c r="A2694" s="103" t="s">
        <v>4425</v>
      </c>
      <c r="B2694" s="94" t="str">
        <f>IFERROR(VLOOKUP(Proc[[#This Row],[App]],Table2[],3,0),"open")</f>
        <v>ok</v>
      </c>
      <c r="C2694" s="117" t="s">
        <v>369</v>
      </c>
      <c r="D2694" t="s">
        <v>4618</v>
      </c>
      <c r="E2694" t="s">
        <v>4752</v>
      </c>
      <c r="F2694" s="94" t="s">
        <v>4752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4788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4897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24</v>
      </c>
      <c r="R2694" s="110" t="s">
        <v>485</v>
      </c>
      <c r="S2694" s="94"/>
    </row>
    <row r="2695" spans="1:19" hidden="1">
      <c r="A2695" s="103" t="s">
        <v>4425</v>
      </c>
      <c r="B2695" s="94" t="str">
        <f>IFERROR(VLOOKUP(Proc[[#This Row],[App]],Table2[],3,0),"open")</f>
        <v>ok</v>
      </c>
      <c r="C2695" s="117" t="s">
        <v>369</v>
      </c>
      <c r="D2695" t="s">
        <v>4619</v>
      </c>
      <c r="E2695" t="s">
        <v>4752</v>
      </c>
      <c r="F2695" s="94" t="s">
        <v>4752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4788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4897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24</v>
      </c>
      <c r="R2695" s="110" t="s">
        <v>485</v>
      </c>
      <c r="S2695" s="94"/>
    </row>
    <row r="2696" spans="1:19" hidden="1">
      <c r="A2696" s="103" t="s">
        <v>4425</v>
      </c>
      <c r="B2696" s="94" t="str">
        <f>IFERROR(VLOOKUP(Proc[[#This Row],[App]],Table2[],3,0),"open")</f>
        <v>ok</v>
      </c>
      <c r="C2696" s="117" t="s">
        <v>369</v>
      </c>
      <c r="D2696" t="s">
        <v>4620</v>
      </c>
      <c r="E2696" t="s">
        <v>4750</v>
      </c>
      <c r="F2696" s="94" t="s">
        <v>4750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4788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4897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24</v>
      </c>
      <c r="R2696" s="110" t="s">
        <v>485</v>
      </c>
      <c r="S2696" s="94"/>
    </row>
    <row r="2697" spans="1:19" hidden="1">
      <c r="A2697" s="103" t="s">
        <v>4425</v>
      </c>
      <c r="B2697" s="94" t="str">
        <f>IFERROR(VLOOKUP(Proc[[#This Row],[App]],Table2[],3,0),"open")</f>
        <v>ok</v>
      </c>
      <c r="C2697" s="117" t="s">
        <v>369</v>
      </c>
      <c r="D2697" t="s">
        <v>4621</v>
      </c>
      <c r="E2697" t="s">
        <v>4750</v>
      </c>
      <c r="F2697" s="94" t="s">
        <v>4750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4788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4897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24</v>
      </c>
      <c r="R2697" s="110" t="s">
        <v>485</v>
      </c>
      <c r="S2697" s="94"/>
    </row>
    <row r="2698" spans="1:19" hidden="1">
      <c r="A2698" s="103" t="s">
        <v>4425</v>
      </c>
      <c r="B2698" s="94" t="str">
        <f>IFERROR(VLOOKUP(Proc[[#This Row],[App]],Table2[],3,0),"open")</f>
        <v>ok</v>
      </c>
      <c r="C2698" s="117" t="s">
        <v>369</v>
      </c>
      <c r="D2698" t="s">
        <v>4622</v>
      </c>
      <c r="E2698" t="s">
        <v>4750</v>
      </c>
      <c r="F2698" s="94" t="s">
        <v>4750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4788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4897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24</v>
      </c>
      <c r="R2698" s="110" t="s">
        <v>485</v>
      </c>
      <c r="S2698" s="94"/>
    </row>
    <row r="2699" spans="1:19" hidden="1">
      <c r="A2699" s="103" t="s">
        <v>4425</v>
      </c>
      <c r="B2699" s="94" t="str">
        <f>IFERROR(VLOOKUP(Proc[[#This Row],[App]],Table2[],3,0),"open")</f>
        <v>ok</v>
      </c>
      <c r="C2699" s="117" t="s">
        <v>369</v>
      </c>
      <c r="D2699" t="s">
        <v>4623</v>
      </c>
      <c r="E2699" t="s">
        <v>4751</v>
      </c>
      <c r="F2699" s="94" t="s">
        <v>4751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4788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4897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24</v>
      </c>
      <c r="R2699" s="110" t="s">
        <v>485</v>
      </c>
      <c r="S2699" s="94"/>
    </row>
    <row r="2700" spans="1:19" hidden="1">
      <c r="A2700" s="103" t="s">
        <v>4425</v>
      </c>
      <c r="B2700" s="94" t="str">
        <f>IFERROR(VLOOKUP(Proc[[#This Row],[App]],Table2[],3,0),"open")</f>
        <v>ok</v>
      </c>
      <c r="C2700" s="117" t="s">
        <v>369</v>
      </c>
      <c r="D2700" t="s">
        <v>4624</v>
      </c>
      <c r="E2700" t="s">
        <v>4751</v>
      </c>
      <c r="F2700" s="94" t="s">
        <v>4751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4788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4897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24</v>
      </c>
      <c r="R2700" s="110" t="s">
        <v>485</v>
      </c>
      <c r="S2700" s="94"/>
    </row>
    <row r="2701" spans="1:19" hidden="1">
      <c r="A2701" s="103" t="s">
        <v>4425</v>
      </c>
      <c r="B2701" s="94" t="str">
        <f>IFERROR(VLOOKUP(Proc[[#This Row],[App]],Table2[],3,0),"open")</f>
        <v>ok</v>
      </c>
      <c r="C2701" s="117" t="s">
        <v>369</v>
      </c>
      <c r="D2701" t="s">
        <v>4625</v>
      </c>
      <c r="E2701" t="s">
        <v>4751</v>
      </c>
      <c r="F2701" s="94" t="s">
        <v>4751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4788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4897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24</v>
      </c>
      <c r="R2701" s="110" t="s">
        <v>485</v>
      </c>
      <c r="S2701" s="94"/>
    </row>
    <row r="2702" spans="1:19" hidden="1">
      <c r="A2702" s="103" t="s">
        <v>4425</v>
      </c>
      <c r="B2702" s="94" t="str">
        <f>IFERROR(VLOOKUP(Proc[[#This Row],[App]],Table2[],3,0),"open")</f>
        <v>ok</v>
      </c>
      <c r="C2702" s="117" t="s">
        <v>369</v>
      </c>
      <c r="D2702" t="s">
        <v>4626</v>
      </c>
      <c r="E2702" t="s">
        <v>4751</v>
      </c>
      <c r="F2702" s="94" t="s">
        <v>4751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4788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4897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24</v>
      </c>
      <c r="R2702" s="110" t="s">
        <v>485</v>
      </c>
      <c r="S2702" s="94"/>
    </row>
    <row r="2703" spans="1:19" hidden="1">
      <c r="A2703" s="103" t="s">
        <v>4425</v>
      </c>
      <c r="B2703" s="94" t="str">
        <f>IFERROR(VLOOKUP(Proc[[#This Row],[App]],Table2[],3,0),"open")</f>
        <v>ok</v>
      </c>
      <c r="C2703" s="117" t="s">
        <v>369</v>
      </c>
      <c r="D2703" t="s">
        <v>4627</v>
      </c>
      <c r="E2703" t="s">
        <v>4751</v>
      </c>
      <c r="F2703" s="94" t="s">
        <v>4751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4788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4897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24</v>
      </c>
      <c r="R2703" s="110" t="s">
        <v>485</v>
      </c>
      <c r="S2703" s="94"/>
    </row>
    <row r="2704" spans="1:19" hidden="1">
      <c r="A2704" s="103" t="s">
        <v>4425</v>
      </c>
      <c r="B2704" s="94" t="str">
        <f>IFERROR(VLOOKUP(Proc[[#This Row],[App]],Table2[],3,0),"open")</f>
        <v>ok</v>
      </c>
      <c r="C2704" s="117" t="s">
        <v>369</v>
      </c>
      <c r="D2704" t="s">
        <v>4628</v>
      </c>
      <c r="E2704" t="s">
        <v>4751</v>
      </c>
      <c r="F2704" s="94" t="s">
        <v>4751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4788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4897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24</v>
      </c>
      <c r="R2704" s="110" t="s">
        <v>485</v>
      </c>
      <c r="S2704" s="94"/>
    </row>
    <row r="2705" spans="1:19" hidden="1">
      <c r="A2705" s="103" t="s">
        <v>4425</v>
      </c>
      <c r="B2705" s="94" t="str">
        <f>IFERROR(VLOOKUP(Proc[[#This Row],[App]],Table2[],3,0),"open")</f>
        <v>ok</v>
      </c>
      <c r="C2705" s="117" t="s">
        <v>369</v>
      </c>
      <c r="D2705" t="s">
        <v>4629</v>
      </c>
      <c r="E2705" t="s">
        <v>4751</v>
      </c>
      <c r="F2705" s="94" t="s">
        <v>4751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4788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4897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24</v>
      </c>
      <c r="R2705" s="110" t="s">
        <v>485</v>
      </c>
      <c r="S2705" s="94"/>
    </row>
    <row r="2706" spans="1:19" hidden="1">
      <c r="A2706" s="103" t="s">
        <v>4425</v>
      </c>
      <c r="B2706" s="94" t="str">
        <f>IFERROR(VLOOKUP(Proc[[#This Row],[App]],Table2[],3,0),"open")</f>
        <v>ok</v>
      </c>
      <c r="C2706" s="117" t="s">
        <v>369</v>
      </c>
      <c r="D2706" t="s">
        <v>4630</v>
      </c>
      <c r="E2706" t="s">
        <v>4751</v>
      </c>
      <c r="F2706" s="94" t="s">
        <v>4751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4788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4897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24</v>
      </c>
      <c r="R2706" s="110" t="s">
        <v>485</v>
      </c>
      <c r="S2706" s="94"/>
    </row>
    <row r="2707" spans="1:19" hidden="1">
      <c r="A2707" s="103" t="s">
        <v>4425</v>
      </c>
      <c r="B2707" s="94" t="str">
        <f>IFERROR(VLOOKUP(Proc[[#This Row],[App]],Table2[],3,0),"open")</f>
        <v>ok</v>
      </c>
      <c r="C2707" s="117" t="s">
        <v>369</v>
      </c>
      <c r="D2707" t="s">
        <v>4631</v>
      </c>
      <c r="E2707" t="s">
        <v>4751</v>
      </c>
      <c r="F2707" s="94" t="s">
        <v>4751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4788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4897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24</v>
      </c>
      <c r="R2707" s="110" t="s">
        <v>485</v>
      </c>
      <c r="S2707" s="94"/>
    </row>
    <row r="2708" spans="1:19" hidden="1">
      <c r="A2708" s="103" t="s">
        <v>4425</v>
      </c>
      <c r="B2708" s="94" t="str">
        <f>IFERROR(VLOOKUP(Proc[[#This Row],[App]],Table2[],3,0),"open")</f>
        <v>ok</v>
      </c>
      <c r="C2708" s="117" t="s">
        <v>369</v>
      </c>
      <c r="D2708" t="s">
        <v>4632</v>
      </c>
      <c r="E2708" t="s">
        <v>4751</v>
      </c>
      <c r="F2708" s="94" t="s">
        <v>4751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4788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4897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24</v>
      </c>
      <c r="R2708" s="110" t="s">
        <v>485</v>
      </c>
      <c r="S2708" s="94"/>
    </row>
    <row r="2709" spans="1:19" hidden="1">
      <c r="A2709" s="103" t="s">
        <v>4425</v>
      </c>
      <c r="B2709" s="94" t="str">
        <f>IFERROR(VLOOKUP(Proc[[#This Row],[App]],Table2[],3,0),"open")</f>
        <v>ok</v>
      </c>
      <c r="C2709" s="117" t="s">
        <v>369</v>
      </c>
      <c r="D2709" t="s">
        <v>4633</v>
      </c>
      <c r="E2709" t="s">
        <v>4751</v>
      </c>
      <c r="F2709" s="94" t="s">
        <v>4751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4788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4897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24</v>
      </c>
      <c r="R2709" s="110" t="s">
        <v>485</v>
      </c>
      <c r="S2709" s="94"/>
    </row>
    <row r="2710" spans="1:19" hidden="1">
      <c r="A2710" s="103" t="s">
        <v>4425</v>
      </c>
      <c r="B2710" s="94" t="str">
        <f>IFERROR(VLOOKUP(Proc[[#This Row],[App]],Table2[],3,0),"open")</f>
        <v>ok</v>
      </c>
      <c r="C2710" s="117" t="s">
        <v>369</v>
      </c>
      <c r="D2710" t="s">
        <v>4634</v>
      </c>
      <c r="E2710" t="s">
        <v>4751</v>
      </c>
      <c r="F2710" s="94" t="s">
        <v>4751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4788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4897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24</v>
      </c>
      <c r="R2710" s="110" t="s">
        <v>485</v>
      </c>
      <c r="S2710" s="94"/>
    </row>
    <row r="2711" spans="1:19" hidden="1">
      <c r="A2711" s="103" t="s">
        <v>4425</v>
      </c>
      <c r="B2711" s="94" t="str">
        <f>IFERROR(VLOOKUP(Proc[[#This Row],[App]],Table2[],3,0),"open")</f>
        <v>ok</v>
      </c>
      <c r="C2711" s="117" t="s">
        <v>369</v>
      </c>
      <c r="D2711" t="s">
        <v>4635</v>
      </c>
      <c r="E2711" t="s">
        <v>4751</v>
      </c>
      <c r="F2711" s="94" t="s">
        <v>4751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4788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4897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24</v>
      </c>
      <c r="R2711" s="110" t="s">
        <v>485</v>
      </c>
      <c r="S2711" s="94"/>
    </row>
    <row r="2712" spans="1:19" hidden="1">
      <c r="A2712" s="103" t="s">
        <v>4425</v>
      </c>
      <c r="B2712" s="94" t="str">
        <f>IFERROR(VLOOKUP(Proc[[#This Row],[App]],Table2[],3,0),"open")</f>
        <v>ok</v>
      </c>
      <c r="C2712" s="117" t="s">
        <v>369</v>
      </c>
      <c r="D2712" t="s">
        <v>4636</v>
      </c>
      <c r="E2712" t="s">
        <v>4751</v>
      </c>
      <c r="F2712" s="94" t="s">
        <v>4751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4788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4897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24</v>
      </c>
      <c r="R2712" s="110" t="s">
        <v>485</v>
      </c>
      <c r="S2712" s="94"/>
    </row>
    <row r="2713" spans="1:19" hidden="1">
      <c r="A2713" s="103" t="s">
        <v>4425</v>
      </c>
      <c r="B2713" s="94" t="str">
        <f>IFERROR(VLOOKUP(Proc[[#This Row],[App]],Table2[],3,0),"open")</f>
        <v>ok</v>
      </c>
      <c r="C2713" s="117" t="s">
        <v>369</v>
      </c>
      <c r="D2713" t="s">
        <v>4637</v>
      </c>
      <c r="E2713" t="s">
        <v>4750</v>
      </c>
      <c r="F2713" s="94" t="s">
        <v>4750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4788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4897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24</v>
      </c>
      <c r="R2713" s="110" t="s">
        <v>485</v>
      </c>
      <c r="S2713" s="94"/>
    </row>
    <row r="2714" spans="1:19" hidden="1">
      <c r="A2714" s="103" t="s">
        <v>4425</v>
      </c>
      <c r="B2714" s="94" t="str">
        <f>IFERROR(VLOOKUP(Proc[[#This Row],[App]],Table2[],3,0),"open")</f>
        <v>ok</v>
      </c>
      <c r="C2714" s="117" t="s">
        <v>369</v>
      </c>
      <c r="D2714" t="s">
        <v>4638</v>
      </c>
      <c r="E2714" t="s">
        <v>4750</v>
      </c>
      <c r="F2714" s="94" t="s">
        <v>4750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4788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4897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24</v>
      </c>
      <c r="R2714" s="110" t="s">
        <v>485</v>
      </c>
      <c r="S2714" s="94"/>
    </row>
    <row r="2715" spans="1:19" hidden="1">
      <c r="A2715" s="103" t="s">
        <v>4425</v>
      </c>
      <c r="B2715" s="94" t="str">
        <f>IFERROR(VLOOKUP(Proc[[#This Row],[App]],Table2[],3,0),"open")</f>
        <v>ok</v>
      </c>
      <c r="C2715" s="117" t="s">
        <v>369</v>
      </c>
      <c r="D2715" t="s">
        <v>4639</v>
      </c>
      <c r="E2715" t="s">
        <v>4750</v>
      </c>
      <c r="F2715" s="94" t="s">
        <v>4750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4788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4897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24</v>
      </c>
      <c r="R2715" s="110" t="s">
        <v>485</v>
      </c>
      <c r="S2715" s="94"/>
    </row>
    <row r="2716" spans="1:19" hidden="1">
      <c r="A2716" s="103" t="s">
        <v>4425</v>
      </c>
      <c r="B2716" s="94" t="str">
        <f>IFERROR(VLOOKUP(Proc[[#This Row],[App]],Table2[],3,0),"open")</f>
        <v>ok</v>
      </c>
      <c r="C2716" s="117" t="s">
        <v>369</v>
      </c>
      <c r="D2716" t="s">
        <v>4640</v>
      </c>
      <c r="E2716" t="s">
        <v>4751</v>
      </c>
      <c r="F2716" s="94" t="s">
        <v>4751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4788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4897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24</v>
      </c>
      <c r="R2716" s="110" t="s">
        <v>485</v>
      </c>
      <c r="S2716" s="94"/>
    </row>
    <row r="2717" spans="1:19" hidden="1">
      <c r="A2717" s="103" t="s">
        <v>4425</v>
      </c>
      <c r="B2717" s="94" t="str">
        <f>IFERROR(VLOOKUP(Proc[[#This Row],[App]],Table2[],3,0),"open")</f>
        <v>ok</v>
      </c>
      <c r="C2717" s="117" t="s">
        <v>369</v>
      </c>
      <c r="D2717" t="s">
        <v>4641</v>
      </c>
      <c r="E2717" t="s">
        <v>4751</v>
      </c>
      <c r="F2717" s="94" t="s">
        <v>4751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4788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4897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24</v>
      </c>
      <c r="R2717" s="110" t="s">
        <v>485</v>
      </c>
      <c r="S2717" s="94"/>
    </row>
    <row r="2718" spans="1:19" hidden="1">
      <c r="A2718" s="103" t="s">
        <v>4425</v>
      </c>
      <c r="B2718" s="94" t="str">
        <f>IFERROR(VLOOKUP(Proc[[#This Row],[App]],Table2[],3,0),"open")</f>
        <v>ok</v>
      </c>
      <c r="C2718" s="117" t="s">
        <v>369</v>
      </c>
      <c r="D2718" t="s">
        <v>4642</v>
      </c>
      <c r="E2718" t="s">
        <v>4751</v>
      </c>
      <c r="F2718" s="94" t="s">
        <v>4751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4788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4897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24</v>
      </c>
      <c r="R2718" s="110" t="s">
        <v>485</v>
      </c>
      <c r="S2718" s="94"/>
    </row>
    <row r="2719" spans="1:19" hidden="1">
      <c r="A2719" s="103" t="s">
        <v>4425</v>
      </c>
      <c r="B2719" s="94" t="str">
        <f>IFERROR(VLOOKUP(Proc[[#This Row],[App]],Table2[],3,0),"open")</f>
        <v>ok</v>
      </c>
      <c r="C2719" s="117" t="s">
        <v>369</v>
      </c>
      <c r="D2719" t="s">
        <v>4643</v>
      </c>
      <c r="E2719" t="s">
        <v>4751</v>
      </c>
      <c r="F2719" s="94" t="s">
        <v>4751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4788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4897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24</v>
      </c>
      <c r="R2719" s="110" t="s">
        <v>485</v>
      </c>
      <c r="S2719" s="94"/>
    </row>
    <row r="2720" spans="1:19" hidden="1">
      <c r="A2720" s="103" t="s">
        <v>4425</v>
      </c>
      <c r="B2720" s="94" t="str">
        <f>IFERROR(VLOOKUP(Proc[[#This Row],[App]],Table2[],3,0),"open")</f>
        <v>ok</v>
      </c>
      <c r="C2720" s="117" t="s">
        <v>369</v>
      </c>
      <c r="D2720" t="s">
        <v>4644</v>
      </c>
      <c r="E2720" t="s">
        <v>4751</v>
      </c>
      <c r="F2720" s="94" t="s">
        <v>4751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4788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4897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24</v>
      </c>
      <c r="R2720" s="110" t="s">
        <v>485</v>
      </c>
      <c r="S2720" s="94"/>
    </row>
    <row r="2721" spans="1:19" hidden="1">
      <c r="A2721" s="103" t="s">
        <v>4425</v>
      </c>
      <c r="B2721" s="94" t="str">
        <f>IFERROR(VLOOKUP(Proc[[#This Row],[App]],Table2[],3,0),"open")</f>
        <v>ok</v>
      </c>
      <c r="C2721" s="117" t="s">
        <v>369</v>
      </c>
      <c r="D2721" t="s">
        <v>4645</v>
      </c>
      <c r="E2721" t="s">
        <v>4751</v>
      </c>
      <c r="F2721" s="94" t="s">
        <v>4751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4788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4897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24</v>
      </c>
      <c r="R2721" s="110" t="s">
        <v>485</v>
      </c>
      <c r="S2721" s="94"/>
    </row>
    <row r="2722" spans="1:19" hidden="1">
      <c r="A2722" s="103" t="s">
        <v>4425</v>
      </c>
      <c r="B2722" s="94" t="str">
        <f>IFERROR(VLOOKUP(Proc[[#This Row],[App]],Table2[],3,0),"open")</f>
        <v>ok</v>
      </c>
      <c r="C2722" s="117" t="s">
        <v>369</v>
      </c>
      <c r="D2722" t="s">
        <v>4646</v>
      </c>
      <c r="E2722" t="s">
        <v>4751</v>
      </c>
      <c r="F2722" s="94" t="s">
        <v>4751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4788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4897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24</v>
      </c>
      <c r="R2722" s="110" t="s">
        <v>485</v>
      </c>
      <c r="S2722" s="94"/>
    </row>
    <row r="2723" spans="1:19" hidden="1">
      <c r="A2723" s="103" t="s">
        <v>4425</v>
      </c>
      <c r="B2723" s="94" t="str">
        <f>IFERROR(VLOOKUP(Proc[[#This Row],[App]],Table2[],3,0),"open")</f>
        <v>ok</v>
      </c>
      <c r="C2723" s="117" t="s">
        <v>369</v>
      </c>
      <c r="D2723" t="s">
        <v>4647</v>
      </c>
      <c r="E2723" t="s">
        <v>4751</v>
      </c>
      <c r="F2723" s="94" t="s">
        <v>4751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4788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4897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24</v>
      </c>
      <c r="R2723" s="110" t="s">
        <v>485</v>
      </c>
      <c r="S2723" s="94"/>
    </row>
    <row r="2724" spans="1:19" hidden="1">
      <c r="A2724" s="103" t="s">
        <v>4425</v>
      </c>
      <c r="B2724" s="94" t="str">
        <f>IFERROR(VLOOKUP(Proc[[#This Row],[App]],Table2[],3,0),"open")</f>
        <v>ok</v>
      </c>
      <c r="C2724" s="117" t="s">
        <v>369</v>
      </c>
      <c r="D2724" t="s">
        <v>4648</v>
      </c>
      <c r="E2724" t="s">
        <v>4751</v>
      </c>
      <c r="F2724" s="94" t="s">
        <v>4751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4788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4897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24</v>
      </c>
      <c r="R2724" s="110" t="s">
        <v>485</v>
      </c>
      <c r="S2724" s="94"/>
    </row>
    <row r="2725" spans="1:19" hidden="1">
      <c r="A2725" s="103" t="s">
        <v>4425</v>
      </c>
      <c r="B2725" s="94" t="str">
        <f>IFERROR(VLOOKUP(Proc[[#This Row],[App]],Table2[],3,0),"open")</f>
        <v>ok</v>
      </c>
      <c r="C2725" s="117" t="s">
        <v>369</v>
      </c>
      <c r="D2725" t="s">
        <v>4649</v>
      </c>
      <c r="E2725" t="s">
        <v>4751</v>
      </c>
      <c r="F2725" s="94" t="s">
        <v>4751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4788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4897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24</v>
      </c>
      <c r="R2725" s="110" t="s">
        <v>485</v>
      </c>
      <c r="S2725" s="94"/>
    </row>
    <row r="2726" spans="1:19" hidden="1">
      <c r="A2726" s="103" t="s">
        <v>4425</v>
      </c>
      <c r="B2726" s="94" t="str">
        <f>IFERROR(VLOOKUP(Proc[[#This Row],[App]],Table2[],3,0),"open")</f>
        <v>ok</v>
      </c>
      <c r="C2726" s="117" t="s">
        <v>369</v>
      </c>
      <c r="D2726" t="s">
        <v>4650</v>
      </c>
      <c r="E2726" t="s">
        <v>4751</v>
      </c>
      <c r="F2726" s="94" t="s">
        <v>4751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4788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4897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24</v>
      </c>
      <c r="R2726" s="110" t="s">
        <v>485</v>
      </c>
      <c r="S2726" s="94"/>
    </row>
    <row r="2727" spans="1:19" hidden="1">
      <c r="A2727" s="103" t="s">
        <v>4425</v>
      </c>
      <c r="B2727" s="94" t="str">
        <f>IFERROR(VLOOKUP(Proc[[#This Row],[App]],Table2[],3,0),"open")</f>
        <v>ok</v>
      </c>
      <c r="C2727" s="117" t="s">
        <v>369</v>
      </c>
      <c r="D2727" t="s">
        <v>4651</v>
      </c>
      <c r="E2727" t="s">
        <v>4751</v>
      </c>
      <c r="F2727" s="94" t="s">
        <v>4751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4788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4897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24</v>
      </c>
      <c r="R2727" s="110" t="s">
        <v>485</v>
      </c>
      <c r="S2727" s="94"/>
    </row>
    <row r="2728" spans="1:19" hidden="1">
      <c r="A2728" s="103" t="s">
        <v>4425</v>
      </c>
      <c r="B2728" s="94" t="str">
        <f>IFERROR(VLOOKUP(Proc[[#This Row],[App]],Table2[],3,0),"open")</f>
        <v>ok</v>
      </c>
      <c r="C2728" s="117" t="s">
        <v>369</v>
      </c>
      <c r="D2728" t="s">
        <v>4652</v>
      </c>
      <c r="E2728" t="s">
        <v>4751</v>
      </c>
      <c r="F2728" s="94" t="s">
        <v>4751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4788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4897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24</v>
      </c>
      <c r="R2728" s="110" t="s">
        <v>485</v>
      </c>
      <c r="S2728" s="94"/>
    </row>
    <row r="2729" spans="1:19" hidden="1">
      <c r="A2729" s="103" t="s">
        <v>4425</v>
      </c>
      <c r="B2729" s="94" t="str">
        <f>IFERROR(VLOOKUP(Proc[[#This Row],[App]],Table2[],3,0),"open")</f>
        <v>ok</v>
      </c>
      <c r="C2729" s="117" t="s">
        <v>369</v>
      </c>
      <c r="D2729" t="s">
        <v>4653</v>
      </c>
      <c r="E2729" t="s">
        <v>4751</v>
      </c>
      <c r="F2729" s="94" t="s">
        <v>4751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4788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4897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24</v>
      </c>
      <c r="R2729" s="110" t="s">
        <v>485</v>
      </c>
      <c r="S2729" s="94"/>
    </row>
    <row r="2730" spans="1:19" hidden="1">
      <c r="A2730" s="103" t="s">
        <v>4425</v>
      </c>
      <c r="B2730" s="94" t="str">
        <f>IFERROR(VLOOKUP(Proc[[#This Row],[App]],Table2[],3,0),"open")</f>
        <v>ok</v>
      </c>
      <c r="C2730" s="117" t="s">
        <v>369</v>
      </c>
      <c r="D2730" t="s">
        <v>4654</v>
      </c>
      <c r="E2730" t="s">
        <v>4751</v>
      </c>
      <c r="F2730" s="94" t="s">
        <v>4751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4788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4897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24</v>
      </c>
      <c r="R2730" s="110" t="s">
        <v>485</v>
      </c>
      <c r="S2730" s="94"/>
    </row>
    <row r="2731" spans="1:19" hidden="1">
      <c r="A2731" s="103" t="s">
        <v>4425</v>
      </c>
      <c r="B2731" s="94" t="str">
        <f>IFERROR(VLOOKUP(Proc[[#This Row],[App]],Table2[],3,0),"open")</f>
        <v>ok</v>
      </c>
      <c r="C2731" s="117" t="s">
        <v>369</v>
      </c>
      <c r="D2731" t="s">
        <v>4655</v>
      </c>
      <c r="E2731" t="s">
        <v>4751</v>
      </c>
      <c r="F2731" s="94" t="s">
        <v>4751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4788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4897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24</v>
      </c>
      <c r="R2731" s="110" t="s">
        <v>485</v>
      </c>
      <c r="S2731" s="94"/>
    </row>
    <row r="2732" spans="1:19" hidden="1">
      <c r="A2732" s="103" t="s">
        <v>4425</v>
      </c>
      <c r="B2732" s="94" t="str">
        <f>IFERROR(VLOOKUP(Proc[[#This Row],[App]],Table2[],3,0),"open")</f>
        <v>ok</v>
      </c>
      <c r="C2732" s="117" t="s">
        <v>369</v>
      </c>
      <c r="D2732" t="s">
        <v>4656</v>
      </c>
      <c r="E2732" t="s">
        <v>4751</v>
      </c>
      <c r="F2732" s="94" t="s">
        <v>4751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4788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4897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24</v>
      </c>
      <c r="R2732" s="110" t="s">
        <v>485</v>
      </c>
      <c r="S2732" s="94"/>
    </row>
    <row r="2733" spans="1:19" hidden="1">
      <c r="A2733" s="103" t="s">
        <v>4425</v>
      </c>
      <c r="B2733" s="94" t="str">
        <f>IFERROR(VLOOKUP(Proc[[#This Row],[App]],Table2[],3,0),"open")</f>
        <v>ok</v>
      </c>
      <c r="C2733" s="117" t="s">
        <v>369</v>
      </c>
      <c r="D2733" t="s">
        <v>4657</v>
      </c>
      <c r="E2733" t="s">
        <v>4751</v>
      </c>
      <c r="F2733" s="94" t="s">
        <v>4751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4788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4897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24</v>
      </c>
      <c r="R2733" s="110" t="s">
        <v>485</v>
      </c>
      <c r="S2733" s="94"/>
    </row>
    <row r="2734" spans="1:19" hidden="1">
      <c r="A2734" s="103" t="s">
        <v>4425</v>
      </c>
      <c r="B2734" s="94" t="str">
        <f>IFERROR(VLOOKUP(Proc[[#This Row],[App]],Table2[],3,0),"open")</f>
        <v>ok</v>
      </c>
      <c r="C2734" s="117" t="s">
        <v>369</v>
      </c>
      <c r="D2734" t="s">
        <v>4658</v>
      </c>
      <c r="E2734" t="s">
        <v>4753</v>
      </c>
      <c r="F2734" s="94" t="s">
        <v>4753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4788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4897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24</v>
      </c>
      <c r="R2734" s="110" t="s">
        <v>485</v>
      </c>
      <c r="S2734" s="94"/>
    </row>
    <row r="2735" spans="1:19" hidden="1">
      <c r="A2735" s="103" t="s">
        <v>4425</v>
      </c>
      <c r="B2735" s="94" t="str">
        <f>IFERROR(VLOOKUP(Proc[[#This Row],[App]],Table2[],3,0),"open")</f>
        <v>ok</v>
      </c>
      <c r="C2735" s="117" t="s">
        <v>369</v>
      </c>
      <c r="D2735" t="s">
        <v>4659</v>
      </c>
      <c r="E2735" t="s">
        <v>4754</v>
      </c>
      <c r="F2735" s="94" t="s">
        <v>4754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4788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4897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24</v>
      </c>
      <c r="R2735" s="110" t="s">
        <v>485</v>
      </c>
      <c r="S2735" s="94"/>
    </row>
    <row r="2736" spans="1:19" hidden="1">
      <c r="A2736" s="103" t="s">
        <v>4425</v>
      </c>
      <c r="B2736" s="94" t="str">
        <f>IFERROR(VLOOKUP(Proc[[#This Row],[App]],Table2[],3,0),"open")</f>
        <v>ok</v>
      </c>
      <c r="C2736" s="117" t="s">
        <v>369</v>
      </c>
      <c r="D2736" t="s">
        <v>4660</v>
      </c>
      <c r="E2736" t="s">
        <v>4753</v>
      </c>
      <c r="F2736" s="94" t="s">
        <v>4753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4788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4897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24</v>
      </c>
      <c r="R2736" s="110" t="s">
        <v>485</v>
      </c>
      <c r="S2736" s="94"/>
    </row>
    <row r="2737" spans="1:19" hidden="1">
      <c r="A2737" s="103" t="s">
        <v>4425</v>
      </c>
      <c r="B2737" s="94" t="str">
        <f>IFERROR(VLOOKUP(Proc[[#This Row],[App]],Table2[],3,0),"open")</f>
        <v>ok</v>
      </c>
      <c r="C2737" s="117" t="s">
        <v>369</v>
      </c>
      <c r="D2737" t="s">
        <v>4661</v>
      </c>
      <c r="E2737" t="s">
        <v>4755</v>
      </c>
      <c r="F2737" s="94" t="s">
        <v>4755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4788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4897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24</v>
      </c>
      <c r="R2737" s="110" t="s">
        <v>485</v>
      </c>
      <c r="S2737" s="94"/>
    </row>
    <row r="2738" spans="1:19" hidden="1">
      <c r="A2738" s="103" t="s">
        <v>4425</v>
      </c>
      <c r="B2738" s="94" t="str">
        <f>IFERROR(VLOOKUP(Proc[[#This Row],[App]],Table2[],3,0),"open")</f>
        <v>ok</v>
      </c>
      <c r="C2738" s="117" t="s">
        <v>369</v>
      </c>
      <c r="D2738" t="s">
        <v>4662</v>
      </c>
      <c r="E2738" t="s">
        <v>4753</v>
      </c>
      <c r="F2738" s="94" t="s">
        <v>4753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4788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4897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24</v>
      </c>
      <c r="R2738" s="110" t="s">
        <v>485</v>
      </c>
      <c r="S2738" s="94"/>
    </row>
    <row r="2739" spans="1:19" hidden="1">
      <c r="A2739" s="103" t="s">
        <v>4425</v>
      </c>
      <c r="B2739" s="94" t="str">
        <f>IFERROR(VLOOKUP(Proc[[#This Row],[App]],Table2[],3,0),"open")</f>
        <v>ok</v>
      </c>
      <c r="C2739" s="117" t="s">
        <v>369</v>
      </c>
      <c r="D2739" t="s">
        <v>4663</v>
      </c>
      <c r="E2739" t="s">
        <v>4753</v>
      </c>
      <c r="F2739" s="94" t="s">
        <v>4753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4788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4897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24</v>
      </c>
      <c r="R2739" s="110" t="s">
        <v>485</v>
      </c>
      <c r="S2739" s="94"/>
    </row>
    <row r="2740" spans="1:19" hidden="1">
      <c r="A2740" s="103" t="s">
        <v>4425</v>
      </c>
      <c r="B2740" s="94" t="str">
        <f>IFERROR(VLOOKUP(Proc[[#This Row],[App]],Table2[],3,0),"open")</f>
        <v>ok</v>
      </c>
      <c r="C2740" s="117" t="s">
        <v>369</v>
      </c>
      <c r="D2740" t="s">
        <v>4664</v>
      </c>
      <c r="E2740" t="s">
        <v>4753</v>
      </c>
      <c r="F2740" s="94" t="s">
        <v>4753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4788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4897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24</v>
      </c>
      <c r="R2740" s="110" t="s">
        <v>485</v>
      </c>
      <c r="S2740" s="94"/>
    </row>
    <row r="2741" spans="1:19" hidden="1">
      <c r="A2741" s="103" t="s">
        <v>4425</v>
      </c>
      <c r="B2741" s="94" t="str">
        <f>IFERROR(VLOOKUP(Proc[[#This Row],[App]],Table2[],3,0),"open")</f>
        <v>ok</v>
      </c>
      <c r="C2741" s="117" t="s">
        <v>369</v>
      </c>
      <c r="D2741" t="s">
        <v>4665</v>
      </c>
      <c r="E2741" t="s">
        <v>4755</v>
      </c>
      <c r="F2741" s="94" t="s">
        <v>4755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4788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4897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24</v>
      </c>
      <c r="R2741" s="110" t="s">
        <v>485</v>
      </c>
      <c r="S2741" s="94"/>
    </row>
    <row r="2742" spans="1:19" hidden="1">
      <c r="A2742" s="103" t="s">
        <v>4425</v>
      </c>
      <c r="B2742" s="94" t="str">
        <f>IFERROR(VLOOKUP(Proc[[#This Row],[App]],Table2[],3,0),"open")</f>
        <v>ok</v>
      </c>
      <c r="C2742" s="117" t="s">
        <v>369</v>
      </c>
      <c r="D2742" t="s">
        <v>4666</v>
      </c>
      <c r="E2742" t="s">
        <v>4754</v>
      </c>
      <c r="F2742" s="94" t="s">
        <v>4754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4788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4897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24</v>
      </c>
      <c r="R2742" s="110" t="s">
        <v>485</v>
      </c>
      <c r="S2742" s="94"/>
    </row>
    <row r="2743" spans="1:19" hidden="1">
      <c r="A2743" s="103" t="s">
        <v>4425</v>
      </c>
      <c r="B2743" s="94" t="str">
        <f>IFERROR(VLOOKUP(Proc[[#This Row],[App]],Table2[],3,0),"open")</f>
        <v>ok</v>
      </c>
      <c r="C2743" s="117" t="s">
        <v>369</v>
      </c>
      <c r="D2743" t="s">
        <v>4667</v>
      </c>
      <c r="E2743" t="s">
        <v>4753</v>
      </c>
      <c r="F2743" s="94" t="s">
        <v>4753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4788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4897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24</v>
      </c>
      <c r="R2743" s="110" t="s">
        <v>485</v>
      </c>
      <c r="S2743" s="94"/>
    </row>
    <row r="2744" spans="1:19" hidden="1">
      <c r="A2744" s="103" t="s">
        <v>4425</v>
      </c>
      <c r="B2744" s="94" t="str">
        <f>IFERROR(VLOOKUP(Proc[[#This Row],[App]],Table2[],3,0),"open")</f>
        <v>ok</v>
      </c>
      <c r="C2744" s="117" t="s">
        <v>369</v>
      </c>
      <c r="D2744" t="s">
        <v>4668</v>
      </c>
      <c r="E2744" t="s">
        <v>4753</v>
      </c>
      <c r="F2744" s="94" t="s">
        <v>4753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4788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4897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24</v>
      </c>
      <c r="R2744" s="110" t="s">
        <v>485</v>
      </c>
      <c r="S2744" s="94"/>
    </row>
    <row r="2745" spans="1:19" hidden="1">
      <c r="A2745" s="103" t="s">
        <v>4425</v>
      </c>
      <c r="B2745" s="94" t="str">
        <f>IFERROR(VLOOKUP(Proc[[#This Row],[App]],Table2[],3,0),"open")</f>
        <v>ok</v>
      </c>
      <c r="C2745" s="117" t="s">
        <v>369</v>
      </c>
      <c r="D2745" t="s">
        <v>4669</v>
      </c>
      <c r="E2745" t="s">
        <v>4753</v>
      </c>
      <c r="F2745" s="94" t="s">
        <v>4753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4788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4897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24</v>
      </c>
      <c r="R2745" s="110" t="s">
        <v>485</v>
      </c>
      <c r="S2745" s="94"/>
    </row>
    <row r="2746" spans="1:19" hidden="1">
      <c r="A2746" s="103" t="s">
        <v>4425</v>
      </c>
      <c r="B2746" s="94" t="str">
        <f>IFERROR(VLOOKUP(Proc[[#This Row],[App]],Table2[],3,0),"open")</f>
        <v>ok</v>
      </c>
      <c r="C2746" s="117" t="s">
        <v>369</v>
      </c>
      <c r="D2746" t="s">
        <v>4670</v>
      </c>
      <c r="E2746" t="s">
        <v>4753</v>
      </c>
      <c r="F2746" s="94" t="s">
        <v>4753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4788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4897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24</v>
      </c>
      <c r="R2746" s="110" t="s">
        <v>485</v>
      </c>
      <c r="S2746" s="94"/>
    </row>
    <row r="2747" spans="1:19" hidden="1">
      <c r="A2747" s="103" t="s">
        <v>4425</v>
      </c>
      <c r="B2747" s="94" t="str">
        <f>IFERROR(VLOOKUP(Proc[[#This Row],[App]],Table2[],3,0),"open")</f>
        <v>ok</v>
      </c>
      <c r="C2747" s="117" t="s">
        <v>369</v>
      </c>
      <c r="D2747" t="s">
        <v>4671</v>
      </c>
      <c r="E2747" t="s">
        <v>4753</v>
      </c>
      <c r="F2747" s="94" t="s">
        <v>4753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4788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4897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24</v>
      </c>
      <c r="R2747" s="110" t="s">
        <v>485</v>
      </c>
      <c r="S2747" s="94"/>
    </row>
    <row r="2748" spans="1:19" hidden="1">
      <c r="A2748" s="103" t="s">
        <v>4425</v>
      </c>
      <c r="B2748" s="94" t="str">
        <f>IFERROR(VLOOKUP(Proc[[#This Row],[App]],Table2[],3,0),"open")</f>
        <v>ok</v>
      </c>
      <c r="C2748" s="117" t="s">
        <v>369</v>
      </c>
      <c r="D2748" t="s">
        <v>4672</v>
      </c>
      <c r="E2748" t="s">
        <v>4753</v>
      </c>
      <c r="F2748" s="94" t="s">
        <v>4753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4788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4897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24</v>
      </c>
      <c r="R2748" s="110" t="s">
        <v>485</v>
      </c>
      <c r="S2748" s="94"/>
    </row>
    <row r="2749" spans="1:19" hidden="1">
      <c r="A2749" s="103" t="s">
        <v>4425</v>
      </c>
      <c r="B2749" s="94" t="str">
        <f>IFERROR(VLOOKUP(Proc[[#This Row],[App]],Table2[],3,0),"open")</f>
        <v>ok</v>
      </c>
      <c r="C2749" s="117" t="s">
        <v>369</v>
      </c>
      <c r="D2749" t="s">
        <v>4673</v>
      </c>
      <c r="E2749" t="s">
        <v>4753</v>
      </c>
      <c r="F2749" s="94" t="s">
        <v>4753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4788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4897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24</v>
      </c>
      <c r="R2749" s="110" t="s">
        <v>485</v>
      </c>
      <c r="S2749" s="94"/>
    </row>
    <row r="2750" spans="1:19" hidden="1">
      <c r="A2750" s="103" t="s">
        <v>4425</v>
      </c>
      <c r="B2750" s="94" t="str">
        <f>IFERROR(VLOOKUP(Proc[[#This Row],[App]],Table2[],3,0),"open")</f>
        <v>ok</v>
      </c>
      <c r="C2750" s="117" t="s">
        <v>369</v>
      </c>
      <c r="D2750" t="s">
        <v>4674</v>
      </c>
      <c r="E2750" t="s">
        <v>4753</v>
      </c>
      <c r="F2750" s="94" t="s">
        <v>4753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4788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4897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24</v>
      </c>
      <c r="R2750" s="110" t="s">
        <v>485</v>
      </c>
      <c r="S2750" s="94"/>
    </row>
    <row r="2751" spans="1:19" hidden="1">
      <c r="A2751" s="103" t="s">
        <v>4425</v>
      </c>
      <c r="B2751" s="94" t="str">
        <f>IFERROR(VLOOKUP(Proc[[#This Row],[App]],Table2[],3,0),"open")</f>
        <v>ok</v>
      </c>
      <c r="C2751" s="117" t="s">
        <v>369</v>
      </c>
      <c r="D2751" t="s">
        <v>4675</v>
      </c>
      <c r="E2751" t="s">
        <v>4753</v>
      </c>
      <c r="F2751" s="94" t="s">
        <v>4753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4788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4897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24</v>
      </c>
      <c r="R2751" s="110" t="s">
        <v>485</v>
      </c>
      <c r="S2751" s="94"/>
    </row>
    <row r="2752" spans="1:19" hidden="1">
      <c r="A2752" s="103" t="s">
        <v>4425</v>
      </c>
      <c r="B2752" s="94" t="str">
        <f>IFERROR(VLOOKUP(Proc[[#This Row],[App]],Table2[],3,0),"open")</f>
        <v>ok</v>
      </c>
      <c r="C2752" s="117" t="s">
        <v>369</v>
      </c>
      <c r="D2752" t="s">
        <v>4676</v>
      </c>
      <c r="E2752" t="s">
        <v>4753</v>
      </c>
      <c r="F2752" s="94" t="s">
        <v>4753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4788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4897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24</v>
      </c>
      <c r="R2752" s="110" t="s">
        <v>485</v>
      </c>
      <c r="S2752" s="94"/>
    </row>
    <row r="2753" spans="1:19" hidden="1">
      <c r="A2753" s="103" t="s">
        <v>4425</v>
      </c>
      <c r="B2753" s="94" t="str">
        <f>IFERROR(VLOOKUP(Proc[[#This Row],[App]],Table2[],3,0),"open")</f>
        <v>ok</v>
      </c>
      <c r="C2753" s="117" t="s">
        <v>369</v>
      </c>
      <c r="D2753" t="s">
        <v>4677</v>
      </c>
      <c r="E2753" t="s">
        <v>4753</v>
      </c>
      <c r="F2753" s="94" t="s">
        <v>4753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4788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4897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24</v>
      </c>
      <c r="R2753" s="110" t="s">
        <v>485</v>
      </c>
      <c r="S2753" s="94"/>
    </row>
    <row r="2754" spans="1:19" hidden="1">
      <c r="A2754" s="103" t="s">
        <v>4425</v>
      </c>
      <c r="B2754" s="94" t="str">
        <f>IFERROR(VLOOKUP(Proc[[#This Row],[App]],Table2[],3,0),"open")</f>
        <v>ok</v>
      </c>
      <c r="C2754" s="117" t="s">
        <v>369</v>
      </c>
      <c r="D2754" t="s">
        <v>4678</v>
      </c>
      <c r="E2754" t="s">
        <v>4753</v>
      </c>
      <c r="F2754" s="94" t="s">
        <v>4753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4788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4897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24</v>
      </c>
      <c r="R2754" s="110" t="s">
        <v>485</v>
      </c>
      <c r="S2754" s="94"/>
    </row>
    <row r="2755" spans="1:19" hidden="1">
      <c r="A2755" s="103" t="s">
        <v>4425</v>
      </c>
      <c r="B2755" s="94" t="str">
        <f>IFERROR(VLOOKUP(Proc[[#This Row],[App]],Table2[],3,0),"open")</f>
        <v>ok</v>
      </c>
      <c r="C2755" s="117" t="s">
        <v>369</v>
      </c>
      <c r="D2755" t="s">
        <v>4679</v>
      </c>
      <c r="E2755" t="s">
        <v>4753</v>
      </c>
      <c r="F2755" s="94" t="s">
        <v>4753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4788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4897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24</v>
      </c>
      <c r="R2755" s="110" t="s">
        <v>485</v>
      </c>
      <c r="S2755" s="94"/>
    </row>
    <row r="2756" spans="1:19" hidden="1">
      <c r="A2756" s="103" t="s">
        <v>4425</v>
      </c>
      <c r="B2756" s="94" t="str">
        <f>IFERROR(VLOOKUP(Proc[[#This Row],[App]],Table2[],3,0),"open")</f>
        <v>ok</v>
      </c>
      <c r="C2756" s="117" t="s">
        <v>369</v>
      </c>
      <c r="D2756" t="s">
        <v>4680</v>
      </c>
      <c r="E2756" t="s">
        <v>4753</v>
      </c>
      <c r="F2756" s="94" t="s">
        <v>4753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4788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4897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24</v>
      </c>
      <c r="R2756" s="110" t="s">
        <v>485</v>
      </c>
      <c r="S2756" s="94"/>
    </row>
    <row r="2757" spans="1:19" hidden="1">
      <c r="A2757" s="103" t="s">
        <v>4425</v>
      </c>
      <c r="B2757" s="94" t="str">
        <f>IFERROR(VLOOKUP(Proc[[#This Row],[App]],Table2[],3,0),"open")</f>
        <v>ok</v>
      </c>
      <c r="C2757" s="117" t="s">
        <v>369</v>
      </c>
      <c r="D2757" t="s">
        <v>4681</v>
      </c>
      <c r="E2757" t="s">
        <v>4753</v>
      </c>
      <c r="F2757" s="94" t="s">
        <v>4753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4788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4897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24</v>
      </c>
      <c r="R2757" s="110" t="s">
        <v>485</v>
      </c>
      <c r="S2757" s="94"/>
    </row>
    <row r="2758" spans="1:19" hidden="1">
      <c r="A2758" s="103" t="s">
        <v>4425</v>
      </c>
      <c r="B2758" s="94" t="str">
        <f>IFERROR(VLOOKUP(Proc[[#This Row],[App]],Table2[],3,0),"open")</f>
        <v>ok</v>
      </c>
      <c r="C2758" s="117" t="s">
        <v>369</v>
      </c>
      <c r="D2758" t="s">
        <v>4682</v>
      </c>
      <c r="E2758" t="s">
        <v>4753</v>
      </c>
      <c r="F2758" s="94" t="s">
        <v>4753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4788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4897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24</v>
      </c>
      <c r="R2758" s="110" t="s">
        <v>485</v>
      </c>
      <c r="S2758" s="94"/>
    </row>
    <row r="2759" spans="1:19" hidden="1">
      <c r="A2759" s="103" t="s">
        <v>4425</v>
      </c>
      <c r="B2759" s="94" t="str">
        <f>IFERROR(VLOOKUP(Proc[[#This Row],[App]],Table2[],3,0),"open")</f>
        <v>ok</v>
      </c>
      <c r="C2759" s="117" t="s">
        <v>369</v>
      </c>
      <c r="D2759" t="s">
        <v>4683</v>
      </c>
      <c r="E2759" t="s">
        <v>4754</v>
      </c>
      <c r="F2759" s="94" t="s">
        <v>4754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4788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4897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24</v>
      </c>
      <c r="R2759" s="110" t="s">
        <v>485</v>
      </c>
      <c r="S2759" s="94"/>
    </row>
    <row r="2760" spans="1:19" hidden="1">
      <c r="A2760" s="103" t="s">
        <v>4425</v>
      </c>
      <c r="B2760" s="94" t="str">
        <f>IFERROR(VLOOKUP(Proc[[#This Row],[App]],Table2[],3,0),"open")</f>
        <v>ok</v>
      </c>
      <c r="C2760" s="117" t="s">
        <v>369</v>
      </c>
      <c r="D2760" t="s">
        <v>4684</v>
      </c>
      <c r="E2760" t="s">
        <v>4754</v>
      </c>
      <c r="F2760" s="94" t="s">
        <v>4754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4788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4897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24</v>
      </c>
      <c r="R2760" s="110" t="s">
        <v>485</v>
      </c>
      <c r="S2760" s="94"/>
    </row>
    <row r="2761" spans="1:19" hidden="1">
      <c r="A2761" s="103" t="s">
        <v>4425</v>
      </c>
      <c r="B2761" s="94" t="str">
        <f>IFERROR(VLOOKUP(Proc[[#This Row],[App]],Table2[],3,0),"open")</f>
        <v>ok</v>
      </c>
      <c r="C2761" s="117" t="s">
        <v>369</v>
      </c>
      <c r="D2761" t="s">
        <v>4685</v>
      </c>
      <c r="E2761" t="s">
        <v>4753</v>
      </c>
      <c r="F2761" s="94" t="s">
        <v>4753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4788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4897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24</v>
      </c>
      <c r="R2761" s="110" t="s">
        <v>485</v>
      </c>
      <c r="S2761" s="94"/>
    </row>
    <row r="2762" spans="1:19" hidden="1">
      <c r="A2762" s="103" t="s">
        <v>4425</v>
      </c>
      <c r="B2762" s="94" t="str">
        <f>IFERROR(VLOOKUP(Proc[[#This Row],[App]],Table2[],3,0),"open")</f>
        <v>ok</v>
      </c>
      <c r="C2762" s="117" t="s">
        <v>369</v>
      </c>
      <c r="D2762" t="s">
        <v>4686</v>
      </c>
      <c r="E2762" t="s">
        <v>4754</v>
      </c>
      <c r="F2762" s="94" t="s">
        <v>4754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4788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4897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24</v>
      </c>
      <c r="R2762" s="110" t="s">
        <v>485</v>
      </c>
      <c r="S2762" s="94"/>
    </row>
    <row r="2763" spans="1:19" hidden="1">
      <c r="A2763" s="103" t="s">
        <v>4425</v>
      </c>
      <c r="B2763" s="94" t="str">
        <f>IFERROR(VLOOKUP(Proc[[#This Row],[App]],Table2[],3,0),"open")</f>
        <v>ok</v>
      </c>
      <c r="C2763" s="117" t="s">
        <v>369</v>
      </c>
      <c r="D2763" t="s">
        <v>4687</v>
      </c>
      <c r="E2763" t="s">
        <v>4753</v>
      </c>
      <c r="F2763" s="94" t="s">
        <v>4753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4788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4897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24</v>
      </c>
      <c r="R2763" s="110" t="s">
        <v>485</v>
      </c>
      <c r="S2763" s="94"/>
    </row>
    <row r="2764" spans="1:19" hidden="1">
      <c r="A2764" s="103" t="s">
        <v>4425</v>
      </c>
      <c r="B2764" s="94" t="str">
        <f>IFERROR(VLOOKUP(Proc[[#This Row],[App]],Table2[],3,0),"open")</f>
        <v>ok</v>
      </c>
      <c r="C2764" s="117" t="s">
        <v>369</v>
      </c>
      <c r="D2764" t="s">
        <v>4688</v>
      </c>
      <c r="E2764" t="s">
        <v>4754</v>
      </c>
      <c r="F2764" s="94" t="s">
        <v>4754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4788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4897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24</v>
      </c>
      <c r="R2764" s="110" t="s">
        <v>485</v>
      </c>
      <c r="S2764" s="94"/>
    </row>
    <row r="2765" spans="1:19" hidden="1">
      <c r="A2765" s="103" t="s">
        <v>4425</v>
      </c>
      <c r="B2765" s="94" t="str">
        <f>IFERROR(VLOOKUP(Proc[[#This Row],[App]],Table2[],3,0),"open")</f>
        <v>ok</v>
      </c>
      <c r="C2765" s="117" t="s">
        <v>369</v>
      </c>
      <c r="D2765" t="s">
        <v>4689</v>
      </c>
      <c r="E2765" t="s">
        <v>4753</v>
      </c>
      <c r="F2765" s="94" t="s">
        <v>4753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4788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4897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24</v>
      </c>
      <c r="R2765" s="110" t="s">
        <v>485</v>
      </c>
      <c r="S2765" s="94"/>
    </row>
    <row r="2766" spans="1:19" hidden="1">
      <c r="A2766" s="103" t="s">
        <v>4425</v>
      </c>
      <c r="B2766" s="94" t="str">
        <f>IFERROR(VLOOKUP(Proc[[#This Row],[App]],Table2[],3,0),"open")</f>
        <v>ok</v>
      </c>
      <c r="C2766" s="117" t="s">
        <v>369</v>
      </c>
      <c r="D2766" t="s">
        <v>4690</v>
      </c>
      <c r="E2766" t="s">
        <v>4754</v>
      </c>
      <c r="F2766" s="94" t="s">
        <v>4754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4788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4897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24</v>
      </c>
      <c r="R2766" s="110" t="s">
        <v>485</v>
      </c>
      <c r="S2766" s="94"/>
    </row>
    <row r="2767" spans="1:19" hidden="1">
      <c r="A2767" s="103" t="s">
        <v>4425</v>
      </c>
      <c r="B2767" s="94" t="str">
        <f>IFERROR(VLOOKUP(Proc[[#This Row],[App]],Table2[],3,0),"open")</f>
        <v>ok</v>
      </c>
      <c r="C2767" s="117" t="s">
        <v>369</v>
      </c>
      <c r="D2767" t="s">
        <v>4691</v>
      </c>
      <c r="E2767" t="s">
        <v>4756</v>
      </c>
      <c r="F2767" s="94" t="s">
        <v>4756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4788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4897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24</v>
      </c>
      <c r="R2767" s="110" t="s">
        <v>485</v>
      </c>
      <c r="S2767" s="94"/>
    </row>
    <row r="2768" spans="1:19" hidden="1">
      <c r="A2768" s="103" t="s">
        <v>4425</v>
      </c>
      <c r="B2768" s="94" t="str">
        <f>IFERROR(VLOOKUP(Proc[[#This Row],[App]],Table2[],3,0),"open")</f>
        <v>ok</v>
      </c>
      <c r="C2768" s="117" t="s">
        <v>369</v>
      </c>
      <c r="D2768" t="s">
        <v>4692</v>
      </c>
      <c r="E2768" t="s">
        <v>4754</v>
      </c>
      <c r="F2768" s="94" t="s">
        <v>4754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4788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4897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24</v>
      </c>
      <c r="R2768" s="110" t="s">
        <v>485</v>
      </c>
      <c r="S2768" s="94"/>
    </row>
    <row r="2769" spans="1:19" hidden="1">
      <c r="A2769" s="103" t="s">
        <v>4425</v>
      </c>
      <c r="B2769" s="94" t="str">
        <f>IFERROR(VLOOKUP(Proc[[#This Row],[App]],Table2[],3,0),"open")</f>
        <v>ok</v>
      </c>
      <c r="C2769" s="117" t="s">
        <v>369</v>
      </c>
      <c r="D2769" t="s">
        <v>4693</v>
      </c>
      <c r="E2769" t="s">
        <v>4754</v>
      </c>
      <c r="F2769" s="94" t="s">
        <v>4754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4788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4897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24</v>
      </c>
      <c r="R2769" s="110" t="s">
        <v>485</v>
      </c>
      <c r="S2769" s="94"/>
    </row>
    <row r="2770" spans="1:19" hidden="1">
      <c r="A2770" s="103" t="s">
        <v>4425</v>
      </c>
      <c r="B2770" s="94" t="str">
        <f>IFERROR(VLOOKUP(Proc[[#This Row],[App]],Table2[],3,0),"open")</f>
        <v>ok</v>
      </c>
      <c r="C2770" s="117" t="s">
        <v>369</v>
      </c>
      <c r="D2770" t="s">
        <v>4694</v>
      </c>
      <c r="E2770" t="s">
        <v>4754</v>
      </c>
      <c r="F2770" s="94" t="s">
        <v>4754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4788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4897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24</v>
      </c>
      <c r="R2770" s="110" t="s">
        <v>485</v>
      </c>
      <c r="S2770" s="94"/>
    </row>
    <row r="2771" spans="1:19" hidden="1">
      <c r="A2771" s="103" t="s">
        <v>4425</v>
      </c>
      <c r="B2771" s="94" t="str">
        <f>IFERROR(VLOOKUP(Proc[[#This Row],[App]],Table2[],3,0),"open")</f>
        <v>ok</v>
      </c>
      <c r="C2771" s="117" t="s">
        <v>369</v>
      </c>
      <c r="D2771" t="s">
        <v>4695</v>
      </c>
      <c r="E2771" t="s">
        <v>4754</v>
      </c>
      <c r="F2771" s="94" t="s">
        <v>4754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4788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4897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24</v>
      </c>
      <c r="R2771" s="110" t="s">
        <v>485</v>
      </c>
      <c r="S2771" s="94"/>
    </row>
    <row r="2772" spans="1:19" hidden="1">
      <c r="A2772" s="103" t="s">
        <v>4425</v>
      </c>
      <c r="B2772" s="94" t="str">
        <f>IFERROR(VLOOKUP(Proc[[#This Row],[App]],Table2[],3,0),"open")</f>
        <v>ok</v>
      </c>
      <c r="C2772" s="117" t="s">
        <v>369</v>
      </c>
      <c r="D2772" t="s">
        <v>4696</v>
      </c>
      <c r="E2772" t="s">
        <v>4754</v>
      </c>
      <c r="F2772" s="94" t="s">
        <v>4754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4788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4897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24</v>
      </c>
      <c r="R2772" s="110" t="s">
        <v>485</v>
      </c>
      <c r="S2772" s="94"/>
    </row>
    <row r="2773" spans="1:19" hidden="1">
      <c r="A2773" s="103" t="s">
        <v>4425</v>
      </c>
      <c r="B2773" s="94" t="str">
        <f>IFERROR(VLOOKUP(Proc[[#This Row],[App]],Table2[],3,0),"open")</f>
        <v>ok</v>
      </c>
      <c r="C2773" s="117" t="s">
        <v>369</v>
      </c>
      <c r="D2773" t="s">
        <v>4697</v>
      </c>
      <c r="E2773" t="s">
        <v>4757</v>
      </c>
      <c r="F2773" s="94" t="s">
        <v>4757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4788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4897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24</v>
      </c>
      <c r="R2773" s="110" t="s">
        <v>485</v>
      </c>
      <c r="S2773" s="94"/>
    </row>
    <row r="2774" spans="1:19" hidden="1">
      <c r="A2774" s="103" t="s">
        <v>4425</v>
      </c>
      <c r="B2774" s="94" t="str">
        <f>IFERROR(VLOOKUP(Proc[[#This Row],[App]],Table2[],3,0),"open")</f>
        <v>ok</v>
      </c>
      <c r="C2774" s="117" t="s">
        <v>369</v>
      </c>
      <c r="D2774" t="s">
        <v>4698</v>
      </c>
      <c r="E2774" t="s">
        <v>4754</v>
      </c>
      <c r="F2774" s="94" t="s">
        <v>4754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4788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4897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24</v>
      </c>
      <c r="R2774" s="110" t="s">
        <v>485</v>
      </c>
      <c r="S2774" s="94"/>
    </row>
    <row r="2775" spans="1:19" hidden="1">
      <c r="A2775" s="103" t="s">
        <v>4425</v>
      </c>
      <c r="B2775" s="94" t="str">
        <f>IFERROR(VLOOKUP(Proc[[#This Row],[App]],Table2[],3,0),"open")</f>
        <v>ok</v>
      </c>
      <c r="C2775" s="117" t="s">
        <v>369</v>
      </c>
      <c r="D2775" t="s">
        <v>4699</v>
      </c>
      <c r="E2775" t="s">
        <v>4754</v>
      </c>
      <c r="F2775" s="94" t="s">
        <v>4754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4788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4897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24</v>
      </c>
      <c r="R2775" s="110" t="s">
        <v>485</v>
      </c>
      <c r="S2775" s="94"/>
    </row>
    <row r="2776" spans="1:19" hidden="1">
      <c r="A2776" s="103" t="s">
        <v>4425</v>
      </c>
      <c r="B2776" s="94" t="str">
        <f>IFERROR(VLOOKUP(Proc[[#This Row],[App]],Table2[],3,0),"open")</f>
        <v>ok</v>
      </c>
      <c r="C2776" s="117" t="s">
        <v>369</v>
      </c>
      <c r="D2776" t="s">
        <v>4700</v>
      </c>
      <c r="E2776" t="s">
        <v>4754</v>
      </c>
      <c r="F2776" s="94" t="s">
        <v>4754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4788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4897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24</v>
      </c>
      <c r="R2776" s="110" t="s">
        <v>485</v>
      </c>
      <c r="S2776" s="94"/>
    </row>
    <row r="2777" spans="1:19" hidden="1">
      <c r="A2777" s="103" t="s">
        <v>4425</v>
      </c>
      <c r="B2777" s="94" t="str">
        <f>IFERROR(VLOOKUP(Proc[[#This Row],[App]],Table2[],3,0),"open")</f>
        <v>ok</v>
      </c>
      <c r="C2777" s="117" t="s">
        <v>369</v>
      </c>
      <c r="D2777" t="s">
        <v>4701</v>
      </c>
      <c r="E2777" t="s">
        <v>4754</v>
      </c>
      <c r="F2777" s="94" t="s">
        <v>4754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4788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4897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24</v>
      </c>
      <c r="R2777" s="110" t="s">
        <v>485</v>
      </c>
      <c r="S2777" s="94"/>
    </row>
    <row r="2778" spans="1:19" hidden="1">
      <c r="A2778" s="103" t="s">
        <v>4425</v>
      </c>
      <c r="B2778" s="94" t="str">
        <f>IFERROR(VLOOKUP(Proc[[#This Row],[App]],Table2[],3,0),"open")</f>
        <v>ok</v>
      </c>
      <c r="C2778" s="117" t="s">
        <v>369</v>
      </c>
      <c r="D2778" t="s">
        <v>4702</v>
      </c>
      <c r="E2778" t="s">
        <v>4757</v>
      </c>
      <c r="F2778" s="94" t="s">
        <v>4757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4788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4897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24</v>
      </c>
      <c r="R2778" s="110" t="s">
        <v>485</v>
      </c>
      <c r="S2778" s="94"/>
    </row>
    <row r="2779" spans="1:19" hidden="1">
      <c r="A2779" s="103" t="s">
        <v>4425</v>
      </c>
      <c r="B2779" s="94" t="str">
        <f>IFERROR(VLOOKUP(Proc[[#This Row],[App]],Table2[],3,0),"open")</f>
        <v>ok</v>
      </c>
      <c r="C2779" s="117" t="s">
        <v>369</v>
      </c>
      <c r="D2779" t="s">
        <v>4703</v>
      </c>
      <c r="E2779" t="s">
        <v>4754</v>
      </c>
      <c r="F2779" s="94" t="s">
        <v>4754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4788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4897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24</v>
      </c>
      <c r="R2779" s="110" t="s">
        <v>485</v>
      </c>
      <c r="S2779" s="94"/>
    </row>
    <row r="2780" spans="1:19" hidden="1">
      <c r="A2780" s="103" t="s">
        <v>4425</v>
      </c>
      <c r="B2780" s="94" t="str">
        <f>IFERROR(VLOOKUP(Proc[[#This Row],[App]],Table2[],3,0),"open")</f>
        <v>ok</v>
      </c>
      <c r="C2780" s="117" t="s">
        <v>369</v>
      </c>
      <c r="D2780" t="s">
        <v>4704</v>
      </c>
      <c r="E2780" t="s">
        <v>4754</v>
      </c>
      <c r="F2780" s="94" t="s">
        <v>4754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4788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4897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24</v>
      </c>
      <c r="R2780" s="110" t="s">
        <v>485</v>
      </c>
      <c r="S2780" s="94"/>
    </row>
    <row r="2781" spans="1:19" hidden="1">
      <c r="A2781" s="103" t="s">
        <v>4425</v>
      </c>
      <c r="B2781" s="94" t="str">
        <f>IFERROR(VLOOKUP(Proc[[#This Row],[App]],Table2[],3,0),"open")</f>
        <v>ok</v>
      </c>
      <c r="C2781" s="117" t="s">
        <v>369</v>
      </c>
      <c r="D2781" t="s">
        <v>4705</v>
      </c>
      <c r="E2781" t="s">
        <v>4753</v>
      </c>
      <c r="F2781" s="94" t="s">
        <v>4753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4788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4897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24</v>
      </c>
      <c r="R2781" s="110" t="s">
        <v>485</v>
      </c>
      <c r="S2781" s="94"/>
    </row>
    <row r="2782" spans="1:19" hidden="1">
      <c r="A2782" s="103" t="s">
        <v>4425</v>
      </c>
      <c r="B2782" s="94" t="str">
        <f>IFERROR(VLOOKUP(Proc[[#This Row],[App]],Table2[],3,0),"open")</f>
        <v>ok</v>
      </c>
      <c r="C2782" s="117" t="s">
        <v>369</v>
      </c>
      <c r="D2782" t="s">
        <v>4706</v>
      </c>
      <c r="E2782" t="s">
        <v>4754</v>
      </c>
      <c r="F2782" s="94" t="s">
        <v>4754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4788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4897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24</v>
      </c>
      <c r="R2782" s="110" t="s">
        <v>485</v>
      </c>
      <c r="S2782" s="94"/>
    </row>
    <row r="2783" spans="1:19" hidden="1">
      <c r="A2783" s="103" t="s">
        <v>4425</v>
      </c>
      <c r="B2783" s="94" t="str">
        <f>IFERROR(VLOOKUP(Proc[[#This Row],[App]],Table2[],3,0),"open")</f>
        <v>ok</v>
      </c>
      <c r="C2783" s="117" t="s">
        <v>369</v>
      </c>
      <c r="D2783" t="s">
        <v>4707</v>
      </c>
      <c r="E2783" t="s">
        <v>4754</v>
      </c>
      <c r="F2783" s="94" t="s">
        <v>4754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4788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4897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24</v>
      </c>
      <c r="R2783" s="110" t="s">
        <v>485</v>
      </c>
      <c r="S2783" s="94"/>
    </row>
    <row r="2784" spans="1:19" hidden="1">
      <c r="A2784" s="103" t="s">
        <v>4425</v>
      </c>
      <c r="B2784" s="94" t="str">
        <f>IFERROR(VLOOKUP(Proc[[#This Row],[App]],Table2[],3,0),"open")</f>
        <v>ok</v>
      </c>
      <c r="C2784" s="117" t="s">
        <v>369</v>
      </c>
      <c r="D2784" t="s">
        <v>4708</v>
      </c>
      <c r="E2784" t="s">
        <v>4752</v>
      </c>
      <c r="F2784" s="94" t="s">
        <v>4752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4788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4897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24</v>
      </c>
      <c r="R2784" s="110" t="s">
        <v>485</v>
      </c>
      <c r="S2784" s="94"/>
    </row>
    <row r="2785" spans="1:19" hidden="1">
      <c r="A2785" s="103" t="s">
        <v>4425</v>
      </c>
      <c r="B2785" s="94" t="str">
        <f>IFERROR(VLOOKUP(Proc[[#This Row],[App]],Table2[],3,0),"open")</f>
        <v>ok</v>
      </c>
      <c r="C2785" s="117" t="s">
        <v>369</v>
      </c>
      <c r="D2785" t="s">
        <v>4709</v>
      </c>
      <c r="E2785" t="s">
        <v>4754</v>
      </c>
      <c r="F2785" s="94" t="s">
        <v>4754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4788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4897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24</v>
      </c>
      <c r="R2785" s="110" t="s">
        <v>485</v>
      </c>
      <c r="S2785" s="94"/>
    </row>
    <row r="2786" spans="1:19" hidden="1">
      <c r="A2786" s="103" t="s">
        <v>4425</v>
      </c>
      <c r="B2786" s="94" t="str">
        <f>IFERROR(VLOOKUP(Proc[[#This Row],[App]],Table2[],3,0),"open")</f>
        <v>ok</v>
      </c>
      <c r="C2786" s="117" t="s">
        <v>369</v>
      </c>
      <c r="D2786" t="s">
        <v>4710</v>
      </c>
      <c r="E2786" t="s">
        <v>4754</v>
      </c>
      <c r="F2786" s="94" t="s">
        <v>4754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4788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4897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24</v>
      </c>
      <c r="R2786" s="110" t="s">
        <v>485</v>
      </c>
      <c r="S2786" s="94"/>
    </row>
    <row r="2787" spans="1:19" hidden="1">
      <c r="A2787" s="103" t="s">
        <v>4425</v>
      </c>
      <c r="B2787" s="94" t="str">
        <f>IFERROR(VLOOKUP(Proc[[#This Row],[App]],Table2[],3,0),"open")</f>
        <v>ok</v>
      </c>
      <c r="C2787" s="117" t="s">
        <v>369</v>
      </c>
      <c r="D2787" t="s">
        <v>4711</v>
      </c>
      <c r="E2787" t="s">
        <v>4754</v>
      </c>
      <c r="F2787" s="94" t="s">
        <v>4754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4788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4897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24</v>
      </c>
      <c r="R2787" s="110" t="s">
        <v>485</v>
      </c>
      <c r="S2787" s="94"/>
    </row>
    <row r="2788" spans="1:19" hidden="1">
      <c r="A2788" s="103" t="s">
        <v>4425</v>
      </c>
      <c r="B2788" s="94" t="str">
        <f>IFERROR(VLOOKUP(Proc[[#This Row],[App]],Table2[],3,0),"open")</f>
        <v>ok</v>
      </c>
      <c r="C2788" s="117" t="s">
        <v>369</v>
      </c>
      <c r="D2788" t="s">
        <v>4712</v>
      </c>
      <c r="E2788" t="s">
        <v>4756</v>
      </c>
      <c r="F2788" s="94" t="s">
        <v>4756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4788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4897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24</v>
      </c>
      <c r="R2788" s="110" t="s">
        <v>485</v>
      </c>
      <c r="S2788" s="94"/>
    </row>
    <row r="2789" spans="1:19" hidden="1">
      <c r="A2789" s="103" t="s">
        <v>4425</v>
      </c>
      <c r="B2789" s="94" t="str">
        <f>IFERROR(VLOOKUP(Proc[[#This Row],[App]],Table2[],3,0),"open")</f>
        <v>ok</v>
      </c>
      <c r="C2789" s="117" t="s">
        <v>369</v>
      </c>
      <c r="D2789" t="s">
        <v>4713</v>
      </c>
      <c r="E2789" t="s">
        <v>4756</v>
      </c>
      <c r="F2789" s="94" t="s">
        <v>4756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4788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4897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24</v>
      </c>
      <c r="R2789" s="110" t="s">
        <v>485</v>
      </c>
      <c r="S2789" s="94"/>
    </row>
    <row r="2790" spans="1:19" hidden="1">
      <c r="A2790" s="103" t="s">
        <v>4425</v>
      </c>
      <c r="B2790" s="94" t="str">
        <f>IFERROR(VLOOKUP(Proc[[#This Row],[App]],Table2[],3,0),"open")</f>
        <v>ok</v>
      </c>
      <c r="C2790" s="117" t="s">
        <v>369</v>
      </c>
      <c r="D2790" t="s">
        <v>4714</v>
      </c>
      <c r="E2790" t="s">
        <v>4757</v>
      </c>
      <c r="F2790" s="94" t="s">
        <v>4757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4788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4897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24</v>
      </c>
      <c r="R2790" s="110" t="s">
        <v>485</v>
      </c>
      <c r="S2790" s="94"/>
    </row>
    <row r="2791" spans="1:19" hidden="1">
      <c r="A2791" s="103" t="s">
        <v>4425</v>
      </c>
      <c r="B2791" s="94" t="str">
        <f>IFERROR(VLOOKUP(Proc[[#This Row],[App]],Table2[],3,0),"open")</f>
        <v>ok</v>
      </c>
      <c r="C2791" s="117" t="s">
        <v>369</v>
      </c>
      <c r="D2791" t="s">
        <v>4715</v>
      </c>
      <c r="E2791" t="s">
        <v>4757</v>
      </c>
      <c r="F2791" s="94" t="s">
        <v>4757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4788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4897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24</v>
      </c>
      <c r="R2791" s="110" t="s">
        <v>485</v>
      </c>
      <c r="S2791" s="94"/>
    </row>
    <row r="2792" spans="1:19" hidden="1">
      <c r="A2792" s="103" t="s">
        <v>4425</v>
      </c>
      <c r="B2792" s="94" t="str">
        <f>IFERROR(VLOOKUP(Proc[[#This Row],[App]],Table2[],3,0),"open")</f>
        <v>ok</v>
      </c>
      <c r="C2792" s="117" t="s">
        <v>369</v>
      </c>
      <c r="D2792" t="s">
        <v>4716</v>
      </c>
      <c r="E2792" t="s">
        <v>4747</v>
      </c>
      <c r="F2792" s="94" t="s">
        <v>4747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4788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4897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24</v>
      </c>
      <c r="R2792" s="110" t="s">
        <v>485</v>
      </c>
      <c r="S2792" s="94"/>
    </row>
    <row r="2793" spans="1:19" hidden="1">
      <c r="A2793" s="103" t="s">
        <v>4425</v>
      </c>
      <c r="B2793" s="94" t="str">
        <f>IFERROR(VLOOKUP(Proc[[#This Row],[App]],Table2[],3,0),"open")</f>
        <v>ok</v>
      </c>
      <c r="C2793" s="117" t="s">
        <v>369</v>
      </c>
      <c r="D2793" t="s">
        <v>4717</v>
      </c>
      <c r="E2793" t="s">
        <v>4754</v>
      </c>
      <c r="F2793" s="94" t="s">
        <v>4754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4788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4897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24</v>
      </c>
      <c r="R2793" s="110" t="s">
        <v>485</v>
      </c>
      <c r="S2793" s="94"/>
    </row>
    <row r="2794" spans="1:19" hidden="1">
      <c r="A2794" s="103" t="s">
        <v>4425</v>
      </c>
      <c r="B2794" s="94" t="str">
        <f>IFERROR(VLOOKUP(Proc[[#This Row],[App]],Table2[],3,0),"open")</f>
        <v>ok</v>
      </c>
      <c r="C2794" s="117" t="s">
        <v>369</v>
      </c>
      <c r="D2794" t="s">
        <v>4718</v>
      </c>
      <c r="E2794" t="s">
        <v>4754</v>
      </c>
      <c r="F2794" s="94" t="s">
        <v>4754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4788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4897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24</v>
      </c>
      <c r="R2794" s="110" t="s">
        <v>485</v>
      </c>
      <c r="S2794" s="94"/>
    </row>
    <row r="2795" spans="1:19" hidden="1">
      <c r="A2795" s="103" t="s">
        <v>4425</v>
      </c>
      <c r="B2795" s="94" t="str">
        <f>IFERROR(VLOOKUP(Proc[[#This Row],[App]],Table2[],3,0),"open")</f>
        <v>ok</v>
      </c>
      <c r="C2795" s="117" t="s">
        <v>369</v>
      </c>
      <c r="D2795" t="s">
        <v>4719</v>
      </c>
      <c r="E2795" t="s">
        <v>4752</v>
      </c>
      <c r="F2795" s="94" t="s">
        <v>4752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4788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4897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24</v>
      </c>
      <c r="R2795" s="110" t="s">
        <v>485</v>
      </c>
      <c r="S2795" s="94"/>
    </row>
    <row r="2796" spans="1:19" hidden="1">
      <c r="A2796" s="103" t="s">
        <v>4425</v>
      </c>
      <c r="B2796" s="94" t="str">
        <f>IFERROR(VLOOKUP(Proc[[#This Row],[App]],Table2[],3,0),"open")</f>
        <v>ok</v>
      </c>
      <c r="C2796" s="117" t="s">
        <v>369</v>
      </c>
      <c r="D2796" t="s">
        <v>4720</v>
      </c>
      <c r="E2796" t="s">
        <v>4752</v>
      </c>
      <c r="F2796" s="94" t="s">
        <v>4752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4788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4897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24</v>
      </c>
      <c r="R2796" s="110" t="s">
        <v>485</v>
      </c>
      <c r="S2796" s="94"/>
    </row>
    <row r="2797" spans="1:19" hidden="1">
      <c r="A2797" s="103" t="s">
        <v>4425</v>
      </c>
      <c r="B2797" s="94" t="str">
        <f>IFERROR(VLOOKUP(Proc[[#This Row],[App]],Table2[],3,0),"open")</f>
        <v>ok</v>
      </c>
      <c r="C2797" s="117" t="s">
        <v>369</v>
      </c>
      <c r="D2797" t="s">
        <v>4721</v>
      </c>
      <c r="E2797" t="s">
        <v>4752</v>
      </c>
      <c r="F2797" s="94" t="s">
        <v>4752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4788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4897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24</v>
      </c>
      <c r="R2797" s="110" t="s">
        <v>485</v>
      </c>
      <c r="S2797" s="94"/>
    </row>
    <row r="2798" spans="1:19" hidden="1">
      <c r="A2798" s="103" t="s">
        <v>4425</v>
      </c>
      <c r="B2798" s="94" t="str">
        <f>IFERROR(VLOOKUP(Proc[[#This Row],[App]],Table2[],3,0),"open")</f>
        <v>ok</v>
      </c>
      <c r="C2798" s="117" t="s">
        <v>369</v>
      </c>
      <c r="D2798" t="s">
        <v>4722</v>
      </c>
      <c r="E2798" t="s">
        <v>4752</v>
      </c>
      <c r="F2798" s="94" t="s">
        <v>4752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4788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4897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24</v>
      </c>
      <c r="R2798" s="110" t="s">
        <v>485</v>
      </c>
      <c r="S2798" s="94"/>
    </row>
    <row r="2799" spans="1:19" hidden="1">
      <c r="A2799" s="103" t="s">
        <v>4425</v>
      </c>
      <c r="B2799" s="94" t="str">
        <f>IFERROR(VLOOKUP(Proc[[#This Row],[App]],Table2[],3,0),"open")</f>
        <v>ok</v>
      </c>
      <c r="C2799" s="117" t="s">
        <v>369</v>
      </c>
      <c r="D2799" t="s">
        <v>4723</v>
      </c>
      <c r="E2799" t="s">
        <v>4754</v>
      </c>
      <c r="F2799" s="94" t="s">
        <v>4754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4788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4897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24</v>
      </c>
      <c r="R2799" s="110" t="s">
        <v>485</v>
      </c>
      <c r="S2799" s="94"/>
    </row>
    <row r="2800" spans="1:19" hidden="1">
      <c r="A2800" s="103" t="s">
        <v>4425</v>
      </c>
      <c r="B2800" s="94" t="str">
        <f>IFERROR(VLOOKUP(Proc[[#This Row],[App]],Table2[],3,0),"open")</f>
        <v>ok</v>
      </c>
      <c r="C2800" s="117" t="s">
        <v>369</v>
      </c>
      <c r="D2800" t="s">
        <v>4724</v>
      </c>
      <c r="E2800" t="s">
        <v>4754</v>
      </c>
      <c r="F2800" s="94" t="s">
        <v>4754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4788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4897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24</v>
      </c>
      <c r="R2800" s="110" t="s">
        <v>485</v>
      </c>
      <c r="S2800" s="94"/>
    </row>
    <row r="2801" spans="1:19" hidden="1">
      <c r="A2801" s="103" t="s">
        <v>4425</v>
      </c>
      <c r="B2801" s="94" t="str">
        <f>IFERROR(VLOOKUP(Proc[[#This Row],[App]],Table2[],3,0),"open")</f>
        <v>ok</v>
      </c>
      <c r="C2801" s="117" t="s">
        <v>369</v>
      </c>
      <c r="D2801" t="s">
        <v>4725</v>
      </c>
      <c r="E2801" t="s">
        <v>4754</v>
      </c>
      <c r="F2801" s="94" t="s">
        <v>4754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4788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4897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24</v>
      </c>
      <c r="R2801" s="110" t="s">
        <v>485</v>
      </c>
      <c r="S2801" s="94"/>
    </row>
    <row r="2802" spans="1:19" hidden="1">
      <c r="A2802" s="103" t="s">
        <v>4425</v>
      </c>
      <c r="B2802" s="94" t="str">
        <f>IFERROR(VLOOKUP(Proc[[#This Row],[App]],Table2[],3,0),"open")</f>
        <v>ok</v>
      </c>
      <c r="C2802" s="117" t="s">
        <v>369</v>
      </c>
      <c r="D2802" t="s">
        <v>4726</v>
      </c>
      <c r="E2802" t="s">
        <v>4754</v>
      </c>
      <c r="F2802" s="94" t="s">
        <v>4754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4788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4897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24</v>
      </c>
      <c r="R2802" s="110" t="s">
        <v>485</v>
      </c>
      <c r="S2802" s="94"/>
    </row>
    <row r="2803" spans="1:19" hidden="1">
      <c r="A2803" s="103" t="s">
        <v>4425</v>
      </c>
      <c r="B2803" s="94" t="str">
        <f>IFERROR(VLOOKUP(Proc[[#This Row],[App]],Table2[],3,0),"open")</f>
        <v>ok</v>
      </c>
      <c r="C2803" s="117" t="s">
        <v>369</v>
      </c>
      <c r="D2803" t="s">
        <v>4727</v>
      </c>
      <c r="E2803" t="s">
        <v>4756</v>
      </c>
      <c r="F2803" s="94" t="s">
        <v>4756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4788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4897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24</v>
      </c>
      <c r="R2803" s="110" t="s">
        <v>485</v>
      </c>
      <c r="S2803" s="94"/>
    </row>
    <row r="2804" spans="1:19" hidden="1">
      <c r="A2804" s="103" t="s">
        <v>4425</v>
      </c>
      <c r="B2804" s="94" t="str">
        <f>IFERROR(VLOOKUP(Proc[[#This Row],[App]],Table2[],3,0),"open")</f>
        <v>ok</v>
      </c>
      <c r="C2804" s="117" t="s">
        <v>369</v>
      </c>
      <c r="D2804" t="s">
        <v>4728</v>
      </c>
      <c r="E2804" t="s">
        <v>4757</v>
      </c>
      <c r="F2804" s="94" t="s">
        <v>4757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4788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4897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24</v>
      </c>
      <c r="R2804" s="110" t="s">
        <v>485</v>
      </c>
      <c r="S2804" s="94"/>
    </row>
    <row r="2805" spans="1:19" hidden="1">
      <c r="A2805" s="103" t="s">
        <v>4425</v>
      </c>
      <c r="B2805" s="94" t="str">
        <f>IFERROR(VLOOKUP(Proc[[#This Row],[App]],Table2[],3,0),"open")</f>
        <v>ok</v>
      </c>
      <c r="C2805" s="117" t="s">
        <v>369</v>
      </c>
      <c r="D2805" t="s">
        <v>4729</v>
      </c>
      <c r="E2805" t="s">
        <v>4757</v>
      </c>
      <c r="F2805" s="94" t="s">
        <v>4757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4788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4897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24</v>
      </c>
      <c r="R2805" s="110" t="s">
        <v>485</v>
      </c>
      <c r="S2805" s="94"/>
    </row>
    <row r="2806" spans="1:19" hidden="1">
      <c r="A2806" s="103" t="s">
        <v>4425</v>
      </c>
      <c r="B2806" s="94" t="str">
        <f>IFERROR(VLOOKUP(Proc[[#This Row],[App]],Table2[],3,0),"open")</f>
        <v>ok</v>
      </c>
      <c r="C2806" s="117" t="s">
        <v>369</v>
      </c>
      <c r="D2806" t="s">
        <v>4730</v>
      </c>
      <c r="E2806" t="s">
        <v>4757</v>
      </c>
      <c r="F2806" s="94" t="s">
        <v>4757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4788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4897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24</v>
      </c>
      <c r="R2806" s="110" t="s">
        <v>485</v>
      </c>
      <c r="S2806" s="94"/>
    </row>
    <row r="2807" spans="1:19" hidden="1">
      <c r="A2807" s="103" t="s">
        <v>4425</v>
      </c>
      <c r="B2807" s="94" t="str">
        <f>IFERROR(VLOOKUP(Proc[[#This Row],[App]],Table2[],3,0),"open")</f>
        <v>ok</v>
      </c>
      <c r="C2807" s="117" t="s">
        <v>369</v>
      </c>
      <c r="D2807" t="s">
        <v>4731</v>
      </c>
      <c r="E2807" t="s">
        <v>4757</v>
      </c>
      <c r="F2807" s="94" t="s">
        <v>4757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4788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4897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24</v>
      </c>
      <c r="R2807" s="110" t="s">
        <v>485</v>
      </c>
      <c r="S2807" s="94"/>
    </row>
    <row r="2808" spans="1:19" hidden="1">
      <c r="A2808" s="103" t="s">
        <v>4425</v>
      </c>
      <c r="B2808" s="94" t="str">
        <f>IFERROR(VLOOKUP(Proc[[#This Row],[App]],Table2[],3,0),"open")</f>
        <v>ok</v>
      </c>
      <c r="C2808" s="117" t="s">
        <v>369</v>
      </c>
      <c r="D2808" t="s">
        <v>4732</v>
      </c>
      <c r="E2808" t="s">
        <v>4754</v>
      </c>
      <c r="F2808" s="94" t="s">
        <v>4754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4788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4897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24</v>
      </c>
      <c r="R2808" s="110" t="s">
        <v>485</v>
      </c>
      <c r="S2808" s="94"/>
    </row>
    <row r="2809" spans="1:19" hidden="1">
      <c r="A2809" s="103" t="s">
        <v>4425</v>
      </c>
      <c r="B2809" s="94" t="str">
        <f>IFERROR(VLOOKUP(Proc[[#This Row],[App]],Table2[],3,0),"open")</f>
        <v>ok</v>
      </c>
      <c r="C2809" s="117" t="s">
        <v>369</v>
      </c>
      <c r="D2809" t="s">
        <v>4733</v>
      </c>
      <c r="E2809" t="s">
        <v>4753</v>
      </c>
      <c r="F2809" s="94" t="s">
        <v>4753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4788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4897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24</v>
      </c>
      <c r="R2809" s="110" t="s">
        <v>485</v>
      </c>
      <c r="S2809" s="94"/>
    </row>
    <row r="2810" spans="1:19" hidden="1">
      <c r="A2810" s="103" t="s">
        <v>4425</v>
      </c>
      <c r="B2810" s="94" t="str">
        <f>IFERROR(VLOOKUP(Proc[[#This Row],[App]],Table2[],3,0),"open")</f>
        <v>ok</v>
      </c>
      <c r="C2810" s="117" t="s">
        <v>369</v>
      </c>
      <c r="D2810" t="s">
        <v>4734</v>
      </c>
      <c r="E2810" t="s">
        <v>4753</v>
      </c>
      <c r="F2810" s="94" t="s">
        <v>4753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4788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4897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24</v>
      </c>
      <c r="R2810" s="110" t="s">
        <v>485</v>
      </c>
      <c r="S2810" s="94"/>
    </row>
    <row r="2811" spans="1:19" hidden="1">
      <c r="A2811" s="103" t="s">
        <v>4425</v>
      </c>
      <c r="B2811" s="94" t="str">
        <f>IFERROR(VLOOKUP(Proc[[#This Row],[App]],Table2[],3,0),"open")</f>
        <v>ok</v>
      </c>
      <c r="C2811" s="117" t="s">
        <v>369</v>
      </c>
      <c r="D2811" t="s">
        <v>4735</v>
      </c>
      <c r="E2811" t="s">
        <v>4757</v>
      </c>
      <c r="F2811" s="94" t="s">
        <v>4757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4788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4897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24</v>
      </c>
      <c r="R2811" s="110" t="s">
        <v>485</v>
      </c>
      <c r="S2811" s="94"/>
    </row>
    <row r="2812" spans="1:19" hidden="1">
      <c r="A2812" s="103" t="s">
        <v>4425</v>
      </c>
      <c r="B2812" s="94" t="str">
        <f>IFERROR(VLOOKUP(Proc[[#This Row],[App]],Table2[],3,0),"open")</f>
        <v>ok</v>
      </c>
      <c r="C2812" s="117" t="s">
        <v>369</v>
      </c>
      <c r="D2812" t="s">
        <v>4736</v>
      </c>
      <c r="E2812" t="s">
        <v>4743</v>
      </c>
      <c r="F2812" s="94" t="s">
        <v>4743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4788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4897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24</v>
      </c>
      <c r="R2812" s="110" t="s">
        <v>485</v>
      </c>
      <c r="S2812" s="94"/>
    </row>
    <row r="2813" spans="1:19" hidden="1">
      <c r="A2813" t="s">
        <v>4758</v>
      </c>
      <c r="B2813" s="94" t="str">
        <f>IFERROR(VLOOKUP(Proc[[#This Row],[App]],Table2[],3,0),"open")</f>
        <v>ok</v>
      </c>
      <c r="C2813" s="103" t="s">
        <v>369</v>
      </c>
      <c r="D2813" t="s">
        <v>4759</v>
      </c>
      <c r="E2813" t="s">
        <v>4767</v>
      </c>
      <c r="F2813" s="117" t="s">
        <v>4767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4788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4897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24</v>
      </c>
      <c r="R2813" s="110" t="s">
        <v>410</v>
      </c>
      <c r="S2813" s="94"/>
    </row>
    <row r="2814" spans="1:19" hidden="1">
      <c r="A2814" s="103" t="s">
        <v>4758</v>
      </c>
      <c r="B2814" s="94" t="str">
        <f>IFERROR(VLOOKUP(Proc[[#This Row],[App]],Table2[],3,0),"open")</f>
        <v>ok</v>
      </c>
      <c r="C2814" s="117" t="s">
        <v>369</v>
      </c>
      <c r="D2814" t="s">
        <v>4760</v>
      </c>
      <c r="E2814" t="s">
        <v>4767</v>
      </c>
      <c r="F2814" s="117" t="s">
        <v>4767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4788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4897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24</v>
      </c>
      <c r="R2814" s="110" t="s">
        <v>410</v>
      </c>
      <c r="S2814" s="94"/>
    </row>
    <row r="2815" spans="1:19" hidden="1">
      <c r="A2815" s="103" t="s">
        <v>4758</v>
      </c>
      <c r="B2815" s="94" t="str">
        <f>IFERROR(VLOOKUP(Proc[[#This Row],[App]],Table2[],3,0),"open")</f>
        <v>ok</v>
      </c>
      <c r="C2815" s="117" t="s">
        <v>369</v>
      </c>
      <c r="D2815" t="s">
        <v>4761</v>
      </c>
      <c r="E2815" t="s">
        <v>4767</v>
      </c>
      <c r="F2815" s="117" t="s">
        <v>4767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4788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4897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24</v>
      </c>
      <c r="R2815" s="110" t="s">
        <v>410</v>
      </c>
      <c r="S2815" s="94"/>
    </row>
    <row r="2816" spans="1:19" hidden="1">
      <c r="A2816" s="103" t="s">
        <v>4758</v>
      </c>
      <c r="B2816" s="94" t="str">
        <f>IFERROR(VLOOKUP(Proc[[#This Row],[App]],Table2[],3,0),"open")</f>
        <v>ok</v>
      </c>
      <c r="C2816" s="117" t="s">
        <v>369</v>
      </c>
      <c r="D2816" t="s">
        <v>4762</v>
      </c>
      <c r="E2816" t="s">
        <v>4767</v>
      </c>
      <c r="F2816" s="117" t="s">
        <v>4767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4788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4897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24</v>
      </c>
      <c r="R2816" s="110" t="s">
        <v>410</v>
      </c>
      <c r="S2816" s="94"/>
    </row>
    <row r="2817" spans="1:19" hidden="1">
      <c r="A2817" s="103" t="s">
        <v>4758</v>
      </c>
      <c r="B2817" s="94" t="str">
        <f>IFERROR(VLOOKUP(Proc[[#This Row],[App]],Table2[],3,0),"open")</f>
        <v>ok</v>
      </c>
      <c r="C2817" s="117" t="s">
        <v>369</v>
      </c>
      <c r="D2817" t="s">
        <v>4763</v>
      </c>
      <c r="E2817" t="s">
        <v>4767</v>
      </c>
      <c r="F2817" s="117" t="s">
        <v>4767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4788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4897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24</v>
      </c>
      <c r="R2817" s="110" t="s">
        <v>410</v>
      </c>
      <c r="S2817" s="94"/>
    </row>
    <row r="2818" spans="1:19" hidden="1">
      <c r="A2818" s="103" t="s">
        <v>4758</v>
      </c>
      <c r="B2818" s="94" t="str">
        <f>IFERROR(VLOOKUP(Proc[[#This Row],[App]],Table2[],3,0),"open")</f>
        <v>ok</v>
      </c>
      <c r="C2818" s="117" t="s">
        <v>369</v>
      </c>
      <c r="D2818" t="s">
        <v>4764</v>
      </c>
      <c r="E2818" t="s">
        <v>4767</v>
      </c>
      <c r="F2818" s="117" t="s">
        <v>4767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4788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4897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24</v>
      </c>
      <c r="R2818" s="110" t="s">
        <v>410</v>
      </c>
      <c r="S2818" s="94"/>
    </row>
    <row r="2819" spans="1:19" hidden="1">
      <c r="A2819" s="103" t="s">
        <v>4758</v>
      </c>
      <c r="B2819" s="94" t="str">
        <f>IFERROR(VLOOKUP(Proc[[#This Row],[App]],Table2[],3,0),"open")</f>
        <v>ok</v>
      </c>
      <c r="C2819" s="117" t="s">
        <v>369</v>
      </c>
      <c r="D2819" t="s">
        <v>4765</v>
      </c>
      <c r="E2819" t="s">
        <v>4767</v>
      </c>
      <c r="F2819" s="117" t="s">
        <v>4767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4897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24</v>
      </c>
      <c r="R2819" s="110" t="s">
        <v>410</v>
      </c>
      <c r="S2819" s="94"/>
    </row>
    <row r="2820" spans="1:19" hidden="1">
      <c r="A2820" s="103" t="s">
        <v>4758</v>
      </c>
      <c r="B2820" s="94" t="str">
        <f>IFERROR(VLOOKUP(Proc[[#This Row],[App]],Table2[],3,0),"open")</f>
        <v>ok</v>
      </c>
      <c r="C2820" s="117" t="s">
        <v>369</v>
      </c>
      <c r="D2820" t="s">
        <v>4766</v>
      </c>
      <c r="E2820" t="s">
        <v>4767</v>
      </c>
      <c r="F2820" s="117" t="s">
        <v>4767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4897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24</v>
      </c>
      <c r="R2820" s="110" t="s">
        <v>410</v>
      </c>
      <c r="S2820" s="94"/>
    </row>
    <row r="2821" spans="1:19" hidden="1">
      <c r="A2821" t="s">
        <v>4768</v>
      </c>
      <c r="B2821" s="94" t="str">
        <f>IFERROR(VLOOKUP(Proc[[#This Row],[App]],Table2[],3,0),"open")</f>
        <v>ok</v>
      </c>
      <c r="C2821" s="103" t="s">
        <v>369</v>
      </c>
      <c r="D2821" t="s">
        <v>4769</v>
      </c>
      <c r="E2821" t="s">
        <v>4780</v>
      </c>
      <c r="F2821" s="117" t="s">
        <v>4780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4788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4897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24</v>
      </c>
      <c r="R2821" s="94" t="s">
        <v>515</v>
      </c>
      <c r="S2821" s="94"/>
    </row>
    <row r="2822" spans="1:19" hidden="1">
      <c r="A2822" s="103" t="s">
        <v>4768</v>
      </c>
      <c r="B2822" s="94" t="str">
        <f>IFERROR(VLOOKUP(Proc[[#This Row],[App]],Table2[],3,0),"open")</f>
        <v>ok</v>
      </c>
      <c r="C2822" s="117" t="s">
        <v>369</v>
      </c>
      <c r="D2822" t="s">
        <v>4770</v>
      </c>
      <c r="E2822" t="s">
        <v>4780</v>
      </c>
      <c r="F2822" s="117" t="s">
        <v>4780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4788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4897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24</v>
      </c>
      <c r="R2822" s="94" t="s">
        <v>515</v>
      </c>
      <c r="S2822" s="94"/>
    </row>
    <row r="2823" spans="1:19" hidden="1">
      <c r="A2823" s="103" t="s">
        <v>4768</v>
      </c>
      <c r="B2823" s="94" t="str">
        <f>IFERROR(VLOOKUP(Proc[[#This Row],[App]],Table2[],3,0),"open")</f>
        <v>ok</v>
      </c>
      <c r="C2823" s="117" t="s">
        <v>369</v>
      </c>
      <c r="D2823" t="s">
        <v>4771</v>
      </c>
      <c r="E2823" t="s">
        <v>4780</v>
      </c>
      <c r="F2823" s="117" t="s">
        <v>4780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4788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4897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24</v>
      </c>
      <c r="R2823" s="94" t="s">
        <v>515</v>
      </c>
      <c r="S2823" s="94"/>
    </row>
    <row r="2824" spans="1:19" hidden="1">
      <c r="A2824" s="103" t="s">
        <v>4768</v>
      </c>
      <c r="B2824" s="94" t="str">
        <f>IFERROR(VLOOKUP(Proc[[#This Row],[App]],Table2[],3,0),"open")</f>
        <v>ok</v>
      </c>
      <c r="C2824" s="117" t="s">
        <v>369</v>
      </c>
      <c r="D2824" t="s">
        <v>4772</v>
      </c>
      <c r="E2824" t="s">
        <v>4781</v>
      </c>
      <c r="F2824" s="117" t="s">
        <v>4781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4788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4897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24</v>
      </c>
      <c r="R2824" s="94" t="s">
        <v>515</v>
      </c>
      <c r="S2824" s="94"/>
    </row>
    <row r="2825" spans="1:19" hidden="1">
      <c r="A2825" s="103" t="s">
        <v>4768</v>
      </c>
      <c r="B2825" s="94" t="str">
        <f>IFERROR(VLOOKUP(Proc[[#This Row],[App]],Table2[],3,0),"open")</f>
        <v>ok</v>
      </c>
      <c r="C2825" s="117" t="s">
        <v>369</v>
      </c>
      <c r="D2825" t="s">
        <v>4773</v>
      </c>
      <c r="E2825" t="s">
        <v>4780</v>
      </c>
      <c r="F2825" s="117" t="s">
        <v>4780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4788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4897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24</v>
      </c>
      <c r="R2825" s="94" t="s">
        <v>515</v>
      </c>
      <c r="S2825" s="94"/>
    </row>
    <row r="2826" spans="1:19" hidden="1">
      <c r="A2826" s="103" t="s">
        <v>4768</v>
      </c>
      <c r="B2826" s="94" t="str">
        <f>IFERROR(VLOOKUP(Proc[[#This Row],[App]],Table2[],3,0),"open")</f>
        <v>ok</v>
      </c>
      <c r="C2826" s="117" t="s">
        <v>369</v>
      </c>
      <c r="D2826" t="s">
        <v>4774</v>
      </c>
      <c r="E2826" t="s">
        <v>4780</v>
      </c>
      <c r="F2826" s="117" t="s">
        <v>4780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4788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4897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24</v>
      </c>
      <c r="R2826" s="94" t="s">
        <v>515</v>
      </c>
      <c r="S2826" s="94"/>
    </row>
    <row r="2827" spans="1:19" hidden="1">
      <c r="A2827" s="103" t="s">
        <v>4768</v>
      </c>
      <c r="B2827" s="94" t="str">
        <f>IFERROR(VLOOKUP(Proc[[#This Row],[App]],Table2[],3,0),"open")</f>
        <v>ok</v>
      </c>
      <c r="C2827" s="117" t="s">
        <v>369</v>
      </c>
      <c r="D2827" t="s">
        <v>4775</v>
      </c>
      <c r="E2827" t="s">
        <v>4780</v>
      </c>
      <c r="F2827" s="117" t="s">
        <v>4780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4788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4897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24</v>
      </c>
      <c r="R2827" s="94" t="s">
        <v>515</v>
      </c>
      <c r="S2827" s="94"/>
    </row>
    <row r="2828" spans="1:19" hidden="1">
      <c r="A2828" s="103" t="s">
        <v>4768</v>
      </c>
      <c r="B2828" s="94" t="str">
        <f>IFERROR(VLOOKUP(Proc[[#This Row],[App]],Table2[],3,0),"open")</f>
        <v>ok</v>
      </c>
      <c r="C2828" s="117" t="s">
        <v>369</v>
      </c>
      <c r="D2828" t="s">
        <v>4776</v>
      </c>
      <c r="E2828" t="s">
        <v>4780</v>
      </c>
      <c r="F2828" s="117" t="s">
        <v>4780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4788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4897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24</v>
      </c>
      <c r="R2828" s="94" t="s">
        <v>515</v>
      </c>
      <c r="S2828" s="94"/>
    </row>
    <row r="2829" spans="1:19" hidden="1">
      <c r="A2829" s="103" t="s">
        <v>4768</v>
      </c>
      <c r="B2829" s="94" t="str">
        <f>IFERROR(VLOOKUP(Proc[[#This Row],[App]],Table2[],3,0),"open")</f>
        <v>ok</v>
      </c>
      <c r="C2829" s="117" t="s">
        <v>369</v>
      </c>
      <c r="D2829" t="s">
        <v>4777</v>
      </c>
      <c r="E2829" t="s">
        <v>4780</v>
      </c>
      <c r="F2829" s="117" t="s">
        <v>4780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4788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4897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24</v>
      </c>
      <c r="R2829" s="94" t="s">
        <v>515</v>
      </c>
      <c r="S2829" s="94"/>
    </row>
    <row r="2830" spans="1:19" hidden="1">
      <c r="A2830" s="103" t="s">
        <v>4768</v>
      </c>
      <c r="B2830" s="94" t="str">
        <f>IFERROR(VLOOKUP(Proc[[#This Row],[App]],Table2[],3,0),"open")</f>
        <v>ok</v>
      </c>
      <c r="C2830" s="117" t="s">
        <v>369</v>
      </c>
      <c r="D2830" t="s">
        <v>4778</v>
      </c>
      <c r="E2830" t="s">
        <v>4780</v>
      </c>
      <c r="F2830" s="117" t="s">
        <v>4780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4788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4897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24</v>
      </c>
      <c r="R2830" s="94" t="s">
        <v>515</v>
      </c>
      <c r="S2830" s="94"/>
    </row>
    <row r="2831" spans="1:19" hidden="1">
      <c r="A2831" s="103" t="s">
        <v>4768</v>
      </c>
      <c r="B2831" s="94" t="str">
        <f>IFERROR(VLOOKUP(Proc[[#This Row],[App]],Table2[],3,0),"open")</f>
        <v>ok</v>
      </c>
      <c r="C2831" s="117" t="s">
        <v>369</v>
      </c>
      <c r="D2831" t="s">
        <v>4803</v>
      </c>
      <c r="E2831" t="s">
        <v>4781</v>
      </c>
      <c r="F2831" s="117" t="s">
        <v>4781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4786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4897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24</v>
      </c>
      <c r="R2831" s="94" t="s">
        <v>515</v>
      </c>
      <c r="S2831" s="94"/>
    </row>
    <row r="2832" spans="1:19" hidden="1">
      <c r="A2832" s="103" t="s">
        <v>4768</v>
      </c>
      <c r="B2832" s="94" t="str">
        <f>IFERROR(VLOOKUP(Proc[[#This Row],[App]],Table2[],3,0),"open")</f>
        <v>ok</v>
      </c>
      <c r="C2832" s="117" t="s">
        <v>369</v>
      </c>
      <c r="D2832" t="s">
        <v>4779</v>
      </c>
      <c r="E2832" t="s">
        <v>4780</v>
      </c>
      <c r="F2832" s="117" t="s">
        <v>4780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4897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24</v>
      </c>
      <c r="R2832" s="94" t="s">
        <v>515</v>
      </c>
      <c r="S2832" s="94"/>
    </row>
    <row r="2833" spans="1:19" hidden="1">
      <c r="A2833" t="s">
        <v>4785</v>
      </c>
      <c r="B2833" s="94" t="str">
        <f>IFERROR(VLOOKUP(Proc[[#This Row],[App]],Table2[],3,0),"open")</f>
        <v>ok</v>
      </c>
      <c r="C2833" s="117" t="s">
        <v>369</v>
      </c>
      <c r="D2833" t="s">
        <v>4782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4784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4897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24</v>
      </c>
      <c r="R2833" s="110" t="s">
        <v>780</v>
      </c>
      <c r="S2833" s="94"/>
    </row>
    <row r="2834" spans="1:19" hidden="1">
      <c r="A2834" s="103" t="s">
        <v>4785</v>
      </c>
      <c r="B2834" s="94" t="str">
        <f>IFERROR(VLOOKUP(Proc[[#This Row],[App]],Table2[],3,0),"open")</f>
        <v>ok</v>
      </c>
      <c r="C2834" t="s">
        <v>369</v>
      </c>
      <c r="D2834" t="s">
        <v>4783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4784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4897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24</v>
      </c>
      <c r="R2834" s="110" t="s">
        <v>780</v>
      </c>
      <c r="S2834" s="94"/>
    </row>
    <row r="2835" spans="1:19" hidden="1">
      <c r="A2835" t="s">
        <v>4789</v>
      </c>
      <c r="B2835" s="94" t="str">
        <f>IFERROR(VLOOKUP(Proc[[#This Row],[App]],Table2[],3,0),"open")</f>
        <v>ok</v>
      </c>
      <c r="C2835" s="117" t="s">
        <v>369</v>
      </c>
      <c r="D2835" t="s">
        <v>4810</v>
      </c>
      <c r="E2835" t="s">
        <v>4790</v>
      </c>
      <c r="F2835" s="94" t="s">
        <v>4790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4897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22</v>
      </c>
      <c r="R2835" s="110" t="s">
        <v>1459</v>
      </c>
      <c r="S2835" s="94"/>
    </row>
    <row r="2836" spans="1:19" hidden="1">
      <c r="A2836" s="114" t="s">
        <v>4791</v>
      </c>
      <c r="B2836" s="94" t="str">
        <f>IFERROR(VLOOKUP(Proc[[#This Row],[App]],Table2[],3,0),"open")</f>
        <v>ok</v>
      </c>
      <c r="C2836" s="117" t="s">
        <v>369</v>
      </c>
      <c r="D2836" s="114" t="s">
        <v>4792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4897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22</v>
      </c>
      <c r="R2836" s="115" t="s">
        <v>489</v>
      </c>
      <c r="S2836" s="94"/>
    </row>
    <row r="2837" spans="1:19" hidden="1">
      <c r="A2837" s="114" t="s">
        <v>4791</v>
      </c>
      <c r="B2837" s="94" t="str">
        <f>IFERROR(VLOOKUP(Proc[[#This Row],[App]],Table2[],3,0),"open")</f>
        <v>ok</v>
      </c>
      <c r="C2837" s="117" t="s">
        <v>369</v>
      </c>
      <c r="D2837" s="114" t="s">
        <v>4793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4897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22</v>
      </c>
      <c r="R2837" s="115" t="s">
        <v>489</v>
      </c>
      <c r="S2837" s="94"/>
    </row>
    <row r="2838" spans="1:19" hidden="1">
      <c r="A2838" s="114" t="s">
        <v>4791</v>
      </c>
      <c r="B2838" s="94" t="str">
        <f>IFERROR(VLOOKUP(Proc[[#This Row],[App]],Table2[],3,0),"open")</f>
        <v>ok</v>
      </c>
      <c r="C2838" s="114" t="s">
        <v>377</v>
      </c>
      <c r="D2838" s="114" t="s">
        <v>4794</v>
      </c>
      <c r="E2838" s="114" t="s">
        <v>417</v>
      </c>
      <c r="F2838" s="94" t="s">
        <v>4807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4897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22</v>
      </c>
      <c r="R2838" s="115" t="s">
        <v>489</v>
      </c>
      <c r="S2838" s="94"/>
    </row>
    <row r="2839" spans="1:19" hidden="1">
      <c r="A2839" s="114" t="s">
        <v>4791</v>
      </c>
      <c r="B2839" s="94" t="str">
        <f>IFERROR(VLOOKUP(Proc[[#This Row],[App]],Table2[],3,0),"open")</f>
        <v>ok</v>
      </c>
      <c r="C2839" s="117" t="s">
        <v>377</v>
      </c>
      <c r="D2839" s="114" t="s">
        <v>4795</v>
      </c>
      <c r="E2839" s="114" t="s">
        <v>417</v>
      </c>
      <c r="F2839" s="94" t="s">
        <v>4807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4897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22</v>
      </c>
      <c r="R2839" s="115" t="s">
        <v>489</v>
      </c>
      <c r="S2839" s="94"/>
    </row>
    <row r="2840" spans="1:19" hidden="1">
      <c r="A2840" s="114" t="s">
        <v>4791</v>
      </c>
      <c r="B2840" s="94" t="str">
        <f>IFERROR(VLOOKUP(Proc[[#This Row],[App]],Table2[],3,0),"open")</f>
        <v>ok</v>
      </c>
      <c r="C2840" s="117" t="s">
        <v>377</v>
      </c>
      <c r="D2840" s="114" t="s">
        <v>4796</v>
      </c>
      <c r="E2840" s="114" t="s">
        <v>417</v>
      </c>
      <c r="F2840" s="94" t="s">
        <v>4808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4897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22</v>
      </c>
      <c r="R2840" s="115" t="s">
        <v>489</v>
      </c>
      <c r="S2840" s="94"/>
    </row>
    <row r="2841" spans="1:19" hidden="1">
      <c r="A2841" s="114" t="s">
        <v>4791</v>
      </c>
      <c r="B2841" s="94" t="str">
        <f>IFERROR(VLOOKUP(Proc[[#This Row],[App]],Table2[],3,0),"open")</f>
        <v>ok</v>
      </c>
      <c r="C2841" s="117" t="s">
        <v>377</v>
      </c>
      <c r="D2841" s="114" t="s">
        <v>4797</v>
      </c>
      <c r="E2841" s="114" t="s">
        <v>417</v>
      </c>
      <c r="F2841" s="94" t="s">
        <v>4809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4897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22</v>
      </c>
      <c r="R2841" s="115" t="s">
        <v>489</v>
      </c>
      <c r="S2841" s="94"/>
    </row>
    <row r="2842" spans="1:19" hidden="1">
      <c r="A2842" s="114" t="s">
        <v>4791</v>
      </c>
      <c r="B2842" s="94" t="str">
        <f>IFERROR(VLOOKUP(Proc[[#This Row],[App]],Table2[],3,0),"open")</f>
        <v>ok</v>
      </c>
      <c r="C2842" s="117" t="s">
        <v>369</v>
      </c>
      <c r="D2842" s="114" t="s">
        <v>4798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4897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22</v>
      </c>
      <c r="R2842" s="115" t="s">
        <v>489</v>
      </c>
      <c r="S2842" s="94"/>
    </row>
    <row r="2843" spans="1:19" hidden="1">
      <c r="A2843" t="s">
        <v>4799</v>
      </c>
      <c r="B2843" s="94" t="str">
        <f>IFERROR(VLOOKUP(Proc[[#This Row],[App]],Table2[],3,0),"open")</f>
        <v>ok</v>
      </c>
      <c r="C2843" s="114" t="s">
        <v>369</v>
      </c>
      <c r="D2843" t="s">
        <v>4804</v>
      </c>
      <c r="E2843" t="s">
        <v>4800</v>
      </c>
      <c r="F2843" s="94" t="s">
        <v>4800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4805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4897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22</v>
      </c>
      <c r="R2843" s="115" t="s">
        <v>489</v>
      </c>
      <c r="S2843" s="94"/>
    </row>
    <row r="2844" spans="1:19" hidden="1">
      <c r="A2844" t="s">
        <v>4802</v>
      </c>
      <c r="B2844" s="94" t="str">
        <f>IFERROR(VLOOKUP(Proc[[#This Row],[App]],Table2[],3,0),"open")</f>
        <v>ok</v>
      </c>
      <c r="C2844" s="117" t="s">
        <v>369</v>
      </c>
      <c r="D2844" s="116" t="s">
        <v>4801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4897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22</v>
      </c>
      <c r="R2844" s="115" t="s">
        <v>515</v>
      </c>
      <c r="S2844" s="94"/>
    </row>
    <row r="2845" spans="1:19" hidden="1">
      <c r="A2845" t="s">
        <v>4811</v>
      </c>
      <c r="B2845" s="94" t="str">
        <f>IFERROR(VLOOKUP(Proc[[#This Row],[App]],Table2[],3,0),"open")</f>
        <v>ok</v>
      </c>
      <c r="C2845" s="117" t="s">
        <v>369</v>
      </c>
      <c r="D2845" t="s">
        <v>4812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4897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21</v>
      </c>
      <c r="R2845" s="115" t="s">
        <v>489</v>
      </c>
      <c r="S2845" s="94"/>
    </row>
    <row r="2846" spans="1:19" hidden="1">
      <c r="A2846" s="117" t="s">
        <v>4811</v>
      </c>
      <c r="B2846" s="94" t="str">
        <f>IFERROR(VLOOKUP(Proc[[#This Row],[App]],Table2[],3,0),"open")</f>
        <v>ok</v>
      </c>
      <c r="C2846" s="117" t="s">
        <v>369</v>
      </c>
      <c r="D2846" t="s">
        <v>4813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4897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21</v>
      </c>
      <c r="R2846" s="115" t="s">
        <v>489</v>
      </c>
      <c r="S2846" s="94"/>
    </row>
    <row r="2847" spans="1:19" hidden="1">
      <c r="A2847" s="117" t="s">
        <v>4811</v>
      </c>
      <c r="B2847" s="94" t="str">
        <f>IFERROR(VLOOKUP(Proc[[#This Row],[App]],Table2[],3,0),"open")</f>
        <v>ok</v>
      </c>
      <c r="C2847" s="117" t="s">
        <v>369</v>
      </c>
      <c r="D2847" t="s">
        <v>4814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4897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21</v>
      </c>
      <c r="R2847" s="115" t="s">
        <v>489</v>
      </c>
      <c r="S2847" s="94"/>
    </row>
    <row r="2848" spans="1:19" hidden="1">
      <c r="A2848" t="s">
        <v>4815</v>
      </c>
      <c r="B2848" s="94" t="str">
        <f>IFERROR(VLOOKUP(Proc[[#This Row],[App]],Table2[],3,0),"open")</f>
        <v>ok</v>
      </c>
      <c r="C2848" s="117" t="s">
        <v>369</v>
      </c>
      <c r="D2848" t="s">
        <v>4824</v>
      </c>
      <c r="E2848" s="94" t="s">
        <v>4816</v>
      </c>
      <c r="F2848" s="94" t="s">
        <v>4816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4897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20</v>
      </c>
      <c r="R2848" s="115" t="s">
        <v>4823</v>
      </c>
      <c r="S2848" s="94"/>
    </row>
    <row r="2849" spans="1:19" hidden="1">
      <c r="A2849" t="s">
        <v>4817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4897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20</v>
      </c>
      <c r="R2849" s="115" t="s">
        <v>4822</v>
      </c>
      <c r="S2849" s="94"/>
    </row>
    <row r="2850" spans="1:19" hidden="1">
      <c r="A2850" s="117" t="s">
        <v>4817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4897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20</v>
      </c>
      <c r="R2850" s="115" t="s">
        <v>4822</v>
      </c>
      <c r="S2850" s="94"/>
    </row>
    <row r="2851" spans="1:19" hidden="1">
      <c r="A2851" s="117" t="s">
        <v>4817</v>
      </c>
      <c r="B2851" s="94" t="str">
        <f>IFERROR(VLOOKUP(Proc[[#This Row],[App]],Table2[],3,0),"open")</f>
        <v>ok</v>
      </c>
      <c r="C2851" s="117" t="s">
        <v>369</v>
      </c>
      <c r="D2851" t="s">
        <v>4825</v>
      </c>
      <c r="E2851" t="s">
        <v>4818</v>
      </c>
      <c r="F2851" s="94" t="s">
        <v>4818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4897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20</v>
      </c>
      <c r="R2851" s="115" t="s">
        <v>4822</v>
      </c>
      <c r="S2851" s="94"/>
    </row>
    <row r="2852" spans="1:19" hidden="1">
      <c r="A2852" t="s">
        <v>4819</v>
      </c>
      <c r="B2852" s="94" t="str">
        <f>IFERROR(VLOOKUP(Proc[[#This Row],[App]],Table2[],3,0),"open")</f>
        <v>ok</v>
      </c>
      <c r="C2852" s="117" t="s">
        <v>369</v>
      </c>
      <c r="D2852" t="s">
        <v>4820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4897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20</v>
      </c>
      <c r="R2852" s="115" t="s">
        <v>481</v>
      </c>
      <c r="S2852" s="94"/>
    </row>
    <row r="2853" spans="1:19" hidden="1">
      <c r="A2853" s="117" t="s">
        <v>4819</v>
      </c>
      <c r="B2853" s="94" t="str">
        <f>IFERROR(VLOOKUP(Proc[[#This Row],[App]],Table2[],3,0),"open")</f>
        <v>ok</v>
      </c>
      <c r="C2853" s="117" t="s">
        <v>369</v>
      </c>
      <c r="D2853" t="s">
        <v>4821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4897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20</v>
      </c>
      <c r="R2853" s="115" t="s">
        <v>481</v>
      </c>
      <c r="S2853" s="94"/>
    </row>
    <row r="2854" spans="1:19" hidden="1">
      <c r="A2854" t="s">
        <v>4826</v>
      </c>
      <c r="B2854" s="94" t="str">
        <f>IFERROR(VLOOKUP(Proc[[#This Row],[App]],Table2[],3,0),"open")</f>
        <v>ok</v>
      </c>
      <c r="C2854" s="117" t="s">
        <v>369</v>
      </c>
      <c r="D2854" s="99" t="s">
        <v>4827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4897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19</v>
      </c>
      <c r="R2854" s="115" t="s">
        <v>410</v>
      </c>
      <c r="S2854" s="94"/>
    </row>
    <row r="2855" spans="1:19" hidden="1">
      <c r="A2855" t="s">
        <v>4828</v>
      </c>
      <c r="B2855" s="94" t="str">
        <f>IFERROR(VLOOKUP(Proc[[#This Row],[App]],Table2[],3,0),"open")</f>
        <v>ok</v>
      </c>
      <c r="C2855" s="117" t="s">
        <v>369</v>
      </c>
      <c r="D2855" t="s">
        <v>4829</v>
      </c>
      <c r="E2855" t="s">
        <v>4830</v>
      </c>
      <c r="F2855" s="117" t="s">
        <v>4830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4897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19</v>
      </c>
      <c r="R2855" s="115" t="s">
        <v>4822</v>
      </c>
      <c r="S2855" s="94"/>
    </row>
    <row r="2856" spans="1:19" hidden="1">
      <c r="A2856" t="s">
        <v>4833</v>
      </c>
      <c r="B2856" s="94" t="str">
        <f>IFERROR(VLOOKUP(Proc[[#This Row],[App]],Table2[],3,0),"open")</f>
        <v>ok</v>
      </c>
      <c r="C2856" t="s">
        <v>369</v>
      </c>
      <c r="D2856" t="s">
        <v>4834</v>
      </c>
      <c r="E2856" t="s">
        <v>4832</v>
      </c>
      <c r="F2856" s="120" t="e">
        <v>#N/A</v>
      </c>
      <c r="G2856" s="117" t="s">
        <v>406</v>
      </c>
      <c r="H2856" s="94" t="str">
        <f>IF(Proc[[#This Row],[type]]="LFF (MDG-F)",MID(Proc[[#This Row],[Obj]],13,10),"")</f>
        <v>DE50O00001</v>
      </c>
      <c r="J2856" s="94" t="e">
        <f>Proc[[#This Row],[Requested]]=Proc[[#This Row],[CurrentParent]]</f>
        <v>#N/A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4897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17</v>
      </c>
      <c r="R2856" s="115" t="s">
        <v>410</v>
      </c>
      <c r="S2856" s="94"/>
    </row>
    <row r="2857" spans="1:19" hidden="1">
      <c r="A2857" t="s">
        <v>4837</v>
      </c>
      <c r="B2857" s="120" t="str">
        <f>IFERROR(VLOOKUP(Proc[[#This Row],[App]],Table2[],3,0),"open")</f>
        <v>ok</v>
      </c>
      <c r="C2857" s="121" t="s">
        <v>369</v>
      </c>
      <c r="D2857" s="119" t="s">
        <v>4842</v>
      </c>
      <c r="E2857" t="s">
        <v>4836</v>
      </c>
      <c r="F2857" s="120" t="e">
        <v>#N/A</v>
      </c>
      <c r="G2857" t="s">
        <v>400</v>
      </c>
      <c r="H2857" s="120" t="str">
        <f>IF(Proc[[#This Row],[type]]="LFF (MDG-F)",MID(Proc[[#This Row],[Obj]],13,10),"")</f>
        <v/>
      </c>
      <c r="J2857" s="120" t="e">
        <f>Proc[[#This Row],[Requested]]=Proc[[#This Row],[CurrentParent]]</f>
        <v>#N/A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4897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16</v>
      </c>
      <c r="R2857" s="115" t="s">
        <v>410</v>
      </c>
      <c r="S2857" s="120"/>
    </row>
    <row r="2858" spans="1:19" hidden="1">
      <c r="A2858" t="s">
        <v>4841</v>
      </c>
      <c r="B2858" s="120" t="str">
        <f>IFERROR(VLOOKUP(Proc[[#This Row],[App]],Table2[],3,0),"open")</f>
        <v>ok</v>
      </c>
      <c r="C2858" s="121" t="s">
        <v>369</v>
      </c>
      <c r="D2858" t="s">
        <v>4838</v>
      </c>
      <c r="E2858" t="s">
        <v>1214</v>
      </c>
      <c r="F2858" s="120" t="e">
        <v>#N/A</v>
      </c>
      <c r="G2858" s="119" t="s">
        <v>400</v>
      </c>
      <c r="H2858" s="120" t="str">
        <f>IF(Proc[[#This Row],[type]]="LFF (MDG-F)",MID(Proc[[#This Row],[Obj]],13,10),"")</f>
        <v/>
      </c>
      <c r="J2858" s="120" t="e">
        <f>Proc[[#This Row],[Requested]]=Proc[[#This Row],[CurrentParent]]</f>
        <v>#N/A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4897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16</v>
      </c>
      <c r="R2858" s="115" t="s">
        <v>780</v>
      </c>
      <c r="S2858" s="120"/>
    </row>
    <row r="2859" spans="1:19" hidden="1">
      <c r="A2859" s="119" t="s">
        <v>4841</v>
      </c>
      <c r="B2859" s="120" t="str">
        <f>IFERROR(VLOOKUP(Proc[[#This Row],[App]],Table2[],3,0),"open")</f>
        <v>ok</v>
      </c>
      <c r="C2859" s="121" t="s">
        <v>369</v>
      </c>
      <c r="D2859" t="s">
        <v>4839</v>
      </c>
      <c r="E2859" t="s">
        <v>4840</v>
      </c>
      <c r="F2859" s="120" t="e">
        <v>#N/A</v>
      </c>
      <c r="G2859" s="119" t="s">
        <v>400</v>
      </c>
      <c r="H2859" s="120" t="str">
        <f>IF(Proc[[#This Row],[type]]="LFF (MDG-F)",MID(Proc[[#This Row],[Obj]],13,10),"")</f>
        <v/>
      </c>
      <c r="J2859" s="120" t="e">
        <f>Proc[[#This Row],[Requested]]=Proc[[#This Row],[CurrentParent]]</f>
        <v>#N/A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4897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16</v>
      </c>
      <c r="R2859" s="115" t="s">
        <v>780</v>
      </c>
      <c r="S2859" s="120"/>
    </row>
    <row r="2860" spans="1:19" hidden="1">
      <c r="A2860" t="s">
        <v>4845</v>
      </c>
      <c r="B2860" s="120" t="str">
        <f>IFERROR(VLOOKUP(Proc[[#This Row],[App]],Table2[],3,0),"open")</f>
        <v>ok</v>
      </c>
      <c r="C2860" s="121" t="s">
        <v>369</v>
      </c>
      <c r="D2860" t="s">
        <v>4843</v>
      </c>
      <c r="E2860" t="s">
        <v>4844</v>
      </c>
      <c r="F2860" s="124" t="s">
        <v>4844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4846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4897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15</v>
      </c>
      <c r="R2860" s="115" t="s">
        <v>856</v>
      </c>
      <c r="S2860" s="120"/>
    </row>
    <row r="2861" spans="1:19" hidden="1">
      <c r="A2861" t="s">
        <v>4847</v>
      </c>
      <c r="B2861" s="120" t="str">
        <f>IFERROR(VLOOKUP(Proc[[#This Row],[App]],Table2[],3,0),"open")</f>
        <v>ok</v>
      </c>
      <c r="C2861" s="121" t="s">
        <v>369</v>
      </c>
      <c r="D2861" t="s">
        <v>4848</v>
      </c>
      <c r="E2861" t="s">
        <v>3535</v>
      </c>
      <c r="F2861" s="125" t="e">
        <v>#N/A</v>
      </c>
      <c r="G2861" t="s">
        <v>400</v>
      </c>
      <c r="H2861" s="120" t="str">
        <f>IF(Proc[[#This Row],[type]]="LFF (MDG-F)",MID(Proc[[#This Row],[Obj]],13,10),"")</f>
        <v/>
      </c>
      <c r="J2861" s="120" t="e">
        <f>Proc[[#This Row],[Requested]]=Proc[[#This Row],[CurrentParent]]</f>
        <v>#N/A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4897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15</v>
      </c>
      <c r="R2861" s="115" t="s">
        <v>856</v>
      </c>
      <c r="S2861" s="120"/>
    </row>
    <row r="2862" spans="1:19" hidden="1">
      <c r="A2862" t="s">
        <v>4849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0" t="e">
        <v>#N/A</v>
      </c>
      <c r="G2862" s="121" t="s">
        <v>406</v>
      </c>
      <c r="H2862" s="120" t="str">
        <f>IF(Proc[[#This Row],[type]]="LFF (MDG-F)",MID(Proc[[#This Row],[Obj]],13,10),"")</f>
        <v>2102TPSZ93</v>
      </c>
      <c r="J2862" s="120" t="e">
        <f>Proc[[#This Row],[Requested]]=Proc[[#This Row],[CurrentParent]]</f>
        <v>#N/A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4897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15</v>
      </c>
      <c r="R2862" s="115" t="s">
        <v>489</v>
      </c>
      <c r="S2862" s="120"/>
    </row>
    <row r="2863" spans="1:19" hidden="1">
      <c r="A2863" t="s">
        <v>4851</v>
      </c>
      <c r="B2863" s="120" t="str">
        <f>IFERROR(VLOOKUP(Proc[[#This Row],[App]],Table2[],3,0),"open")</f>
        <v>ok</v>
      </c>
      <c r="C2863" s="121" t="s">
        <v>369</v>
      </c>
      <c r="D2863" t="s">
        <v>4843</v>
      </c>
      <c r="E2863" t="s">
        <v>4850</v>
      </c>
      <c r="F2863" s="124" t="s">
        <v>4850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4856</v>
      </c>
      <c r="B2864" s="120" t="str">
        <f>IFERROR(VLOOKUP(Proc[[#This Row],[App]],Table2[],3,0),"open")</f>
        <v>ok</v>
      </c>
      <c r="C2864" t="s">
        <v>369</v>
      </c>
      <c r="D2864" t="s">
        <v>4852</v>
      </c>
      <c r="E2864" t="s">
        <v>4868</v>
      </c>
      <c r="F2864" s="125" t="s">
        <v>4868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4897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13</v>
      </c>
      <c r="R2864" s="115" t="s">
        <v>515</v>
      </c>
      <c r="S2864" s="120"/>
    </row>
    <row r="2865" spans="1:19" hidden="1">
      <c r="A2865" s="121" t="s">
        <v>4856</v>
      </c>
      <c r="B2865" s="120" t="str">
        <f>IFERROR(VLOOKUP(Proc[[#This Row],[App]],Table2[],3,0),"open")</f>
        <v>ok</v>
      </c>
      <c r="C2865" s="124" t="s">
        <v>369</v>
      </c>
      <c r="D2865" t="s">
        <v>4853</v>
      </c>
      <c r="E2865" t="s">
        <v>4868</v>
      </c>
      <c r="F2865" s="125" t="s">
        <v>4868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4897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13</v>
      </c>
      <c r="R2865" s="115" t="s">
        <v>515</v>
      </c>
      <c r="S2865" s="120"/>
    </row>
    <row r="2866" spans="1:19" hidden="1">
      <c r="A2866" s="121" t="s">
        <v>4856</v>
      </c>
      <c r="B2866" s="120" t="str">
        <f>IFERROR(VLOOKUP(Proc[[#This Row],[App]],Table2[],3,0),"open")</f>
        <v>ok</v>
      </c>
      <c r="C2866" s="121" t="s">
        <v>369</v>
      </c>
      <c r="D2866" t="s">
        <v>4854</v>
      </c>
      <c r="E2866" t="s">
        <v>4867</v>
      </c>
      <c r="F2866" s="124" t="s">
        <v>4867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4897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13</v>
      </c>
      <c r="R2866" s="115" t="s">
        <v>515</v>
      </c>
      <c r="S2866" s="120"/>
    </row>
    <row r="2867" spans="1:19" hidden="1">
      <c r="A2867" s="121" t="s">
        <v>4856</v>
      </c>
      <c r="B2867" s="120" t="str">
        <f>IFERROR(VLOOKUP(Proc[[#This Row],[App]],Table2[],3,0),"open")</f>
        <v>ok</v>
      </c>
      <c r="C2867" s="124" t="s">
        <v>369</v>
      </c>
      <c r="D2867" t="s">
        <v>4855</v>
      </c>
      <c r="E2867" t="s">
        <v>4867</v>
      </c>
      <c r="F2867" s="124" t="s">
        <v>4867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4897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13</v>
      </c>
      <c r="R2867" s="115" t="s">
        <v>515</v>
      </c>
      <c r="S2867" s="120"/>
    </row>
    <row r="2868" spans="1:19" hidden="1">
      <c r="A2868" t="s">
        <v>4857</v>
      </c>
      <c r="B2868" s="120" t="str">
        <f>IFERROR(VLOOKUP(Proc[[#This Row],[App]],Table2[],3,0),"open")</f>
        <v>ok</v>
      </c>
      <c r="C2868" s="124" t="s">
        <v>369</v>
      </c>
      <c r="D2868" t="s">
        <v>4864</v>
      </c>
      <c r="E2868" t="s">
        <v>4858</v>
      </c>
      <c r="F2868" s="124" t="s">
        <v>4858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4897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13</v>
      </c>
      <c r="R2868" s="115" t="s">
        <v>415</v>
      </c>
      <c r="S2868" s="120"/>
    </row>
    <row r="2869" spans="1:19" hidden="1">
      <c r="A2869" t="s">
        <v>4860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4859</v>
      </c>
      <c r="F2869" s="124" t="s">
        <v>4859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4897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13</v>
      </c>
      <c r="R2869" s="115" t="s">
        <v>410</v>
      </c>
      <c r="S2869" s="123"/>
    </row>
    <row r="2870" spans="1:19" hidden="1">
      <c r="A2870" t="s">
        <v>4861</v>
      </c>
      <c r="B2870" s="125" t="str">
        <f>IFERROR(VLOOKUP(Proc[[#This Row],[App]],Table2[],3,0),"open")</f>
        <v>ok</v>
      </c>
      <c r="C2870" s="124" t="s">
        <v>369</v>
      </c>
      <c r="D2870" t="s">
        <v>4862</v>
      </c>
      <c r="E2870" t="s">
        <v>4863</v>
      </c>
      <c r="F2870" s="124" t="s">
        <v>4863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4897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13</v>
      </c>
      <c r="R2870" s="115" t="s">
        <v>856</v>
      </c>
      <c r="S2870" s="125"/>
    </row>
    <row r="2871" spans="1:19" hidden="1">
      <c r="A2871" t="s">
        <v>4865</v>
      </c>
      <c r="B2871" s="125" t="str">
        <f>IFERROR(VLOOKUP(Proc[[#This Row],[App]],Table2[],3,0),"open")</f>
        <v>ok</v>
      </c>
      <c r="C2871" s="124" t="s">
        <v>369</v>
      </c>
      <c r="D2871" t="s">
        <v>4866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4897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10</v>
      </c>
      <c r="R2871" s="115" t="s">
        <v>415</v>
      </c>
      <c r="S2871" s="125"/>
    </row>
    <row r="2872" spans="1:19" hidden="1">
      <c r="A2872" t="s">
        <v>4869</v>
      </c>
      <c r="B2872" s="125" t="str">
        <f>IFERROR(VLOOKUP(Proc[[#This Row],[App]],Table2[],3,0),"open")</f>
        <v>ok</v>
      </c>
      <c r="C2872" s="124" t="s">
        <v>369</v>
      </c>
      <c r="D2872" t="s">
        <v>4870</v>
      </c>
      <c r="E2872" s="124" t="s">
        <v>4902</v>
      </c>
      <c r="F2872" s="125" t="s">
        <v>4902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4897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10</v>
      </c>
      <c r="R2872" s="115" t="s">
        <v>515</v>
      </c>
      <c r="S2872" s="125"/>
    </row>
    <row r="2873" spans="1:19" hidden="1">
      <c r="A2873" s="124" t="s">
        <v>4869</v>
      </c>
      <c r="B2873" s="125" t="str">
        <f>IFERROR(VLOOKUP(Proc[[#This Row],[App]],Table2[],3,0),"open")</f>
        <v>ok</v>
      </c>
      <c r="C2873" s="124" t="s">
        <v>369</v>
      </c>
      <c r="D2873" t="s">
        <v>4871</v>
      </c>
      <c r="E2873" s="124" t="s">
        <v>4902</v>
      </c>
      <c r="F2873" s="125" t="s">
        <v>4902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4897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10</v>
      </c>
      <c r="R2873" s="115" t="s">
        <v>515</v>
      </c>
      <c r="S2873" s="125"/>
    </row>
    <row r="2874" spans="1:19" hidden="1">
      <c r="A2874" s="124" t="s">
        <v>4869</v>
      </c>
      <c r="B2874" s="125" t="str">
        <f>IFERROR(VLOOKUP(Proc[[#This Row],[App]],Table2[],3,0),"open")</f>
        <v>ok</v>
      </c>
      <c r="C2874" s="124" t="s">
        <v>369</v>
      </c>
      <c r="D2874" t="s">
        <v>4872</v>
      </c>
      <c r="E2874" s="124" t="s">
        <v>4902</v>
      </c>
      <c r="F2874" s="125" t="s">
        <v>4902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4897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10</v>
      </c>
      <c r="R2874" s="115" t="s">
        <v>515</v>
      </c>
      <c r="S2874" s="125"/>
    </row>
    <row r="2875" spans="1:19" hidden="1">
      <c r="A2875" s="124" t="s">
        <v>4869</v>
      </c>
      <c r="B2875" s="125" t="str">
        <f>IFERROR(VLOOKUP(Proc[[#This Row],[App]],Table2[],3,0),"open")</f>
        <v>ok</v>
      </c>
      <c r="C2875" s="124" t="s">
        <v>369</v>
      </c>
      <c r="D2875" t="s">
        <v>4873</v>
      </c>
      <c r="E2875" s="124" t="s">
        <v>4902</v>
      </c>
      <c r="F2875" s="125" t="s">
        <v>4902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4897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10</v>
      </c>
      <c r="R2875" s="115" t="s">
        <v>515</v>
      </c>
      <c r="S2875" s="125"/>
    </row>
    <row r="2876" spans="1:19" hidden="1">
      <c r="A2876" s="124" t="s">
        <v>4869</v>
      </c>
      <c r="B2876" s="125" t="str">
        <f>IFERROR(VLOOKUP(Proc[[#This Row],[App]],Table2[],3,0),"open")</f>
        <v>ok</v>
      </c>
      <c r="C2876" s="124" t="s">
        <v>369</v>
      </c>
      <c r="D2876" t="s">
        <v>4874</v>
      </c>
      <c r="E2876" s="124" t="s">
        <v>4902</v>
      </c>
      <c r="F2876" s="125" t="s">
        <v>4902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4897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10</v>
      </c>
      <c r="R2876" s="115" t="s">
        <v>515</v>
      </c>
      <c r="S2876" s="125"/>
    </row>
    <row r="2877" spans="1:19" hidden="1">
      <c r="A2877" s="124" t="s">
        <v>4869</v>
      </c>
      <c r="B2877" s="125" t="str">
        <f>IFERROR(VLOOKUP(Proc[[#This Row],[App]],Table2[],3,0),"open")</f>
        <v>ok</v>
      </c>
      <c r="C2877" s="124" t="s">
        <v>369</v>
      </c>
      <c r="D2877" t="s">
        <v>4875</v>
      </c>
      <c r="E2877" s="124" t="s">
        <v>4902</v>
      </c>
      <c r="F2877" s="125" t="s">
        <v>4902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4897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10</v>
      </c>
      <c r="R2877" s="115" t="s">
        <v>515</v>
      </c>
      <c r="S2877" s="125"/>
    </row>
    <row r="2878" spans="1:19" hidden="1">
      <c r="A2878" s="124" t="s">
        <v>4869</v>
      </c>
      <c r="B2878" s="125" t="str">
        <f>IFERROR(VLOOKUP(Proc[[#This Row],[App]],Table2[],3,0),"open")</f>
        <v>ok</v>
      </c>
      <c r="C2878" s="124" t="s">
        <v>369</v>
      </c>
      <c r="D2878" t="s">
        <v>4876</v>
      </c>
      <c r="E2878" s="124" t="s">
        <v>4902</v>
      </c>
      <c r="F2878" s="125" t="s">
        <v>4902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4897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10</v>
      </c>
      <c r="R2878" s="115" t="s">
        <v>515</v>
      </c>
      <c r="S2878" s="125"/>
    </row>
    <row r="2879" spans="1:19" hidden="1">
      <c r="A2879" s="124" t="s">
        <v>4869</v>
      </c>
      <c r="B2879" s="125" t="str">
        <f>IFERROR(VLOOKUP(Proc[[#This Row],[App]],Table2[],3,0),"open")</f>
        <v>ok</v>
      </c>
      <c r="C2879" s="124" t="s">
        <v>369</v>
      </c>
      <c r="D2879" t="s">
        <v>4877</v>
      </c>
      <c r="E2879" s="124" t="s">
        <v>4902</v>
      </c>
      <c r="F2879" s="125" t="s">
        <v>4902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4897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10</v>
      </c>
      <c r="R2879" s="115" t="s">
        <v>515</v>
      </c>
      <c r="S2879" s="125"/>
    </row>
    <row r="2880" spans="1:19" hidden="1">
      <c r="A2880" s="124" t="s">
        <v>4869</v>
      </c>
      <c r="B2880" s="125" t="str">
        <f>IFERROR(VLOOKUP(Proc[[#This Row],[App]],Table2[],3,0),"open")</f>
        <v>ok</v>
      </c>
      <c r="C2880" s="124" t="s">
        <v>369</v>
      </c>
      <c r="D2880" t="s">
        <v>4878</v>
      </c>
      <c r="E2880" s="124" t="s">
        <v>4902</v>
      </c>
      <c r="F2880" s="125" t="s">
        <v>4902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4897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10</v>
      </c>
      <c r="R2880" s="115" t="s">
        <v>515</v>
      </c>
      <c r="S2880" s="125"/>
    </row>
    <row r="2881" spans="1:19" hidden="1">
      <c r="A2881" s="124" t="s">
        <v>4869</v>
      </c>
      <c r="B2881" s="125" t="str">
        <f>IFERROR(VLOOKUP(Proc[[#This Row],[App]],Table2[],3,0),"open")</f>
        <v>ok</v>
      </c>
      <c r="C2881" s="124" t="s">
        <v>369</v>
      </c>
      <c r="D2881" t="s">
        <v>4879</v>
      </c>
      <c r="E2881" s="124" t="s">
        <v>4902</v>
      </c>
      <c r="F2881" s="125" t="s">
        <v>4902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4897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10</v>
      </c>
      <c r="R2881" s="115" t="s">
        <v>515</v>
      </c>
      <c r="S2881" s="125"/>
    </row>
    <row r="2882" spans="1:19" hidden="1">
      <c r="A2882" s="124" t="s">
        <v>4869</v>
      </c>
      <c r="B2882" s="125" t="str">
        <f>IFERROR(VLOOKUP(Proc[[#This Row],[App]],Table2[],3,0),"open")</f>
        <v>ok</v>
      </c>
      <c r="C2882" s="124" t="s">
        <v>369</v>
      </c>
      <c r="D2882" t="s">
        <v>4880</v>
      </c>
      <c r="E2882" s="124" t="s">
        <v>4902</v>
      </c>
      <c r="F2882" s="125" t="s">
        <v>4902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4897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10</v>
      </c>
      <c r="R2882" s="115" t="s">
        <v>515</v>
      </c>
      <c r="S2882" s="125"/>
    </row>
    <row r="2883" spans="1:19" hidden="1">
      <c r="A2883" s="124" t="s">
        <v>4869</v>
      </c>
      <c r="B2883" s="125" t="str">
        <f>IFERROR(VLOOKUP(Proc[[#This Row],[App]],Table2[],3,0),"open")</f>
        <v>ok</v>
      </c>
      <c r="C2883" s="124" t="s">
        <v>369</v>
      </c>
      <c r="D2883" t="s">
        <v>4881</v>
      </c>
      <c r="E2883" s="124" t="s">
        <v>4902</v>
      </c>
      <c r="F2883" s="125" t="s">
        <v>4902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4897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10</v>
      </c>
      <c r="R2883" s="115" t="s">
        <v>515</v>
      </c>
      <c r="S2883" s="125"/>
    </row>
    <row r="2884" spans="1:19" hidden="1">
      <c r="A2884" s="124" t="s">
        <v>4869</v>
      </c>
      <c r="B2884" s="125" t="str">
        <f>IFERROR(VLOOKUP(Proc[[#This Row],[App]],Table2[],3,0),"open")</f>
        <v>ok</v>
      </c>
      <c r="C2884" s="124" t="s">
        <v>369</v>
      </c>
      <c r="D2884" t="s">
        <v>4882</v>
      </c>
      <c r="E2884" s="124" t="s">
        <v>4902</v>
      </c>
      <c r="F2884" s="125" t="s">
        <v>4902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4897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10</v>
      </c>
      <c r="R2884" s="115" t="s">
        <v>515</v>
      </c>
      <c r="S2884" s="125"/>
    </row>
    <row r="2885" spans="1:19" hidden="1">
      <c r="A2885" s="124" t="s">
        <v>4869</v>
      </c>
      <c r="B2885" s="125" t="str">
        <f>IFERROR(VLOOKUP(Proc[[#This Row],[App]],Table2[],3,0),"open")</f>
        <v>ok</v>
      </c>
      <c r="C2885" s="124" t="s">
        <v>369</v>
      </c>
      <c r="D2885" t="s">
        <v>4883</v>
      </c>
      <c r="E2885" s="124" t="s">
        <v>4902</v>
      </c>
      <c r="F2885" s="125" t="s">
        <v>4902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4897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10</v>
      </c>
      <c r="R2885" s="115" t="s">
        <v>515</v>
      </c>
      <c r="S2885" s="125"/>
    </row>
    <row r="2886" spans="1:19" hidden="1">
      <c r="A2886" s="124" t="s">
        <v>4869</v>
      </c>
      <c r="B2886" s="125" t="str">
        <f>IFERROR(VLOOKUP(Proc[[#This Row],[App]],Table2[],3,0),"open")</f>
        <v>ok</v>
      </c>
      <c r="C2886" s="124" t="s">
        <v>369</v>
      </c>
      <c r="D2886" t="s">
        <v>4884</v>
      </c>
      <c r="E2886" s="124" t="s">
        <v>4902</v>
      </c>
      <c r="F2886" s="125" t="s">
        <v>4902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4897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10</v>
      </c>
      <c r="R2886" s="115" t="s">
        <v>515</v>
      </c>
      <c r="S2886" s="125"/>
    </row>
    <row r="2887" spans="1:19" hidden="1">
      <c r="A2887" s="124" t="s">
        <v>4869</v>
      </c>
      <c r="B2887" s="125" t="str">
        <f>IFERROR(VLOOKUP(Proc[[#This Row],[App]],Table2[],3,0),"open")</f>
        <v>ok</v>
      </c>
      <c r="C2887" s="124" t="s">
        <v>369</v>
      </c>
      <c r="D2887" t="s">
        <v>4885</v>
      </c>
      <c r="E2887" s="124" t="s">
        <v>4902</v>
      </c>
      <c r="F2887" s="125" t="s">
        <v>4902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4897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10</v>
      </c>
      <c r="R2887" s="115" t="s">
        <v>515</v>
      </c>
      <c r="S2887" s="125"/>
    </row>
    <row r="2888" spans="1:19" hidden="1">
      <c r="A2888" s="124" t="s">
        <v>4869</v>
      </c>
      <c r="B2888" s="125" t="str">
        <f>IFERROR(VLOOKUP(Proc[[#This Row],[App]],Table2[],3,0),"open")</f>
        <v>ok</v>
      </c>
      <c r="C2888" s="124" t="s">
        <v>369</v>
      </c>
      <c r="D2888" t="s">
        <v>4886</v>
      </c>
      <c r="E2888" t="s">
        <v>4902</v>
      </c>
      <c r="F2888" s="125" t="s">
        <v>4902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4897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10</v>
      </c>
      <c r="R2888" s="115" t="s">
        <v>515</v>
      </c>
      <c r="S2888" s="125"/>
    </row>
    <row r="2889" spans="1:19" hidden="1">
      <c r="A2889" s="124" t="s">
        <v>4869</v>
      </c>
      <c r="B2889" s="125" t="str">
        <f>IFERROR(VLOOKUP(Proc[[#This Row],[App]],Table2[],3,0),"open")</f>
        <v>ok</v>
      </c>
      <c r="C2889" s="124" t="s">
        <v>369</v>
      </c>
      <c r="D2889" t="s">
        <v>4887</v>
      </c>
      <c r="E2889" s="124" t="s">
        <v>4902</v>
      </c>
      <c r="F2889" s="125" t="s">
        <v>4902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4897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10</v>
      </c>
      <c r="R2889" s="115" t="s">
        <v>515</v>
      </c>
      <c r="S2889" s="125"/>
    </row>
    <row r="2890" spans="1:19" hidden="1">
      <c r="A2890" t="s">
        <v>4895</v>
      </c>
      <c r="B2890" s="125" t="str">
        <f>IFERROR(VLOOKUP(Proc[[#This Row],[App]],Table2[],3,0),"open")</f>
        <v>ok</v>
      </c>
      <c r="C2890" s="124" t="s">
        <v>369</v>
      </c>
      <c r="D2890" t="s">
        <v>4888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4897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10</v>
      </c>
      <c r="R2890" s="115" t="s">
        <v>489</v>
      </c>
      <c r="S2890" s="125"/>
    </row>
    <row r="2891" spans="1:19" hidden="1">
      <c r="A2891" s="124" t="s">
        <v>4895</v>
      </c>
      <c r="B2891" s="125" t="str">
        <f>IFERROR(VLOOKUP(Proc[[#This Row],[App]],Table2[],3,0),"open")</f>
        <v>ok</v>
      </c>
      <c r="C2891" s="124" t="s">
        <v>369</v>
      </c>
      <c r="D2891" t="s">
        <v>4896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4897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10</v>
      </c>
      <c r="R2891" s="115" t="s">
        <v>489</v>
      </c>
      <c r="S2891" s="125"/>
    </row>
    <row r="2892" spans="1:19" hidden="1">
      <c r="A2892" s="124" t="s">
        <v>4895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4893</v>
      </c>
      <c r="F2892" s="125" t="s">
        <v>4893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4897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10</v>
      </c>
      <c r="R2892" s="115" t="s">
        <v>489</v>
      </c>
      <c r="S2892" s="125"/>
    </row>
    <row r="2893" spans="1:19" hidden="1">
      <c r="A2893" s="124" t="s">
        <v>4895</v>
      </c>
      <c r="B2893" s="125" t="str">
        <f>IFERROR(VLOOKUP(Proc[[#This Row],[App]],Table2[],3,0),"open")</f>
        <v>ok</v>
      </c>
      <c r="C2893" s="124" t="s">
        <v>369</v>
      </c>
      <c r="D2893" t="s">
        <v>4889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4897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10</v>
      </c>
      <c r="R2893" s="115" t="s">
        <v>489</v>
      </c>
      <c r="S2893" s="125"/>
    </row>
    <row r="2894" spans="1:19" hidden="1">
      <c r="A2894" s="124" t="s">
        <v>4895</v>
      </c>
      <c r="B2894" s="125" t="str">
        <f>IFERROR(VLOOKUP(Proc[[#This Row],[App]],Table2[],3,0),"open")</f>
        <v>ok</v>
      </c>
      <c r="C2894" s="124" t="s">
        <v>369</v>
      </c>
      <c r="D2894" t="s">
        <v>4890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4897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10</v>
      </c>
      <c r="R2894" s="115" t="s">
        <v>489</v>
      </c>
      <c r="S2894" s="125"/>
    </row>
    <row r="2895" spans="1:19" hidden="1">
      <c r="A2895" s="124" t="s">
        <v>4895</v>
      </c>
      <c r="B2895" s="125" t="str">
        <f>IFERROR(VLOOKUP(Proc[[#This Row],[App]],Table2[],3,0),"open")</f>
        <v>ok</v>
      </c>
      <c r="C2895" s="124" t="s">
        <v>369</v>
      </c>
      <c r="D2895" t="s">
        <v>4891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4897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10</v>
      </c>
      <c r="R2895" s="115" t="s">
        <v>489</v>
      </c>
      <c r="S2895" s="125"/>
    </row>
    <row r="2896" spans="1:19" hidden="1">
      <c r="A2896" s="124" t="s">
        <v>4895</v>
      </c>
      <c r="B2896" s="125" t="str">
        <f>IFERROR(VLOOKUP(Proc[[#This Row],[App]],Table2[],3,0),"open")</f>
        <v>ok</v>
      </c>
      <c r="C2896" s="124" t="s">
        <v>369</v>
      </c>
      <c r="D2896" t="s">
        <v>4892</v>
      </c>
      <c r="E2896" s="124" t="s">
        <v>4894</v>
      </c>
      <c r="F2896" s="125" t="s">
        <v>4894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4897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10</v>
      </c>
      <c r="R2896" s="115" t="s">
        <v>489</v>
      </c>
      <c r="S2896" s="125"/>
    </row>
    <row r="2897" spans="1:19" hidden="1">
      <c r="A2897" t="s">
        <v>4898</v>
      </c>
      <c r="B2897" s="125" t="str">
        <f>IFERROR(VLOOKUP(Proc[[#This Row],[App]],Table2[],3,0),"open")</f>
        <v>ok</v>
      </c>
      <c r="C2897" s="124" t="s">
        <v>369</v>
      </c>
      <c r="D2897" t="s">
        <v>4900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4897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10</v>
      </c>
      <c r="R2897" s="115" t="s">
        <v>972</v>
      </c>
      <c r="S2897" s="125"/>
    </row>
    <row r="2898" spans="1:19" hidden="1">
      <c r="A2898" s="124" t="s">
        <v>4898</v>
      </c>
      <c r="B2898" s="125" t="str">
        <f>IFERROR(VLOOKUP(Proc[[#This Row],[App]],Table2[],3,0),"open")</f>
        <v>ok</v>
      </c>
      <c r="C2898" s="124" t="s">
        <v>369</v>
      </c>
      <c r="D2898" t="s">
        <v>4901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4897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10</v>
      </c>
      <c r="R2898" s="115" t="s">
        <v>972</v>
      </c>
      <c r="S2898" s="125"/>
    </row>
    <row r="2899" spans="1:19" hidden="1">
      <c r="A2899" s="124" t="s">
        <v>4898</v>
      </c>
      <c r="B2899" s="125" t="str">
        <f>IFERROR(VLOOKUP(Proc[[#This Row],[App]],Table2[],3,0),"open")</f>
        <v>ok</v>
      </c>
      <c r="C2899" s="124" t="s">
        <v>369</v>
      </c>
      <c r="D2899" t="s">
        <v>4899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4897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10</v>
      </c>
      <c r="R2899" s="115" t="s">
        <v>972</v>
      </c>
      <c r="S2899" s="125"/>
    </row>
    <row r="2900" spans="1:19" hidden="1">
      <c r="A2900" t="s">
        <v>4905</v>
      </c>
      <c r="B2900" s="125" t="str">
        <f>IFERROR(VLOOKUP(Proc[[#This Row],[App]],Table2[],3,0),"open")</f>
        <v>ok</v>
      </c>
      <c r="C2900" t="s">
        <v>369</v>
      </c>
      <c r="D2900" t="s">
        <v>4903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4913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4897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</v>
      </c>
      <c r="R2900" s="115" t="s">
        <v>515</v>
      </c>
      <c r="S2900" s="125"/>
    </row>
    <row r="2901" spans="1:19" hidden="1">
      <c r="A2901" t="s">
        <v>4905</v>
      </c>
      <c r="B2901" s="125" t="str">
        <f>IFERROR(VLOOKUP(Proc[[#This Row],[App]],Table2[],3,0),"open")</f>
        <v>ok</v>
      </c>
      <c r="C2901" s="124" t="s">
        <v>369</v>
      </c>
      <c r="D2901" t="s">
        <v>4904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4913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4897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</v>
      </c>
      <c r="R2901" s="115" t="s">
        <v>515</v>
      </c>
      <c r="S2901" s="125"/>
    </row>
    <row r="2902" spans="1:19" hidden="1">
      <c r="A2902" t="s">
        <v>4906</v>
      </c>
      <c r="B2902" s="125" t="str">
        <f>IFERROR(VLOOKUP(Proc[[#This Row],[App]],Table2[],3,0),"open")</f>
        <v>ok</v>
      </c>
      <c r="C2902" s="124" t="s">
        <v>369</v>
      </c>
      <c r="D2902" t="s">
        <v>4903</v>
      </c>
      <c r="E2902" t="s">
        <v>4908</v>
      </c>
      <c r="F2902" s="125" t="s">
        <v>4908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4897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7</v>
      </c>
      <c r="R2902" s="115" t="s">
        <v>515</v>
      </c>
      <c r="S2902" s="125"/>
    </row>
    <row r="2903" spans="1:19" hidden="1">
      <c r="A2903" s="124" t="s">
        <v>4906</v>
      </c>
      <c r="B2903" s="125" t="str">
        <f>IFERROR(VLOOKUP(Proc[[#This Row],[App]],Table2[],3,0),"open")</f>
        <v>ok</v>
      </c>
      <c r="C2903" s="124" t="s">
        <v>369</v>
      </c>
      <c r="D2903" t="s">
        <v>4904</v>
      </c>
      <c r="E2903" t="s">
        <v>4908</v>
      </c>
      <c r="F2903" s="125" t="s">
        <v>4908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4897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7</v>
      </c>
      <c r="R2903" s="115" t="s">
        <v>515</v>
      </c>
      <c r="S2903" s="125"/>
    </row>
    <row r="2904" spans="1:19" hidden="1">
      <c r="A2904" s="124" t="s">
        <v>4906</v>
      </c>
      <c r="B2904" s="125" t="str">
        <f>IFERROR(VLOOKUP(Proc[[#This Row],[App]],Table2[],3,0),"open")</f>
        <v>ok</v>
      </c>
      <c r="C2904" s="124" t="s">
        <v>369</v>
      </c>
      <c r="D2904" t="s">
        <v>4907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4897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7</v>
      </c>
      <c r="R2904" s="115" t="s">
        <v>515</v>
      </c>
      <c r="S2904" s="125"/>
    </row>
    <row r="2905" spans="1:19" hidden="1">
      <c r="A2905" t="s">
        <v>4909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4923</v>
      </c>
      <c r="F2905" s="125" t="s">
        <v>4923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4897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7</v>
      </c>
      <c r="R2905" s="115" t="s">
        <v>489</v>
      </c>
      <c r="S2905" s="125"/>
    </row>
    <row r="2906" spans="1:19" hidden="1">
      <c r="A2906" s="124" t="s">
        <v>4909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4923</v>
      </c>
      <c r="F2906" s="125" t="s">
        <v>4923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4897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7</v>
      </c>
      <c r="R2906" s="115" t="s">
        <v>489</v>
      </c>
      <c r="S2906" s="125"/>
    </row>
    <row r="2907" spans="1:19" hidden="1">
      <c r="A2907" t="s">
        <v>4910</v>
      </c>
      <c r="B2907" s="125" t="str">
        <f>IFERROR(VLOOKUP(Proc[[#This Row],[App]],Table2[],3,0),"open")</f>
        <v>ok</v>
      </c>
      <c r="C2907" s="124" t="s">
        <v>369</v>
      </c>
      <c r="D2907" t="s">
        <v>4911</v>
      </c>
      <c r="E2907" t="s">
        <v>4912</v>
      </c>
      <c r="F2907" s="125" t="s">
        <v>4912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4897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7</v>
      </c>
      <c r="R2907" s="115" t="s">
        <v>972</v>
      </c>
      <c r="S2907" s="125"/>
    </row>
    <row r="2908" spans="1:19" hidden="1">
      <c r="A2908" t="s">
        <v>4920</v>
      </c>
      <c r="B2908" s="125" t="str">
        <f>IFERROR(VLOOKUP(Proc[[#This Row],[App]],Table2[],3,0),"open")</f>
        <v>ok</v>
      </c>
      <c r="C2908" s="124" t="s">
        <v>369</v>
      </c>
      <c r="D2908" t="s">
        <v>4914</v>
      </c>
      <c r="E2908" t="s">
        <v>4917</v>
      </c>
      <c r="F2908" s="124" t="s">
        <v>4917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4897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7</v>
      </c>
      <c r="R2908" s="115" t="s">
        <v>764</v>
      </c>
      <c r="S2908" s="125"/>
    </row>
    <row r="2909" spans="1:19" hidden="1">
      <c r="A2909" s="124" t="s">
        <v>4920</v>
      </c>
      <c r="B2909" s="125" t="str">
        <f>IFERROR(VLOOKUP(Proc[[#This Row],[App]],Table2[],3,0),"open")</f>
        <v>ok</v>
      </c>
      <c r="C2909" s="124" t="s">
        <v>369</v>
      </c>
      <c r="D2909" t="s">
        <v>4915</v>
      </c>
      <c r="E2909" t="s">
        <v>4918</v>
      </c>
      <c r="F2909" s="124" t="s">
        <v>4918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4897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7</v>
      </c>
      <c r="R2909" s="115" t="s">
        <v>764</v>
      </c>
      <c r="S2909" s="125"/>
    </row>
    <row r="2910" spans="1:19" hidden="1">
      <c r="A2910" s="124" t="s">
        <v>4920</v>
      </c>
      <c r="B2910" s="125" t="str">
        <f>IFERROR(VLOOKUP(Proc[[#This Row],[App]],Table2[],3,0),"open")</f>
        <v>ok</v>
      </c>
      <c r="C2910" s="124" t="s">
        <v>369</v>
      </c>
      <c r="D2910" t="s">
        <v>4916</v>
      </c>
      <c r="E2910" t="s">
        <v>4919</v>
      </c>
      <c r="F2910" s="124" t="s">
        <v>4919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4897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7</v>
      </c>
      <c r="R2910" s="115" t="s">
        <v>764</v>
      </c>
      <c r="S2910" s="125"/>
    </row>
    <row r="2911" spans="1:19" hidden="1">
      <c r="A2911" t="s">
        <v>4922</v>
      </c>
      <c r="B2911" s="125" t="str">
        <f>IFERROR(VLOOKUP(Proc[[#This Row],[App]],Table2[],3,0),"open")</f>
        <v>ok</v>
      </c>
      <c r="C2911" s="124" t="s">
        <v>369</v>
      </c>
      <c r="D2911" t="s">
        <v>4921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4897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7</v>
      </c>
      <c r="R2911" s="115" t="s">
        <v>410</v>
      </c>
      <c r="S2911" s="125"/>
    </row>
    <row r="2912" spans="1:19" hidden="1">
      <c r="A2912" t="s">
        <v>4938</v>
      </c>
      <c r="B2912" s="125" t="str">
        <f>IFERROR(VLOOKUP(Proc[[#This Row],[App]],Table2[],3,0),"open")</f>
        <v>ok</v>
      </c>
      <c r="C2912" s="124" t="s">
        <v>369</v>
      </c>
      <c r="D2912" t="s">
        <v>4926</v>
      </c>
      <c r="E2912" t="s">
        <v>4932</v>
      </c>
      <c r="F2912" s="125" t="s">
        <v>4932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4897</v>
      </c>
      <c r="M2912" s="113">
        <v>45868</v>
      </c>
      <c r="N2912" s="113"/>
      <c r="O2912" s="113"/>
      <c r="P2912" s="115" t="str">
        <f ca="1">IF(Proc[[#This Row],[DaysAgeing]]&gt;5,"yep","on track")</f>
        <v>on track</v>
      </c>
      <c r="Q2912" s="3">
        <f ca="1">IF(Proc[[#This Row],[DateClosed]]="",ABS(NETWORKDAYS(Proc[[#This Row],[DateOpened]],TODAY()))-1,ABS(NETWORKDAYS(Proc[[#This Row],[DateOpened]],Proc[[#This Row],[DateClosed]]))-1)</f>
        <v>5</v>
      </c>
      <c r="R2912" s="115" t="s">
        <v>972</v>
      </c>
      <c r="S2912" s="125"/>
    </row>
    <row r="2913" spans="1:19" hidden="1">
      <c r="A2913" s="124" t="s">
        <v>4938</v>
      </c>
      <c r="B2913" s="125" t="str">
        <f>IFERROR(VLOOKUP(Proc[[#This Row],[App]],Table2[],3,0),"open")</f>
        <v>ok</v>
      </c>
      <c r="C2913" s="124" t="s">
        <v>369</v>
      </c>
      <c r="D2913" t="s">
        <v>4927</v>
      </c>
      <c r="E2913" t="s">
        <v>4933</v>
      </c>
      <c r="F2913" s="125" t="s">
        <v>4933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4897</v>
      </c>
      <c r="M2913" s="113">
        <v>45868</v>
      </c>
      <c r="N2913" s="113"/>
      <c r="O2913" s="113"/>
      <c r="P2913" s="115" t="str">
        <f ca="1">IF(Proc[[#This Row],[DaysAgeing]]&gt;5,"yep","on track")</f>
        <v>on track</v>
      </c>
      <c r="Q2913" s="3">
        <f ca="1">IF(Proc[[#This Row],[DateClosed]]="",ABS(NETWORKDAYS(Proc[[#This Row],[DateOpened]],TODAY()))-1,ABS(NETWORKDAYS(Proc[[#This Row],[DateOpened]],Proc[[#This Row],[DateClosed]]))-1)</f>
        <v>5</v>
      </c>
      <c r="R2913" s="115" t="s">
        <v>972</v>
      </c>
      <c r="S2913" s="125"/>
    </row>
    <row r="2914" spans="1:19" hidden="1">
      <c r="A2914" s="124" t="s">
        <v>4938</v>
      </c>
      <c r="B2914" s="125" t="str">
        <f>IFERROR(VLOOKUP(Proc[[#This Row],[App]],Table2[],3,0),"open")</f>
        <v>ok</v>
      </c>
      <c r="C2914" s="124" t="s">
        <v>369</v>
      </c>
      <c r="D2914" t="s">
        <v>4928</v>
      </c>
      <c r="E2914" t="s">
        <v>4934</v>
      </c>
      <c r="F2914" s="125" t="s">
        <v>4934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4897</v>
      </c>
      <c r="M2914" s="113">
        <v>45868</v>
      </c>
      <c r="N2914" s="113"/>
      <c r="O2914" s="113"/>
      <c r="P2914" s="115" t="str">
        <f ca="1">IF(Proc[[#This Row],[DaysAgeing]]&gt;5,"yep","on track")</f>
        <v>on track</v>
      </c>
      <c r="Q2914" s="3">
        <f ca="1">IF(Proc[[#This Row],[DateClosed]]="",ABS(NETWORKDAYS(Proc[[#This Row],[DateOpened]],TODAY()))-1,ABS(NETWORKDAYS(Proc[[#This Row],[DateOpened]],Proc[[#This Row],[DateClosed]]))-1)</f>
        <v>5</v>
      </c>
      <c r="R2914" s="115" t="s">
        <v>972</v>
      </c>
      <c r="S2914" s="125"/>
    </row>
    <row r="2915" spans="1:19" hidden="1">
      <c r="A2915" s="124" t="s">
        <v>4938</v>
      </c>
      <c r="B2915" s="125" t="str">
        <f>IFERROR(VLOOKUP(Proc[[#This Row],[App]],Table2[],3,0),"open")</f>
        <v>ok</v>
      </c>
      <c r="C2915" s="124" t="s">
        <v>369</v>
      </c>
      <c r="D2915" t="s">
        <v>4929</v>
      </c>
      <c r="E2915" t="s">
        <v>4935</v>
      </c>
      <c r="F2915" s="125" t="s">
        <v>4935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4897</v>
      </c>
      <c r="M2915" s="113">
        <v>45868</v>
      </c>
      <c r="N2915" s="113"/>
      <c r="O2915" s="113"/>
      <c r="P2915" s="115" t="str">
        <f ca="1">IF(Proc[[#This Row],[DaysAgeing]]&gt;5,"yep","on track")</f>
        <v>on track</v>
      </c>
      <c r="Q2915" s="3">
        <f ca="1">IF(Proc[[#This Row],[DateClosed]]="",ABS(NETWORKDAYS(Proc[[#This Row],[DateOpened]],TODAY()))-1,ABS(NETWORKDAYS(Proc[[#This Row],[DateOpened]],Proc[[#This Row],[DateClosed]]))-1)</f>
        <v>5</v>
      </c>
      <c r="R2915" s="115" t="s">
        <v>972</v>
      </c>
      <c r="S2915" s="125"/>
    </row>
    <row r="2916" spans="1:19" hidden="1">
      <c r="A2916" s="124" t="s">
        <v>4938</v>
      </c>
      <c r="B2916" s="125" t="str">
        <f>IFERROR(VLOOKUP(Proc[[#This Row],[App]],Table2[],3,0),"open")</f>
        <v>ok</v>
      </c>
      <c r="C2916" s="124" t="s">
        <v>369</v>
      </c>
      <c r="D2916" t="s">
        <v>4930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4897</v>
      </c>
      <c r="M2916" s="113">
        <v>45868</v>
      </c>
      <c r="N2916" s="113"/>
      <c r="O2916" s="113"/>
      <c r="P2916" s="115" t="str">
        <f ca="1">IF(Proc[[#This Row],[DaysAgeing]]&gt;5,"yep","on track")</f>
        <v>on track</v>
      </c>
      <c r="Q2916" s="3">
        <f ca="1">IF(Proc[[#This Row],[DateClosed]]="",ABS(NETWORKDAYS(Proc[[#This Row],[DateOpened]],TODAY()))-1,ABS(NETWORKDAYS(Proc[[#This Row],[DateOpened]],Proc[[#This Row],[DateClosed]]))-1)</f>
        <v>5</v>
      </c>
      <c r="R2916" s="115" t="s">
        <v>972</v>
      </c>
      <c r="S2916" s="125"/>
    </row>
    <row r="2917" spans="1:19" hidden="1">
      <c r="A2917" s="124" t="s">
        <v>4938</v>
      </c>
      <c r="B2917" s="125" t="str">
        <f>IFERROR(VLOOKUP(Proc[[#This Row],[App]],Table2[],3,0),"open")</f>
        <v>ok</v>
      </c>
      <c r="C2917" s="124" t="s">
        <v>369</v>
      </c>
      <c r="D2917" t="s">
        <v>4931</v>
      </c>
      <c r="E2917" t="s">
        <v>4936</v>
      </c>
      <c r="F2917" s="125" t="s">
        <v>4936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4897</v>
      </c>
      <c r="M2917" s="113">
        <v>45868</v>
      </c>
      <c r="N2917" s="113"/>
      <c r="O2917" s="113"/>
      <c r="P2917" s="115" t="str">
        <f ca="1">IF(Proc[[#This Row],[DaysAgeing]]&gt;5,"yep","on track")</f>
        <v>on track</v>
      </c>
      <c r="Q2917" s="3">
        <f ca="1">IF(Proc[[#This Row],[DateClosed]]="",ABS(NETWORKDAYS(Proc[[#This Row],[DateOpened]],TODAY()))-1,ABS(NETWORKDAYS(Proc[[#This Row],[DateOpened]],Proc[[#This Row],[DateClosed]]))-1)</f>
        <v>5</v>
      </c>
      <c r="R2917" s="115" t="s">
        <v>972</v>
      </c>
      <c r="S2917" s="125"/>
    </row>
    <row r="2918" spans="1:19" hidden="1">
      <c r="A2918" s="124" t="s">
        <v>4938</v>
      </c>
      <c r="B2918" s="125" t="str">
        <f>IFERROR(VLOOKUP(Proc[[#This Row],[App]],Table2[],3,0),"open")</f>
        <v>ok</v>
      </c>
      <c r="C2918" s="124" t="s">
        <v>369</v>
      </c>
      <c r="D2918" t="s">
        <v>4937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4897</v>
      </c>
      <c r="M2918" s="113">
        <v>45868</v>
      </c>
      <c r="N2918" s="113"/>
      <c r="O2918" s="113"/>
      <c r="P2918" s="115" t="str">
        <f ca="1">IF(Proc[[#This Row],[DaysAgeing]]&gt;5,"yep","on track")</f>
        <v>on track</v>
      </c>
      <c r="Q2918" s="3">
        <f ca="1">IF(Proc[[#This Row],[DateClosed]]="",ABS(NETWORKDAYS(Proc[[#This Row],[DateOpened]],TODAY()))-1,ABS(NETWORKDAYS(Proc[[#This Row],[DateOpened]],Proc[[#This Row],[DateClosed]]))-1)</f>
        <v>5</v>
      </c>
      <c r="R2918" s="115" t="s">
        <v>972</v>
      </c>
      <c r="S2918" s="125"/>
    </row>
    <row r="2919" spans="1:19" hidden="1">
      <c r="A2919" t="s">
        <v>4947</v>
      </c>
      <c r="B2919" s="125" t="str">
        <f>IFERROR(VLOOKUP(Proc[[#This Row],[App]],Table2[],3,0),"open")</f>
        <v>ok</v>
      </c>
      <c r="C2919" s="124" t="s">
        <v>369</v>
      </c>
      <c r="D2919" t="s">
        <v>4969</v>
      </c>
      <c r="E2919" t="s">
        <v>4948</v>
      </c>
      <c r="F2919" s="125" t="s">
        <v>4948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4897</v>
      </c>
      <c r="M2919" s="113">
        <v>45868</v>
      </c>
      <c r="N2919" s="113"/>
      <c r="O2919" s="113"/>
      <c r="P2919" s="115" t="str">
        <f ca="1">IF(Proc[[#This Row],[DaysAgeing]]&gt;5,"yep","on track")</f>
        <v>on track</v>
      </c>
      <c r="Q2919" s="3">
        <f ca="1">IF(Proc[[#This Row],[DateClosed]]="",ABS(NETWORKDAYS(Proc[[#This Row],[DateOpened]],TODAY()))-1,ABS(NETWORKDAYS(Proc[[#This Row],[DateOpened]],Proc[[#This Row],[DateClosed]]))-1)</f>
        <v>5</v>
      </c>
      <c r="R2919" s="115" t="s">
        <v>515</v>
      </c>
      <c r="S2919" s="125"/>
    </row>
    <row r="2920" spans="1:19" hidden="1">
      <c r="A2920" s="124" t="s">
        <v>4947</v>
      </c>
      <c r="B2920" s="125" t="str">
        <f>IFERROR(VLOOKUP(Proc[[#This Row],[App]],Table2[],3,0),"open")</f>
        <v>ok</v>
      </c>
      <c r="C2920" s="124" t="s">
        <v>369</v>
      </c>
      <c r="D2920" t="s">
        <v>4954</v>
      </c>
      <c r="E2920" t="s">
        <v>4949</v>
      </c>
      <c r="F2920" s="125" t="s">
        <v>4949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4897</v>
      </c>
      <c r="M2920" s="113">
        <v>45869</v>
      </c>
      <c r="N2920" s="113"/>
      <c r="O2920" s="113"/>
      <c r="P2920" s="115" t="str">
        <f ca="1">IF(Proc[[#This Row],[DaysAgeing]]&gt;5,"yep","on track")</f>
        <v>on track</v>
      </c>
      <c r="Q2920" s="3">
        <f ca="1">IF(Proc[[#This Row],[DateClosed]]="",ABS(NETWORKDAYS(Proc[[#This Row],[DateOpened]],TODAY()))-1,ABS(NETWORKDAYS(Proc[[#This Row],[DateOpened]],Proc[[#This Row],[DateClosed]]))-1)</f>
        <v>4</v>
      </c>
      <c r="R2920" s="115" t="s">
        <v>415</v>
      </c>
      <c r="S2920" s="125"/>
    </row>
    <row r="2921" spans="1:19" hidden="1">
      <c r="A2921" s="124" t="s">
        <v>4947</v>
      </c>
      <c r="B2921" s="125" t="str">
        <f>IFERROR(VLOOKUP(Proc[[#This Row],[App]],Table2[],3,0),"open")</f>
        <v>ok</v>
      </c>
      <c r="C2921" s="124" t="s">
        <v>369</v>
      </c>
      <c r="D2921" t="s">
        <v>4955</v>
      </c>
      <c r="E2921" t="s">
        <v>4949</v>
      </c>
      <c r="F2921" s="125" t="s">
        <v>4949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4897</v>
      </c>
      <c r="M2921" s="113">
        <v>45869</v>
      </c>
      <c r="N2921" s="113"/>
      <c r="O2921" s="113"/>
      <c r="P2921" s="115" t="str">
        <f ca="1">IF(Proc[[#This Row],[DaysAgeing]]&gt;5,"yep","on track")</f>
        <v>on track</v>
      </c>
      <c r="Q2921" s="3">
        <f ca="1">IF(Proc[[#This Row],[DateClosed]]="",ABS(NETWORKDAYS(Proc[[#This Row],[DateOpened]],TODAY()))-1,ABS(NETWORKDAYS(Proc[[#This Row],[DateOpened]],Proc[[#This Row],[DateClosed]]))-1)</f>
        <v>4</v>
      </c>
      <c r="R2921" s="115" t="s">
        <v>415</v>
      </c>
      <c r="S2921" s="125"/>
    </row>
    <row r="2922" spans="1:19" hidden="1">
      <c r="A2922" s="124" t="s">
        <v>4947</v>
      </c>
      <c r="B2922" s="125" t="str">
        <f>IFERROR(VLOOKUP(Proc[[#This Row],[App]],Table2[],3,0),"open")</f>
        <v>ok</v>
      </c>
      <c r="C2922" s="124" t="s">
        <v>369</v>
      </c>
      <c r="D2922" t="s">
        <v>4956</v>
      </c>
      <c r="E2922" t="s">
        <v>4950</v>
      </c>
      <c r="F2922" s="125" t="s">
        <v>4950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4897</v>
      </c>
      <c r="M2922" s="113">
        <v>45869</v>
      </c>
      <c r="N2922" s="113"/>
      <c r="O2922" s="113"/>
      <c r="P2922" s="115" t="str">
        <f ca="1">IF(Proc[[#This Row],[DaysAgeing]]&gt;5,"yep","on track")</f>
        <v>on track</v>
      </c>
      <c r="Q2922" s="3">
        <f ca="1">IF(Proc[[#This Row],[DateClosed]]="",ABS(NETWORKDAYS(Proc[[#This Row],[DateOpened]],TODAY()))-1,ABS(NETWORKDAYS(Proc[[#This Row],[DateOpened]],Proc[[#This Row],[DateClosed]]))-1)</f>
        <v>4</v>
      </c>
      <c r="R2922" s="115" t="s">
        <v>415</v>
      </c>
      <c r="S2922" s="125"/>
    </row>
    <row r="2923" spans="1:19" hidden="1">
      <c r="A2923" s="124" t="s">
        <v>4947</v>
      </c>
      <c r="B2923" s="125" t="str">
        <f>IFERROR(VLOOKUP(Proc[[#This Row],[App]],Table2[],3,0),"open")</f>
        <v>ok</v>
      </c>
      <c r="C2923" s="124" t="s">
        <v>369</v>
      </c>
      <c r="D2923" t="s">
        <v>4957</v>
      </c>
      <c r="E2923" t="s">
        <v>4950</v>
      </c>
      <c r="F2923" s="125" t="s">
        <v>4950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4897</v>
      </c>
      <c r="M2923" s="113">
        <v>45869</v>
      </c>
      <c r="N2923" s="113"/>
      <c r="O2923" s="113"/>
      <c r="P2923" s="115" t="str">
        <f ca="1">IF(Proc[[#This Row],[DaysAgeing]]&gt;5,"yep","on track")</f>
        <v>on track</v>
      </c>
      <c r="Q2923" s="3">
        <f ca="1">IF(Proc[[#This Row],[DateClosed]]="",ABS(NETWORKDAYS(Proc[[#This Row],[DateOpened]],TODAY()))-1,ABS(NETWORKDAYS(Proc[[#This Row],[DateOpened]],Proc[[#This Row],[DateClosed]]))-1)</f>
        <v>4</v>
      </c>
      <c r="R2923" s="115" t="s">
        <v>415</v>
      </c>
      <c r="S2923" s="125"/>
    </row>
    <row r="2924" spans="1:19" hidden="1">
      <c r="A2924" s="124" t="s">
        <v>4947</v>
      </c>
      <c r="B2924" s="125" t="str">
        <f>IFERROR(VLOOKUP(Proc[[#This Row],[App]],Table2[],3,0),"open")</f>
        <v>ok</v>
      </c>
      <c r="C2924" s="124" t="s">
        <v>369</v>
      </c>
      <c r="D2924" t="s">
        <v>4958</v>
      </c>
      <c r="E2924" t="s">
        <v>4950</v>
      </c>
      <c r="F2924" s="125" t="s">
        <v>4950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4897</v>
      </c>
      <c r="M2924" s="113">
        <v>45869</v>
      </c>
      <c r="N2924" s="113"/>
      <c r="O2924" s="113"/>
      <c r="P2924" s="115" t="str">
        <f ca="1">IF(Proc[[#This Row],[DaysAgeing]]&gt;5,"yep","on track")</f>
        <v>on track</v>
      </c>
      <c r="Q2924" s="3">
        <f ca="1">IF(Proc[[#This Row],[DateClosed]]="",ABS(NETWORKDAYS(Proc[[#This Row],[DateOpened]],TODAY()))-1,ABS(NETWORKDAYS(Proc[[#This Row],[DateOpened]],Proc[[#This Row],[DateClosed]]))-1)</f>
        <v>4</v>
      </c>
      <c r="R2924" s="115" t="s">
        <v>415</v>
      </c>
      <c r="S2924" s="125"/>
    </row>
    <row r="2925" spans="1:19" hidden="1">
      <c r="A2925" s="124" t="s">
        <v>4947</v>
      </c>
      <c r="B2925" s="125" t="str">
        <f>IFERROR(VLOOKUP(Proc[[#This Row],[App]],Table2[],3,0),"open")</f>
        <v>ok</v>
      </c>
      <c r="C2925" s="124" t="s">
        <v>369</v>
      </c>
      <c r="D2925" t="s">
        <v>4959</v>
      </c>
      <c r="E2925" t="s">
        <v>4950</v>
      </c>
      <c r="F2925" s="125" t="s">
        <v>4950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4897</v>
      </c>
      <c r="M2925" s="113">
        <v>45869</v>
      </c>
      <c r="N2925" s="113"/>
      <c r="O2925" s="113"/>
      <c r="P2925" s="115" t="str">
        <f ca="1">IF(Proc[[#This Row],[DaysAgeing]]&gt;5,"yep","on track")</f>
        <v>on track</v>
      </c>
      <c r="Q2925" s="3">
        <f ca="1">IF(Proc[[#This Row],[DateClosed]]="",ABS(NETWORKDAYS(Proc[[#This Row],[DateOpened]],TODAY()))-1,ABS(NETWORKDAYS(Proc[[#This Row],[DateOpened]],Proc[[#This Row],[DateClosed]]))-1)</f>
        <v>4</v>
      </c>
      <c r="R2925" s="115" t="s">
        <v>415</v>
      </c>
      <c r="S2925" s="125"/>
    </row>
    <row r="2926" spans="1:19" hidden="1">
      <c r="A2926" s="124" t="s">
        <v>4947</v>
      </c>
      <c r="B2926" s="125" t="str">
        <f>IFERROR(VLOOKUP(Proc[[#This Row],[App]],Table2[],3,0),"open")</f>
        <v>ok</v>
      </c>
      <c r="C2926" s="124" t="s">
        <v>369</v>
      </c>
      <c r="D2926" t="s">
        <v>4960</v>
      </c>
      <c r="E2926" t="s">
        <v>4950</v>
      </c>
      <c r="F2926" s="125" t="s">
        <v>4950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4897</v>
      </c>
      <c r="M2926" s="113">
        <v>45869</v>
      </c>
      <c r="N2926" s="113"/>
      <c r="O2926" s="113"/>
      <c r="P2926" s="115" t="str">
        <f ca="1">IF(Proc[[#This Row],[DaysAgeing]]&gt;5,"yep","on track")</f>
        <v>on track</v>
      </c>
      <c r="Q2926" s="3">
        <f ca="1">IF(Proc[[#This Row],[DateClosed]]="",ABS(NETWORKDAYS(Proc[[#This Row],[DateOpened]],TODAY()))-1,ABS(NETWORKDAYS(Proc[[#This Row],[DateOpened]],Proc[[#This Row],[DateClosed]]))-1)</f>
        <v>4</v>
      </c>
      <c r="R2926" s="115" t="s">
        <v>415</v>
      </c>
      <c r="S2926" s="125"/>
    </row>
    <row r="2927" spans="1:19" hidden="1">
      <c r="A2927" s="124" t="s">
        <v>4947</v>
      </c>
      <c r="B2927" s="125" t="str">
        <f>IFERROR(VLOOKUP(Proc[[#This Row],[App]],Table2[],3,0),"open")</f>
        <v>ok</v>
      </c>
      <c r="C2927" s="124" t="s">
        <v>369</v>
      </c>
      <c r="D2927" t="s">
        <v>4961</v>
      </c>
      <c r="E2927" t="s">
        <v>4950</v>
      </c>
      <c r="F2927" s="125" t="s">
        <v>4950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4897</v>
      </c>
      <c r="M2927" s="113">
        <v>45869</v>
      </c>
      <c r="N2927" s="113"/>
      <c r="O2927" s="113"/>
      <c r="P2927" s="115" t="str">
        <f ca="1">IF(Proc[[#This Row],[DaysAgeing]]&gt;5,"yep","on track")</f>
        <v>on track</v>
      </c>
      <c r="Q2927" s="3">
        <f ca="1">IF(Proc[[#This Row],[DateClosed]]="",ABS(NETWORKDAYS(Proc[[#This Row],[DateOpened]],TODAY()))-1,ABS(NETWORKDAYS(Proc[[#This Row],[DateOpened]],Proc[[#This Row],[DateClosed]]))-1)</f>
        <v>4</v>
      </c>
      <c r="R2927" s="115" t="s">
        <v>415</v>
      </c>
      <c r="S2927" s="125"/>
    </row>
    <row r="2928" spans="1:19" hidden="1">
      <c r="A2928" s="124" t="s">
        <v>4947</v>
      </c>
      <c r="B2928" s="125" t="str">
        <f>IFERROR(VLOOKUP(Proc[[#This Row],[App]],Table2[],3,0),"open")</f>
        <v>ok</v>
      </c>
      <c r="C2928" s="124" t="s">
        <v>369</v>
      </c>
      <c r="D2928" t="s">
        <v>4962</v>
      </c>
      <c r="E2928" t="s">
        <v>4950</v>
      </c>
      <c r="F2928" s="125" t="s">
        <v>4950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4897</v>
      </c>
      <c r="M2928" s="113">
        <v>45869</v>
      </c>
      <c r="N2928" s="113"/>
      <c r="O2928" s="113"/>
      <c r="P2928" s="115" t="str">
        <f ca="1">IF(Proc[[#This Row],[DaysAgeing]]&gt;5,"yep","on track")</f>
        <v>on track</v>
      </c>
      <c r="Q2928" s="3">
        <f ca="1">IF(Proc[[#This Row],[DateClosed]]="",ABS(NETWORKDAYS(Proc[[#This Row],[DateOpened]],TODAY()))-1,ABS(NETWORKDAYS(Proc[[#This Row],[DateOpened]],Proc[[#This Row],[DateClosed]]))-1)</f>
        <v>4</v>
      </c>
      <c r="R2928" s="115" t="s">
        <v>415</v>
      </c>
      <c r="S2928" s="125"/>
    </row>
    <row r="2929" spans="1:19" hidden="1">
      <c r="A2929" s="124" t="s">
        <v>4947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4951</v>
      </c>
      <c r="F2929" s="125" t="s">
        <v>4951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4897</v>
      </c>
      <c r="M2929" s="113">
        <v>45869</v>
      </c>
      <c r="N2929" s="113"/>
      <c r="O2929" s="113"/>
      <c r="P2929" s="115" t="str">
        <f ca="1">IF(Proc[[#This Row],[DaysAgeing]]&gt;5,"yep","on track")</f>
        <v>on track</v>
      </c>
      <c r="Q2929" s="3">
        <f ca="1">IF(Proc[[#This Row],[DateClosed]]="",ABS(NETWORKDAYS(Proc[[#This Row],[DateOpened]],TODAY()))-1,ABS(NETWORKDAYS(Proc[[#This Row],[DateOpened]],Proc[[#This Row],[DateClosed]]))-1)</f>
        <v>4</v>
      </c>
      <c r="R2929" s="115" t="s">
        <v>415</v>
      </c>
      <c r="S2929" s="125"/>
    </row>
    <row r="2930" spans="1:19" hidden="1">
      <c r="A2930" s="124" t="s">
        <v>4947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4951</v>
      </c>
      <c r="F2930" s="125" t="s">
        <v>4951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4897</v>
      </c>
      <c r="M2930" s="113">
        <v>45869</v>
      </c>
      <c r="N2930" s="113"/>
      <c r="O2930" s="113"/>
      <c r="P2930" s="115" t="str">
        <f ca="1">IF(Proc[[#This Row],[DaysAgeing]]&gt;5,"yep","on track")</f>
        <v>on track</v>
      </c>
      <c r="Q2930" s="3">
        <f ca="1">IF(Proc[[#This Row],[DateClosed]]="",ABS(NETWORKDAYS(Proc[[#This Row],[DateOpened]],TODAY()))-1,ABS(NETWORKDAYS(Proc[[#This Row],[DateOpened]],Proc[[#This Row],[DateClosed]]))-1)</f>
        <v>4</v>
      </c>
      <c r="R2930" s="115" t="s">
        <v>415</v>
      </c>
      <c r="S2930" s="125"/>
    </row>
    <row r="2931" spans="1:19" hidden="1">
      <c r="A2931" s="124" t="s">
        <v>4947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4951</v>
      </c>
      <c r="F2931" s="125" t="s">
        <v>4951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4897</v>
      </c>
      <c r="M2931" s="113">
        <v>45869</v>
      </c>
      <c r="N2931" s="113"/>
      <c r="O2931" s="113"/>
      <c r="P2931" s="115" t="str">
        <f ca="1">IF(Proc[[#This Row],[DaysAgeing]]&gt;5,"yep","on track")</f>
        <v>on track</v>
      </c>
      <c r="Q2931" s="3">
        <f ca="1">IF(Proc[[#This Row],[DateClosed]]="",ABS(NETWORKDAYS(Proc[[#This Row],[DateOpened]],TODAY()))-1,ABS(NETWORKDAYS(Proc[[#This Row],[DateOpened]],Proc[[#This Row],[DateClosed]]))-1)</f>
        <v>4</v>
      </c>
      <c r="R2931" s="115" t="s">
        <v>415</v>
      </c>
      <c r="S2931" s="125"/>
    </row>
    <row r="2932" spans="1:19" hidden="1">
      <c r="A2932" s="124" t="s">
        <v>4947</v>
      </c>
      <c r="B2932" s="125" t="str">
        <f>IFERROR(VLOOKUP(Proc[[#This Row],[App]],Table2[],3,0),"open")</f>
        <v>ok</v>
      </c>
      <c r="C2932" s="124" t="s">
        <v>369</v>
      </c>
      <c r="D2932" t="s">
        <v>4963</v>
      </c>
      <c r="E2932" t="s">
        <v>4952</v>
      </c>
      <c r="F2932" s="125" t="s">
        <v>4952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4897</v>
      </c>
      <c r="M2932" s="113">
        <v>45869</v>
      </c>
      <c r="N2932" s="113"/>
      <c r="O2932" s="113"/>
      <c r="P2932" s="115" t="str">
        <f ca="1">IF(Proc[[#This Row],[DaysAgeing]]&gt;5,"yep","on track")</f>
        <v>on track</v>
      </c>
      <c r="Q2932" s="3">
        <f ca="1">IF(Proc[[#This Row],[DateClosed]]="",ABS(NETWORKDAYS(Proc[[#This Row],[DateOpened]],TODAY()))-1,ABS(NETWORKDAYS(Proc[[#This Row],[DateOpened]],Proc[[#This Row],[DateClosed]]))-1)</f>
        <v>4</v>
      </c>
      <c r="R2932" s="115" t="s">
        <v>415</v>
      </c>
      <c r="S2932" s="125"/>
    </row>
    <row r="2933" spans="1:19" hidden="1">
      <c r="A2933" s="124" t="s">
        <v>4947</v>
      </c>
      <c r="B2933" s="125" t="str">
        <f>IFERROR(VLOOKUP(Proc[[#This Row],[App]],Table2[],3,0),"open")</f>
        <v>ok</v>
      </c>
      <c r="C2933" s="124" t="s">
        <v>369</v>
      </c>
      <c r="D2933" t="s">
        <v>4964</v>
      </c>
      <c r="E2933" t="s">
        <v>4952</v>
      </c>
      <c r="F2933" s="125" t="s">
        <v>4952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4897</v>
      </c>
      <c r="M2933" s="113">
        <v>45869</v>
      </c>
      <c r="N2933" s="113"/>
      <c r="O2933" s="113"/>
      <c r="P2933" s="115" t="str">
        <f ca="1">IF(Proc[[#This Row],[DaysAgeing]]&gt;5,"yep","on track")</f>
        <v>on track</v>
      </c>
      <c r="Q2933" s="3">
        <f ca="1">IF(Proc[[#This Row],[DateClosed]]="",ABS(NETWORKDAYS(Proc[[#This Row],[DateOpened]],TODAY()))-1,ABS(NETWORKDAYS(Proc[[#This Row],[DateOpened]],Proc[[#This Row],[DateClosed]]))-1)</f>
        <v>4</v>
      </c>
      <c r="R2933" s="115" t="s">
        <v>415</v>
      </c>
      <c r="S2933" s="125"/>
    </row>
    <row r="2934" spans="1:19" hidden="1">
      <c r="A2934" s="124" t="s">
        <v>4947</v>
      </c>
      <c r="B2934" s="125" t="str">
        <f>IFERROR(VLOOKUP(Proc[[#This Row],[App]],Table2[],3,0),"open")</f>
        <v>ok</v>
      </c>
      <c r="C2934" s="124" t="s">
        <v>369</v>
      </c>
      <c r="D2934" t="s">
        <v>4965</v>
      </c>
      <c r="E2934" t="s">
        <v>4950</v>
      </c>
      <c r="F2934" s="125" t="s">
        <v>4950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4897</v>
      </c>
      <c r="M2934" s="113">
        <v>45869</v>
      </c>
      <c r="N2934" s="113"/>
      <c r="O2934" s="113"/>
      <c r="P2934" s="115" t="str">
        <f ca="1">IF(Proc[[#This Row],[DaysAgeing]]&gt;5,"yep","on track")</f>
        <v>on track</v>
      </c>
      <c r="Q2934" s="3">
        <f ca="1">IF(Proc[[#This Row],[DateClosed]]="",ABS(NETWORKDAYS(Proc[[#This Row],[DateOpened]],TODAY()))-1,ABS(NETWORKDAYS(Proc[[#This Row],[DateOpened]],Proc[[#This Row],[DateClosed]]))-1)</f>
        <v>4</v>
      </c>
      <c r="R2934" s="115" t="s">
        <v>415</v>
      </c>
      <c r="S2934" s="125"/>
    </row>
    <row r="2935" spans="1:19" hidden="1">
      <c r="A2935" s="124" t="s">
        <v>4947</v>
      </c>
      <c r="B2935" s="125" t="str">
        <f>IFERROR(VLOOKUP(Proc[[#This Row],[App]],Table2[],3,0),"open")</f>
        <v>ok</v>
      </c>
      <c r="C2935" s="124" t="s">
        <v>369</v>
      </c>
      <c r="D2935" t="s">
        <v>4966</v>
      </c>
      <c r="E2935" t="s">
        <v>4953</v>
      </c>
      <c r="F2935" s="125" t="s">
        <v>4953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4897</v>
      </c>
      <c r="M2935" s="113">
        <v>45869</v>
      </c>
      <c r="N2935" s="113"/>
      <c r="O2935" s="113"/>
      <c r="P2935" s="115" t="str">
        <f ca="1">IF(Proc[[#This Row],[DaysAgeing]]&gt;5,"yep","on track")</f>
        <v>on track</v>
      </c>
      <c r="Q2935" s="3">
        <f ca="1">IF(Proc[[#This Row],[DateClosed]]="",ABS(NETWORKDAYS(Proc[[#This Row],[DateOpened]],TODAY()))-1,ABS(NETWORKDAYS(Proc[[#This Row],[DateOpened]],Proc[[#This Row],[DateClosed]]))-1)</f>
        <v>4</v>
      </c>
      <c r="R2935" s="115" t="s">
        <v>415</v>
      </c>
      <c r="S2935" s="125"/>
    </row>
    <row r="2936" spans="1:19" hidden="1">
      <c r="A2936" s="124" t="s">
        <v>4947</v>
      </c>
      <c r="B2936" s="125" t="str">
        <f>IFERROR(VLOOKUP(Proc[[#This Row],[App]],Table2[],3,0),"open")</f>
        <v>ok</v>
      </c>
      <c r="C2936" s="124" t="s">
        <v>369</v>
      </c>
      <c r="D2936" t="s">
        <v>4967</v>
      </c>
      <c r="E2936" t="s">
        <v>4953</v>
      </c>
      <c r="F2936" s="125" t="s">
        <v>4953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4897</v>
      </c>
      <c r="M2936" s="113">
        <v>45869</v>
      </c>
      <c r="N2936" s="113"/>
      <c r="O2936" s="113"/>
      <c r="P2936" s="115" t="str">
        <f ca="1">IF(Proc[[#This Row],[DaysAgeing]]&gt;5,"yep","on track")</f>
        <v>on track</v>
      </c>
      <c r="Q2936" s="3">
        <f ca="1">IF(Proc[[#This Row],[DateClosed]]="",ABS(NETWORKDAYS(Proc[[#This Row],[DateOpened]],TODAY()))-1,ABS(NETWORKDAYS(Proc[[#This Row],[DateOpened]],Proc[[#This Row],[DateClosed]]))-1)</f>
        <v>4</v>
      </c>
      <c r="R2936" s="115" t="s">
        <v>415</v>
      </c>
      <c r="S2936" s="125"/>
    </row>
    <row r="2937" spans="1:19" hidden="1">
      <c r="A2937" t="s">
        <v>5276</v>
      </c>
      <c r="B2937" s="125" t="str">
        <f>IFERROR(VLOOKUP(Proc[[#This Row],[App]],Table2[],3,0),"open")</f>
        <v>ok</v>
      </c>
      <c r="C2937" s="124" t="s">
        <v>369</v>
      </c>
      <c r="D2937" t="s">
        <v>4974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4897</v>
      </c>
      <c r="M2937" s="113">
        <v>45873</v>
      </c>
      <c r="N2937" s="113"/>
      <c r="O2937" s="113"/>
      <c r="P2937" s="115" t="str">
        <f ca="1">IF(Proc[[#This Row],[DaysAgeing]]&gt;5,"yep","on track")</f>
        <v>on track</v>
      </c>
      <c r="Q2937" s="3">
        <f ca="1">IF(Proc[[#This Row],[DateClosed]]="",ABS(NETWORKDAYS(Proc[[#This Row],[DateOpened]],TODAY()))-1,ABS(NETWORKDAYS(Proc[[#This Row],[DateOpened]],Proc[[#This Row],[DateClosed]]))-1)</f>
        <v>2</v>
      </c>
      <c r="R2937" s="115" t="s">
        <v>1013</v>
      </c>
      <c r="S2937" s="125"/>
    </row>
    <row r="2938" spans="1:19" hidden="1">
      <c r="A2938" s="124" t="s">
        <v>5276</v>
      </c>
      <c r="B2938" s="125" t="str">
        <f>IFERROR(VLOOKUP(Proc[[#This Row],[App]],Table2[],3,0),"open")</f>
        <v>ok</v>
      </c>
      <c r="C2938" s="124" t="s">
        <v>369</v>
      </c>
      <c r="D2938" t="s">
        <v>4975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4897</v>
      </c>
      <c r="M2938" s="113">
        <v>45873</v>
      </c>
      <c r="N2938" s="113"/>
      <c r="O2938" s="113"/>
      <c r="P2938" s="115" t="str">
        <f ca="1">IF(Proc[[#This Row],[DaysAgeing]]&gt;5,"yep","on track")</f>
        <v>on track</v>
      </c>
      <c r="Q2938" s="3">
        <f ca="1">IF(Proc[[#This Row],[DateClosed]]="",ABS(NETWORKDAYS(Proc[[#This Row],[DateOpened]],TODAY()))-1,ABS(NETWORKDAYS(Proc[[#This Row],[DateOpened]],Proc[[#This Row],[DateClosed]]))-1)</f>
        <v>2</v>
      </c>
      <c r="R2938" s="115" t="s">
        <v>1013</v>
      </c>
      <c r="S2938" s="125"/>
    </row>
    <row r="2939" spans="1:19" hidden="1">
      <c r="A2939" s="124" t="s">
        <v>5276</v>
      </c>
      <c r="B2939" s="125" t="str">
        <f>IFERROR(VLOOKUP(Proc[[#This Row],[App]],Table2[],3,0),"open")</f>
        <v>ok</v>
      </c>
      <c r="C2939" s="124" t="s">
        <v>369</v>
      </c>
      <c r="D2939" t="s">
        <v>4976</v>
      </c>
      <c r="E2939" t="s">
        <v>5269</v>
      </c>
      <c r="F2939" s="125" t="s">
        <v>5269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4897</v>
      </c>
      <c r="M2939" s="113">
        <v>45873</v>
      </c>
      <c r="N2939" s="113"/>
      <c r="O2939" s="113"/>
      <c r="P2939" s="115" t="str">
        <f ca="1">IF(Proc[[#This Row],[DaysAgeing]]&gt;5,"yep","on track")</f>
        <v>on track</v>
      </c>
      <c r="Q2939" s="3">
        <f ca="1">IF(Proc[[#This Row],[DateClosed]]="",ABS(NETWORKDAYS(Proc[[#This Row],[DateOpened]],TODAY()))-1,ABS(NETWORKDAYS(Proc[[#This Row],[DateOpened]],Proc[[#This Row],[DateClosed]]))-1)</f>
        <v>2</v>
      </c>
      <c r="R2939" s="115" t="s">
        <v>1013</v>
      </c>
      <c r="S2939" s="125"/>
    </row>
    <row r="2940" spans="1:19" hidden="1">
      <c r="A2940" s="124" t="s">
        <v>5276</v>
      </c>
      <c r="B2940" s="125" t="str">
        <f>IFERROR(VLOOKUP(Proc[[#This Row],[App]],Table2[],3,0),"open")</f>
        <v>ok</v>
      </c>
      <c r="C2940" s="124" t="s">
        <v>369</v>
      </c>
      <c r="D2940" t="s">
        <v>4977</v>
      </c>
      <c r="E2940" t="s">
        <v>5269</v>
      </c>
      <c r="F2940" s="125" t="s">
        <v>5269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4897</v>
      </c>
      <c r="M2940" s="113">
        <v>45873</v>
      </c>
      <c r="N2940" s="113"/>
      <c r="O2940" s="113"/>
      <c r="P2940" s="115" t="str">
        <f ca="1">IF(Proc[[#This Row],[DaysAgeing]]&gt;5,"yep","on track")</f>
        <v>on track</v>
      </c>
      <c r="Q2940" s="3">
        <f ca="1">IF(Proc[[#This Row],[DateClosed]]="",ABS(NETWORKDAYS(Proc[[#This Row],[DateOpened]],TODAY()))-1,ABS(NETWORKDAYS(Proc[[#This Row],[DateOpened]],Proc[[#This Row],[DateClosed]]))-1)</f>
        <v>2</v>
      </c>
      <c r="R2940" s="115" t="s">
        <v>1013</v>
      </c>
      <c r="S2940" s="125"/>
    </row>
    <row r="2941" spans="1:19" hidden="1">
      <c r="A2941" s="124" t="s">
        <v>5276</v>
      </c>
      <c r="B2941" s="125" t="str">
        <f>IFERROR(VLOOKUP(Proc[[#This Row],[App]],Table2[],3,0),"open")</f>
        <v>ok</v>
      </c>
      <c r="C2941" s="124" t="s">
        <v>369</v>
      </c>
      <c r="D2941" t="s">
        <v>4978</v>
      </c>
      <c r="E2941" t="s">
        <v>5269</v>
      </c>
      <c r="F2941" s="125" t="s">
        <v>5269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4897</v>
      </c>
      <c r="M2941" s="113">
        <v>45873</v>
      </c>
      <c r="N2941" s="113"/>
      <c r="O2941" s="113"/>
      <c r="P2941" s="115" t="str">
        <f ca="1">IF(Proc[[#This Row],[DaysAgeing]]&gt;5,"yep","on track")</f>
        <v>on track</v>
      </c>
      <c r="Q2941" s="3">
        <f ca="1">IF(Proc[[#This Row],[DateClosed]]="",ABS(NETWORKDAYS(Proc[[#This Row],[DateOpened]],TODAY()))-1,ABS(NETWORKDAYS(Proc[[#This Row],[DateOpened]],Proc[[#This Row],[DateClosed]]))-1)</f>
        <v>2</v>
      </c>
      <c r="R2941" s="115" t="s">
        <v>1013</v>
      </c>
      <c r="S2941" s="125"/>
    </row>
    <row r="2942" spans="1:19" hidden="1">
      <c r="A2942" s="124" t="s">
        <v>5276</v>
      </c>
      <c r="B2942" s="125" t="str">
        <f>IFERROR(VLOOKUP(Proc[[#This Row],[App]],Table2[],3,0),"open")</f>
        <v>ok</v>
      </c>
      <c r="C2942" s="124" t="s">
        <v>369</v>
      </c>
      <c r="D2942" t="s">
        <v>4979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4897</v>
      </c>
      <c r="M2942" s="113">
        <v>45873</v>
      </c>
      <c r="N2942" s="113"/>
      <c r="O2942" s="113"/>
      <c r="P2942" s="115" t="str">
        <f ca="1">IF(Proc[[#This Row],[DaysAgeing]]&gt;5,"yep","on track")</f>
        <v>on track</v>
      </c>
      <c r="Q2942" s="3">
        <f ca="1">IF(Proc[[#This Row],[DateClosed]]="",ABS(NETWORKDAYS(Proc[[#This Row],[DateOpened]],TODAY()))-1,ABS(NETWORKDAYS(Proc[[#This Row],[DateOpened]],Proc[[#This Row],[DateClosed]]))-1)</f>
        <v>2</v>
      </c>
      <c r="R2942" s="115" t="s">
        <v>1013</v>
      </c>
      <c r="S2942" s="125"/>
    </row>
    <row r="2943" spans="1:19" hidden="1">
      <c r="A2943" s="124" t="s">
        <v>5276</v>
      </c>
      <c r="B2943" s="125" t="str">
        <f>IFERROR(VLOOKUP(Proc[[#This Row],[App]],Table2[],3,0),"open")</f>
        <v>ok</v>
      </c>
      <c r="C2943" s="124" t="s">
        <v>369</v>
      </c>
      <c r="D2943" t="s">
        <v>4980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4897</v>
      </c>
      <c r="M2943" s="113">
        <v>45873</v>
      </c>
      <c r="N2943" s="113"/>
      <c r="O2943" s="113"/>
      <c r="P2943" s="115" t="str">
        <f ca="1">IF(Proc[[#This Row],[DaysAgeing]]&gt;5,"yep","on track")</f>
        <v>on track</v>
      </c>
      <c r="Q2943" s="3">
        <f ca="1">IF(Proc[[#This Row],[DateClosed]]="",ABS(NETWORKDAYS(Proc[[#This Row],[DateOpened]],TODAY()))-1,ABS(NETWORKDAYS(Proc[[#This Row],[DateOpened]],Proc[[#This Row],[DateClosed]]))-1)</f>
        <v>2</v>
      </c>
      <c r="R2943" s="115" t="s">
        <v>1013</v>
      </c>
      <c r="S2943" s="125"/>
    </row>
    <row r="2944" spans="1:19" hidden="1">
      <c r="A2944" s="124" t="s">
        <v>5276</v>
      </c>
      <c r="B2944" s="125" t="str">
        <f>IFERROR(VLOOKUP(Proc[[#This Row],[App]],Table2[],3,0),"open")</f>
        <v>ok</v>
      </c>
      <c r="C2944" s="124" t="s">
        <v>369</v>
      </c>
      <c r="D2944" t="s">
        <v>4981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4897</v>
      </c>
      <c r="M2944" s="113">
        <v>45873</v>
      </c>
      <c r="N2944" s="113"/>
      <c r="O2944" s="113"/>
      <c r="P2944" s="115" t="str">
        <f ca="1">IF(Proc[[#This Row],[DaysAgeing]]&gt;5,"yep","on track")</f>
        <v>on track</v>
      </c>
      <c r="Q2944" s="3">
        <f ca="1">IF(Proc[[#This Row],[DateClosed]]="",ABS(NETWORKDAYS(Proc[[#This Row],[DateOpened]],TODAY()))-1,ABS(NETWORKDAYS(Proc[[#This Row],[DateOpened]],Proc[[#This Row],[DateClosed]]))-1)</f>
        <v>2</v>
      </c>
      <c r="R2944" s="115" t="s">
        <v>1013</v>
      </c>
      <c r="S2944" s="125"/>
    </row>
    <row r="2945" spans="1:19" hidden="1">
      <c r="A2945" s="124" t="s">
        <v>5276</v>
      </c>
      <c r="B2945" s="125" t="str">
        <f>IFERROR(VLOOKUP(Proc[[#This Row],[App]],Table2[],3,0),"open")</f>
        <v>ok</v>
      </c>
      <c r="C2945" s="124" t="s">
        <v>369</v>
      </c>
      <c r="D2945" t="s">
        <v>4982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4897</v>
      </c>
      <c r="M2945" s="113">
        <v>45873</v>
      </c>
      <c r="N2945" s="113"/>
      <c r="O2945" s="113"/>
      <c r="P2945" s="115" t="str">
        <f ca="1">IF(Proc[[#This Row],[DaysAgeing]]&gt;5,"yep","on track")</f>
        <v>on track</v>
      </c>
      <c r="Q2945" s="3">
        <f ca="1">IF(Proc[[#This Row],[DateClosed]]="",ABS(NETWORKDAYS(Proc[[#This Row],[DateOpened]],TODAY()))-1,ABS(NETWORKDAYS(Proc[[#This Row],[DateOpened]],Proc[[#This Row],[DateClosed]]))-1)</f>
        <v>2</v>
      </c>
      <c r="R2945" s="115" t="s">
        <v>1013</v>
      </c>
      <c r="S2945" s="125"/>
    </row>
    <row r="2946" spans="1:19" hidden="1">
      <c r="A2946" s="124" t="s">
        <v>5276</v>
      </c>
      <c r="B2946" s="125" t="str">
        <f>IFERROR(VLOOKUP(Proc[[#This Row],[App]],Table2[],3,0),"open")</f>
        <v>ok</v>
      </c>
      <c r="C2946" s="124" t="s">
        <v>369</v>
      </c>
      <c r="D2946" t="s">
        <v>4983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4897</v>
      </c>
      <c r="M2946" s="113">
        <v>45873</v>
      </c>
      <c r="N2946" s="113"/>
      <c r="O2946" s="113"/>
      <c r="P2946" s="115" t="str">
        <f ca="1">IF(Proc[[#This Row],[DaysAgeing]]&gt;5,"yep","on track")</f>
        <v>on track</v>
      </c>
      <c r="Q2946" s="3">
        <f ca="1">IF(Proc[[#This Row],[DateClosed]]="",ABS(NETWORKDAYS(Proc[[#This Row],[DateOpened]],TODAY()))-1,ABS(NETWORKDAYS(Proc[[#This Row],[DateOpened]],Proc[[#This Row],[DateClosed]]))-1)</f>
        <v>2</v>
      </c>
      <c r="R2946" s="115" t="s">
        <v>1013</v>
      </c>
      <c r="S2946" s="125"/>
    </row>
    <row r="2947" spans="1:19" hidden="1">
      <c r="A2947" s="124" t="s">
        <v>5276</v>
      </c>
      <c r="B2947" s="125" t="str">
        <f>IFERROR(VLOOKUP(Proc[[#This Row],[App]],Table2[],3,0),"open")</f>
        <v>ok</v>
      </c>
      <c r="C2947" s="124" t="s">
        <v>369</v>
      </c>
      <c r="D2947" t="s">
        <v>4984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4897</v>
      </c>
      <c r="M2947" s="113">
        <v>45873</v>
      </c>
      <c r="N2947" s="113"/>
      <c r="O2947" s="113"/>
      <c r="P2947" s="115" t="str">
        <f ca="1">IF(Proc[[#This Row],[DaysAgeing]]&gt;5,"yep","on track")</f>
        <v>on track</v>
      </c>
      <c r="Q2947" s="3">
        <f ca="1">IF(Proc[[#This Row],[DateClosed]]="",ABS(NETWORKDAYS(Proc[[#This Row],[DateOpened]],TODAY()))-1,ABS(NETWORKDAYS(Proc[[#This Row],[DateOpened]],Proc[[#This Row],[DateClosed]]))-1)</f>
        <v>2</v>
      </c>
      <c r="R2947" s="115" t="s">
        <v>1013</v>
      </c>
      <c r="S2947" s="125"/>
    </row>
    <row r="2948" spans="1:19" hidden="1">
      <c r="A2948" s="124" t="s">
        <v>5276</v>
      </c>
      <c r="B2948" s="125" t="str">
        <f>IFERROR(VLOOKUP(Proc[[#This Row],[App]],Table2[],3,0),"open")</f>
        <v>ok</v>
      </c>
      <c r="C2948" s="124" t="s">
        <v>369</v>
      </c>
      <c r="D2948" t="s">
        <v>4985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4897</v>
      </c>
      <c r="M2948" s="113">
        <v>45873</v>
      </c>
      <c r="N2948" s="113"/>
      <c r="O2948" s="113"/>
      <c r="P2948" s="115" t="str">
        <f ca="1">IF(Proc[[#This Row],[DaysAgeing]]&gt;5,"yep","on track")</f>
        <v>on track</v>
      </c>
      <c r="Q2948" s="3">
        <f ca="1">IF(Proc[[#This Row],[DateClosed]]="",ABS(NETWORKDAYS(Proc[[#This Row],[DateOpened]],TODAY()))-1,ABS(NETWORKDAYS(Proc[[#This Row],[DateOpened]],Proc[[#This Row],[DateClosed]]))-1)</f>
        <v>2</v>
      </c>
      <c r="R2948" s="115" t="s">
        <v>1013</v>
      </c>
      <c r="S2948" s="125"/>
    </row>
    <row r="2949" spans="1:19" hidden="1">
      <c r="A2949" s="124" t="s">
        <v>5276</v>
      </c>
      <c r="B2949" s="125" t="str">
        <f>IFERROR(VLOOKUP(Proc[[#This Row],[App]],Table2[],3,0),"open")</f>
        <v>ok</v>
      </c>
      <c r="C2949" s="124" t="s">
        <v>369</v>
      </c>
      <c r="D2949" t="s">
        <v>4986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4897</v>
      </c>
      <c r="M2949" s="113">
        <v>45873</v>
      </c>
      <c r="N2949" s="113"/>
      <c r="O2949" s="113"/>
      <c r="P2949" s="115" t="str">
        <f ca="1">IF(Proc[[#This Row],[DaysAgeing]]&gt;5,"yep","on track")</f>
        <v>on track</v>
      </c>
      <c r="Q2949" s="3">
        <f ca="1">IF(Proc[[#This Row],[DateClosed]]="",ABS(NETWORKDAYS(Proc[[#This Row],[DateOpened]],TODAY()))-1,ABS(NETWORKDAYS(Proc[[#This Row],[DateOpened]],Proc[[#This Row],[DateClosed]]))-1)</f>
        <v>2</v>
      </c>
      <c r="R2949" s="115" t="s">
        <v>1013</v>
      </c>
      <c r="S2949" s="125"/>
    </row>
    <row r="2950" spans="1:19" hidden="1">
      <c r="A2950" s="124" t="s">
        <v>5276</v>
      </c>
      <c r="B2950" s="125" t="str">
        <f>IFERROR(VLOOKUP(Proc[[#This Row],[App]],Table2[],3,0),"open")</f>
        <v>ok</v>
      </c>
      <c r="C2950" s="124" t="s">
        <v>369</v>
      </c>
      <c r="D2950" t="s">
        <v>4987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4897</v>
      </c>
      <c r="M2950" s="113">
        <v>45873</v>
      </c>
      <c r="N2950" s="113"/>
      <c r="O2950" s="113"/>
      <c r="P2950" s="115" t="str">
        <f ca="1">IF(Proc[[#This Row],[DaysAgeing]]&gt;5,"yep","on track")</f>
        <v>on track</v>
      </c>
      <c r="Q2950" s="3">
        <f ca="1">IF(Proc[[#This Row],[DateClosed]]="",ABS(NETWORKDAYS(Proc[[#This Row],[DateOpened]],TODAY()))-1,ABS(NETWORKDAYS(Proc[[#This Row],[DateOpened]],Proc[[#This Row],[DateClosed]]))-1)</f>
        <v>2</v>
      </c>
      <c r="R2950" s="115" t="s">
        <v>1013</v>
      </c>
      <c r="S2950" s="125"/>
    </row>
    <row r="2951" spans="1:19" hidden="1">
      <c r="A2951" s="124" t="s">
        <v>5276</v>
      </c>
      <c r="B2951" s="125" t="str">
        <f>IFERROR(VLOOKUP(Proc[[#This Row],[App]],Table2[],3,0),"open")</f>
        <v>ok</v>
      </c>
      <c r="C2951" s="124" t="s">
        <v>369</v>
      </c>
      <c r="D2951" t="s">
        <v>4988</v>
      </c>
      <c r="E2951" t="s">
        <v>5269</v>
      </c>
      <c r="F2951" s="125" t="s">
        <v>5269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4897</v>
      </c>
      <c r="M2951" s="113">
        <v>45873</v>
      </c>
      <c r="N2951" s="113"/>
      <c r="O2951" s="113"/>
      <c r="P2951" s="115" t="str">
        <f ca="1">IF(Proc[[#This Row],[DaysAgeing]]&gt;5,"yep","on track")</f>
        <v>on track</v>
      </c>
      <c r="Q2951" s="3">
        <f ca="1">IF(Proc[[#This Row],[DateClosed]]="",ABS(NETWORKDAYS(Proc[[#This Row],[DateOpened]],TODAY()))-1,ABS(NETWORKDAYS(Proc[[#This Row],[DateOpened]],Proc[[#This Row],[DateClosed]]))-1)</f>
        <v>2</v>
      </c>
      <c r="R2951" s="115" t="s">
        <v>1013</v>
      </c>
      <c r="S2951" s="125"/>
    </row>
    <row r="2952" spans="1:19" hidden="1">
      <c r="A2952" s="124" t="s">
        <v>5276</v>
      </c>
      <c r="B2952" s="125" t="str">
        <f>IFERROR(VLOOKUP(Proc[[#This Row],[App]],Table2[],3,0),"open")</f>
        <v>ok</v>
      </c>
      <c r="C2952" s="124" t="s">
        <v>369</v>
      </c>
      <c r="D2952" t="s">
        <v>4989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4897</v>
      </c>
      <c r="M2952" s="113">
        <v>45873</v>
      </c>
      <c r="N2952" s="113"/>
      <c r="O2952" s="113"/>
      <c r="P2952" s="115" t="str">
        <f ca="1">IF(Proc[[#This Row],[DaysAgeing]]&gt;5,"yep","on track")</f>
        <v>on track</v>
      </c>
      <c r="Q2952" s="3">
        <f ca="1">IF(Proc[[#This Row],[DateClosed]]="",ABS(NETWORKDAYS(Proc[[#This Row],[DateOpened]],TODAY()))-1,ABS(NETWORKDAYS(Proc[[#This Row],[DateOpened]],Proc[[#This Row],[DateClosed]]))-1)</f>
        <v>2</v>
      </c>
      <c r="R2952" s="115" t="s">
        <v>1013</v>
      </c>
      <c r="S2952" s="125"/>
    </row>
    <row r="2953" spans="1:19" hidden="1">
      <c r="A2953" s="124" t="s">
        <v>5276</v>
      </c>
      <c r="B2953" s="125" t="str">
        <f>IFERROR(VLOOKUP(Proc[[#This Row],[App]],Table2[],3,0),"open")</f>
        <v>ok</v>
      </c>
      <c r="C2953" s="124" t="s">
        <v>369</v>
      </c>
      <c r="D2953" t="s">
        <v>4990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4897</v>
      </c>
      <c r="M2953" s="113">
        <v>45873</v>
      </c>
      <c r="N2953" s="113"/>
      <c r="O2953" s="113"/>
      <c r="P2953" s="115" t="str">
        <f ca="1">IF(Proc[[#This Row],[DaysAgeing]]&gt;5,"yep","on track")</f>
        <v>on track</v>
      </c>
      <c r="Q2953" s="3">
        <f ca="1">IF(Proc[[#This Row],[DateClosed]]="",ABS(NETWORKDAYS(Proc[[#This Row],[DateOpened]],TODAY()))-1,ABS(NETWORKDAYS(Proc[[#This Row],[DateOpened]],Proc[[#This Row],[DateClosed]]))-1)</f>
        <v>2</v>
      </c>
      <c r="R2953" s="115" t="s">
        <v>1013</v>
      </c>
      <c r="S2953" s="125"/>
    </row>
    <row r="2954" spans="1:19" hidden="1">
      <c r="A2954" s="124" t="s">
        <v>5276</v>
      </c>
      <c r="B2954" s="125" t="str">
        <f>IFERROR(VLOOKUP(Proc[[#This Row],[App]],Table2[],3,0),"open")</f>
        <v>ok</v>
      </c>
      <c r="C2954" s="124" t="s">
        <v>369</v>
      </c>
      <c r="D2954" t="s">
        <v>4991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4897</v>
      </c>
      <c r="M2954" s="113">
        <v>45873</v>
      </c>
      <c r="N2954" s="113"/>
      <c r="O2954" s="113"/>
      <c r="P2954" s="115" t="str">
        <f ca="1">IF(Proc[[#This Row],[DaysAgeing]]&gt;5,"yep","on track")</f>
        <v>on track</v>
      </c>
      <c r="Q2954" s="3">
        <f ca="1">IF(Proc[[#This Row],[DateClosed]]="",ABS(NETWORKDAYS(Proc[[#This Row],[DateOpened]],TODAY()))-1,ABS(NETWORKDAYS(Proc[[#This Row],[DateOpened]],Proc[[#This Row],[DateClosed]]))-1)</f>
        <v>2</v>
      </c>
      <c r="R2954" s="115" t="s">
        <v>1013</v>
      </c>
      <c r="S2954" s="125"/>
    </row>
    <row r="2955" spans="1:19" hidden="1">
      <c r="A2955" s="124" t="s">
        <v>5276</v>
      </c>
      <c r="B2955" s="125" t="str">
        <f>IFERROR(VLOOKUP(Proc[[#This Row],[App]],Table2[],3,0),"open")</f>
        <v>ok</v>
      </c>
      <c r="C2955" s="124" t="s">
        <v>369</v>
      </c>
      <c r="D2955" t="s">
        <v>4992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4897</v>
      </c>
      <c r="M2955" s="113">
        <v>45873</v>
      </c>
      <c r="N2955" s="113"/>
      <c r="O2955" s="113"/>
      <c r="P2955" s="115" t="str">
        <f ca="1">IF(Proc[[#This Row],[DaysAgeing]]&gt;5,"yep","on track")</f>
        <v>on track</v>
      </c>
      <c r="Q2955" s="3">
        <f ca="1">IF(Proc[[#This Row],[DateClosed]]="",ABS(NETWORKDAYS(Proc[[#This Row],[DateOpened]],TODAY()))-1,ABS(NETWORKDAYS(Proc[[#This Row],[DateOpened]],Proc[[#This Row],[DateClosed]]))-1)</f>
        <v>2</v>
      </c>
      <c r="R2955" s="115" t="s">
        <v>1013</v>
      </c>
      <c r="S2955" s="125"/>
    </row>
    <row r="2956" spans="1:19" hidden="1">
      <c r="A2956" s="124" t="s">
        <v>5276</v>
      </c>
      <c r="B2956" s="125" t="str">
        <f>IFERROR(VLOOKUP(Proc[[#This Row],[App]],Table2[],3,0),"open")</f>
        <v>ok</v>
      </c>
      <c r="C2956" s="124" t="s">
        <v>369</v>
      </c>
      <c r="D2956" t="s">
        <v>4993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4897</v>
      </c>
      <c r="M2956" s="113">
        <v>45873</v>
      </c>
      <c r="N2956" s="113"/>
      <c r="O2956" s="113"/>
      <c r="P2956" s="115" t="str">
        <f ca="1">IF(Proc[[#This Row],[DaysAgeing]]&gt;5,"yep","on track")</f>
        <v>on track</v>
      </c>
      <c r="Q2956" s="3">
        <f ca="1">IF(Proc[[#This Row],[DateClosed]]="",ABS(NETWORKDAYS(Proc[[#This Row],[DateOpened]],TODAY()))-1,ABS(NETWORKDAYS(Proc[[#This Row],[DateOpened]],Proc[[#This Row],[DateClosed]]))-1)</f>
        <v>2</v>
      </c>
      <c r="R2956" s="115" t="s">
        <v>1013</v>
      </c>
      <c r="S2956" s="125"/>
    </row>
    <row r="2957" spans="1:19" hidden="1">
      <c r="A2957" s="124" t="s">
        <v>5276</v>
      </c>
      <c r="B2957" s="125" t="str">
        <f>IFERROR(VLOOKUP(Proc[[#This Row],[App]],Table2[],3,0),"open")</f>
        <v>ok</v>
      </c>
      <c r="C2957" s="124" t="s">
        <v>369</v>
      </c>
      <c r="D2957" t="s">
        <v>4994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4897</v>
      </c>
      <c r="M2957" s="113">
        <v>45873</v>
      </c>
      <c r="N2957" s="113"/>
      <c r="O2957" s="113"/>
      <c r="P2957" s="115" t="str">
        <f ca="1">IF(Proc[[#This Row],[DaysAgeing]]&gt;5,"yep","on track")</f>
        <v>on track</v>
      </c>
      <c r="Q2957" s="3">
        <f ca="1">IF(Proc[[#This Row],[DateClosed]]="",ABS(NETWORKDAYS(Proc[[#This Row],[DateOpened]],TODAY()))-1,ABS(NETWORKDAYS(Proc[[#This Row],[DateOpened]],Proc[[#This Row],[DateClosed]]))-1)</f>
        <v>2</v>
      </c>
      <c r="R2957" s="115" t="s">
        <v>1013</v>
      </c>
      <c r="S2957" s="125"/>
    </row>
    <row r="2958" spans="1:19" hidden="1">
      <c r="A2958" s="124" t="s">
        <v>5276</v>
      </c>
      <c r="B2958" s="125" t="str">
        <f>IFERROR(VLOOKUP(Proc[[#This Row],[App]],Table2[],3,0),"open")</f>
        <v>ok</v>
      </c>
      <c r="C2958" s="124" t="s">
        <v>369</v>
      </c>
      <c r="D2958" t="s">
        <v>4995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4897</v>
      </c>
      <c r="M2958" s="113">
        <v>45873</v>
      </c>
      <c r="N2958" s="113"/>
      <c r="O2958" s="113"/>
      <c r="P2958" s="115" t="str">
        <f ca="1">IF(Proc[[#This Row],[DaysAgeing]]&gt;5,"yep","on track")</f>
        <v>on track</v>
      </c>
      <c r="Q2958" s="3">
        <f ca="1">IF(Proc[[#This Row],[DateClosed]]="",ABS(NETWORKDAYS(Proc[[#This Row],[DateOpened]],TODAY()))-1,ABS(NETWORKDAYS(Proc[[#This Row],[DateOpened]],Proc[[#This Row],[DateClosed]]))-1)</f>
        <v>2</v>
      </c>
      <c r="R2958" s="115" t="s">
        <v>1013</v>
      </c>
      <c r="S2958" s="125"/>
    </row>
    <row r="2959" spans="1:19" hidden="1">
      <c r="A2959" s="124" t="s">
        <v>5276</v>
      </c>
      <c r="B2959" s="125" t="str">
        <f>IFERROR(VLOOKUP(Proc[[#This Row],[App]],Table2[],3,0),"open")</f>
        <v>ok</v>
      </c>
      <c r="C2959" s="124" t="s">
        <v>369</v>
      </c>
      <c r="D2959" t="s">
        <v>4996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4897</v>
      </c>
      <c r="M2959" s="113">
        <v>45873</v>
      </c>
      <c r="N2959" s="113"/>
      <c r="O2959" s="113"/>
      <c r="P2959" s="115" t="str">
        <f ca="1">IF(Proc[[#This Row],[DaysAgeing]]&gt;5,"yep","on track")</f>
        <v>on track</v>
      </c>
      <c r="Q2959" s="3">
        <f ca="1">IF(Proc[[#This Row],[DateClosed]]="",ABS(NETWORKDAYS(Proc[[#This Row],[DateOpened]],TODAY()))-1,ABS(NETWORKDAYS(Proc[[#This Row],[DateOpened]],Proc[[#This Row],[DateClosed]]))-1)</f>
        <v>2</v>
      </c>
      <c r="R2959" s="115" t="s">
        <v>1013</v>
      </c>
      <c r="S2959" s="125"/>
    </row>
    <row r="2960" spans="1:19" hidden="1">
      <c r="A2960" s="124" t="s">
        <v>5276</v>
      </c>
      <c r="B2960" s="125" t="str">
        <f>IFERROR(VLOOKUP(Proc[[#This Row],[App]],Table2[],3,0),"open")</f>
        <v>ok</v>
      </c>
      <c r="C2960" s="124" t="s">
        <v>369</v>
      </c>
      <c r="D2960" t="s">
        <v>4997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4897</v>
      </c>
      <c r="M2960" s="113">
        <v>45873</v>
      </c>
      <c r="N2960" s="113"/>
      <c r="O2960" s="113"/>
      <c r="P2960" s="115" t="str">
        <f ca="1">IF(Proc[[#This Row],[DaysAgeing]]&gt;5,"yep","on track")</f>
        <v>on track</v>
      </c>
      <c r="Q2960" s="3">
        <f ca="1">IF(Proc[[#This Row],[DateClosed]]="",ABS(NETWORKDAYS(Proc[[#This Row],[DateOpened]],TODAY()))-1,ABS(NETWORKDAYS(Proc[[#This Row],[DateOpened]],Proc[[#This Row],[DateClosed]]))-1)</f>
        <v>2</v>
      </c>
      <c r="R2960" s="115" t="s">
        <v>1013</v>
      </c>
      <c r="S2960" s="125"/>
    </row>
    <row r="2961" spans="1:19" hidden="1">
      <c r="A2961" s="124" t="s">
        <v>5276</v>
      </c>
      <c r="B2961" s="125" t="str">
        <f>IFERROR(VLOOKUP(Proc[[#This Row],[App]],Table2[],3,0),"open")</f>
        <v>ok</v>
      </c>
      <c r="C2961" s="124" t="s">
        <v>369</v>
      </c>
      <c r="D2961" t="s">
        <v>4998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4897</v>
      </c>
      <c r="M2961" s="113">
        <v>45873</v>
      </c>
      <c r="N2961" s="113"/>
      <c r="O2961" s="113"/>
      <c r="P2961" s="115" t="str">
        <f ca="1">IF(Proc[[#This Row],[DaysAgeing]]&gt;5,"yep","on track")</f>
        <v>on track</v>
      </c>
      <c r="Q2961" s="3">
        <f ca="1">IF(Proc[[#This Row],[DateClosed]]="",ABS(NETWORKDAYS(Proc[[#This Row],[DateOpened]],TODAY()))-1,ABS(NETWORKDAYS(Proc[[#This Row],[DateOpened]],Proc[[#This Row],[DateClosed]]))-1)</f>
        <v>2</v>
      </c>
      <c r="R2961" s="115" t="s">
        <v>1013</v>
      </c>
      <c r="S2961" s="125"/>
    </row>
    <row r="2962" spans="1:19" hidden="1">
      <c r="A2962" s="124" t="s">
        <v>5276</v>
      </c>
      <c r="B2962" s="125" t="str">
        <f>IFERROR(VLOOKUP(Proc[[#This Row],[App]],Table2[],3,0),"open")</f>
        <v>ok</v>
      </c>
      <c r="C2962" s="124" t="s">
        <v>369</v>
      </c>
      <c r="D2962" t="s">
        <v>4999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4897</v>
      </c>
      <c r="M2962" s="113">
        <v>45873</v>
      </c>
      <c r="N2962" s="113"/>
      <c r="O2962" s="113"/>
      <c r="P2962" s="115" t="str">
        <f ca="1">IF(Proc[[#This Row],[DaysAgeing]]&gt;5,"yep","on track")</f>
        <v>on track</v>
      </c>
      <c r="Q2962" s="3">
        <f ca="1">IF(Proc[[#This Row],[DateClosed]]="",ABS(NETWORKDAYS(Proc[[#This Row],[DateOpened]],TODAY()))-1,ABS(NETWORKDAYS(Proc[[#This Row],[DateOpened]],Proc[[#This Row],[DateClosed]]))-1)</f>
        <v>2</v>
      </c>
      <c r="R2962" s="115" t="s">
        <v>1013</v>
      </c>
      <c r="S2962" s="125"/>
    </row>
    <row r="2963" spans="1:19" hidden="1">
      <c r="A2963" s="124" t="s">
        <v>5276</v>
      </c>
      <c r="B2963" s="125" t="str">
        <f>IFERROR(VLOOKUP(Proc[[#This Row],[App]],Table2[],3,0),"open")</f>
        <v>ok</v>
      </c>
      <c r="C2963" s="124" t="s">
        <v>369</v>
      </c>
      <c r="D2963" t="s">
        <v>5000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4897</v>
      </c>
      <c r="M2963" s="113">
        <v>45873</v>
      </c>
      <c r="N2963" s="113"/>
      <c r="O2963" s="113"/>
      <c r="P2963" s="115" t="str">
        <f ca="1">IF(Proc[[#This Row],[DaysAgeing]]&gt;5,"yep","on track")</f>
        <v>on track</v>
      </c>
      <c r="Q2963" s="3">
        <f ca="1">IF(Proc[[#This Row],[DateClosed]]="",ABS(NETWORKDAYS(Proc[[#This Row],[DateOpened]],TODAY()))-1,ABS(NETWORKDAYS(Proc[[#This Row],[DateOpened]],Proc[[#This Row],[DateClosed]]))-1)</f>
        <v>2</v>
      </c>
      <c r="R2963" s="115" t="s">
        <v>1013</v>
      </c>
      <c r="S2963" s="125"/>
    </row>
    <row r="2964" spans="1:19" hidden="1">
      <c r="A2964" s="124" t="s">
        <v>5276</v>
      </c>
      <c r="B2964" s="125" t="str">
        <f>IFERROR(VLOOKUP(Proc[[#This Row],[App]],Table2[],3,0),"open")</f>
        <v>ok</v>
      </c>
      <c r="C2964" s="124" t="s">
        <v>369</v>
      </c>
      <c r="D2964" t="s">
        <v>5001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4897</v>
      </c>
      <c r="M2964" s="113">
        <v>45873</v>
      </c>
      <c r="N2964" s="113"/>
      <c r="O2964" s="113"/>
      <c r="P2964" s="115" t="str">
        <f ca="1">IF(Proc[[#This Row],[DaysAgeing]]&gt;5,"yep","on track")</f>
        <v>on track</v>
      </c>
      <c r="Q2964" s="3">
        <f ca="1">IF(Proc[[#This Row],[DateClosed]]="",ABS(NETWORKDAYS(Proc[[#This Row],[DateOpened]],TODAY()))-1,ABS(NETWORKDAYS(Proc[[#This Row],[DateOpened]],Proc[[#This Row],[DateClosed]]))-1)</f>
        <v>2</v>
      </c>
      <c r="R2964" s="115" t="s">
        <v>1013</v>
      </c>
      <c r="S2964" s="125"/>
    </row>
    <row r="2965" spans="1:19" hidden="1">
      <c r="A2965" s="124" t="s">
        <v>5276</v>
      </c>
      <c r="B2965" s="125" t="str">
        <f>IFERROR(VLOOKUP(Proc[[#This Row],[App]],Table2[],3,0),"open")</f>
        <v>ok</v>
      </c>
      <c r="C2965" s="124" t="s">
        <v>369</v>
      </c>
      <c r="D2965" t="s">
        <v>5002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4897</v>
      </c>
      <c r="M2965" s="113">
        <v>45873</v>
      </c>
      <c r="N2965" s="113"/>
      <c r="O2965" s="113"/>
      <c r="P2965" s="115" t="str">
        <f ca="1">IF(Proc[[#This Row],[DaysAgeing]]&gt;5,"yep","on track")</f>
        <v>on track</v>
      </c>
      <c r="Q2965" s="3">
        <f ca="1">IF(Proc[[#This Row],[DateClosed]]="",ABS(NETWORKDAYS(Proc[[#This Row],[DateOpened]],TODAY()))-1,ABS(NETWORKDAYS(Proc[[#This Row],[DateOpened]],Proc[[#This Row],[DateClosed]]))-1)</f>
        <v>2</v>
      </c>
      <c r="R2965" s="115" t="s">
        <v>1013</v>
      </c>
      <c r="S2965" s="125"/>
    </row>
    <row r="2966" spans="1:19" hidden="1">
      <c r="A2966" s="124" t="s">
        <v>5276</v>
      </c>
      <c r="B2966" s="125" t="str">
        <f>IFERROR(VLOOKUP(Proc[[#This Row],[App]],Table2[],3,0),"open")</f>
        <v>ok</v>
      </c>
      <c r="C2966" s="124" t="s">
        <v>369</v>
      </c>
      <c r="D2966" t="s">
        <v>5003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4897</v>
      </c>
      <c r="M2966" s="113">
        <v>45873</v>
      </c>
      <c r="N2966" s="113"/>
      <c r="O2966" s="113"/>
      <c r="P2966" s="115" t="str">
        <f ca="1">IF(Proc[[#This Row],[DaysAgeing]]&gt;5,"yep","on track")</f>
        <v>on track</v>
      </c>
      <c r="Q2966" s="3">
        <f ca="1">IF(Proc[[#This Row],[DateClosed]]="",ABS(NETWORKDAYS(Proc[[#This Row],[DateOpened]],TODAY()))-1,ABS(NETWORKDAYS(Proc[[#This Row],[DateOpened]],Proc[[#This Row],[DateClosed]]))-1)</f>
        <v>2</v>
      </c>
      <c r="R2966" s="115" t="s">
        <v>1013</v>
      </c>
      <c r="S2966" s="125"/>
    </row>
    <row r="2967" spans="1:19" hidden="1">
      <c r="A2967" s="124" t="s">
        <v>5276</v>
      </c>
      <c r="B2967" s="125" t="str">
        <f>IFERROR(VLOOKUP(Proc[[#This Row],[App]],Table2[],3,0),"open")</f>
        <v>ok</v>
      </c>
      <c r="C2967" s="124" t="s">
        <v>369</v>
      </c>
      <c r="D2967" t="s">
        <v>5004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4897</v>
      </c>
      <c r="M2967" s="113">
        <v>45873</v>
      </c>
      <c r="N2967" s="113"/>
      <c r="O2967" s="113"/>
      <c r="P2967" s="115" t="str">
        <f ca="1">IF(Proc[[#This Row],[DaysAgeing]]&gt;5,"yep","on track")</f>
        <v>on track</v>
      </c>
      <c r="Q2967" s="3">
        <f ca="1">IF(Proc[[#This Row],[DateClosed]]="",ABS(NETWORKDAYS(Proc[[#This Row],[DateOpened]],TODAY()))-1,ABS(NETWORKDAYS(Proc[[#This Row],[DateOpened]],Proc[[#This Row],[DateClosed]]))-1)</f>
        <v>2</v>
      </c>
      <c r="R2967" s="115" t="s">
        <v>1013</v>
      </c>
      <c r="S2967" s="125"/>
    </row>
    <row r="2968" spans="1:19" hidden="1">
      <c r="A2968" s="124" t="s">
        <v>5276</v>
      </c>
      <c r="B2968" s="125" t="str">
        <f>IFERROR(VLOOKUP(Proc[[#This Row],[App]],Table2[],3,0),"open")</f>
        <v>ok</v>
      </c>
      <c r="C2968" s="124" t="s">
        <v>369</v>
      </c>
      <c r="D2968" t="s">
        <v>5005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4897</v>
      </c>
      <c r="M2968" s="113">
        <v>45873</v>
      </c>
      <c r="N2968" s="113"/>
      <c r="O2968" s="113"/>
      <c r="P2968" s="115" t="str">
        <f ca="1">IF(Proc[[#This Row],[DaysAgeing]]&gt;5,"yep","on track")</f>
        <v>on track</v>
      </c>
      <c r="Q2968" s="3">
        <f ca="1">IF(Proc[[#This Row],[DateClosed]]="",ABS(NETWORKDAYS(Proc[[#This Row],[DateOpened]],TODAY()))-1,ABS(NETWORKDAYS(Proc[[#This Row],[DateOpened]],Proc[[#This Row],[DateClosed]]))-1)</f>
        <v>2</v>
      </c>
      <c r="R2968" s="115" t="s">
        <v>1013</v>
      </c>
      <c r="S2968" s="125"/>
    </row>
    <row r="2969" spans="1:19" hidden="1">
      <c r="A2969" s="124" t="s">
        <v>5276</v>
      </c>
      <c r="B2969" s="125" t="str">
        <f>IFERROR(VLOOKUP(Proc[[#This Row],[App]],Table2[],3,0),"open")</f>
        <v>ok</v>
      </c>
      <c r="C2969" s="124" t="s">
        <v>369</v>
      </c>
      <c r="D2969" t="s">
        <v>5006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4897</v>
      </c>
      <c r="M2969" s="113">
        <v>45873</v>
      </c>
      <c r="N2969" s="113"/>
      <c r="O2969" s="113"/>
      <c r="P2969" s="115" t="str">
        <f ca="1">IF(Proc[[#This Row],[DaysAgeing]]&gt;5,"yep","on track")</f>
        <v>on track</v>
      </c>
      <c r="Q2969" s="3">
        <f ca="1">IF(Proc[[#This Row],[DateClosed]]="",ABS(NETWORKDAYS(Proc[[#This Row],[DateOpened]],TODAY()))-1,ABS(NETWORKDAYS(Proc[[#This Row],[DateOpened]],Proc[[#This Row],[DateClosed]]))-1)</f>
        <v>2</v>
      </c>
      <c r="R2969" s="115" t="s">
        <v>1013</v>
      </c>
      <c r="S2969" s="125"/>
    </row>
    <row r="2970" spans="1:19" hidden="1">
      <c r="A2970" s="124" t="s">
        <v>5276</v>
      </c>
      <c r="B2970" s="125" t="str">
        <f>IFERROR(VLOOKUP(Proc[[#This Row],[App]],Table2[],3,0),"open")</f>
        <v>ok</v>
      </c>
      <c r="C2970" s="124" t="s">
        <v>369</v>
      </c>
      <c r="D2970" t="s">
        <v>5007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4897</v>
      </c>
      <c r="M2970" s="113">
        <v>45873</v>
      </c>
      <c r="N2970" s="113"/>
      <c r="O2970" s="113"/>
      <c r="P2970" s="115" t="str">
        <f ca="1">IF(Proc[[#This Row],[DaysAgeing]]&gt;5,"yep","on track")</f>
        <v>on track</v>
      </c>
      <c r="Q2970" s="3">
        <f ca="1">IF(Proc[[#This Row],[DateClosed]]="",ABS(NETWORKDAYS(Proc[[#This Row],[DateOpened]],TODAY()))-1,ABS(NETWORKDAYS(Proc[[#This Row],[DateOpened]],Proc[[#This Row],[DateClosed]]))-1)</f>
        <v>2</v>
      </c>
      <c r="R2970" s="115" t="s">
        <v>1013</v>
      </c>
      <c r="S2970" s="125"/>
    </row>
    <row r="2971" spans="1:19" hidden="1">
      <c r="A2971" s="124" t="s">
        <v>5276</v>
      </c>
      <c r="B2971" s="125" t="str">
        <f>IFERROR(VLOOKUP(Proc[[#This Row],[App]],Table2[],3,0),"open")</f>
        <v>ok</v>
      </c>
      <c r="C2971" s="124" t="s">
        <v>369</v>
      </c>
      <c r="D2971" t="s">
        <v>5008</v>
      </c>
      <c r="E2971" t="s">
        <v>5269</v>
      </c>
      <c r="F2971" s="125" t="s">
        <v>5269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4897</v>
      </c>
      <c r="M2971" s="113">
        <v>45873</v>
      </c>
      <c r="N2971" s="113"/>
      <c r="O2971" s="113"/>
      <c r="P2971" s="115" t="str">
        <f ca="1">IF(Proc[[#This Row],[DaysAgeing]]&gt;5,"yep","on track")</f>
        <v>on track</v>
      </c>
      <c r="Q2971" s="3">
        <f ca="1">IF(Proc[[#This Row],[DateClosed]]="",ABS(NETWORKDAYS(Proc[[#This Row],[DateOpened]],TODAY()))-1,ABS(NETWORKDAYS(Proc[[#This Row],[DateOpened]],Proc[[#This Row],[DateClosed]]))-1)</f>
        <v>2</v>
      </c>
      <c r="R2971" s="115" t="s">
        <v>1013</v>
      </c>
      <c r="S2971" s="125"/>
    </row>
    <row r="2972" spans="1:19" hidden="1">
      <c r="A2972" s="124" t="s">
        <v>5276</v>
      </c>
      <c r="B2972" s="125" t="str">
        <f>IFERROR(VLOOKUP(Proc[[#This Row],[App]],Table2[],3,0),"open")</f>
        <v>ok</v>
      </c>
      <c r="C2972" s="124" t="s">
        <v>369</v>
      </c>
      <c r="D2972" t="s">
        <v>5009</v>
      </c>
      <c r="E2972" t="s">
        <v>5270</v>
      </c>
      <c r="F2972" s="125" t="s">
        <v>5270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4897</v>
      </c>
      <c r="M2972" s="113">
        <v>45873</v>
      </c>
      <c r="N2972" s="113"/>
      <c r="O2972" s="113"/>
      <c r="P2972" s="115" t="str">
        <f ca="1">IF(Proc[[#This Row],[DaysAgeing]]&gt;5,"yep","on track")</f>
        <v>on track</v>
      </c>
      <c r="Q2972" s="3">
        <f ca="1">IF(Proc[[#This Row],[DateClosed]]="",ABS(NETWORKDAYS(Proc[[#This Row],[DateOpened]],TODAY()))-1,ABS(NETWORKDAYS(Proc[[#This Row],[DateOpened]],Proc[[#This Row],[DateClosed]]))-1)</f>
        <v>2</v>
      </c>
      <c r="R2972" s="115" t="s">
        <v>1013</v>
      </c>
      <c r="S2972" s="125"/>
    </row>
    <row r="2973" spans="1:19" hidden="1">
      <c r="A2973" s="124" t="s">
        <v>5276</v>
      </c>
      <c r="B2973" s="125" t="str">
        <f>IFERROR(VLOOKUP(Proc[[#This Row],[App]],Table2[],3,0),"open")</f>
        <v>ok</v>
      </c>
      <c r="C2973" s="124" t="s">
        <v>369</v>
      </c>
      <c r="D2973" t="s">
        <v>5010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4897</v>
      </c>
      <c r="M2973" s="113">
        <v>45873</v>
      </c>
      <c r="N2973" s="113"/>
      <c r="O2973" s="113"/>
      <c r="P2973" s="115" t="str">
        <f ca="1">IF(Proc[[#This Row],[DaysAgeing]]&gt;5,"yep","on track")</f>
        <v>on track</v>
      </c>
      <c r="Q2973" s="3">
        <f ca="1">IF(Proc[[#This Row],[DateClosed]]="",ABS(NETWORKDAYS(Proc[[#This Row],[DateOpened]],TODAY()))-1,ABS(NETWORKDAYS(Proc[[#This Row],[DateOpened]],Proc[[#This Row],[DateClosed]]))-1)</f>
        <v>2</v>
      </c>
      <c r="R2973" s="115" t="s">
        <v>1013</v>
      </c>
      <c r="S2973" s="125"/>
    </row>
    <row r="2974" spans="1:19" hidden="1">
      <c r="A2974" s="124" t="s">
        <v>5276</v>
      </c>
      <c r="B2974" s="125" t="str">
        <f>IFERROR(VLOOKUP(Proc[[#This Row],[App]],Table2[],3,0),"open")</f>
        <v>ok</v>
      </c>
      <c r="C2974" s="124" t="s">
        <v>369</v>
      </c>
      <c r="D2974" t="s">
        <v>5011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4897</v>
      </c>
      <c r="M2974" s="113">
        <v>45873</v>
      </c>
      <c r="N2974" s="113"/>
      <c r="O2974" s="113"/>
      <c r="P2974" s="115" t="str">
        <f ca="1">IF(Proc[[#This Row],[DaysAgeing]]&gt;5,"yep","on track")</f>
        <v>on track</v>
      </c>
      <c r="Q2974" s="3">
        <f ca="1">IF(Proc[[#This Row],[DateClosed]]="",ABS(NETWORKDAYS(Proc[[#This Row],[DateOpened]],TODAY()))-1,ABS(NETWORKDAYS(Proc[[#This Row],[DateOpened]],Proc[[#This Row],[DateClosed]]))-1)</f>
        <v>2</v>
      </c>
      <c r="R2974" s="115" t="s">
        <v>1013</v>
      </c>
      <c r="S2974" s="125"/>
    </row>
    <row r="2975" spans="1:19" hidden="1">
      <c r="A2975" s="124" t="s">
        <v>5276</v>
      </c>
      <c r="B2975" s="125" t="str">
        <f>IFERROR(VLOOKUP(Proc[[#This Row],[App]],Table2[],3,0),"open")</f>
        <v>ok</v>
      </c>
      <c r="C2975" s="124" t="s">
        <v>369</v>
      </c>
      <c r="D2975" t="s">
        <v>5012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4897</v>
      </c>
      <c r="M2975" s="113">
        <v>45873</v>
      </c>
      <c r="N2975" s="113"/>
      <c r="O2975" s="113"/>
      <c r="P2975" s="115" t="str">
        <f ca="1">IF(Proc[[#This Row],[DaysAgeing]]&gt;5,"yep","on track")</f>
        <v>on track</v>
      </c>
      <c r="Q2975" s="3">
        <f ca="1">IF(Proc[[#This Row],[DateClosed]]="",ABS(NETWORKDAYS(Proc[[#This Row],[DateOpened]],TODAY()))-1,ABS(NETWORKDAYS(Proc[[#This Row],[DateOpened]],Proc[[#This Row],[DateClosed]]))-1)</f>
        <v>2</v>
      </c>
      <c r="R2975" s="115" t="s">
        <v>1013</v>
      </c>
      <c r="S2975" s="125"/>
    </row>
    <row r="2976" spans="1:19" hidden="1">
      <c r="A2976" s="124" t="s">
        <v>5276</v>
      </c>
      <c r="B2976" s="125" t="str">
        <f>IFERROR(VLOOKUP(Proc[[#This Row],[App]],Table2[],3,0),"open")</f>
        <v>ok</v>
      </c>
      <c r="C2976" s="124" t="s">
        <v>369</v>
      </c>
      <c r="D2976" t="s">
        <v>5013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4897</v>
      </c>
      <c r="M2976" s="113">
        <v>45873</v>
      </c>
      <c r="N2976" s="113"/>
      <c r="O2976" s="113"/>
      <c r="P2976" s="115" t="str">
        <f ca="1">IF(Proc[[#This Row],[DaysAgeing]]&gt;5,"yep","on track")</f>
        <v>on track</v>
      </c>
      <c r="Q2976" s="3">
        <f ca="1">IF(Proc[[#This Row],[DateClosed]]="",ABS(NETWORKDAYS(Proc[[#This Row],[DateOpened]],TODAY()))-1,ABS(NETWORKDAYS(Proc[[#This Row],[DateOpened]],Proc[[#This Row],[DateClosed]]))-1)</f>
        <v>2</v>
      </c>
      <c r="R2976" s="115" t="s">
        <v>1013</v>
      </c>
      <c r="S2976" s="125"/>
    </row>
    <row r="2977" spans="1:19" hidden="1">
      <c r="A2977" s="124" t="s">
        <v>5276</v>
      </c>
      <c r="B2977" s="125" t="str">
        <f>IFERROR(VLOOKUP(Proc[[#This Row],[App]],Table2[],3,0),"open")</f>
        <v>ok</v>
      </c>
      <c r="C2977" s="124" t="s">
        <v>369</v>
      </c>
      <c r="D2977" t="s">
        <v>5014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4897</v>
      </c>
      <c r="M2977" s="113">
        <v>45873</v>
      </c>
      <c r="N2977" s="113"/>
      <c r="O2977" s="113"/>
      <c r="P2977" s="115" t="str">
        <f ca="1">IF(Proc[[#This Row],[DaysAgeing]]&gt;5,"yep","on track")</f>
        <v>on track</v>
      </c>
      <c r="Q2977" s="3">
        <f ca="1">IF(Proc[[#This Row],[DateClosed]]="",ABS(NETWORKDAYS(Proc[[#This Row],[DateOpened]],TODAY()))-1,ABS(NETWORKDAYS(Proc[[#This Row],[DateOpened]],Proc[[#This Row],[DateClosed]]))-1)</f>
        <v>2</v>
      </c>
      <c r="R2977" s="115" t="s">
        <v>1013</v>
      </c>
      <c r="S2977" s="125"/>
    </row>
    <row r="2978" spans="1:19" hidden="1">
      <c r="A2978" s="124" t="s">
        <v>5276</v>
      </c>
      <c r="B2978" s="125" t="str">
        <f>IFERROR(VLOOKUP(Proc[[#This Row],[App]],Table2[],3,0),"open")</f>
        <v>ok</v>
      </c>
      <c r="C2978" s="124" t="s">
        <v>369</v>
      </c>
      <c r="D2978" t="s">
        <v>5015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4897</v>
      </c>
      <c r="M2978" s="113">
        <v>45873</v>
      </c>
      <c r="N2978" s="113"/>
      <c r="O2978" s="113"/>
      <c r="P2978" s="115" t="str">
        <f ca="1">IF(Proc[[#This Row],[DaysAgeing]]&gt;5,"yep","on track")</f>
        <v>on track</v>
      </c>
      <c r="Q2978" s="3">
        <f ca="1">IF(Proc[[#This Row],[DateClosed]]="",ABS(NETWORKDAYS(Proc[[#This Row],[DateOpened]],TODAY()))-1,ABS(NETWORKDAYS(Proc[[#This Row],[DateOpened]],Proc[[#This Row],[DateClosed]]))-1)</f>
        <v>2</v>
      </c>
      <c r="R2978" s="115" t="s">
        <v>1013</v>
      </c>
      <c r="S2978" s="125"/>
    </row>
    <row r="2979" spans="1:19" hidden="1">
      <c r="A2979" s="124" t="s">
        <v>5276</v>
      </c>
      <c r="B2979" s="125" t="str">
        <f>IFERROR(VLOOKUP(Proc[[#This Row],[App]],Table2[],3,0),"open")</f>
        <v>ok</v>
      </c>
      <c r="C2979" s="124" t="s">
        <v>369</v>
      </c>
      <c r="D2979" t="s">
        <v>5016</v>
      </c>
      <c r="E2979" t="s">
        <v>5269</v>
      </c>
      <c r="F2979" s="125" t="s">
        <v>5269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4897</v>
      </c>
      <c r="M2979" s="113">
        <v>45873</v>
      </c>
      <c r="N2979" s="113"/>
      <c r="O2979" s="113"/>
      <c r="P2979" s="115" t="str">
        <f ca="1">IF(Proc[[#This Row],[DaysAgeing]]&gt;5,"yep","on track")</f>
        <v>on track</v>
      </c>
      <c r="Q2979" s="3">
        <f ca="1">IF(Proc[[#This Row],[DateClosed]]="",ABS(NETWORKDAYS(Proc[[#This Row],[DateOpened]],TODAY()))-1,ABS(NETWORKDAYS(Proc[[#This Row],[DateOpened]],Proc[[#This Row],[DateClosed]]))-1)</f>
        <v>2</v>
      </c>
      <c r="R2979" s="115" t="s">
        <v>1013</v>
      </c>
      <c r="S2979" s="125"/>
    </row>
    <row r="2980" spans="1:19" hidden="1">
      <c r="A2980" s="124" t="s">
        <v>5276</v>
      </c>
      <c r="B2980" s="125" t="str">
        <f>IFERROR(VLOOKUP(Proc[[#This Row],[App]],Table2[],3,0),"open")</f>
        <v>ok</v>
      </c>
      <c r="C2980" s="124" t="s">
        <v>369</v>
      </c>
      <c r="D2980" t="s">
        <v>5017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4897</v>
      </c>
      <c r="M2980" s="113">
        <v>45873</v>
      </c>
      <c r="N2980" s="113"/>
      <c r="O2980" s="113"/>
      <c r="P2980" s="115" t="str">
        <f ca="1">IF(Proc[[#This Row],[DaysAgeing]]&gt;5,"yep","on track")</f>
        <v>on track</v>
      </c>
      <c r="Q2980" s="3">
        <f ca="1">IF(Proc[[#This Row],[DateClosed]]="",ABS(NETWORKDAYS(Proc[[#This Row],[DateOpened]],TODAY()))-1,ABS(NETWORKDAYS(Proc[[#This Row],[DateOpened]],Proc[[#This Row],[DateClosed]]))-1)</f>
        <v>2</v>
      </c>
      <c r="R2980" s="115" t="s">
        <v>1013</v>
      </c>
      <c r="S2980" s="125"/>
    </row>
    <row r="2981" spans="1:19" hidden="1">
      <c r="A2981" s="124" t="s">
        <v>5276</v>
      </c>
      <c r="B2981" s="125" t="str">
        <f>IFERROR(VLOOKUP(Proc[[#This Row],[App]],Table2[],3,0),"open")</f>
        <v>ok</v>
      </c>
      <c r="C2981" s="124" t="s">
        <v>369</v>
      </c>
      <c r="D2981" t="s">
        <v>5018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4897</v>
      </c>
      <c r="M2981" s="113">
        <v>45873</v>
      </c>
      <c r="N2981" s="113"/>
      <c r="O2981" s="113"/>
      <c r="P2981" s="115" t="str">
        <f ca="1">IF(Proc[[#This Row],[DaysAgeing]]&gt;5,"yep","on track")</f>
        <v>on track</v>
      </c>
      <c r="Q2981" s="3">
        <f ca="1">IF(Proc[[#This Row],[DateClosed]]="",ABS(NETWORKDAYS(Proc[[#This Row],[DateOpened]],TODAY()))-1,ABS(NETWORKDAYS(Proc[[#This Row],[DateOpened]],Proc[[#This Row],[DateClosed]]))-1)</f>
        <v>2</v>
      </c>
      <c r="R2981" s="115" t="s">
        <v>1013</v>
      </c>
      <c r="S2981" s="125"/>
    </row>
    <row r="2982" spans="1:19" hidden="1">
      <c r="A2982" s="124" t="s">
        <v>5276</v>
      </c>
      <c r="B2982" s="125" t="str">
        <f>IFERROR(VLOOKUP(Proc[[#This Row],[App]],Table2[],3,0),"open")</f>
        <v>ok</v>
      </c>
      <c r="C2982" s="124" t="s">
        <v>369</v>
      </c>
      <c r="D2982" t="s">
        <v>5019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4897</v>
      </c>
      <c r="M2982" s="113">
        <v>45873</v>
      </c>
      <c r="N2982" s="113"/>
      <c r="O2982" s="113"/>
      <c r="P2982" s="115" t="str">
        <f ca="1">IF(Proc[[#This Row],[DaysAgeing]]&gt;5,"yep","on track")</f>
        <v>on track</v>
      </c>
      <c r="Q2982" s="3">
        <f ca="1">IF(Proc[[#This Row],[DateClosed]]="",ABS(NETWORKDAYS(Proc[[#This Row],[DateOpened]],TODAY()))-1,ABS(NETWORKDAYS(Proc[[#This Row],[DateOpened]],Proc[[#This Row],[DateClosed]]))-1)</f>
        <v>2</v>
      </c>
      <c r="R2982" s="115" t="s">
        <v>1013</v>
      </c>
      <c r="S2982" s="125"/>
    </row>
    <row r="2983" spans="1:19" hidden="1">
      <c r="A2983" s="124" t="s">
        <v>5276</v>
      </c>
      <c r="B2983" s="125" t="str">
        <f>IFERROR(VLOOKUP(Proc[[#This Row],[App]],Table2[],3,0),"open")</f>
        <v>ok</v>
      </c>
      <c r="C2983" s="124" t="s">
        <v>369</v>
      </c>
      <c r="D2983" t="s">
        <v>5020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4897</v>
      </c>
      <c r="M2983" s="113">
        <v>45873</v>
      </c>
      <c r="N2983" s="113"/>
      <c r="O2983" s="113"/>
      <c r="P2983" s="115" t="str">
        <f ca="1">IF(Proc[[#This Row],[DaysAgeing]]&gt;5,"yep","on track")</f>
        <v>on track</v>
      </c>
      <c r="Q2983" s="3">
        <f ca="1">IF(Proc[[#This Row],[DateClosed]]="",ABS(NETWORKDAYS(Proc[[#This Row],[DateOpened]],TODAY()))-1,ABS(NETWORKDAYS(Proc[[#This Row],[DateOpened]],Proc[[#This Row],[DateClosed]]))-1)</f>
        <v>2</v>
      </c>
      <c r="R2983" s="115" t="s">
        <v>1013</v>
      </c>
      <c r="S2983" s="125"/>
    </row>
    <row r="2984" spans="1:19" hidden="1">
      <c r="A2984" s="124" t="s">
        <v>5276</v>
      </c>
      <c r="B2984" s="125" t="str">
        <f>IFERROR(VLOOKUP(Proc[[#This Row],[App]],Table2[],3,0),"open")</f>
        <v>ok</v>
      </c>
      <c r="C2984" s="124" t="s">
        <v>369</v>
      </c>
      <c r="D2984" t="s">
        <v>5021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4897</v>
      </c>
      <c r="M2984" s="113">
        <v>45873</v>
      </c>
      <c r="N2984" s="113"/>
      <c r="O2984" s="113"/>
      <c r="P2984" s="115" t="str">
        <f ca="1">IF(Proc[[#This Row],[DaysAgeing]]&gt;5,"yep","on track")</f>
        <v>on track</v>
      </c>
      <c r="Q2984" s="3">
        <f ca="1">IF(Proc[[#This Row],[DateClosed]]="",ABS(NETWORKDAYS(Proc[[#This Row],[DateOpened]],TODAY()))-1,ABS(NETWORKDAYS(Proc[[#This Row],[DateOpened]],Proc[[#This Row],[DateClosed]]))-1)</f>
        <v>2</v>
      </c>
      <c r="R2984" s="115" t="s">
        <v>1013</v>
      </c>
      <c r="S2984" s="125"/>
    </row>
    <row r="2985" spans="1:19" hidden="1">
      <c r="A2985" s="124" t="s">
        <v>5276</v>
      </c>
      <c r="B2985" s="125" t="str">
        <f>IFERROR(VLOOKUP(Proc[[#This Row],[App]],Table2[],3,0),"open")</f>
        <v>ok</v>
      </c>
      <c r="C2985" s="124" t="s">
        <v>369</v>
      </c>
      <c r="D2985" t="s">
        <v>5022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4897</v>
      </c>
      <c r="M2985" s="113">
        <v>45873</v>
      </c>
      <c r="N2985" s="113"/>
      <c r="O2985" s="113"/>
      <c r="P2985" s="115" t="str">
        <f ca="1">IF(Proc[[#This Row],[DaysAgeing]]&gt;5,"yep","on track")</f>
        <v>on track</v>
      </c>
      <c r="Q2985" s="3">
        <f ca="1">IF(Proc[[#This Row],[DateClosed]]="",ABS(NETWORKDAYS(Proc[[#This Row],[DateOpened]],TODAY()))-1,ABS(NETWORKDAYS(Proc[[#This Row],[DateOpened]],Proc[[#This Row],[DateClosed]]))-1)</f>
        <v>2</v>
      </c>
      <c r="R2985" s="115" t="s">
        <v>1013</v>
      </c>
      <c r="S2985" s="125"/>
    </row>
    <row r="2986" spans="1:19" hidden="1">
      <c r="A2986" s="124" t="s">
        <v>5276</v>
      </c>
      <c r="B2986" s="125" t="str">
        <f>IFERROR(VLOOKUP(Proc[[#This Row],[App]],Table2[],3,0),"open")</f>
        <v>ok</v>
      </c>
      <c r="C2986" s="124" t="s">
        <v>369</v>
      </c>
      <c r="D2986" t="s">
        <v>5023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4897</v>
      </c>
      <c r="M2986" s="113">
        <v>45873</v>
      </c>
      <c r="N2986" s="113"/>
      <c r="O2986" s="113"/>
      <c r="P2986" s="115" t="str">
        <f ca="1">IF(Proc[[#This Row],[DaysAgeing]]&gt;5,"yep","on track")</f>
        <v>on track</v>
      </c>
      <c r="Q2986" s="3">
        <f ca="1">IF(Proc[[#This Row],[DateClosed]]="",ABS(NETWORKDAYS(Proc[[#This Row],[DateOpened]],TODAY()))-1,ABS(NETWORKDAYS(Proc[[#This Row],[DateOpened]],Proc[[#This Row],[DateClosed]]))-1)</f>
        <v>2</v>
      </c>
      <c r="R2986" s="115" t="s">
        <v>1013</v>
      </c>
      <c r="S2986" s="125"/>
    </row>
    <row r="2987" spans="1:19" hidden="1">
      <c r="A2987" s="124" t="s">
        <v>5276</v>
      </c>
      <c r="B2987" s="125" t="str">
        <f>IFERROR(VLOOKUP(Proc[[#This Row],[App]],Table2[],3,0),"open")</f>
        <v>ok</v>
      </c>
      <c r="C2987" s="124" t="s">
        <v>369</v>
      </c>
      <c r="D2987" t="s">
        <v>5024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4897</v>
      </c>
      <c r="M2987" s="113">
        <v>45873</v>
      </c>
      <c r="N2987" s="113"/>
      <c r="O2987" s="113"/>
      <c r="P2987" s="115" t="str">
        <f ca="1">IF(Proc[[#This Row],[DaysAgeing]]&gt;5,"yep","on track")</f>
        <v>on track</v>
      </c>
      <c r="Q2987" s="3">
        <f ca="1">IF(Proc[[#This Row],[DateClosed]]="",ABS(NETWORKDAYS(Proc[[#This Row],[DateOpened]],TODAY()))-1,ABS(NETWORKDAYS(Proc[[#This Row],[DateOpened]],Proc[[#This Row],[DateClosed]]))-1)</f>
        <v>2</v>
      </c>
      <c r="R2987" s="115" t="s">
        <v>1013</v>
      </c>
      <c r="S2987" s="125"/>
    </row>
    <row r="2988" spans="1:19" hidden="1">
      <c r="A2988" s="124" t="s">
        <v>5276</v>
      </c>
      <c r="B2988" s="125" t="str">
        <f>IFERROR(VLOOKUP(Proc[[#This Row],[App]],Table2[],3,0),"open")</f>
        <v>ok</v>
      </c>
      <c r="C2988" s="124" t="s">
        <v>369</v>
      </c>
      <c r="D2988" t="s">
        <v>5025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4897</v>
      </c>
      <c r="M2988" s="113">
        <v>45873</v>
      </c>
      <c r="N2988" s="113"/>
      <c r="O2988" s="113"/>
      <c r="P2988" s="115" t="str">
        <f ca="1">IF(Proc[[#This Row],[DaysAgeing]]&gt;5,"yep","on track")</f>
        <v>on track</v>
      </c>
      <c r="Q2988" s="3">
        <f ca="1">IF(Proc[[#This Row],[DateClosed]]="",ABS(NETWORKDAYS(Proc[[#This Row],[DateOpened]],TODAY()))-1,ABS(NETWORKDAYS(Proc[[#This Row],[DateOpened]],Proc[[#This Row],[DateClosed]]))-1)</f>
        <v>2</v>
      </c>
      <c r="R2988" s="115" t="s">
        <v>1013</v>
      </c>
      <c r="S2988" s="125"/>
    </row>
    <row r="2989" spans="1:19" hidden="1">
      <c r="A2989" s="124" t="s">
        <v>5276</v>
      </c>
      <c r="B2989" s="125" t="str">
        <f>IFERROR(VLOOKUP(Proc[[#This Row],[App]],Table2[],3,0),"open")</f>
        <v>ok</v>
      </c>
      <c r="C2989" s="124" t="s">
        <v>369</v>
      </c>
      <c r="D2989" t="s">
        <v>5026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4897</v>
      </c>
      <c r="M2989" s="113">
        <v>45873</v>
      </c>
      <c r="N2989" s="113"/>
      <c r="O2989" s="113"/>
      <c r="P2989" s="115" t="str">
        <f ca="1">IF(Proc[[#This Row],[DaysAgeing]]&gt;5,"yep","on track")</f>
        <v>on track</v>
      </c>
      <c r="Q2989" s="3">
        <f ca="1">IF(Proc[[#This Row],[DateClosed]]="",ABS(NETWORKDAYS(Proc[[#This Row],[DateOpened]],TODAY()))-1,ABS(NETWORKDAYS(Proc[[#This Row],[DateOpened]],Proc[[#This Row],[DateClosed]]))-1)</f>
        <v>2</v>
      </c>
      <c r="R2989" s="115" t="s">
        <v>1013</v>
      </c>
      <c r="S2989" s="125"/>
    </row>
    <row r="2990" spans="1:19" hidden="1">
      <c r="A2990" s="124" t="s">
        <v>5276</v>
      </c>
      <c r="B2990" s="125" t="str">
        <f>IFERROR(VLOOKUP(Proc[[#This Row],[App]],Table2[],3,0),"open")</f>
        <v>ok</v>
      </c>
      <c r="C2990" s="124" t="s">
        <v>369</v>
      </c>
      <c r="D2990" t="s">
        <v>5027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4897</v>
      </c>
      <c r="M2990" s="113">
        <v>45873</v>
      </c>
      <c r="N2990" s="113"/>
      <c r="O2990" s="113"/>
      <c r="P2990" s="115" t="str">
        <f ca="1">IF(Proc[[#This Row],[DaysAgeing]]&gt;5,"yep","on track")</f>
        <v>on track</v>
      </c>
      <c r="Q2990" s="3">
        <f ca="1">IF(Proc[[#This Row],[DateClosed]]="",ABS(NETWORKDAYS(Proc[[#This Row],[DateOpened]],TODAY()))-1,ABS(NETWORKDAYS(Proc[[#This Row],[DateOpened]],Proc[[#This Row],[DateClosed]]))-1)</f>
        <v>2</v>
      </c>
      <c r="R2990" s="115" t="s">
        <v>1013</v>
      </c>
      <c r="S2990" s="125"/>
    </row>
    <row r="2991" spans="1:19" hidden="1">
      <c r="A2991" s="124" t="s">
        <v>5276</v>
      </c>
      <c r="B2991" s="125" t="str">
        <f>IFERROR(VLOOKUP(Proc[[#This Row],[App]],Table2[],3,0),"open")</f>
        <v>ok</v>
      </c>
      <c r="C2991" s="124" t="s">
        <v>369</v>
      </c>
      <c r="D2991" t="s">
        <v>5028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4897</v>
      </c>
      <c r="M2991" s="113">
        <v>45873</v>
      </c>
      <c r="N2991" s="113"/>
      <c r="O2991" s="113"/>
      <c r="P2991" s="115" t="str">
        <f ca="1">IF(Proc[[#This Row],[DaysAgeing]]&gt;5,"yep","on track")</f>
        <v>on track</v>
      </c>
      <c r="Q2991" s="3">
        <f ca="1">IF(Proc[[#This Row],[DateClosed]]="",ABS(NETWORKDAYS(Proc[[#This Row],[DateOpened]],TODAY()))-1,ABS(NETWORKDAYS(Proc[[#This Row],[DateOpened]],Proc[[#This Row],[DateClosed]]))-1)</f>
        <v>2</v>
      </c>
      <c r="R2991" s="115" t="s">
        <v>1013</v>
      </c>
      <c r="S2991" s="125"/>
    </row>
    <row r="2992" spans="1:19" hidden="1">
      <c r="A2992" s="124" t="s">
        <v>5276</v>
      </c>
      <c r="B2992" s="125" t="str">
        <f>IFERROR(VLOOKUP(Proc[[#This Row],[App]],Table2[],3,0),"open")</f>
        <v>ok</v>
      </c>
      <c r="C2992" s="124" t="s">
        <v>369</v>
      </c>
      <c r="D2992" t="s">
        <v>5029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4897</v>
      </c>
      <c r="M2992" s="113">
        <v>45873</v>
      </c>
      <c r="N2992" s="113"/>
      <c r="O2992" s="113"/>
      <c r="P2992" s="115" t="str">
        <f ca="1">IF(Proc[[#This Row],[DaysAgeing]]&gt;5,"yep","on track")</f>
        <v>on track</v>
      </c>
      <c r="Q2992" s="3">
        <f ca="1">IF(Proc[[#This Row],[DateClosed]]="",ABS(NETWORKDAYS(Proc[[#This Row],[DateOpened]],TODAY()))-1,ABS(NETWORKDAYS(Proc[[#This Row],[DateOpened]],Proc[[#This Row],[DateClosed]]))-1)</f>
        <v>2</v>
      </c>
      <c r="R2992" s="115" t="s">
        <v>1013</v>
      </c>
      <c r="S2992" s="125"/>
    </row>
    <row r="2993" spans="1:19" hidden="1">
      <c r="A2993" s="124" t="s">
        <v>5276</v>
      </c>
      <c r="B2993" s="125" t="str">
        <f>IFERROR(VLOOKUP(Proc[[#This Row],[App]],Table2[],3,0),"open")</f>
        <v>ok</v>
      </c>
      <c r="C2993" s="124" t="s">
        <v>369</v>
      </c>
      <c r="D2993" t="s">
        <v>5030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4897</v>
      </c>
      <c r="M2993" s="113">
        <v>45873</v>
      </c>
      <c r="N2993" s="113"/>
      <c r="O2993" s="113"/>
      <c r="P2993" s="115" t="str">
        <f ca="1">IF(Proc[[#This Row],[DaysAgeing]]&gt;5,"yep","on track")</f>
        <v>on track</v>
      </c>
      <c r="Q2993" s="3">
        <f ca="1">IF(Proc[[#This Row],[DateClosed]]="",ABS(NETWORKDAYS(Proc[[#This Row],[DateOpened]],TODAY()))-1,ABS(NETWORKDAYS(Proc[[#This Row],[DateOpened]],Proc[[#This Row],[DateClosed]]))-1)</f>
        <v>2</v>
      </c>
      <c r="R2993" s="115" t="s">
        <v>1013</v>
      </c>
      <c r="S2993" s="125"/>
    </row>
    <row r="2994" spans="1:19" hidden="1">
      <c r="A2994" s="124" t="s">
        <v>5276</v>
      </c>
      <c r="B2994" s="125" t="str">
        <f>IFERROR(VLOOKUP(Proc[[#This Row],[App]],Table2[],3,0),"open")</f>
        <v>ok</v>
      </c>
      <c r="C2994" s="124" t="s">
        <v>369</v>
      </c>
      <c r="D2994" t="s">
        <v>5031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4897</v>
      </c>
      <c r="M2994" s="113">
        <v>45873</v>
      </c>
      <c r="N2994" s="113"/>
      <c r="O2994" s="113"/>
      <c r="P2994" s="115" t="str">
        <f ca="1">IF(Proc[[#This Row],[DaysAgeing]]&gt;5,"yep","on track")</f>
        <v>on track</v>
      </c>
      <c r="Q2994" s="3">
        <f ca="1">IF(Proc[[#This Row],[DateClosed]]="",ABS(NETWORKDAYS(Proc[[#This Row],[DateOpened]],TODAY()))-1,ABS(NETWORKDAYS(Proc[[#This Row],[DateOpened]],Proc[[#This Row],[DateClosed]]))-1)</f>
        <v>2</v>
      </c>
      <c r="R2994" s="115" t="s">
        <v>1013</v>
      </c>
      <c r="S2994" s="125"/>
    </row>
    <row r="2995" spans="1:19" hidden="1">
      <c r="A2995" s="124" t="s">
        <v>5276</v>
      </c>
      <c r="B2995" s="125" t="str">
        <f>IFERROR(VLOOKUP(Proc[[#This Row],[App]],Table2[],3,0),"open")</f>
        <v>ok</v>
      </c>
      <c r="C2995" s="124" t="s">
        <v>369</v>
      </c>
      <c r="D2995" t="s">
        <v>5032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4897</v>
      </c>
      <c r="M2995" s="113">
        <v>45873</v>
      </c>
      <c r="N2995" s="113"/>
      <c r="O2995" s="113"/>
      <c r="P2995" s="115" t="str">
        <f ca="1">IF(Proc[[#This Row],[DaysAgeing]]&gt;5,"yep","on track")</f>
        <v>on track</v>
      </c>
      <c r="Q2995" s="3">
        <f ca="1">IF(Proc[[#This Row],[DateClosed]]="",ABS(NETWORKDAYS(Proc[[#This Row],[DateOpened]],TODAY()))-1,ABS(NETWORKDAYS(Proc[[#This Row],[DateOpened]],Proc[[#This Row],[DateClosed]]))-1)</f>
        <v>2</v>
      </c>
      <c r="R2995" s="115" t="s">
        <v>1013</v>
      </c>
      <c r="S2995" s="125"/>
    </row>
    <row r="2996" spans="1:19" hidden="1">
      <c r="A2996" s="124" t="s">
        <v>5276</v>
      </c>
      <c r="B2996" s="125" t="str">
        <f>IFERROR(VLOOKUP(Proc[[#This Row],[App]],Table2[],3,0),"open")</f>
        <v>ok</v>
      </c>
      <c r="C2996" s="124" t="s">
        <v>369</v>
      </c>
      <c r="D2996" t="s">
        <v>5033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4897</v>
      </c>
      <c r="M2996" s="113">
        <v>45873</v>
      </c>
      <c r="N2996" s="113"/>
      <c r="O2996" s="113"/>
      <c r="P2996" s="115" t="str">
        <f ca="1">IF(Proc[[#This Row],[DaysAgeing]]&gt;5,"yep","on track")</f>
        <v>on track</v>
      </c>
      <c r="Q2996" s="3">
        <f ca="1">IF(Proc[[#This Row],[DateClosed]]="",ABS(NETWORKDAYS(Proc[[#This Row],[DateOpened]],TODAY()))-1,ABS(NETWORKDAYS(Proc[[#This Row],[DateOpened]],Proc[[#This Row],[DateClosed]]))-1)</f>
        <v>2</v>
      </c>
      <c r="R2996" s="115" t="s">
        <v>1013</v>
      </c>
      <c r="S2996" s="125"/>
    </row>
    <row r="2997" spans="1:19" hidden="1">
      <c r="A2997" s="124" t="s">
        <v>5276</v>
      </c>
      <c r="B2997" s="125" t="str">
        <f>IFERROR(VLOOKUP(Proc[[#This Row],[App]],Table2[],3,0),"open")</f>
        <v>ok</v>
      </c>
      <c r="C2997" s="124" t="s">
        <v>369</v>
      </c>
      <c r="D2997" t="s">
        <v>5034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4897</v>
      </c>
      <c r="M2997" s="113">
        <v>45873</v>
      </c>
      <c r="N2997" s="113"/>
      <c r="O2997" s="113"/>
      <c r="P2997" s="115" t="str">
        <f ca="1">IF(Proc[[#This Row],[DaysAgeing]]&gt;5,"yep","on track")</f>
        <v>on track</v>
      </c>
      <c r="Q2997" s="3">
        <f ca="1">IF(Proc[[#This Row],[DateClosed]]="",ABS(NETWORKDAYS(Proc[[#This Row],[DateOpened]],TODAY()))-1,ABS(NETWORKDAYS(Proc[[#This Row],[DateOpened]],Proc[[#This Row],[DateClosed]]))-1)</f>
        <v>2</v>
      </c>
      <c r="R2997" s="115" t="s">
        <v>1013</v>
      </c>
      <c r="S2997" s="125"/>
    </row>
    <row r="2998" spans="1:19" hidden="1">
      <c r="A2998" s="124" t="s">
        <v>5276</v>
      </c>
      <c r="B2998" s="125" t="str">
        <f>IFERROR(VLOOKUP(Proc[[#This Row],[App]],Table2[],3,0),"open")</f>
        <v>ok</v>
      </c>
      <c r="C2998" s="124" t="s">
        <v>369</v>
      </c>
      <c r="D2998" t="s">
        <v>5035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4897</v>
      </c>
      <c r="M2998" s="113">
        <v>45873</v>
      </c>
      <c r="N2998" s="113"/>
      <c r="O2998" s="113"/>
      <c r="P2998" s="115" t="str">
        <f ca="1">IF(Proc[[#This Row],[DaysAgeing]]&gt;5,"yep","on track")</f>
        <v>on track</v>
      </c>
      <c r="Q2998" s="3">
        <f ca="1">IF(Proc[[#This Row],[DateClosed]]="",ABS(NETWORKDAYS(Proc[[#This Row],[DateOpened]],TODAY()))-1,ABS(NETWORKDAYS(Proc[[#This Row],[DateOpened]],Proc[[#This Row],[DateClosed]]))-1)</f>
        <v>2</v>
      </c>
      <c r="R2998" s="115" t="s">
        <v>1013</v>
      </c>
      <c r="S2998" s="125"/>
    </row>
    <row r="2999" spans="1:19" hidden="1">
      <c r="A2999" s="124" t="s">
        <v>5276</v>
      </c>
      <c r="B2999" s="125" t="str">
        <f>IFERROR(VLOOKUP(Proc[[#This Row],[App]],Table2[],3,0),"open")</f>
        <v>ok</v>
      </c>
      <c r="C2999" s="124" t="s">
        <v>369</v>
      </c>
      <c r="D2999" t="s">
        <v>5036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4897</v>
      </c>
      <c r="M2999" s="113">
        <v>45873</v>
      </c>
      <c r="N2999" s="113"/>
      <c r="O2999" s="113"/>
      <c r="P2999" s="115" t="str">
        <f ca="1">IF(Proc[[#This Row],[DaysAgeing]]&gt;5,"yep","on track")</f>
        <v>on track</v>
      </c>
      <c r="Q2999" s="3">
        <f ca="1">IF(Proc[[#This Row],[DateClosed]]="",ABS(NETWORKDAYS(Proc[[#This Row],[DateOpened]],TODAY()))-1,ABS(NETWORKDAYS(Proc[[#This Row],[DateOpened]],Proc[[#This Row],[DateClosed]]))-1)</f>
        <v>2</v>
      </c>
      <c r="R2999" s="115" t="s">
        <v>1013</v>
      </c>
      <c r="S2999" s="125"/>
    </row>
    <row r="3000" spans="1:19" hidden="1">
      <c r="A3000" s="124" t="s">
        <v>5276</v>
      </c>
      <c r="B3000" s="125" t="str">
        <f>IFERROR(VLOOKUP(Proc[[#This Row],[App]],Table2[],3,0),"open")</f>
        <v>ok</v>
      </c>
      <c r="C3000" s="124" t="s">
        <v>369</v>
      </c>
      <c r="D3000" t="s">
        <v>5037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4897</v>
      </c>
      <c r="M3000" s="113">
        <v>45873</v>
      </c>
      <c r="N3000" s="113"/>
      <c r="O3000" s="113"/>
      <c r="P3000" s="115" t="str">
        <f ca="1">IF(Proc[[#This Row],[DaysAgeing]]&gt;5,"yep","on track")</f>
        <v>on track</v>
      </c>
      <c r="Q3000" s="3">
        <f ca="1">IF(Proc[[#This Row],[DateClosed]]="",ABS(NETWORKDAYS(Proc[[#This Row],[DateOpened]],TODAY()))-1,ABS(NETWORKDAYS(Proc[[#This Row],[DateOpened]],Proc[[#This Row],[DateClosed]]))-1)</f>
        <v>2</v>
      </c>
      <c r="R3000" s="115" t="s">
        <v>1013</v>
      </c>
      <c r="S3000" s="125"/>
    </row>
    <row r="3001" spans="1:19" hidden="1">
      <c r="A3001" s="124" t="s">
        <v>5276</v>
      </c>
      <c r="B3001" s="125" t="str">
        <f>IFERROR(VLOOKUP(Proc[[#This Row],[App]],Table2[],3,0),"open")</f>
        <v>ok</v>
      </c>
      <c r="C3001" s="124" t="s">
        <v>369</v>
      </c>
      <c r="D3001" t="s">
        <v>5038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4897</v>
      </c>
      <c r="M3001" s="113">
        <v>45873</v>
      </c>
      <c r="N3001" s="113"/>
      <c r="O3001" s="113"/>
      <c r="P3001" s="115" t="str">
        <f ca="1">IF(Proc[[#This Row],[DaysAgeing]]&gt;5,"yep","on track")</f>
        <v>on track</v>
      </c>
      <c r="Q3001" s="3">
        <f ca="1">IF(Proc[[#This Row],[DateClosed]]="",ABS(NETWORKDAYS(Proc[[#This Row],[DateOpened]],TODAY()))-1,ABS(NETWORKDAYS(Proc[[#This Row],[DateOpened]],Proc[[#This Row],[DateClosed]]))-1)</f>
        <v>2</v>
      </c>
      <c r="R3001" s="115" t="s">
        <v>1013</v>
      </c>
      <c r="S3001" s="125"/>
    </row>
    <row r="3002" spans="1:19" hidden="1">
      <c r="A3002" s="124" t="s">
        <v>5276</v>
      </c>
      <c r="B3002" s="125" t="str">
        <f>IFERROR(VLOOKUP(Proc[[#This Row],[App]],Table2[],3,0),"open")</f>
        <v>ok</v>
      </c>
      <c r="C3002" s="124" t="s">
        <v>369</v>
      </c>
      <c r="D3002" t="s">
        <v>5039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4897</v>
      </c>
      <c r="M3002" s="113">
        <v>45873</v>
      </c>
      <c r="N3002" s="113"/>
      <c r="O3002" s="113"/>
      <c r="P3002" s="115" t="str">
        <f ca="1">IF(Proc[[#This Row],[DaysAgeing]]&gt;5,"yep","on track")</f>
        <v>on track</v>
      </c>
      <c r="Q3002" s="3">
        <f ca="1">IF(Proc[[#This Row],[DateClosed]]="",ABS(NETWORKDAYS(Proc[[#This Row],[DateOpened]],TODAY()))-1,ABS(NETWORKDAYS(Proc[[#This Row],[DateOpened]],Proc[[#This Row],[DateClosed]]))-1)</f>
        <v>2</v>
      </c>
      <c r="R3002" s="115" t="s">
        <v>1013</v>
      </c>
      <c r="S3002" s="125"/>
    </row>
    <row r="3003" spans="1:19" hidden="1">
      <c r="A3003" s="124" t="s">
        <v>5276</v>
      </c>
      <c r="B3003" s="125" t="str">
        <f>IFERROR(VLOOKUP(Proc[[#This Row],[App]],Table2[],3,0),"open")</f>
        <v>ok</v>
      </c>
      <c r="C3003" s="124" t="s">
        <v>369</v>
      </c>
      <c r="D3003" t="s">
        <v>5040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4897</v>
      </c>
      <c r="M3003" s="113">
        <v>45873</v>
      </c>
      <c r="N3003" s="113"/>
      <c r="O3003" s="113"/>
      <c r="P3003" s="115" t="str">
        <f ca="1">IF(Proc[[#This Row],[DaysAgeing]]&gt;5,"yep","on track")</f>
        <v>on track</v>
      </c>
      <c r="Q3003" s="3">
        <f ca="1">IF(Proc[[#This Row],[DateClosed]]="",ABS(NETWORKDAYS(Proc[[#This Row],[DateOpened]],TODAY()))-1,ABS(NETWORKDAYS(Proc[[#This Row],[DateOpened]],Proc[[#This Row],[DateClosed]]))-1)</f>
        <v>2</v>
      </c>
      <c r="R3003" s="115" t="s">
        <v>1013</v>
      </c>
      <c r="S3003" s="125"/>
    </row>
    <row r="3004" spans="1:19" hidden="1">
      <c r="A3004" s="124" t="s">
        <v>5276</v>
      </c>
      <c r="B3004" s="125" t="str">
        <f>IFERROR(VLOOKUP(Proc[[#This Row],[App]],Table2[],3,0),"open")</f>
        <v>ok</v>
      </c>
      <c r="C3004" s="124" t="s">
        <v>369</v>
      </c>
      <c r="D3004" t="s">
        <v>5041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4897</v>
      </c>
      <c r="M3004" s="113">
        <v>45873</v>
      </c>
      <c r="N3004" s="113"/>
      <c r="O3004" s="113"/>
      <c r="P3004" s="115" t="str">
        <f ca="1">IF(Proc[[#This Row],[DaysAgeing]]&gt;5,"yep","on track")</f>
        <v>on track</v>
      </c>
      <c r="Q3004" s="3">
        <f ca="1">IF(Proc[[#This Row],[DateClosed]]="",ABS(NETWORKDAYS(Proc[[#This Row],[DateOpened]],TODAY()))-1,ABS(NETWORKDAYS(Proc[[#This Row],[DateOpened]],Proc[[#This Row],[DateClosed]]))-1)</f>
        <v>2</v>
      </c>
      <c r="R3004" s="115" t="s">
        <v>1013</v>
      </c>
      <c r="S3004" s="125"/>
    </row>
    <row r="3005" spans="1:19" hidden="1">
      <c r="A3005" s="124" t="s">
        <v>5276</v>
      </c>
      <c r="B3005" s="125" t="str">
        <f>IFERROR(VLOOKUP(Proc[[#This Row],[App]],Table2[],3,0),"open")</f>
        <v>ok</v>
      </c>
      <c r="C3005" s="124" t="s">
        <v>369</v>
      </c>
      <c r="D3005" t="s">
        <v>5042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4897</v>
      </c>
      <c r="M3005" s="113">
        <v>45873</v>
      </c>
      <c r="N3005" s="113"/>
      <c r="O3005" s="113"/>
      <c r="P3005" s="115" t="str">
        <f ca="1">IF(Proc[[#This Row],[DaysAgeing]]&gt;5,"yep","on track")</f>
        <v>on track</v>
      </c>
      <c r="Q3005" s="3">
        <f ca="1">IF(Proc[[#This Row],[DateClosed]]="",ABS(NETWORKDAYS(Proc[[#This Row],[DateOpened]],TODAY()))-1,ABS(NETWORKDAYS(Proc[[#This Row],[DateOpened]],Proc[[#This Row],[DateClosed]]))-1)</f>
        <v>2</v>
      </c>
      <c r="R3005" s="115" t="s">
        <v>1013</v>
      </c>
      <c r="S3005" s="125"/>
    </row>
    <row r="3006" spans="1:19" hidden="1">
      <c r="A3006" s="124" t="s">
        <v>5276</v>
      </c>
      <c r="B3006" s="125" t="str">
        <f>IFERROR(VLOOKUP(Proc[[#This Row],[App]],Table2[],3,0),"open")</f>
        <v>ok</v>
      </c>
      <c r="C3006" s="124" t="s">
        <v>369</v>
      </c>
      <c r="D3006" t="s">
        <v>5043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4897</v>
      </c>
      <c r="M3006" s="113">
        <v>45873</v>
      </c>
      <c r="N3006" s="113"/>
      <c r="O3006" s="113"/>
      <c r="P3006" s="115" t="str">
        <f ca="1">IF(Proc[[#This Row],[DaysAgeing]]&gt;5,"yep","on track")</f>
        <v>on track</v>
      </c>
      <c r="Q3006" s="3">
        <f ca="1">IF(Proc[[#This Row],[DateClosed]]="",ABS(NETWORKDAYS(Proc[[#This Row],[DateOpened]],TODAY()))-1,ABS(NETWORKDAYS(Proc[[#This Row],[DateOpened]],Proc[[#This Row],[DateClosed]]))-1)</f>
        <v>2</v>
      </c>
      <c r="R3006" s="115" t="s">
        <v>1013</v>
      </c>
      <c r="S3006" s="125"/>
    </row>
    <row r="3007" spans="1:19" hidden="1">
      <c r="A3007" s="124" t="s">
        <v>5276</v>
      </c>
      <c r="B3007" s="125" t="str">
        <f>IFERROR(VLOOKUP(Proc[[#This Row],[App]],Table2[],3,0),"open")</f>
        <v>ok</v>
      </c>
      <c r="C3007" s="124" t="s">
        <v>369</v>
      </c>
      <c r="D3007" t="s">
        <v>5044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4897</v>
      </c>
      <c r="M3007" s="113">
        <v>45873</v>
      </c>
      <c r="N3007" s="113"/>
      <c r="O3007" s="113"/>
      <c r="P3007" s="115" t="str">
        <f ca="1">IF(Proc[[#This Row],[DaysAgeing]]&gt;5,"yep","on track")</f>
        <v>on track</v>
      </c>
      <c r="Q3007" s="3">
        <f ca="1">IF(Proc[[#This Row],[DateClosed]]="",ABS(NETWORKDAYS(Proc[[#This Row],[DateOpened]],TODAY()))-1,ABS(NETWORKDAYS(Proc[[#This Row],[DateOpened]],Proc[[#This Row],[DateClosed]]))-1)</f>
        <v>2</v>
      </c>
      <c r="R3007" s="115" t="s">
        <v>1013</v>
      </c>
      <c r="S3007" s="125"/>
    </row>
    <row r="3008" spans="1:19" hidden="1">
      <c r="A3008" s="124" t="s">
        <v>5276</v>
      </c>
      <c r="B3008" s="125" t="str">
        <f>IFERROR(VLOOKUP(Proc[[#This Row],[App]],Table2[],3,0),"open")</f>
        <v>ok</v>
      </c>
      <c r="C3008" s="124" t="s">
        <v>369</v>
      </c>
      <c r="D3008" t="s">
        <v>5045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4897</v>
      </c>
      <c r="M3008" s="113">
        <v>45873</v>
      </c>
      <c r="N3008" s="113"/>
      <c r="O3008" s="113"/>
      <c r="P3008" s="115" t="str">
        <f ca="1">IF(Proc[[#This Row],[DaysAgeing]]&gt;5,"yep","on track")</f>
        <v>on track</v>
      </c>
      <c r="Q3008" s="3">
        <f ca="1">IF(Proc[[#This Row],[DateClosed]]="",ABS(NETWORKDAYS(Proc[[#This Row],[DateOpened]],TODAY()))-1,ABS(NETWORKDAYS(Proc[[#This Row],[DateOpened]],Proc[[#This Row],[DateClosed]]))-1)</f>
        <v>2</v>
      </c>
      <c r="R3008" s="115" t="s">
        <v>1013</v>
      </c>
      <c r="S3008" s="125"/>
    </row>
    <row r="3009" spans="1:19" hidden="1">
      <c r="A3009" s="124" t="s">
        <v>5276</v>
      </c>
      <c r="B3009" s="125" t="str">
        <f>IFERROR(VLOOKUP(Proc[[#This Row],[App]],Table2[],3,0),"open")</f>
        <v>ok</v>
      </c>
      <c r="C3009" s="124" t="s">
        <v>369</v>
      </c>
      <c r="D3009" t="s">
        <v>5046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4897</v>
      </c>
      <c r="M3009" s="113">
        <v>45873</v>
      </c>
      <c r="N3009" s="113"/>
      <c r="O3009" s="113"/>
      <c r="P3009" s="115" t="str">
        <f ca="1">IF(Proc[[#This Row],[DaysAgeing]]&gt;5,"yep","on track")</f>
        <v>on track</v>
      </c>
      <c r="Q3009" s="3">
        <f ca="1">IF(Proc[[#This Row],[DateClosed]]="",ABS(NETWORKDAYS(Proc[[#This Row],[DateOpened]],TODAY()))-1,ABS(NETWORKDAYS(Proc[[#This Row],[DateOpened]],Proc[[#This Row],[DateClosed]]))-1)</f>
        <v>2</v>
      </c>
      <c r="R3009" s="115" t="s">
        <v>1013</v>
      </c>
      <c r="S3009" s="125"/>
    </row>
    <row r="3010" spans="1:19" hidden="1">
      <c r="A3010" s="124" t="s">
        <v>5276</v>
      </c>
      <c r="B3010" s="125" t="str">
        <f>IFERROR(VLOOKUP(Proc[[#This Row],[App]],Table2[],3,0),"open")</f>
        <v>ok</v>
      </c>
      <c r="C3010" s="124" t="s">
        <v>369</v>
      </c>
      <c r="D3010" t="s">
        <v>5047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4897</v>
      </c>
      <c r="M3010" s="113">
        <v>45873</v>
      </c>
      <c r="N3010" s="113"/>
      <c r="O3010" s="113"/>
      <c r="P3010" s="115" t="str">
        <f ca="1">IF(Proc[[#This Row],[DaysAgeing]]&gt;5,"yep","on track")</f>
        <v>on track</v>
      </c>
      <c r="Q3010" s="3">
        <f ca="1">IF(Proc[[#This Row],[DateClosed]]="",ABS(NETWORKDAYS(Proc[[#This Row],[DateOpened]],TODAY()))-1,ABS(NETWORKDAYS(Proc[[#This Row],[DateOpened]],Proc[[#This Row],[DateClosed]]))-1)</f>
        <v>2</v>
      </c>
      <c r="R3010" s="115" t="s">
        <v>1013</v>
      </c>
      <c r="S3010" s="125"/>
    </row>
    <row r="3011" spans="1:19" hidden="1">
      <c r="A3011" s="124" t="s">
        <v>5276</v>
      </c>
      <c r="B3011" s="125" t="str">
        <f>IFERROR(VLOOKUP(Proc[[#This Row],[App]],Table2[],3,0),"open")</f>
        <v>ok</v>
      </c>
      <c r="C3011" s="124" t="s">
        <v>369</v>
      </c>
      <c r="D3011" t="s">
        <v>5048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4897</v>
      </c>
      <c r="M3011" s="113">
        <v>45873</v>
      </c>
      <c r="N3011" s="113"/>
      <c r="O3011" s="113"/>
      <c r="P3011" s="115" t="str">
        <f ca="1">IF(Proc[[#This Row],[DaysAgeing]]&gt;5,"yep","on track")</f>
        <v>on track</v>
      </c>
      <c r="Q3011" s="3">
        <f ca="1">IF(Proc[[#This Row],[DateClosed]]="",ABS(NETWORKDAYS(Proc[[#This Row],[DateOpened]],TODAY()))-1,ABS(NETWORKDAYS(Proc[[#This Row],[DateOpened]],Proc[[#This Row],[DateClosed]]))-1)</f>
        <v>2</v>
      </c>
      <c r="R3011" s="115" t="s">
        <v>1013</v>
      </c>
      <c r="S3011" s="125"/>
    </row>
    <row r="3012" spans="1:19" hidden="1">
      <c r="A3012" s="124" t="s">
        <v>5276</v>
      </c>
      <c r="B3012" s="125" t="str">
        <f>IFERROR(VLOOKUP(Proc[[#This Row],[App]],Table2[],3,0),"open")</f>
        <v>ok</v>
      </c>
      <c r="C3012" s="124" t="s">
        <v>369</v>
      </c>
      <c r="D3012" t="s">
        <v>5049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4897</v>
      </c>
      <c r="M3012" s="113">
        <v>45873</v>
      </c>
      <c r="N3012" s="113"/>
      <c r="O3012" s="113"/>
      <c r="P3012" s="115" t="str">
        <f ca="1">IF(Proc[[#This Row],[DaysAgeing]]&gt;5,"yep","on track")</f>
        <v>on track</v>
      </c>
      <c r="Q3012" s="3">
        <f ca="1">IF(Proc[[#This Row],[DateClosed]]="",ABS(NETWORKDAYS(Proc[[#This Row],[DateOpened]],TODAY()))-1,ABS(NETWORKDAYS(Proc[[#This Row],[DateOpened]],Proc[[#This Row],[DateClosed]]))-1)</f>
        <v>2</v>
      </c>
      <c r="R3012" s="115" t="s">
        <v>1013</v>
      </c>
      <c r="S3012" s="125"/>
    </row>
    <row r="3013" spans="1:19" hidden="1">
      <c r="A3013" s="124" t="s">
        <v>5276</v>
      </c>
      <c r="B3013" s="125" t="str">
        <f>IFERROR(VLOOKUP(Proc[[#This Row],[App]],Table2[],3,0),"open")</f>
        <v>ok</v>
      </c>
      <c r="C3013" s="124" t="s">
        <v>369</v>
      </c>
      <c r="D3013" t="s">
        <v>5050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4897</v>
      </c>
      <c r="M3013" s="113">
        <v>45873</v>
      </c>
      <c r="N3013" s="113"/>
      <c r="O3013" s="113"/>
      <c r="P3013" s="115" t="str">
        <f ca="1">IF(Proc[[#This Row],[DaysAgeing]]&gt;5,"yep","on track")</f>
        <v>on track</v>
      </c>
      <c r="Q3013" s="3">
        <f ca="1">IF(Proc[[#This Row],[DateClosed]]="",ABS(NETWORKDAYS(Proc[[#This Row],[DateOpened]],TODAY()))-1,ABS(NETWORKDAYS(Proc[[#This Row],[DateOpened]],Proc[[#This Row],[DateClosed]]))-1)</f>
        <v>2</v>
      </c>
      <c r="R3013" s="115" t="s">
        <v>1013</v>
      </c>
      <c r="S3013" s="125"/>
    </row>
    <row r="3014" spans="1:19" hidden="1">
      <c r="A3014" s="124" t="s">
        <v>5276</v>
      </c>
      <c r="B3014" s="125" t="str">
        <f>IFERROR(VLOOKUP(Proc[[#This Row],[App]],Table2[],3,0),"open")</f>
        <v>ok</v>
      </c>
      <c r="C3014" s="124" t="s">
        <v>369</v>
      </c>
      <c r="D3014" t="s">
        <v>5051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4897</v>
      </c>
      <c r="M3014" s="113">
        <v>45873</v>
      </c>
      <c r="N3014" s="113"/>
      <c r="O3014" s="113"/>
      <c r="P3014" s="115" t="str">
        <f ca="1">IF(Proc[[#This Row],[DaysAgeing]]&gt;5,"yep","on track")</f>
        <v>on track</v>
      </c>
      <c r="Q3014" s="3">
        <f ca="1">IF(Proc[[#This Row],[DateClosed]]="",ABS(NETWORKDAYS(Proc[[#This Row],[DateOpened]],TODAY()))-1,ABS(NETWORKDAYS(Proc[[#This Row],[DateOpened]],Proc[[#This Row],[DateClosed]]))-1)</f>
        <v>2</v>
      </c>
      <c r="R3014" s="115" t="s">
        <v>1013</v>
      </c>
      <c r="S3014" s="125"/>
    </row>
    <row r="3015" spans="1:19" hidden="1">
      <c r="A3015" s="124" t="s">
        <v>5276</v>
      </c>
      <c r="B3015" s="125" t="str">
        <f>IFERROR(VLOOKUP(Proc[[#This Row],[App]],Table2[],3,0),"open")</f>
        <v>ok</v>
      </c>
      <c r="C3015" s="124" t="s">
        <v>369</v>
      </c>
      <c r="D3015" t="s">
        <v>5052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4897</v>
      </c>
      <c r="M3015" s="113">
        <v>45873</v>
      </c>
      <c r="N3015" s="113"/>
      <c r="O3015" s="113"/>
      <c r="P3015" s="115" t="str">
        <f ca="1">IF(Proc[[#This Row],[DaysAgeing]]&gt;5,"yep","on track")</f>
        <v>on track</v>
      </c>
      <c r="Q3015" s="3">
        <f ca="1">IF(Proc[[#This Row],[DateClosed]]="",ABS(NETWORKDAYS(Proc[[#This Row],[DateOpened]],TODAY()))-1,ABS(NETWORKDAYS(Proc[[#This Row],[DateOpened]],Proc[[#This Row],[DateClosed]]))-1)</f>
        <v>2</v>
      </c>
      <c r="R3015" s="115" t="s">
        <v>1013</v>
      </c>
      <c r="S3015" s="125"/>
    </row>
    <row r="3016" spans="1:19" hidden="1">
      <c r="A3016" s="124" t="s">
        <v>5276</v>
      </c>
      <c r="B3016" s="125" t="str">
        <f>IFERROR(VLOOKUP(Proc[[#This Row],[App]],Table2[],3,0),"open")</f>
        <v>ok</v>
      </c>
      <c r="C3016" s="124" t="s">
        <v>369</v>
      </c>
      <c r="D3016" t="s">
        <v>5053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4897</v>
      </c>
      <c r="M3016" s="113">
        <v>45873</v>
      </c>
      <c r="N3016" s="113"/>
      <c r="O3016" s="113"/>
      <c r="P3016" s="115" t="str">
        <f ca="1">IF(Proc[[#This Row],[DaysAgeing]]&gt;5,"yep","on track")</f>
        <v>on track</v>
      </c>
      <c r="Q3016" s="3">
        <f ca="1">IF(Proc[[#This Row],[DateClosed]]="",ABS(NETWORKDAYS(Proc[[#This Row],[DateOpened]],TODAY()))-1,ABS(NETWORKDAYS(Proc[[#This Row],[DateOpened]],Proc[[#This Row],[DateClosed]]))-1)</f>
        <v>2</v>
      </c>
      <c r="R3016" s="115" t="s">
        <v>1013</v>
      </c>
      <c r="S3016" s="125"/>
    </row>
    <row r="3017" spans="1:19" hidden="1">
      <c r="A3017" s="124" t="s">
        <v>5276</v>
      </c>
      <c r="B3017" s="125" t="str">
        <f>IFERROR(VLOOKUP(Proc[[#This Row],[App]],Table2[],3,0),"open")</f>
        <v>ok</v>
      </c>
      <c r="C3017" s="124" t="s">
        <v>369</v>
      </c>
      <c r="D3017" t="s">
        <v>5054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4897</v>
      </c>
      <c r="M3017" s="113">
        <v>45873</v>
      </c>
      <c r="N3017" s="113"/>
      <c r="O3017" s="113"/>
      <c r="P3017" s="115" t="str">
        <f ca="1">IF(Proc[[#This Row],[DaysAgeing]]&gt;5,"yep","on track")</f>
        <v>on track</v>
      </c>
      <c r="Q3017" s="3">
        <f ca="1">IF(Proc[[#This Row],[DateClosed]]="",ABS(NETWORKDAYS(Proc[[#This Row],[DateOpened]],TODAY()))-1,ABS(NETWORKDAYS(Proc[[#This Row],[DateOpened]],Proc[[#This Row],[DateClosed]]))-1)</f>
        <v>2</v>
      </c>
      <c r="R3017" s="115" t="s">
        <v>1013</v>
      </c>
      <c r="S3017" s="125"/>
    </row>
    <row r="3018" spans="1:19" hidden="1">
      <c r="A3018" s="124" t="s">
        <v>5276</v>
      </c>
      <c r="B3018" s="125" t="str">
        <f>IFERROR(VLOOKUP(Proc[[#This Row],[App]],Table2[],3,0),"open")</f>
        <v>ok</v>
      </c>
      <c r="C3018" s="124" t="s">
        <v>369</v>
      </c>
      <c r="D3018" t="s">
        <v>5055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4897</v>
      </c>
      <c r="M3018" s="113">
        <v>45873</v>
      </c>
      <c r="N3018" s="113"/>
      <c r="O3018" s="113"/>
      <c r="P3018" s="115" t="str">
        <f ca="1">IF(Proc[[#This Row],[DaysAgeing]]&gt;5,"yep","on track")</f>
        <v>on track</v>
      </c>
      <c r="Q3018" s="3">
        <f ca="1">IF(Proc[[#This Row],[DateClosed]]="",ABS(NETWORKDAYS(Proc[[#This Row],[DateOpened]],TODAY()))-1,ABS(NETWORKDAYS(Proc[[#This Row],[DateOpened]],Proc[[#This Row],[DateClosed]]))-1)</f>
        <v>2</v>
      </c>
      <c r="R3018" s="115" t="s">
        <v>1013</v>
      </c>
      <c r="S3018" s="125"/>
    </row>
    <row r="3019" spans="1:19" hidden="1">
      <c r="A3019" s="124" t="s">
        <v>5276</v>
      </c>
      <c r="B3019" s="125" t="str">
        <f>IFERROR(VLOOKUP(Proc[[#This Row],[App]],Table2[],3,0),"open")</f>
        <v>ok</v>
      </c>
      <c r="C3019" s="124" t="s">
        <v>369</v>
      </c>
      <c r="D3019" t="s">
        <v>5056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4897</v>
      </c>
      <c r="M3019" s="113">
        <v>45873</v>
      </c>
      <c r="N3019" s="113"/>
      <c r="O3019" s="113"/>
      <c r="P3019" s="115" t="str">
        <f ca="1">IF(Proc[[#This Row],[DaysAgeing]]&gt;5,"yep","on track")</f>
        <v>on track</v>
      </c>
      <c r="Q3019" s="3">
        <f ca="1">IF(Proc[[#This Row],[DateClosed]]="",ABS(NETWORKDAYS(Proc[[#This Row],[DateOpened]],TODAY()))-1,ABS(NETWORKDAYS(Proc[[#This Row],[DateOpened]],Proc[[#This Row],[DateClosed]]))-1)</f>
        <v>2</v>
      </c>
      <c r="R3019" s="115" t="s">
        <v>1013</v>
      </c>
      <c r="S3019" s="125"/>
    </row>
    <row r="3020" spans="1:19" hidden="1">
      <c r="A3020" s="124" t="s">
        <v>5276</v>
      </c>
      <c r="B3020" s="125" t="str">
        <f>IFERROR(VLOOKUP(Proc[[#This Row],[App]],Table2[],3,0),"open")</f>
        <v>ok</v>
      </c>
      <c r="C3020" s="124" t="s">
        <v>369</v>
      </c>
      <c r="D3020" t="s">
        <v>5057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4897</v>
      </c>
      <c r="M3020" s="113">
        <v>45873</v>
      </c>
      <c r="N3020" s="113"/>
      <c r="O3020" s="113"/>
      <c r="P3020" s="115" t="str">
        <f ca="1">IF(Proc[[#This Row],[DaysAgeing]]&gt;5,"yep","on track")</f>
        <v>on track</v>
      </c>
      <c r="Q3020" s="3">
        <f ca="1">IF(Proc[[#This Row],[DateClosed]]="",ABS(NETWORKDAYS(Proc[[#This Row],[DateOpened]],TODAY()))-1,ABS(NETWORKDAYS(Proc[[#This Row],[DateOpened]],Proc[[#This Row],[DateClosed]]))-1)</f>
        <v>2</v>
      </c>
      <c r="R3020" s="115" t="s">
        <v>1013</v>
      </c>
      <c r="S3020" s="125"/>
    </row>
    <row r="3021" spans="1:19" hidden="1">
      <c r="A3021" s="124" t="s">
        <v>5276</v>
      </c>
      <c r="B3021" s="125" t="str">
        <f>IFERROR(VLOOKUP(Proc[[#This Row],[App]],Table2[],3,0),"open")</f>
        <v>ok</v>
      </c>
      <c r="C3021" s="124" t="s">
        <v>369</v>
      </c>
      <c r="D3021" t="s">
        <v>5058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4897</v>
      </c>
      <c r="M3021" s="113">
        <v>45873</v>
      </c>
      <c r="N3021" s="113"/>
      <c r="O3021" s="113"/>
      <c r="P3021" s="115" t="str">
        <f ca="1">IF(Proc[[#This Row],[DaysAgeing]]&gt;5,"yep","on track")</f>
        <v>on track</v>
      </c>
      <c r="Q3021" s="3">
        <f ca="1">IF(Proc[[#This Row],[DateClosed]]="",ABS(NETWORKDAYS(Proc[[#This Row],[DateOpened]],TODAY()))-1,ABS(NETWORKDAYS(Proc[[#This Row],[DateOpened]],Proc[[#This Row],[DateClosed]]))-1)</f>
        <v>2</v>
      </c>
      <c r="R3021" s="115" t="s">
        <v>1013</v>
      </c>
      <c r="S3021" s="125"/>
    </row>
    <row r="3022" spans="1:19" hidden="1">
      <c r="A3022" s="124" t="s">
        <v>5276</v>
      </c>
      <c r="B3022" s="125" t="str">
        <f>IFERROR(VLOOKUP(Proc[[#This Row],[App]],Table2[],3,0),"open")</f>
        <v>ok</v>
      </c>
      <c r="C3022" s="124" t="s">
        <v>369</v>
      </c>
      <c r="D3022" t="s">
        <v>5059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4897</v>
      </c>
      <c r="M3022" s="113">
        <v>45873</v>
      </c>
      <c r="N3022" s="113"/>
      <c r="O3022" s="113"/>
      <c r="P3022" s="115" t="str">
        <f ca="1">IF(Proc[[#This Row],[DaysAgeing]]&gt;5,"yep","on track")</f>
        <v>on track</v>
      </c>
      <c r="Q3022" s="3">
        <f ca="1">IF(Proc[[#This Row],[DateClosed]]="",ABS(NETWORKDAYS(Proc[[#This Row],[DateOpened]],TODAY()))-1,ABS(NETWORKDAYS(Proc[[#This Row],[DateOpened]],Proc[[#This Row],[DateClosed]]))-1)</f>
        <v>2</v>
      </c>
      <c r="R3022" s="115" t="s">
        <v>1013</v>
      </c>
      <c r="S3022" s="125"/>
    </row>
    <row r="3023" spans="1:19" hidden="1">
      <c r="A3023" s="124" t="s">
        <v>5276</v>
      </c>
      <c r="B3023" s="125" t="str">
        <f>IFERROR(VLOOKUP(Proc[[#This Row],[App]],Table2[],3,0),"open")</f>
        <v>ok</v>
      </c>
      <c r="C3023" s="124" t="s">
        <v>369</v>
      </c>
      <c r="D3023" t="s">
        <v>5060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4897</v>
      </c>
      <c r="M3023" s="113">
        <v>45873</v>
      </c>
      <c r="N3023" s="113"/>
      <c r="O3023" s="113"/>
      <c r="P3023" s="115" t="str">
        <f ca="1">IF(Proc[[#This Row],[DaysAgeing]]&gt;5,"yep","on track")</f>
        <v>on track</v>
      </c>
      <c r="Q3023" s="3">
        <f ca="1">IF(Proc[[#This Row],[DateClosed]]="",ABS(NETWORKDAYS(Proc[[#This Row],[DateOpened]],TODAY()))-1,ABS(NETWORKDAYS(Proc[[#This Row],[DateOpened]],Proc[[#This Row],[DateClosed]]))-1)</f>
        <v>2</v>
      </c>
      <c r="R3023" s="115" t="s">
        <v>1013</v>
      </c>
      <c r="S3023" s="125"/>
    </row>
    <row r="3024" spans="1:19" hidden="1">
      <c r="A3024" s="124" t="s">
        <v>5276</v>
      </c>
      <c r="B3024" s="125" t="str">
        <f>IFERROR(VLOOKUP(Proc[[#This Row],[App]],Table2[],3,0),"open")</f>
        <v>ok</v>
      </c>
      <c r="C3024" s="124" t="s">
        <v>369</v>
      </c>
      <c r="D3024" t="s">
        <v>5061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4897</v>
      </c>
      <c r="M3024" s="113">
        <v>45873</v>
      </c>
      <c r="N3024" s="113"/>
      <c r="O3024" s="113"/>
      <c r="P3024" s="115" t="str">
        <f ca="1">IF(Proc[[#This Row],[DaysAgeing]]&gt;5,"yep","on track")</f>
        <v>on track</v>
      </c>
      <c r="Q3024" s="3">
        <f ca="1">IF(Proc[[#This Row],[DateClosed]]="",ABS(NETWORKDAYS(Proc[[#This Row],[DateOpened]],TODAY()))-1,ABS(NETWORKDAYS(Proc[[#This Row],[DateOpened]],Proc[[#This Row],[DateClosed]]))-1)</f>
        <v>2</v>
      </c>
      <c r="R3024" s="115" t="s">
        <v>1013</v>
      </c>
      <c r="S3024" s="125"/>
    </row>
    <row r="3025" spans="1:19" hidden="1">
      <c r="A3025" s="124" t="s">
        <v>5276</v>
      </c>
      <c r="B3025" s="125" t="str">
        <f>IFERROR(VLOOKUP(Proc[[#This Row],[App]],Table2[],3,0),"open")</f>
        <v>ok</v>
      </c>
      <c r="C3025" s="124" t="s">
        <v>369</v>
      </c>
      <c r="D3025" t="s">
        <v>5062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4897</v>
      </c>
      <c r="M3025" s="113">
        <v>45873</v>
      </c>
      <c r="N3025" s="113"/>
      <c r="O3025" s="113"/>
      <c r="P3025" s="115" t="str">
        <f ca="1">IF(Proc[[#This Row],[DaysAgeing]]&gt;5,"yep","on track")</f>
        <v>on track</v>
      </c>
      <c r="Q3025" s="3">
        <f ca="1">IF(Proc[[#This Row],[DateClosed]]="",ABS(NETWORKDAYS(Proc[[#This Row],[DateOpened]],TODAY()))-1,ABS(NETWORKDAYS(Proc[[#This Row],[DateOpened]],Proc[[#This Row],[DateClosed]]))-1)</f>
        <v>2</v>
      </c>
      <c r="R3025" s="115" t="s">
        <v>1013</v>
      </c>
      <c r="S3025" s="125"/>
    </row>
    <row r="3026" spans="1:19" hidden="1">
      <c r="A3026" s="124" t="s">
        <v>5276</v>
      </c>
      <c r="B3026" s="125" t="str">
        <f>IFERROR(VLOOKUP(Proc[[#This Row],[App]],Table2[],3,0),"open")</f>
        <v>ok</v>
      </c>
      <c r="C3026" s="124" t="s">
        <v>369</v>
      </c>
      <c r="D3026" t="s">
        <v>5063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4897</v>
      </c>
      <c r="M3026" s="113">
        <v>45873</v>
      </c>
      <c r="N3026" s="113"/>
      <c r="O3026" s="113"/>
      <c r="P3026" s="115" t="str">
        <f ca="1">IF(Proc[[#This Row],[DaysAgeing]]&gt;5,"yep","on track")</f>
        <v>on track</v>
      </c>
      <c r="Q3026" s="3">
        <f ca="1">IF(Proc[[#This Row],[DateClosed]]="",ABS(NETWORKDAYS(Proc[[#This Row],[DateOpened]],TODAY()))-1,ABS(NETWORKDAYS(Proc[[#This Row],[DateOpened]],Proc[[#This Row],[DateClosed]]))-1)</f>
        <v>2</v>
      </c>
      <c r="R3026" s="115" t="s">
        <v>1013</v>
      </c>
      <c r="S3026" s="125"/>
    </row>
    <row r="3027" spans="1:19" hidden="1">
      <c r="A3027" s="124" t="s">
        <v>5276</v>
      </c>
      <c r="B3027" s="125" t="str">
        <f>IFERROR(VLOOKUP(Proc[[#This Row],[App]],Table2[],3,0),"open")</f>
        <v>ok</v>
      </c>
      <c r="C3027" s="124" t="s">
        <v>369</v>
      </c>
      <c r="D3027" t="s">
        <v>5064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4897</v>
      </c>
      <c r="M3027" s="113">
        <v>45873</v>
      </c>
      <c r="N3027" s="113"/>
      <c r="O3027" s="113"/>
      <c r="P3027" s="115" t="str">
        <f ca="1">IF(Proc[[#This Row],[DaysAgeing]]&gt;5,"yep","on track")</f>
        <v>on track</v>
      </c>
      <c r="Q3027" s="3">
        <f ca="1">IF(Proc[[#This Row],[DateClosed]]="",ABS(NETWORKDAYS(Proc[[#This Row],[DateOpened]],TODAY()))-1,ABS(NETWORKDAYS(Proc[[#This Row],[DateOpened]],Proc[[#This Row],[DateClosed]]))-1)</f>
        <v>2</v>
      </c>
      <c r="R3027" s="115" t="s">
        <v>1013</v>
      </c>
      <c r="S3027" s="125"/>
    </row>
    <row r="3028" spans="1:19" hidden="1">
      <c r="A3028" s="124" t="s">
        <v>5276</v>
      </c>
      <c r="B3028" s="125" t="str">
        <f>IFERROR(VLOOKUP(Proc[[#This Row],[App]],Table2[],3,0),"open")</f>
        <v>ok</v>
      </c>
      <c r="C3028" s="124" t="s">
        <v>369</v>
      </c>
      <c r="D3028" t="s">
        <v>5065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4897</v>
      </c>
      <c r="M3028" s="113">
        <v>45873</v>
      </c>
      <c r="N3028" s="113"/>
      <c r="O3028" s="113"/>
      <c r="P3028" s="115" t="str">
        <f ca="1">IF(Proc[[#This Row],[DaysAgeing]]&gt;5,"yep","on track")</f>
        <v>on track</v>
      </c>
      <c r="Q3028" s="3">
        <f ca="1">IF(Proc[[#This Row],[DateClosed]]="",ABS(NETWORKDAYS(Proc[[#This Row],[DateOpened]],TODAY()))-1,ABS(NETWORKDAYS(Proc[[#This Row],[DateOpened]],Proc[[#This Row],[DateClosed]]))-1)</f>
        <v>2</v>
      </c>
      <c r="R3028" s="115" t="s">
        <v>1013</v>
      </c>
      <c r="S3028" s="125"/>
    </row>
    <row r="3029" spans="1:19" hidden="1">
      <c r="A3029" s="124" t="s">
        <v>5276</v>
      </c>
      <c r="B3029" s="125" t="str">
        <f>IFERROR(VLOOKUP(Proc[[#This Row],[App]],Table2[],3,0),"open")</f>
        <v>ok</v>
      </c>
      <c r="C3029" s="124" t="s">
        <v>369</v>
      </c>
      <c r="D3029" t="s">
        <v>5066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4897</v>
      </c>
      <c r="M3029" s="113">
        <v>45873</v>
      </c>
      <c r="N3029" s="113"/>
      <c r="O3029" s="113"/>
      <c r="P3029" s="115" t="str">
        <f ca="1">IF(Proc[[#This Row],[DaysAgeing]]&gt;5,"yep","on track")</f>
        <v>on track</v>
      </c>
      <c r="Q3029" s="3">
        <f ca="1">IF(Proc[[#This Row],[DateClosed]]="",ABS(NETWORKDAYS(Proc[[#This Row],[DateOpened]],TODAY()))-1,ABS(NETWORKDAYS(Proc[[#This Row],[DateOpened]],Proc[[#This Row],[DateClosed]]))-1)</f>
        <v>2</v>
      </c>
      <c r="R3029" s="115" t="s">
        <v>1013</v>
      </c>
      <c r="S3029" s="125"/>
    </row>
    <row r="3030" spans="1:19" hidden="1">
      <c r="A3030" s="124" t="s">
        <v>5276</v>
      </c>
      <c r="B3030" s="125" t="str">
        <f>IFERROR(VLOOKUP(Proc[[#This Row],[App]],Table2[],3,0),"open")</f>
        <v>ok</v>
      </c>
      <c r="C3030" s="124" t="s">
        <v>369</v>
      </c>
      <c r="D3030" t="s">
        <v>5067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4897</v>
      </c>
      <c r="M3030" s="113">
        <v>45873</v>
      </c>
      <c r="N3030" s="113"/>
      <c r="O3030" s="113"/>
      <c r="P3030" s="115" t="str">
        <f ca="1">IF(Proc[[#This Row],[DaysAgeing]]&gt;5,"yep","on track")</f>
        <v>on track</v>
      </c>
      <c r="Q3030" s="3">
        <f ca="1">IF(Proc[[#This Row],[DateClosed]]="",ABS(NETWORKDAYS(Proc[[#This Row],[DateOpened]],TODAY()))-1,ABS(NETWORKDAYS(Proc[[#This Row],[DateOpened]],Proc[[#This Row],[DateClosed]]))-1)</f>
        <v>2</v>
      </c>
      <c r="R3030" s="115" t="s">
        <v>1013</v>
      </c>
      <c r="S3030" s="125"/>
    </row>
    <row r="3031" spans="1:19" hidden="1">
      <c r="A3031" s="124" t="s">
        <v>5276</v>
      </c>
      <c r="B3031" s="125" t="str">
        <f>IFERROR(VLOOKUP(Proc[[#This Row],[App]],Table2[],3,0),"open")</f>
        <v>ok</v>
      </c>
      <c r="C3031" s="124" t="s">
        <v>369</v>
      </c>
      <c r="D3031" t="s">
        <v>5068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4897</v>
      </c>
      <c r="M3031" s="113">
        <v>45873</v>
      </c>
      <c r="N3031" s="113"/>
      <c r="O3031" s="113"/>
      <c r="P3031" s="115" t="str">
        <f ca="1">IF(Proc[[#This Row],[DaysAgeing]]&gt;5,"yep","on track")</f>
        <v>on track</v>
      </c>
      <c r="Q3031" s="3">
        <f ca="1">IF(Proc[[#This Row],[DateClosed]]="",ABS(NETWORKDAYS(Proc[[#This Row],[DateOpened]],TODAY()))-1,ABS(NETWORKDAYS(Proc[[#This Row],[DateOpened]],Proc[[#This Row],[DateClosed]]))-1)</f>
        <v>2</v>
      </c>
      <c r="R3031" s="115" t="s">
        <v>1013</v>
      </c>
      <c r="S3031" s="125"/>
    </row>
    <row r="3032" spans="1:19" hidden="1">
      <c r="A3032" s="124" t="s">
        <v>5276</v>
      </c>
      <c r="B3032" s="125" t="str">
        <f>IFERROR(VLOOKUP(Proc[[#This Row],[App]],Table2[],3,0),"open")</f>
        <v>ok</v>
      </c>
      <c r="C3032" s="124" t="s">
        <v>369</v>
      </c>
      <c r="D3032" t="s">
        <v>5069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4897</v>
      </c>
      <c r="M3032" s="113">
        <v>45873</v>
      </c>
      <c r="N3032" s="113"/>
      <c r="O3032" s="113"/>
      <c r="P3032" s="115" t="str">
        <f ca="1">IF(Proc[[#This Row],[DaysAgeing]]&gt;5,"yep","on track")</f>
        <v>on track</v>
      </c>
      <c r="Q3032" s="3">
        <f ca="1">IF(Proc[[#This Row],[DateClosed]]="",ABS(NETWORKDAYS(Proc[[#This Row],[DateOpened]],TODAY()))-1,ABS(NETWORKDAYS(Proc[[#This Row],[DateOpened]],Proc[[#This Row],[DateClosed]]))-1)</f>
        <v>2</v>
      </c>
      <c r="R3032" s="115" t="s">
        <v>1013</v>
      </c>
      <c r="S3032" s="125"/>
    </row>
    <row r="3033" spans="1:19" hidden="1">
      <c r="A3033" s="124" t="s">
        <v>5276</v>
      </c>
      <c r="B3033" s="125" t="str">
        <f>IFERROR(VLOOKUP(Proc[[#This Row],[App]],Table2[],3,0),"open")</f>
        <v>ok</v>
      </c>
      <c r="C3033" s="124" t="s">
        <v>369</v>
      </c>
      <c r="D3033" t="s">
        <v>5070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4897</v>
      </c>
      <c r="M3033" s="113">
        <v>45873</v>
      </c>
      <c r="N3033" s="113"/>
      <c r="O3033" s="113"/>
      <c r="P3033" s="115" t="str">
        <f ca="1">IF(Proc[[#This Row],[DaysAgeing]]&gt;5,"yep","on track")</f>
        <v>on track</v>
      </c>
      <c r="Q3033" s="3">
        <f ca="1">IF(Proc[[#This Row],[DateClosed]]="",ABS(NETWORKDAYS(Proc[[#This Row],[DateOpened]],TODAY()))-1,ABS(NETWORKDAYS(Proc[[#This Row],[DateOpened]],Proc[[#This Row],[DateClosed]]))-1)</f>
        <v>2</v>
      </c>
      <c r="R3033" s="115" t="s">
        <v>1013</v>
      </c>
      <c r="S3033" s="125"/>
    </row>
    <row r="3034" spans="1:19" hidden="1">
      <c r="A3034" s="124" t="s">
        <v>5276</v>
      </c>
      <c r="B3034" s="125" t="str">
        <f>IFERROR(VLOOKUP(Proc[[#This Row],[App]],Table2[],3,0),"open")</f>
        <v>ok</v>
      </c>
      <c r="C3034" s="124" t="s">
        <v>369</v>
      </c>
      <c r="D3034" t="s">
        <v>5071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4897</v>
      </c>
      <c r="M3034" s="113">
        <v>45873</v>
      </c>
      <c r="N3034" s="113"/>
      <c r="O3034" s="113"/>
      <c r="P3034" s="115" t="str">
        <f ca="1">IF(Proc[[#This Row],[DaysAgeing]]&gt;5,"yep","on track")</f>
        <v>on track</v>
      </c>
      <c r="Q3034" s="3">
        <f ca="1">IF(Proc[[#This Row],[DateClosed]]="",ABS(NETWORKDAYS(Proc[[#This Row],[DateOpened]],TODAY()))-1,ABS(NETWORKDAYS(Proc[[#This Row],[DateOpened]],Proc[[#This Row],[DateClosed]]))-1)</f>
        <v>2</v>
      </c>
      <c r="R3034" s="115" t="s">
        <v>1013</v>
      </c>
      <c r="S3034" s="125"/>
    </row>
    <row r="3035" spans="1:19" hidden="1">
      <c r="A3035" s="124" t="s">
        <v>5276</v>
      </c>
      <c r="B3035" s="125" t="str">
        <f>IFERROR(VLOOKUP(Proc[[#This Row],[App]],Table2[],3,0),"open")</f>
        <v>ok</v>
      </c>
      <c r="C3035" s="124" t="s">
        <v>369</v>
      </c>
      <c r="D3035" t="s">
        <v>5072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4897</v>
      </c>
      <c r="M3035" s="113">
        <v>45873</v>
      </c>
      <c r="N3035" s="113"/>
      <c r="O3035" s="113"/>
      <c r="P3035" s="115" t="str">
        <f ca="1">IF(Proc[[#This Row],[DaysAgeing]]&gt;5,"yep","on track")</f>
        <v>on track</v>
      </c>
      <c r="Q3035" s="3">
        <f ca="1">IF(Proc[[#This Row],[DateClosed]]="",ABS(NETWORKDAYS(Proc[[#This Row],[DateOpened]],TODAY()))-1,ABS(NETWORKDAYS(Proc[[#This Row],[DateOpened]],Proc[[#This Row],[DateClosed]]))-1)</f>
        <v>2</v>
      </c>
      <c r="R3035" s="115" t="s">
        <v>1013</v>
      </c>
      <c r="S3035" s="125"/>
    </row>
    <row r="3036" spans="1:19" hidden="1">
      <c r="A3036" s="124" t="s">
        <v>5276</v>
      </c>
      <c r="B3036" s="125" t="str">
        <f>IFERROR(VLOOKUP(Proc[[#This Row],[App]],Table2[],3,0),"open")</f>
        <v>ok</v>
      </c>
      <c r="C3036" s="124" t="s">
        <v>369</v>
      </c>
      <c r="D3036" t="s">
        <v>5073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4897</v>
      </c>
      <c r="M3036" s="113">
        <v>45873</v>
      </c>
      <c r="N3036" s="113"/>
      <c r="O3036" s="113"/>
      <c r="P3036" s="115" t="str">
        <f ca="1">IF(Proc[[#This Row],[DaysAgeing]]&gt;5,"yep","on track")</f>
        <v>on track</v>
      </c>
      <c r="Q3036" s="3">
        <f ca="1">IF(Proc[[#This Row],[DateClosed]]="",ABS(NETWORKDAYS(Proc[[#This Row],[DateOpened]],TODAY()))-1,ABS(NETWORKDAYS(Proc[[#This Row],[DateOpened]],Proc[[#This Row],[DateClosed]]))-1)</f>
        <v>2</v>
      </c>
      <c r="R3036" s="115" t="s">
        <v>1013</v>
      </c>
      <c r="S3036" s="125"/>
    </row>
    <row r="3037" spans="1:19" hidden="1">
      <c r="A3037" s="124" t="s">
        <v>5276</v>
      </c>
      <c r="B3037" s="125" t="str">
        <f>IFERROR(VLOOKUP(Proc[[#This Row],[App]],Table2[],3,0),"open")</f>
        <v>ok</v>
      </c>
      <c r="C3037" s="124" t="s">
        <v>369</v>
      </c>
      <c r="D3037" t="s">
        <v>5074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4897</v>
      </c>
      <c r="M3037" s="113">
        <v>45873</v>
      </c>
      <c r="N3037" s="113"/>
      <c r="O3037" s="113"/>
      <c r="P3037" s="115" t="str">
        <f ca="1">IF(Proc[[#This Row],[DaysAgeing]]&gt;5,"yep","on track")</f>
        <v>on track</v>
      </c>
      <c r="Q3037" s="3">
        <f ca="1">IF(Proc[[#This Row],[DateClosed]]="",ABS(NETWORKDAYS(Proc[[#This Row],[DateOpened]],TODAY()))-1,ABS(NETWORKDAYS(Proc[[#This Row],[DateOpened]],Proc[[#This Row],[DateClosed]]))-1)</f>
        <v>2</v>
      </c>
      <c r="R3037" s="115" t="s">
        <v>1013</v>
      </c>
      <c r="S3037" s="125"/>
    </row>
    <row r="3038" spans="1:19" hidden="1">
      <c r="A3038" s="124" t="s">
        <v>5276</v>
      </c>
      <c r="B3038" s="125" t="str">
        <f>IFERROR(VLOOKUP(Proc[[#This Row],[App]],Table2[],3,0),"open")</f>
        <v>ok</v>
      </c>
      <c r="C3038" s="124" t="s">
        <v>369</v>
      </c>
      <c r="D3038" t="s">
        <v>5075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4897</v>
      </c>
      <c r="M3038" s="113">
        <v>45873</v>
      </c>
      <c r="N3038" s="113"/>
      <c r="O3038" s="113"/>
      <c r="P3038" s="115" t="str">
        <f ca="1">IF(Proc[[#This Row],[DaysAgeing]]&gt;5,"yep","on track")</f>
        <v>on track</v>
      </c>
      <c r="Q3038" s="3">
        <f ca="1">IF(Proc[[#This Row],[DateClosed]]="",ABS(NETWORKDAYS(Proc[[#This Row],[DateOpened]],TODAY()))-1,ABS(NETWORKDAYS(Proc[[#This Row],[DateOpened]],Proc[[#This Row],[DateClosed]]))-1)</f>
        <v>2</v>
      </c>
      <c r="R3038" s="115" t="s">
        <v>1013</v>
      </c>
      <c r="S3038" s="125"/>
    </row>
    <row r="3039" spans="1:19" hidden="1">
      <c r="A3039" s="124" t="s">
        <v>5276</v>
      </c>
      <c r="B3039" s="125" t="str">
        <f>IFERROR(VLOOKUP(Proc[[#This Row],[App]],Table2[],3,0),"open")</f>
        <v>ok</v>
      </c>
      <c r="C3039" s="124" t="s">
        <v>369</v>
      </c>
      <c r="D3039" t="s">
        <v>5076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4897</v>
      </c>
      <c r="M3039" s="113">
        <v>45873</v>
      </c>
      <c r="N3039" s="113"/>
      <c r="O3039" s="113"/>
      <c r="P3039" s="115" t="str">
        <f ca="1">IF(Proc[[#This Row],[DaysAgeing]]&gt;5,"yep","on track")</f>
        <v>on track</v>
      </c>
      <c r="Q3039" s="3">
        <f ca="1">IF(Proc[[#This Row],[DateClosed]]="",ABS(NETWORKDAYS(Proc[[#This Row],[DateOpened]],TODAY()))-1,ABS(NETWORKDAYS(Proc[[#This Row],[DateOpened]],Proc[[#This Row],[DateClosed]]))-1)</f>
        <v>2</v>
      </c>
      <c r="R3039" s="115" t="s">
        <v>1013</v>
      </c>
      <c r="S3039" s="125"/>
    </row>
    <row r="3040" spans="1:19" hidden="1">
      <c r="A3040" s="124" t="s">
        <v>5276</v>
      </c>
      <c r="B3040" s="125" t="str">
        <f>IFERROR(VLOOKUP(Proc[[#This Row],[App]],Table2[],3,0),"open")</f>
        <v>ok</v>
      </c>
      <c r="C3040" s="124" t="s">
        <v>369</v>
      </c>
      <c r="D3040" t="s">
        <v>5077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4897</v>
      </c>
      <c r="M3040" s="113">
        <v>45873</v>
      </c>
      <c r="N3040" s="113"/>
      <c r="O3040" s="113"/>
      <c r="P3040" s="115" t="str">
        <f ca="1">IF(Proc[[#This Row],[DaysAgeing]]&gt;5,"yep","on track")</f>
        <v>on track</v>
      </c>
      <c r="Q3040" s="3">
        <f ca="1">IF(Proc[[#This Row],[DateClosed]]="",ABS(NETWORKDAYS(Proc[[#This Row],[DateOpened]],TODAY()))-1,ABS(NETWORKDAYS(Proc[[#This Row],[DateOpened]],Proc[[#This Row],[DateClosed]]))-1)</f>
        <v>2</v>
      </c>
      <c r="R3040" s="115" t="s">
        <v>1013</v>
      </c>
      <c r="S3040" s="125"/>
    </row>
    <row r="3041" spans="1:19" hidden="1">
      <c r="A3041" s="124" t="s">
        <v>5276</v>
      </c>
      <c r="B3041" s="125" t="str">
        <f>IFERROR(VLOOKUP(Proc[[#This Row],[App]],Table2[],3,0),"open")</f>
        <v>ok</v>
      </c>
      <c r="C3041" s="124" t="s">
        <v>369</v>
      </c>
      <c r="D3041" t="s">
        <v>5078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4897</v>
      </c>
      <c r="M3041" s="113">
        <v>45873</v>
      </c>
      <c r="N3041" s="113"/>
      <c r="O3041" s="113"/>
      <c r="P3041" s="115" t="str">
        <f ca="1">IF(Proc[[#This Row],[DaysAgeing]]&gt;5,"yep","on track")</f>
        <v>on track</v>
      </c>
      <c r="Q3041" s="3">
        <f ca="1">IF(Proc[[#This Row],[DateClosed]]="",ABS(NETWORKDAYS(Proc[[#This Row],[DateOpened]],TODAY()))-1,ABS(NETWORKDAYS(Proc[[#This Row],[DateOpened]],Proc[[#This Row],[DateClosed]]))-1)</f>
        <v>2</v>
      </c>
      <c r="R3041" s="115" t="s">
        <v>1013</v>
      </c>
      <c r="S3041" s="125"/>
    </row>
    <row r="3042" spans="1:19" hidden="1">
      <c r="A3042" s="124" t="s">
        <v>5276</v>
      </c>
      <c r="B3042" s="125" t="str">
        <f>IFERROR(VLOOKUP(Proc[[#This Row],[App]],Table2[],3,0),"open")</f>
        <v>ok</v>
      </c>
      <c r="C3042" s="124" t="s">
        <v>369</v>
      </c>
      <c r="D3042" t="s">
        <v>5079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4897</v>
      </c>
      <c r="M3042" s="113">
        <v>45873</v>
      </c>
      <c r="N3042" s="113"/>
      <c r="O3042" s="113"/>
      <c r="P3042" s="115" t="str">
        <f ca="1">IF(Proc[[#This Row],[DaysAgeing]]&gt;5,"yep","on track")</f>
        <v>on track</v>
      </c>
      <c r="Q3042" s="3">
        <f ca="1">IF(Proc[[#This Row],[DateClosed]]="",ABS(NETWORKDAYS(Proc[[#This Row],[DateOpened]],TODAY()))-1,ABS(NETWORKDAYS(Proc[[#This Row],[DateOpened]],Proc[[#This Row],[DateClosed]]))-1)</f>
        <v>2</v>
      </c>
      <c r="R3042" s="115" t="s">
        <v>1013</v>
      </c>
      <c r="S3042" s="125"/>
    </row>
    <row r="3043" spans="1:19" hidden="1">
      <c r="A3043" s="124" t="s">
        <v>5276</v>
      </c>
      <c r="B3043" s="125" t="str">
        <f>IFERROR(VLOOKUP(Proc[[#This Row],[App]],Table2[],3,0),"open")</f>
        <v>ok</v>
      </c>
      <c r="C3043" s="124" t="s">
        <v>369</v>
      </c>
      <c r="D3043" t="s">
        <v>5080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4897</v>
      </c>
      <c r="M3043" s="113">
        <v>45873</v>
      </c>
      <c r="N3043" s="113"/>
      <c r="O3043" s="113"/>
      <c r="P3043" s="115" t="str">
        <f ca="1">IF(Proc[[#This Row],[DaysAgeing]]&gt;5,"yep","on track")</f>
        <v>on track</v>
      </c>
      <c r="Q3043" s="3">
        <f ca="1">IF(Proc[[#This Row],[DateClosed]]="",ABS(NETWORKDAYS(Proc[[#This Row],[DateOpened]],TODAY()))-1,ABS(NETWORKDAYS(Proc[[#This Row],[DateOpened]],Proc[[#This Row],[DateClosed]]))-1)</f>
        <v>2</v>
      </c>
      <c r="R3043" s="115" t="s">
        <v>1013</v>
      </c>
      <c r="S3043" s="125"/>
    </row>
    <row r="3044" spans="1:19" hidden="1">
      <c r="A3044" s="124" t="s">
        <v>5276</v>
      </c>
      <c r="B3044" s="125" t="str">
        <f>IFERROR(VLOOKUP(Proc[[#This Row],[App]],Table2[],3,0),"open")</f>
        <v>ok</v>
      </c>
      <c r="C3044" s="124" t="s">
        <v>369</v>
      </c>
      <c r="D3044" t="s">
        <v>5081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4897</v>
      </c>
      <c r="M3044" s="113">
        <v>45873</v>
      </c>
      <c r="N3044" s="113"/>
      <c r="O3044" s="113"/>
      <c r="P3044" s="115" t="str">
        <f ca="1">IF(Proc[[#This Row],[DaysAgeing]]&gt;5,"yep","on track")</f>
        <v>on track</v>
      </c>
      <c r="Q3044" s="3">
        <f ca="1">IF(Proc[[#This Row],[DateClosed]]="",ABS(NETWORKDAYS(Proc[[#This Row],[DateOpened]],TODAY()))-1,ABS(NETWORKDAYS(Proc[[#This Row],[DateOpened]],Proc[[#This Row],[DateClosed]]))-1)</f>
        <v>2</v>
      </c>
      <c r="R3044" s="115" t="s">
        <v>1013</v>
      </c>
      <c r="S3044" s="125"/>
    </row>
    <row r="3045" spans="1:19" hidden="1">
      <c r="A3045" s="124" t="s">
        <v>5276</v>
      </c>
      <c r="B3045" s="125" t="str">
        <f>IFERROR(VLOOKUP(Proc[[#This Row],[App]],Table2[],3,0),"open")</f>
        <v>ok</v>
      </c>
      <c r="C3045" s="124" t="s">
        <v>369</v>
      </c>
      <c r="D3045" t="s">
        <v>5082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4897</v>
      </c>
      <c r="M3045" s="113">
        <v>45873</v>
      </c>
      <c r="N3045" s="113"/>
      <c r="O3045" s="113"/>
      <c r="P3045" s="115" t="str">
        <f ca="1">IF(Proc[[#This Row],[DaysAgeing]]&gt;5,"yep","on track")</f>
        <v>on track</v>
      </c>
      <c r="Q3045" s="3">
        <f ca="1">IF(Proc[[#This Row],[DateClosed]]="",ABS(NETWORKDAYS(Proc[[#This Row],[DateOpened]],TODAY()))-1,ABS(NETWORKDAYS(Proc[[#This Row],[DateOpened]],Proc[[#This Row],[DateClosed]]))-1)</f>
        <v>2</v>
      </c>
      <c r="R3045" s="115" t="s">
        <v>1013</v>
      </c>
      <c r="S3045" s="125"/>
    </row>
    <row r="3046" spans="1:19" hidden="1">
      <c r="A3046" s="124" t="s">
        <v>5276</v>
      </c>
      <c r="B3046" s="125" t="str">
        <f>IFERROR(VLOOKUP(Proc[[#This Row],[App]],Table2[],3,0),"open")</f>
        <v>ok</v>
      </c>
      <c r="C3046" s="124" t="s">
        <v>369</v>
      </c>
      <c r="D3046" t="s">
        <v>5083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4897</v>
      </c>
      <c r="M3046" s="113">
        <v>45873</v>
      </c>
      <c r="N3046" s="113"/>
      <c r="O3046" s="113"/>
      <c r="P3046" s="115" t="str">
        <f ca="1">IF(Proc[[#This Row],[DaysAgeing]]&gt;5,"yep","on track")</f>
        <v>on track</v>
      </c>
      <c r="Q3046" s="3">
        <f ca="1">IF(Proc[[#This Row],[DateClosed]]="",ABS(NETWORKDAYS(Proc[[#This Row],[DateOpened]],TODAY()))-1,ABS(NETWORKDAYS(Proc[[#This Row],[DateOpened]],Proc[[#This Row],[DateClosed]]))-1)</f>
        <v>2</v>
      </c>
      <c r="R3046" s="115" t="s">
        <v>1013</v>
      </c>
      <c r="S3046" s="125"/>
    </row>
    <row r="3047" spans="1:19" hidden="1">
      <c r="A3047" s="124" t="s">
        <v>5276</v>
      </c>
      <c r="B3047" s="125" t="str">
        <f>IFERROR(VLOOKUP(Proc[[#This Row],[App]],Table2[],3,0),"open")</f>
        <v>ok</v>
      </c>
      <c r="C3047" s="124" t="s">
        <v>369</v>
      </c>
      <c r="D3047" t="s">
        <v>5084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4897</v>
      </c>
      <c r="M3047" s="113">
        <v>45873</v>
      </c>
      <c r="N3047" s="113"/>
      <c r="O3047" s="113"/>
      <c r="P3047" s="115" t="str">
        <f ca="1">IF(Proc[[#This Row],[DaysAgeing]]&gt;5,"yep","on track")</f>
        <v>on track</v>
      </c>
      <c r="Q3047" s="3">
        <f ca="1">IF(Proc[[#This Row],[DateClosed]]="",ABS(NETWORKDAYS(Proc[[#This Row],[DateOpened]],TODAY()))-1,ABS(NETWORKDAYS(Proc[[#This Row],[DateOpened]],Proc[[#This Row],[DateClosed]]))-1)</f>
        <v>2</v>
      </c>
      <c r="R3047" s="115" t="s">
        <v>1013</v>
      </c>
      <c r="S3047" s="125"/>
    </row>
    <row r="3048" spans="1:19" hidden="1">
      <c r="A3048" s="124" t="s">
        <v>5276</v>
      </c>
      <c r="B3048" s="125" t="str">
        <f>IFERROR(VLOOKUP(Proc[[#This Row],[App]],Table2[],3,0),"open")</f>
        <v>ok</v>
      </c>
      <c r="C3048" s="124" t="s">
        <v>369</v>
      </c>
      <c r="D3048" t="s">
        <v>5085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4897</v>
      </c>
      <c r="M3048" s="113">
        <v>45873</v>
      </c>
      <c r="N3048" s="113"/>
      <c r="O3048" s="113"/>
      <c r="P3048" s="115" t="str">
        <f ca="1">IF(Proc[[#This Row],[DaysAgeing]]&gt;5,"yep","on track")</f>
        <v>on track</v>
      </c>
      <c r="Q3048" s="3">
        <f ca="1">IF(Proc[[#This Row],[DateClosed]]="",ABS(NETWORKDAYS(Proc[[#This Row],[DateOpened]],TODAY()))-1,ABS(NETWORKDAYS(Proc[[#This Row],[DateOpened]],Proc[[#This Row],[DateClosed]]))-1)</f>
        <v>2</v>
      </c>
      <c r="R3048" s="115" t="s">
        <v>1013</v>
      </c>
      <c r="S3048" s="125"/>
    </row>
    <row r="3049" spans="1:19" hidden="1">
      <c r="A3049" s="124" t="s">
        <v>5276</v>
      </c>
      <c r="B3049" s="125" t="str">
        <f>IFERROR(VLOOKUP(Proc[[#This Row],[App]],Table2[],3,0),"open")</f>
        <v>ok</v>
      </c>
      <c r="C3049" s="124" t="s">
        <v>369</v>
      </c>
      <c r="D3049" t="s">
        <v>5086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4897</v>
      </c>
      <c r="M3049" s="113">
        <v>45873</v>
      </c>
      <c r="N3049" s="113"/>
      <c r="O3049" s="113"/>
      <c r="P3049" s="115" t="str">
        <f ca="1">IF(Proc[[#This Row],[DaysAgeing]]&gt;5,"yep","on track")</f>
        <v>on track</v>
      </c>
      <c r="Q3049" s="3">
        <f ca="1">IF(Proc[[#This Row],[DateClosed]]="",ABS(NETWORKDAYS(Proc[[#This Row],[DateOpened]],TODAY()))-1,ABS(NETWORKDAYS(Proc[[#This Row],[DateOpened]],Proc[[#This Row],[DateClosed]]))-1)</f>
        <v>2</v>
      </c>
      <c r="R3049" s="115" t="s">
        <v>1013</v>
      </c>
      <c r="S3049" s="125"/>
    </row>
    <row r="3050" spans="1:19" hidden="1">
      <c r="A3050" s="124" t="s">
        <v>5276</v>
      </c>
      <c r="B3050" s="125" t="str">
        <f>IFERROR(VLOOKUP(Proc[[#This Row],[App]],Table2[],3,0),"open")</f>
        <v>ok</v>
      </c>
      <c r="C3050" s="124" t="s">
        <v>369</v>
      </c>
      <c r="D3050" t="s">
        <v>5087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4897</v>
      </c>
      <c r="M3050" s="113">
        <v>45873</v>
      </c>
      <c r="N3050" s="113"/>
      <c r="O3050" s="113"/>
      <c r="P3050" s="115" t="str">
        <f ca="1">IF(Proc[[#This Row],[DaysAgeing]]&gt;5,"yep","on track")</f>
        <v>on track</v>
      </c>
      <c r="Q3050" s="3">
        <f ca="1">IF(Proc[[#This Row],[DateClosed]]="",ABS(NETWORKDAYS(Proc[[#This Row],[DateOpened]],TODAY()))-1,ABS(NETWORKDAYS(Proc[[#This Row],[DateOpened]],Proc[[#This Row],[DateClosed]]))-1)</f>
        <v>2</v>
      </c>
      <c r="R3050" s="115" t="s">
        <v>1013</v>
      </c>
      <c r="S3050" s="125"/>
    </row>
    <row r="3051" spans="1:19" hidden="1">
      <c r="A3051" s="124" t="s">
        <v>5276</v>
      </c>
      <c r="B3051" s="125" t="str">
        <f>IFERROR(VLOOKUP(Proc[[#This Row],[App]],Table2[],3,0),"open")</f>
        <v>ok</v>
      </c>
      <c r="C3051" s="124" t="s">
        <v>369</v>
      </c>
      <c r="D3051" t="s">
        <v>5088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4897</v>
      </c>
      <c r="M3051" s="113">
        <v>45873</v>
      </c>
      <c r="N3051" s="113"/>
      <c r="O3051" s="113"/>
      <c r="P3051" s="115" t="str">
        <f ca="1">IF(Proc[[#This Row],[DaysAgeing]]&gt;5,"yep","on track")</f>
        <v>on track</v>
      </c>
      <c r="Q3051" s="3">
        <f ca="1">IF(Proc[[#This Row],[DateClosed]]="",ABS(NETWORKDAYS(Proc[[#This Row],[DateOpened]],TODAY()))-1,ABS(NETWORKDAYS(Proc[[#This Row],[DateOpened]],Proc[[#This Row],[DateClosed]]))-1)</f>
        <v>2</v>
      </c>
      <c r="R3051" s="115" t="s">
        <v>1013</v>
      </c>
      <c r="S3051" s="125"/>
    </row>
    <row r="3052" spans="1:19" hidden="1">
      <c r="A3052" s="124" t="s">
        <v>5276</v>
      </c>
      <c r="B3052" s="125" t="str">
        <f>IFERROR(VLOOKUP(Proc[[#This Row],[App]],Table2[],3,0),"open")</f>
        <v>ok</v>
      </c>
      <c r="C3052" s="124" t="s">
        <v>369</v>
      </c>
      <c r="D3052" t="s">
        <v>5089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4897</v>
      </c>
      <c r="M3052" s="113">
        <v>45873</v>
      </c>
      <c r="N3052" s="113"/>
      <c r="O3052" s="113"/>
      <c r="P3052" s="115" t="str">
        <f ca="1">IF(Proc[[#This Row],[DaysAgeing]]&gt;5,"yep","on track")</f>
        <v>on track</v>
      </c>
      <c r="Q3052" s="3">
        <f ca="1">IF(Proc[[#This Row],[DateClosed]]="",ABS(NETWORKDAYS(Proc[[#This Row],[DateOpened]],TODAY()))-1,ABS(NETWORKDAYS(Proc[[#This Row],[DateOpened]],Proc[[#This Row],[DateClosed]]))-1)</f>
        <v>2</v>
      </c>
      <c r="R3052" s="115" t="s">
        <v>1013</v>
      </c>
      <c r="S3052" s="125"/>
    </row>
    <row r="3053" spans="1:19" hidden="1">
      <c r="A3053" s="124" t="s">
        <v>5276</v>
      </c>
      <c r="B3053" s="125" t="str">
        <f>IFERROR(VLOOKUP(Proc[[#This Row],[App]],Table2[],3,0),"open")</f>
        <v>ok</v>
      </c>
      <c r="C3053" s="124" t="s">
        <v>369</v>
      </c>
      <c r="D3053" t="s">
        <v>5090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4897</v>
      </c>
      <c r="M3053" s="113">
        <v>45873</v>
      </c>
      <c r="N3053" s="113"/>
      <c r="O3053" s="113"/>
      <c r="P3053" s="115" t="str">
        <f ca="1">IF(Proc[[#This Row],[DaysAgeing]]&gt;5,"yep","on track")</f>
        <v>on track</v>
      </c>
      <c r="Q3053" s="3">
        <f ca="1">IF(Proc[[#This Row],[DateClosed]]="",ABS(NETWORKDAYS(Proc[[#This Row],[DateOpened]],TODAY()))-1,ABS(NETWORKDAYS(Proc[[#This Row],[DateOpened]],Proc[[#This Row],[DateClosed]]))-1)</f>
        <v>2</v>
      </c>
      <c r="R3053" s="115" t="s">
        <v>1013</v>
      </c>
      <c r="S3053" s="125"/>
    </row>
    <row r="3054" spans="1:19" hidden="1">
      <c r="A3054" s="124" t="s">
        <v>5276</v>
      </c>
      <c r="B3054" s="125" t="str">
        <f>IFERROR(VLOOKUP(Proc[[#This Row],[App]],Table2[],3,0),"open")</f>
        <v>ok</v>
      </c>
      <c r="C3054" s="124" t="s">
        <v>369</v>
      </c>
      <c r="D3054" t="s">
        <v>5091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4897</v>
      </c>
      <c r="M3054" s="113">
        <v>45873</v>
      </c>
      <c r="N3054" s="113"/>
      <c r="O3054" s="113"/>
      <c r="P3054" s="115" t="str">
        <f ca="1">IF(Proc[[#This Row],[DaysAgeing]]&gt;5,"yep","on track")</f>
        <v>on track</v>
      </c>
      <c r="Q3054" s="3">
        <f ca="1">IF(Proc[[#This Row],[DateClosed]]="",ABS(NETWORKDAYS(Proc[[#This Row],[DateOpened]],TODAY()))-1,ABS(NETWORKDAYS(Proc[[#This Row],[DateOpened]],Proc[[#This Row],[DateClosed]]))-1)</f>
        <v>2</v>
      </c>
      <c r="R3054" s="115" t="s">
        <v>1013</v>
      </c>
      <c r="S3054" s="125"/>
    </row>
    <row r="3055" spans="1:19" hidden="1">
      <c r="A3055" s="124" t="s">
        <v>5276</v>
      </c>
      <c r="B3055" s="125" t="str">
        <f>IFERROR(VLOOKUP(Proc[[#This Row],[App]],Table2[],3,0),"open")</f>
        <v>ok</v>
      </c>
      <c r="C3055" s="124" t="s">
        <v>369</v>
      </c>
      <c r="D3055" t="s">
        <v>5092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4897</v>
      </c>
      <c r="M3055" s="113">
        <v>45873</v>
      </c>
      <c r="N3055" s="113"/>
      <c r="O3055" s="113"/>
      <c r="P3055" s="115" t="str">
        <f ca="1">IF(Proc[[#This Row],[DaysAgeing]]&gt;5,"yep","on track")</f>
        <v>on track</v>
      </c>
      <c r="Q3055" s="3">
        <f ca="1">IF(Proc[[#This Row],[DateClosed]]="",ABS(NETWORKDAYS(Proc[[#This Row],[DateOpened]],TODAY()))-1,ABS(NETWORKDAYS(Proc[[#This Row],[DateOpened]],Proc[[#This Row],[DateClosed]]))-1)</f>
        <v>2</v>
      </c>
      <c r="R3055" s="115" t="s">
        <v>1013</v>
      </c>
      <c r="S3055" s="125"/>
    </row>
    <row r="3056" spans="1:19" hidden="1">
      <c r="A3056" s="124" t="s">
        <v>5276</v>
      </c>
      <c r="B3056" s="125" t="str">
        <f>IFERROR(VLOOKUP(Proc[[#This Row],[App]],Table2[],3,0),"open")</f>
        <v>ok</v>
      </c>
      <c r="C3056" s="124" t="s">
        <v>369</v>
      </c>
      <c r="D3056" t="s">
        <v>5093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4897</v>
      </c>
      <c r="M3056" s="113">
        <v>45873</v>
      </c>
      <c r="N3056" s="113"/>
      <c r="O3056" s="113"/>
      <c r="P3056" s="115" t="str">
        <f ca="1">IF(Proc[[#This Row],[DaysAgeing]]&gt;5,"yep","on track")</f>
        <v>on track</v>
      </c>
      <c r="Q3056" s="3">
        <f ca="1">IF(Proc[[#This Row],[DateClosed]]="",ABS(NETWORKDAYS(Proc[[#This Row],[DateOpened]],TODAY()))-1,ABS(NETWORKDAYS(Proc[[#This Row],[DateOpened]],Proc[[#This Row],[DateClosed]]))-1)</f>
        <v>2</v>
      </c>
      <c r="R3056" s="115" t="s">
        <v>1013</v>
      </c>
      <c r="S3056" s="125"/>
    </row>
    <row r="3057" spans="1:19" hidden="1">
      <c r="A3057" s="124" t="s">
        <v>5276</v>
      </c>
      <c r="B3057" s="125" t="str">
        <f>IFERROR(VLOOKUP(Proc[[#This Row],[App]],Table2[],3,0),"open")</f>
        <v>ok</v>
      </c>
      <c r="C3057" s="124" t="s">
        <v>369</v>
      </c>
      <c r="D3057" t="s">
        <v>5094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4897</v>
      </c>
      <c r="M3057" s="113">
        <v>45873</v>
      </c>
      <c r="N3057" s="113"/>
      <c r="O3057" s="113"/>
      <c r="P3057" s="115" t="str">
        <f ca="1">IF(Proc[[#This Row],[DaysAgeing]]&gt;5,"yep","on track")</f>
        <v>on track</v>
      </c>
      <c r="Q3057" s="3">
        <f ca="1">IF(Proc[[#This Row],[DateClosed]]="",ABS(NETWORKDAYS(Proc[[#This Row],[DateOpened]],TODAY()))-1,ABS(NETWORKDAYS(Proc[[#This Row],[DateOpened]],Proc[[#This Row],[DateClosed]]))-1)</f>
        <v>2</v>
      </c>
      <c r="R3057" s="115" t="s">
        <v>1013</v>
      </c>
      <c r="S3057" s="125"/>
    </row>
    <row r="3058" spans="1:19" hidden="1">
      <c r="A3058" s="124" t="s">
        <v>5276</v>
      </c>
      <c r="B3058" s="125" t="str">
        <f>IFERROR(VLOOKUP(Proc[[#This Row],[App]],Table2[],3,0),"open")</f>
        <v>ok</v>
      </c>
      <c r="C3058" s="124" t="s">
        <v>369</v>
      </c>
      <c r="D3058" t="s">
        <v>5095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4897</v>
      </c>
      <c r="M3058" s="113">
        <v>45873</v>
      </c>
      <c r="N3058" s="113"/>
      <c r="O3058" s="113"/>
      <c r="P3058" s="115" t="str">
        <f ca="1">IF(Proc[[#This Row],[DaysAgeing]]&gt;5,"yep","on track")</f>
        <v>on track</v>
      </c>
      <c r="Q3058" s="3">
        <f ca="1">IF(Proc[[#This Row],[DateClosed]]="",ABS(NETWORKDAYS(Proc[[#This Row],[DateOpened]],TODAY()))-1,ABS(NETWORKDAYS(Proc[[#This Row],[DateOpened]],Proc[[#This Row],[DateClosed]]))-1)</f>
        <v>2</v>
      </c>
      <c r="R3058" s="115" t="s">
        <v>1013</v>
      </c>
      <c r="S3058" s="125"/>
    </row>
    <row r="3059" spans="1:19" hidden="1">
      <c r="A3059" s="124" t="s">
        <v>5276</v>
      </c>
      <c r="B3059" s="125" t="str">
        <f>IFERROR(VLOOKUP(Proc[[#This Row],[App]],Table2[],3,0),"open")</f>
        <v>ok</v>
      </c>
      <c r="C3059" s="124" t="s">
        <v>369</v>
      </c>
      <c r="D3059" t="s">
        <v>5096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4897</v>
      </c>
      <c r="M3059" s="113">
        <v>45873</v>
      </c>
      <c r="N3059" s="113"/>
      <c r="O3059" s="113"/>
      <c r="P3059" s="115" t="str">
        <f ca="1">IF(Proc[[#This Row],[DaysAgeing]]&gt;5,"yep","on track")</f>
        <v>on track</v>
      </c>
      <c r="Q3059" s="3">
        <f ca="1">IF(Proc[[#This Row],[DateClosed]]="",ABS(NETWORKDAYS(Proc[[#This Row],[DateOpened]],TODAY()))-1,ABS(NETWORKDAYS(Proc[[#This Row],[DateOpened]],Proc[[#This Row],[DateClosed]]))-1)</f>
        <v>2</v>
      </c>
      <c r="R3059" s="115" t="s">
        <v>1013</v>
      </c>
      <c r="S3059" s="125"/>
    </row>
    <row r="3060" spans="1:19" hidden="1">
      <c r="A3060" s="124" t="s">
        <v>5276</v>
      </c>
      <c r="B3060" s="125" t="str">
        <f>IFERROR(VLOOKUP(Proc[[#This Row],[App]],Table2[],3,0),"open")</f>
        <v>ok</v>
      </c>
      <c r="C3060" s="124" t="s">
        <v>369</v>
      </c>
      <c r="D3060" t="s">
        <v>5097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4897</v>
      </c>
      <c r="M3060" s="113">
        <v>45873</v>
      </c>
      <c r="N3060" s="113"/>
      <c r="O3060" s="113"/>
      <c r="P3060" s="115" t="str">
        <f ca="1">IF(Proc[[#This Row],[DaysAgeing]]&gt;5,"yep","on track")</f>
        <v>on track</v>
      </c>
      <c r="Q3060" s="3">
        <f ca="1">IF(Proc[[#This Row],[DateClosed]]="",ABS(NETWORKDAYS(Proc[[#This Row],[DateOpened]],TODAY()))-1,ABS(NETWORKDAYS(Proc[[#This Row],[DateOpened]],Proc[[#This Row],[DateClosed]]))-1)</f>
        <v>2</v>
      </c>
      <c r="R3060" s="115" t="s">
        <v>1013</v>
      </c>
      <c r="S3060" s="125"/>
    </row>
    <row r="3061" spans="1:19" hidden="1">
      <c r="A3061" s="124" t="s">
        <v>5276</v>
      </c>
      <c r="B3061" s="125" t="str">
        <f>IFERROR(VLOOKUP(Proc[[#This Row],[App]],Table2[],3,0),"open")</f>
        <v>ok</v>
      </c>
      <c r="C3061" s="124" t="s">
        <v>369</v>
      </c>
      <c r="D3061" t="s">
        <v>5098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4897</v>
      </c>
      <c r="M3061" s="113">
        <v>45873</v>
      </c>
      <c r="N3061" s="113"/>
      <c r="O3061" s="113"/>
      <c r="P3061" s="115" t="str">
        <f ca="1">IF(Proc[[#This Row],[DaysAgeing]]&gt;5,"yep","on track")</f>
        <v>on track</v>
      </c>
      <c r="Q3061" s="3">
        <f ca="1">IF(Proc[[#This Row],[DateClosed]]="",ABS(NETWORKDAYS(Proc[[#This Row],[DateOpened]],TODAY()))-1,ABS(NETWORKDAYS(Proc[[#This Row],[DateOpened]],Proc[[#This Row],[DateClosed]]))-1)</f>
        <v>2</v>
      </c>
      <c r="R3061" s="115" t="s">
        <v>1013</v>
      </c>
      <c r="S3061" s="125"/>
    </row>
    <row r="3062" spans="1:19" hidden="1">
      <c r="A3062" s="124" t="s">
        <v>5276</v>
      </c>
      <c r="B3062" s="125" t="str">
        <f>IFERROR(VLOOKUP(Proc[[#This Row],[App]],Table2[],3,0),"open")</f>
        <v>ok</v>
      </c>
      <c r="C3062" s="124" t="s">
        <v>369</v>
      </c>
      <c r="D3062" t="s">
        <v>5099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4897</v>
      </c>
      <c r="M3062" s="113">
        <v>45873</v>
      </c>
      <c r="N3062" s="113"/>
      <c r="O3062" s="113"/>
      <c r="P3062" s="115" t="str">
        <f ca="1">IF(Proc[[#This Row],[DaysAgeing]]&gt;5,"yep","on track")</f>
        <v>on track</v>
      </c>
      <c r="Q3062" s="3">
        <f ca="1">IF(Proc[[#This Row],[DateClosed]]="",ABS(NETWORKDAYS(Proc[[#This Row],[DateOpened]],TODAY()))-1,ABS(NETWORKDAYS(Proc[[#This Row],[DateOpened]],Proc[[#This Row],[DateClosed]]))-1)</f>
        <v>2</v>
      </c>
      <c r="R3062" s="115" t="s">
        <v>1013</v>
      </c>
      <c r="S3062" s="125"/>
    </row>
    <row r="3063" spans="1:19" hidden="1">
      <c r="A3063" s="124" t="s">
        <v>5276</v>
      </c>
      <c r="B3063" s="125" t="str">
        <f>IFERROR(VLOOKUP(Proc[[#This Row],[App]],Table2[],3,0),"open")</f>
        <v>ok</v>
      </c>
      <c r="C3063" s="124" t="s">
        <v>369</v>
      </c>
      <c r="D3063" t="s">
        <v>5100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4897</v>
      </c>
      <c r="M3063" s="113">
        <v>45873</v>
      </c>
      <c r="N3063" s="113"/>
      <c r="O3063" s="113"/>
      <c r="P3063" s="115" t="str">
        <f ca="1">IF(Proc[[#This Row],[DaysAgeing]]&gt;5,"yep","on track")</f>
        <v>on track</v>
      </c>
      <c r="Q3063" s="3">
        <f ca="1">IF(Proc[[#This Row],[DateClosed]]="",ABS(NETWORKDAYS(Proc[[#This Row],[DateOpened]],TODAY()))-1,ABS(NETWORKDAYS(Proc[[#This Row],[DateOpened]],Proc[[#This Row],[DateClosed]]))-1)</f>
        <v>2</v>
      </c>
      <c r="R3063" s="115" t="s">
        <v>1013</v>
      </c>
      <c r="S3063" s="125"/>
    </row>
    <row r="3064" spans="1:19" hidden="1">
      <c r="A3064" s="124" t="s">
        <v>5276</v>
      </c>
      <c r="B3064" s="125" t="str">
        <f>IFERROR(VLOOKUP(Proc[[#This Row],[App]],Table2[],3,0),"open")</f>
        <v>ok</v>
      </c>
      <c r="C3064" s="124" t="s">
        <v>369</v>
      </c>
      <c r="D3064" t="s">
        <v>5101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4897</v>
      </c>
      <c r="M3064" s="113">
        <v>45873</v>
      </c>
      <c r="N3064" s="113"/>
      <c r="O3064" s="113"/>
      <c r="P3064" s="115" t="str">
        <f ca="1">IF(Proc[[#This Row],[DaysAgeing]]&gt;5,"yep","on track")</f>
        <v>on track</v>
      </c>
      <c r="Q3064" s="3">
        <f ca="1">IF(Proc[[#This Row],[DateClosed]]="",ABS(NETWORKDAYS(Proc[[#This Row],[DateOpened]],TODAY()))-1,ABS(NETWORKDAYS(Proc[[#This Row],[DateOpened]],Proc[[#This Row],[DateClosed]]))-1)</f>
        <v>2</v>
      </c>
      <c r="R3064" s="115" t="s">
        <v>1013</v>
      </c>
      <c r="S3064" s="125"/>
    </row>
    <row r="3065" spans="1:19" hidden="1">
      <c r="A3065" s="124" t="s">
        <v>5276</v>
      </c>
      <c r="B3065" s="125" t="str">
        <f>IFERROR(VLOOKUP(Proc[[#This Row],[App]],Table2[],3,0),"open")</f>
        <v>ok</v>
      </c>
      <c r="C3065" s="124" t="s">
        <v>369</v>
      </c>
      <c r="D3065" t="s">
        <v>5102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4897</v>
      </c>
      <c r="M3065" s="113">
        <v>45873</v>
      </c>
      <c r="N3065" s="113"/>
      <c r="O3065" s="113"/>
      <c r="P3065" s="115" t="str">
        <f ca="1">IF(Proc[[#This Row],[DaysAgeing]]&gt;5,"yep","on track")</f>
        <v>on track</v>
      </c>
      <c r="Q3065" s="3">
        <f ca="1">IF(Proc[[#This Row],[DateClosed]]="",ABS(NETWORKDAYS(Proc[[#This Row],[DateOpened]],TODAY()))-1,ABS(NETWORKDAYS(Proc[[#This Row],[DateOpened]],Proc[[#This Row],[DateClosed]]))-1)</f>
        <v>2</v>
      </c>
      <c r="R3065" s="115" t="s">
        <v>1013</v>
      </c>
      <c r="S3065" s="125"/>
    </row>
    <row r="3066" spans="1:19" hidden="1">
      <c r="A3066" s="124" t="s">
        <v>5276</v>
      </c>
      <c r="B3066" s="125" t="str">
        <f>IFERROR(VLOOKUP(Proc[[#This Row],[App]],Table2[],3,0),"open")</f>
        <v>ok</v>
      </c>
      <c r="C3066" s="124" t="s">
        <v>369</v>
      </c>
      <c r="D3066" t="s">
        <v>5103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4897</v>
      </c>
      <c r="M3066" s="113">
        <v>45873</v>
      </c>
      <c r="N3066" s="113"/>
      <c r="O3066" s="113"/>
      <c r="P3066" s="115" t="str">
        <f ca="1">IF(Proc[[#This Row],[DaysAgeing]]&gt;5,"yep","on track")</f>
        <v>on track</v>
      </c>
      <c r="Q3066" s="3">
        <f ca="1">IF(Proc[[#This Row],[DateClosed]]="",ABS(NETWORKDAYS(Proc[[#This Row],[DateOpened]],TODAY()))-1,ABS(NETWORKDAYS(Proc[[#This Row],[DateOpened]],Proc[[#This Row],[DateClosed]]))-1)</f>
        <v>2</v>
      </c>
      <c r="R3066" s="115" t="s">
        <v>1013</v>
      </c>
      <c r="S3066" s="125"/>
    </row>
    <row r="3067" spans="1:19" hidden="1">
      <c r="A3067" s="124" t="s">
        <v>5276</v>
      </c>
      <c r="B3067" s="125" t="str">
        <f>IFERROR(VLOOKUP(Proc[[#This Row],[App]],Table2[],3,0),"open")</f>
        <v>ok</v>
      </c>
      <c r="C3067" s="124" t="s">
        <v>369</v>
      </c>
      <c r="D3067" t="s">
        <v>5104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4897</v>
      </c>
      <c r="M3067" s="113">
        <v>45873</v>
      </c>
      <c r="N3067" s="113"/>
      <c r="O3067" s="113"/>
      <c r="P3067" s="115" t="str">
        <f ca="1">IF(Proc[[#This Row],[DaysAgeing]]&gt;5,"yep","on track")</f>
        <v>on track</v>
      </c>
      <c r="Q3067" s="3">
        <f ca="1">IF(Proc[[#This Row],[DateClosed]]="",ABS(NETWORKDAYS(Proc[[#This Row],[DateOpened]],TODAY()))-1,ABS(NETWORKDAYS(Proc[[#This Row],[DateOpened]],Proc[[#This Row],[DateClosed]]))-1)</f>
        <v>2</v>
      </c>
      <c r="R3067" s="115" t="s">
        <v>1013</v>
      </c>
      <c r="S3067" s="125"/>
    </row>
    <row r="3068" spans="1:19" hidden="1">
      <c r="A3068" s="124" t="s">
        <v>5276</v>
      </c>
      <c r="B3068" s="125" t="str">
        <f>IFERROR(VLOOKUP(Proc[[#This Row],[App]],Table2[],3,0),"open")</f>
        <v>ok</v>
      </c>
      <c r="C3068" s="124" t="s">
        <v>369</v>
      </c>
      <c r="D3068" t="s">
        <v>5105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4897</v>
      </c>
      <c r="M3068" s="113">
        <v>45873</v>
      </c>
      <c r="N3068" s="113"/>
      <c r="O3068" s="113"/>
      <c r="P3068" s="115" t="str">
        <f ca="1">IF(Proc[[#This Row],[DaysAgeing]]&gt;5,"yep","on track")</f>
        <v>on track</v>
      </c>
      <c r="Q3068" s="3">
        <f ca="1">IF(Proc[[#This Row],[DateClosed]]="",ABS(NETWORKDAYS(Proc[[#This Row],[DateOpened]],TODAY()))-1,ABS(NETWORKDAYS(Proc[[#This Row],[DateOpened]],Proc[[#This Row],[DateClosed]]))-1)</f>
        <v>2</v>
      </c>
      <c r="R3068" s="115" t="s">
        <v>1013</v>
      </c>
      <c r="S3068" s="125"/>
    </row>
    <row r="3069" spans="1:19" hidden="1">
      <c r="A3069" s="124" t="s">
        <v>5276</v>
      </c>
      <c r="B3069" s="125" t="str">
        <f>IFERROR(VLOOKUP(Proc[[#This Row],[App]],Table2[],3,0),"open")</f>
        <v>ok</v>
      </c>
      <c r="C3069" s="124" t="s">
        <v>369</v>
      </c>
      <c r="D3069" t="s">
        <v>5106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4897</v>
      </c>
      <c r="M3069" s="113">
        <v>45873</v>
      </c>
      <c r="N3069" s="113"/>
      <c r="O3069" s="113"/>
      <c r="P3069" s="115" t="str">
        <f ca="1">IF(Proc[[#This Row],[DaysAgeing]]&gt;5,"yep","on track")</f>
        <v>on track</v>
      </c>
      <c r="Q3069" s="3">
        <f ca="1">IF(Proc[[#This Row],[DateClosed]]="",ABS(NETWORKDAYS(Proc[[#This Row],[DateOpened]],TODAY()))-1,ABS(NETWORKDAYS(Proc[[#This Row],[DateOpened]],Proc[[#This Row],[DateClosed]]))-1)</f>
        <v>2</v>
      </c>
      <c r="R3069" s="115" t="s">
        <v>1013</v>
      </c>
      <c r="S3069" s="125"/>
    </row>
    <row r="3070" spans="1:19" hidden="1">
      <c r="A3070" s="124" t="s">
        <v>5276</v>
      </c>
      <c r="B3070" s="125" t="str">
        <f>IFERROR(VLOOKUP(Proc[[#This Row],[App]],Table2[],3,0),"open")</f>
        <v>ok</v>
      </c>
      <c r="C3070" s="124" t="s">
        <v>369</v>
      </c>
      <c r="D3070" t="s">
        <v>5107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4897</v>
      </c>
      <c r="M3070" s="113">
        <v>45873</v>
      </c>
      <c r="N3070" s="113"/>
      <c r="O3070" s="113"/>
      <c r="P3070" s="115" t="str">
        <f ca="1">IF(Proc[[#This Row],[DaysAgeing]]&gt;5,"yep","on track")</f>
        <v>on track</v>
      </c>
      <c r="Q3070" s="3">
        <f ca="1">IF(Proc[[#This Row],[DateClosed]]="",ABS(NETWORKDAYS(Proc[[#This Row],[DateOpened]],TODAY()))-1,ABS(NETWORKDAYS(Proc[[#This Row],[DateOpened]],Proc[[#This Row],[DateClosed]]))-1)</f>
        <v>2</v>
      </c>
      <c r="R3070" s="115" t="s">
        <v>1013</v>
      </c>
      <c r="S3070" s="125"/>
    </row>
    <row r="3071" spans="1:19" hidden="1">
      <c r="A3071" s="124" t="s">
        <v>5276</v>
      </c>
      <c r="B3071" s="125" t="str">
        <f>IFERROR(VLOOKUP(Proc[[#This Row],[App]],Table2[],3,0),"open")</f>
        <v>ok</v>
      </c>
      <c r="C3071" s="124" t="s">
        <v>369</v>
      </c>
      <c r="D3071" t="s">
        <v>5108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4897</v>
      </c>
      <c r="M3071" s="113">
        <v>45873</v>
      </c>
      <c r="N3071" s="113"/>
      <c r="O3071" s="113"/>
      <c r="P3071" s="115" t="str">
        <f ca="1">IF(Proc[[#This Row],[DaysAgeing]]&gt;5,"yep","on track")</f>
        <v>on track</v>
      </c>
      <c r="Q3071" s="3">
        <f ca="1">IF(Proc[[#This Row],[DateClosed]]="",ABS(NETWORKDAYS(Proc[[#This Row],[DateOpened]],TODAY()))-1,ABS(NETWORKDAYS(Proc[[#This Row],[DateOpened]],Proc[[#This Row],[DateClosed]]))-1)</f>
        <v>2</v>
      </c>
      <c r="R3071" s="115" t="s">
        <v>1013</v>
      </c>
      <c r="S3071" s="125"/>
    </row>
    <row r="3072" spans="1:19" hidden="1">
      <c r="A3072" s="124" t="s">
        <v>5276</v>
      </c>
      <c r="B3072" s="125" t="str">
        <f>IFERROR(VLOOKUP(Proc[[#This Row],[App]],Table2[],3,0),"open")</f>
        <v>ok</v>
      </c>
      <c r="C3072" s="124" t="s">
        <v>369</v>
      </c>
      <c r="D3072" t="s">
        <v>5109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4897</v>
      </c>
      <c r="M3072" s="113">
        <v>45873</v>
      </c>
      <c r="N3072" s="113"/>
      <c r="O3072" s="113"/>
      <c r="P3072" s="115" t="str">
        <f ca="1">IF(Proc[[#This Row],[DaysAgeing]]&gt;5,"yep","on track")</f>
        <v>on track</v>
      </c>
      <c r="Q3072" s="3">
        <f ca="1">IF(Proc[[#This Row],[DateClosed]]="",ABS(NETWORKDAYS(Proc[[#This Row],[DateOpened]],TODAY()))-1,ABS(NETWORKDAYS(Proc[[#This Row],[DateOpened]],Proc[[#This Row],[DateClosed]]))-1)</f>
        <v>2</v>
      </c>
      <c r="R3072" s="115" t="s">
        <v>1013</v>
      </c>
      <c r="S3072" s="125"/>
    </row>
    <row r="3073" spans="1:19" hidden="1">
      <c r="A3073" s="124" t="s">
        <v>5276</v>
      </c>
      <c r="B3073" s="125" t="str">
        <f>IFERROR(VLOOKUP(Proc[[#This Row],[App]],Table2[],3,0),"open")</f>
        <v>ok</v>
      </c>
      <c r="C3073" s="124" t="s">
        <v>369</v>
      </c>
      <c r="D3073" t="s">
        <v>5110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4897</v>
      </c>
      <c r="M3073" s="113">
        <v>45873</v>
      </c>
      <c r="N3073" s="113"/>
      <c r="O3073" s="113"/>
      <c r="P3073" s="115" t="str">
        <f ca="1">IF(Proc[[#This Row],[DaysAgeing]]&gt;5,"yep","on track")</f>
        <v>on track</v>
      </c>
      <c r="Q3073" s="3">
        <f ca="1">IF(Proc[[#This Row],[DateClosed]]="",ABS(NETWORKDAYS(Proc[[#This Row],[DateOpened]],TODAY()))-1,ABS(NETWORKDAYS(Proc[[#This Row],[DateOpened]],Proc[[#This Row],[DateClosed]]))-1)</f>
        <v>2</v>
      </c>
      <c r="R3073" s="115" t="s">
        <v>1013</v>
      </c>
      <c r="S3073" s="125"/>
    </row>
    <row r="3074" spans="1:19" hidden="1">
      <c r="A3074" s="124" t="s">
        <v>5276</v>
      </c>
      <c r="B3074" s="125" t="str">
        <f>IFERROR(VLOOKUP(Proc[[#This Row],[App]],Table2[],3,0),"open")</f>
        <v>ok</v>
      </c>
      <c r="C3074" s="124" t="s">
        <v>369</v>
      </c>
      <c r="D3074" t="s">
        <v>5111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4897</v>
      </c>
      <c r="M3074" s="113">
        <v>45873</v>
      </c>
      <c r="N3074" s="113"/>
      <c r="O3074" s="113"/>
      <c r="P3074" s="115" t="str">
        <f ca="1">IF(Proc[[#This Row],[DaysAgeing]]&gt;5,"yep","on track")</f>
        <v>on track</v>
      </c>
      <c r="Q3074" s="3">
        <f ca="1">IF(Proc[[#This Row],[DateClosed]]="",ABS(NETWORKDAYS(Proc[[#This Row],[DateOpened]],TODAY()))-1,ABS(NETWORKDAYS(Proc[[#This Row],[DateOpened]],Proc[[#This Row],[DateClosed]]))-1)</f>
        <v>2</v>
      </c>
      <c r="R3074" s="115" t="s">
        <v>1013</v>
      </c>
      <c r="S3074" s="125"/>
    </row>
    <row r="3075" spans="1:19" hidden="1">
      <c r="A3075" s="124" t="s">
        <v>5276</v>
      </c>
      <c r="B3075" s="125" t="str">
        <f>IFERROR(VLOOKUP(Proc[[#This Row],[App]],Table2[],3,0),"open")</f>
        <v>ok</v>
      </c>
      <c r="C3075" s="124" t="s">
        <v>369</v>
      </c>
      <c r="D3075" t="s">
        <v>5112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4897</v>
      </c>
      <c r="M3075" s="113">
        <v>45873</v>
      </c>
      <c r="N3075" s="113"/>
      <c r="O3075" s="113"/>
      <c r="P3075" s="115" t="str">
        <f ca="1">IF(Proc[[#This Row],[DaysAgeing]]&gt;5,"yep","on track")</f>
        <v>on track</v>
      </c>
      <c r="Q3075" s="3">
        <f ca="1">IF(Proc[[#This Row],[DateClosed]]="",ABS(NETWORKDAYS(Proc[[#This Row],[DateOpened]],TODAY()))-1,ABS(NETWORKDAYS(Proc[[#This Row],[DateOpened]],Proc[[#This Row],[DateClosed]]))-1)</f>
        <v>2</v>
      </c>
      <c r="R3075" s="115" t="s">
        <v>1013</v>
      </c>
      <c r="S3075" s="125"/>
    </row>
    <row r="3076" spans="1:19" hidden="1">
      <c r="A3076" s="124" t="s">
        <v>5276</v>
      </c>
      <c r="B3076" s="125" t="str">
        <f>IFERROR(VLOOKUP(Proc[[#This Row],[App]],Table2[],3,0),"open")</f>
        <v>ok</v>
      </c>
      <c r="C3076" s="124" t="s">
        <v>369</v>
      </c>
      <c r="D3076" t="s">
        <v>5113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4897</v>
      </c>
      <c r="M3076" s="113">
        <v>45873</v>
      </c>
      <c r="N3076" s="113"/>
      <c r="O3076" s="113"/>
      <c r="P3076" s="115" t="str">
        <f ca="1">IF(Proc[[#This Row],[DaysAgeing]]&gt;5,"yep","on track")</f>
        <v>on track</v>
      </c>
      <c r="Q3076" s="3">
        <f ca="1">IF(Proc[[#This Row],[DateClosed]]="",ABS(NETWORKDAYS(Proc[[#This Row],[DateOpened]],TODAY()))-1,ABS(NETWORKDAYS(Proc[[#This Row],[DateOpened]],Proc[[#This Row],[DateClosed]]))-1)</f>
        <v>2</v>
      </c>
      <c r="R3076" s="115" t="s">
        <v>1013</v>
      </c>
      <c r="S3076" s="125"/>
    </row>
    <row r="3077" spans="1:19" hidden="1">
      <c r="A3077" s="124" t="s">
        <v>5276</v>
      </c>
      <c r="B3077" s="125" t="str">
        <f>IFERROR(VLOOKUP(Proc[[#This Row],[App]],Table2[],3,0),"open")</f>
        <v>ok</v>
      </c>
      <c r="C3077" s="124" t="s">
        <v>369</v>
      </c>
      <c r="D3077" t="s">
        <v>5114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4897</v>
      </c>
      <c r="M3077" s="113">
        <v>45873</v>
      </c>
      <c r="N3077" s="113"/>
      <c r="O3077" s="113"/>
      <c r="P3077" s="115" t="str">
        <f ca="1">IF(Proc[[#This Row],[DaysAgeing]]&gt;5,"yep","on track")</f>
        <v>on track</v>
      </c>
      <c r="Q3077" s="3">
        <f ca="1">IF(Proc[[#This Row],[DateClosed]]="",ABS(NETWORKDAYS(Proc[[#This Row],[DateOpened]],TODAY()))-1,ABS(NETWORKDAYS(Proc[[#This Row],[DateOpened]],Proc[[#This Row],[DateClosed]]))-1)</f>
        <v>2</v>
      </c>
      <c r="R3077" s="115" t="s">
        <v>1013</v>
      </c>
      <c r="S3077" s="125"/>
    </row>
    <row r="3078" spans="1:19" hidden="1">
      <c r="A3078" s="124" t="s">
        <v>5276</v>
      </c>
      <c r="B3078" s="125" t="str">
        <f>IFERROR(VLOOKUP(Proc[[#This Row],[App]],Table2[],3,0),"open")</f>
        <v>ok</v>
      </c>
      <c r="C3078" s="124" t="s">
        <v>369</v>
      </c>
      <c r="D3078" t="s">
        <v>5115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4897</v>
      </c>
      <c r="M3078" s="113">
        <v>45873</v>
      </c>
      <c r="N3078" s="113"/>
      <c r="O3078" s="113"/>
      <c r="P3078" s="115" t="str">
        <f ca="1">IF(Proc[[#This Row],[DaysAgeing]]&gt;5,"yep","on track")</f>
        <v>on track</v>
      </c>
      <c r="Q3078" s="3">
        <f ca="1">IF(Proc[[#This Row],[DateClosed]]="",ABS(NETWORKDAYS(Proc[[#This Row],[DateOpened]],TODAY()))-1,ABS(NETWORKDAYS(Proc[[#This Row],[DateOpened]],Proc[[#This Row],[DateClosed]]))-1)</f>
        <v>2</v>
      </c>
      <c r="R3078" s="115" t="s">
        <v>1013</v>
      </c>
      <c r="S3078" s="125"/>
    </row>
    <row r="3079" spans="1:19" hidden="1">
      <c r="A3079" s="124" t="s">
        <v>5276</v>
      </c>
      <c r="B3079" s="125" t="str">
        <f>IFERROR(VLOOKUP(Proc[[#This Row],[App]],Table2[],3,0),"open")</f>
        <v>ok</v>
      </c>
      <c r="C3079" s="124" t="s">
        <v>369</v>
      </c>
      <c r="D3079" t="s">
        <v>5116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4897</v>
      </c>
      <c r="M3079" s="113">
        <v>45873</v>
      </c>
      <c r="N3079" s="113"/>
      <c r="O3079" s="113"/>
      <c r="P3079" s="115" t="str">
        <f ca="1">IF(Proc[[#This Row],[DaysAgeing]]&gt;5,"yep","on track")</f>
        <v>on track</v>
      </c>
      <c r="Q3079" s="3">
        <f ca="1">IF(Proc[[#This Row],[DateClosed]]="",ABS(NETWORKDAYS(Proc[[#This Row],[DateOpened]],TODAY()))-1,ABS(NETWORKDAYS(Proc[[#This Row],[DateOpened]],Proc[[#This Row],[DateClosed]]))-1)</f>
        <v>2</v>
      </c>
      <c r="R3079" s="115" t="s">
        <v>1013</v>
      </c>
      <c r="S3079" s="125"/>
    </row>
    <row r="3080" spans="1:19" hidden="1">
      <c r="A3080" s="124" t="s">
        <v>5276</v>
      </c>
      <c r="B3080" s="125" t="str">
        <f>IFERROR(VLOOKUP(Proc[[#This Row],[App]],Table2[],3,0),"open")</f>
        <v>ok</v>
      </c>
      <c r="C3080" s="124" t="s">
        <v>369</v>
      </c>
      <c r="D3080" t="s">
        <v>5117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4897</v>
      </c>
      <c r="M3080" s="113">
        <v>45873</v>
      </c>
      <c r="N3080" s="113"/>
      <c r="O3080" s="113"/>
      <c r="P3080" s="115" t="str">
        <f ca="1">IF(Proc[[#This Row],[DaysAgeing]]&gt;5,"yep","on track")</f>
        <v>on track</v>
      </c>
      <c r="Q3080" s="3">
        <f ca="1">IF(Proc[[#This Row],[DateClosed]]="",ABS(NETWORKDAYS(Proc[[#This Row],[DateOpened]],TODAY()))-1,ABS(NETWORKDAYS(Proc[[#This Row],[DateOpened]],Proc[[#This Row],[DateClosed]]))-1)</f>
        <v>2</v>
      </c>
      <c r="R3080" s="115" t="s">
        <v>1013</v>
      </c>
      <c r="S3080" s="125"/>
    </row>
    <row r="3081" spans="1:19" hidden="1">
      <c r="A3081" s="124" t="s">
        <v>5276</v>
      </c>
      <c r="B3081" s="125" t="str">
        <f>IFERROR(VLOOKUP(Proc[[#This Row],[App]],Table2[],3,0),"open")</f>
        <v>ok</v>
      </c>
      <c r="C3081" s="124" t="s">
        <v>369</v>
      </c>
      <c r="D3081" t="s">
        <v>5118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4897</v>
      </c>
      <c r="M3081" s="113">
        <v>45873</v>
      </c>
      <c r="N3081" s="113"/>
      <c r="O3081" s="113"/>
      <c r="P3081" s="115" t="str">
        <f ca="1">IF(Proc[[#This Row],[DaysAgeing]]&gt;5,"yep","on track")</f>
        <v>on track</v>
      </c>
      <c r="Q3081" s="3">
        <f ca="1">IF(Proc[[#This Row],[DateClosed]]="",ABS(NETWORKDAYS(Proc[[#This Row],[DateOpened]],TODAY()))-1,ABS(NETWORKDAYS(Proc[[#This Row],[DateOpened]],Proc[[#This Row],[DateClosed]]))-1)</f>
        <v>2</v>
      </c>
      <c r="R3081" s="115" t="s">
        <v>1013</v>
      </c>
      <c r="S3081" s="125"/>
    </row>
    <row r="3082" spans="1:19" hidden="1">
      <c r="A3082" s="124" t="s">
        <v>5276</v>
      </c>
      <c r="B3082" s="125" t="str">
        <f>IFERROR(VLOOKUP(Proc[[#This Row],[App]],Table2[],3,0),"open")</f>
        <v>ok</v>
      </c>
      <c r="C3082" s="124" t="s">
        <v>369</v>
      </c>
      <c r="D3082" t="s">
        <v>5119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4897</v>
      </c>
      <c r="M3082" s="113">
        <v>45873</v>
      </c>
      <c r="N3082" s="113"/>
      <c r="O3082" s="113"/>
      <c r="P3082" s="115" t="str">
        <f ca="1">IF(Proc[[#This Row],[DaysAgeing]]&gt;5,"yep","on track")</f>
        <v>on track</v>
      </c>
      <c r="Q3082" s="3">
        <f ca="1">IF(Proc[[#This Row],[DateClosed]]="",ABS(NETWORKDAYS(Proc[[#This Row],[DateOpened]],TODAY()))-1,ABS(NETWORKDAYS(Proc[[#This Row],[DateOpened]],Proc[[#This Row],[DateClosed]]))-1)</f>
        <v>2</v>
      </c>
      <c r="R3082" s="115" t="s">
        <v>1013</v>
      </c>
      <c r="S3082" s="125"/>
    </row>
    <row r="3083" spans="1:19" hidden="1">
      <c r="A3083" s="124" t="s">
        <v>5276</v>
      </c>
      <c r="B3083" s="125" t="str">
        <f>IFERROR(VLOOKUP(Proc[[#This Row],[App]],Table2[],3,0),"open")</f>
        <v>ok</v>
      </c>
      <c r="C3083" s="124" t="s">
        <v>369</v>
      </c>
      <c r="D3083" t="s">
        <v>5120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4897</v>
      </c>
      <c r="M3083" s="113">
        <v>45873</v>
      </c>
      <c r="N3083" s="113"/>
      <c r="O3083" s="113"/>
      <c r="P3083" s="115" t="str">
        <f ca="1">IF(Proc[[#This Row],[DaysAgeing]]&gt;5,"yep","on track")</f>
        <v>on track</v>
      </c>
      <c r="Q3083" s="3">
        <f ca="1">IF(Proc[[#This Row],[DateClosed]]="",ABS(NETWORKDAYS(Proc[[#This Row],[DateOpened]],TODAY()))-1,ABS(NETWORKDAYS(Proc[[#This Row],[DateOpened]],Proc[[#This Row],[DateClosed]]))-1)</f>
        <v>2</v>
      </c>
      <c r="R3083" s="115" t="s">
        <v>1013</v>
      </c>
      <c r="S3083" s="125"/>
    </row>
    <row r="3084" spans="1:19" hidden="1">
      <c r="A3084" s="124" t="s">
        <v>5276</v>
      </c>
      <c r="B3084" s="125" t="str">
        <f>IFERROR(VLOOKUP(Proc[[#This Row],[App]],Table2[],3,0),"open")</f>
        <v>ok</v>
      </c>
      <c r="C3084" s="124" t="s">
        <v>369</v>
      </c>
      <c r="D3084" t="s">
        <v>5121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4897</v>
      </c>
      <c r="M3084" s="113">
        <v>45873</v>
      </c>
      <c r="N3084" s="113"/>
      <c r="O3084" s="113"/>
      <c r="P3084" s="115" t="str">
        <f ca="1">IF(Proc[[#This Row],[DaysAgeing]]&gt;5,"yep","on track")</f>
        <v>on track</v>
      </c>
      <c r="Q3084" s="3">
        <f ca="1">IF(Proc[[#This Row],[DateClosed]]="",ABS(NETWORKDAYS(Proc[[#This Row],[DateOpened]],TODAY()))-1,ABS(NETWORKDAYS(Proc[[#This Row],[DateOpened]],Proc[[#This Row],[DateClosed]]))-1)</f>
        <v>2</v>
      </c>
      <c r="R3084" s="115" t="s">
        <v>1013</v>
      </c>
      <c r="S3084" s="125"/>
    </row>
    <row r="3085" spans="1:19" hidden="1">
      <c r="A3085" s="124" t="s">
        <v>5276</v>
      </c>
      <c r="B3085" s="125" t="str">
        <f>IFERROR(VLOOKUP(Proc[[#This Row],[App]],Table2[],3,0),"open")</f>
        <v>ok</v>
      </c>
      <c r="C3085" s="124" t="s">
        <v>369</v>
      </c>
      <c r="D3085" t="s">
        <v>5122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4897</v>
      </c>
      <c r="M3085" s="113">
        <v>45873</v>
      </c>
      <c r="N3085" s="113"/>
      <c r="O3085" s="113"/>
      <c r="P3085" s="115" t="str">
        <f ca="1">IF(Proc[[#This Row],[DaysAgeing]]&gt;5,"yep","on track")</f>
        <v>on track</v>
      </c>
      <c r="Q3085" s="3">
        <f ca="1">IF(Proc[[#This Row],[DateClosed]]="",ABS(NETWORKDAYS(Proc[[#This Row],[DateOpened]],TODAY()))-1,ABS(NETWORKDAYS(Proc[[#This Row],[DateOpened]],Proc[[#This Row],[DateClosed]]))-1)</f>
        <v>2</v>
      </c>
      <c r="R3085" s="115" t="s">
        <v>1013</v>
      </c>
      <c r="S3085" s="125"/>
    </row>
    <row r="3086" spans="1:19" hidden="1">
      <c r="A3086" s="124" t="s">
        <v>5276</v>
      </c>
      <c r="B3086" s="125" t="str">
        <f>IFERROR(VLOOKUP(Proc[[#This Row],[App]],Table2[],3,0),"open")</f>
        <v>ok</v>
      </c>
      <c r="C3086" s="124" t="s">
        <v>369</v>
      </c>
      <c r="D3086" t="s">
        <v>5123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4897</v>
      </c>
      <c r="M3086" s="113">
        <v>45873</v>
      </c>
      <c r="N3086" s="113"/>
      <c r="O3086" s="113"/>
      <c r="P3086" s="115" t="str">
        <f ca="1">IF(Proc[[#This Row],[DaysAgeing]]&gt;5,"yep","on track")</f>
        <v>on track</v>
      </c>
      <c r="Q3086" s="3">
        <f ca="1">IF(Proc[[#This Row],[DateClosed]]="",ABS(NETWORKDAYS(Proc[[#This Row],[DateOpened]],TODAY()))-1,ABS(NETWORKDAYS(Proc[[#This Row],[DateOpened]],Proc[[#This Row],[DateClosed]]))-1)</f>
        <v>2</v>
      </c>
      <c r="R3086" s="115" t="s">
        <v>1013</v>
      </c>
      <c r="S3086" s="125"/>
    </row>
    <row r="3087" spans="1:19" hidden="1">
      <c r="A3087" s="124" t="s">
        <v>5276</v>
      </c>
      <c r="B3087" s="125" t="str">
        <f>IFERROR(VLOOKUP(Proc[[#This Row],[App]],Table2[],3,0),"open")</f>
        <v>ok</v>
      </c>
      <c r="C3087" s="124" t="s">
        <v>369</v>
      </c>
      <c r="D3087" t="s">
        <v>5124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4897</v>
      </c>
      <c r="M3087" s="113">
        <v>45873</v>
      </c>
      <c r="N3087" s="113"/>
      <c r="O3087" s="113"/>
      <c r="P3087" s="115" t="str">
        <f ca="1">IF(Proc[[#This Row],[DaysAgeing]]&gt;5,"yep","on track")</f>
        <v>on track</v>
      </c>
      <c r="Q3087" s="3">
        <f ca="1">IF(Proc[[#This Row],[DateClosed]]="",ABS(NETWORKDAYS(Proc[[#This Row],[DateOpened]],TODAY()))-1,ABS(NETWORKDAYS(Proc[[#This Row],[DateOpened]],Proc[[#This Row],[DateClosed]]))-1)</f>
        <v>2</v>
      </c>
      <c r="R3087" s="115" t="s">
        <v>1013</v>
      </c>
      <c r="S3087" s="125"/>
    </row>
    <row r="3088" spans="1:19" hidden="1">
      <c r="A3088" s="124" t="s">
        <v>5276</v>
      </c>
      <c r="B3088" s="125" t="str">
        <f>IFERROR(VLOOKUP(Proc[[#This Row],[App]],Table2[],3,0),"open")</f>
        <v>ok</v>
      </c>
      <c r="C3088" s="124" t="s">
        <v>369</v>
      </c>
      <c r="D3088" t="s">
        <v>5125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4897</v>
      </c>
      <c r="M3088" s="113">
        <v>45873</v>
      </c>
      <c r="N3088" s="113"/>
      <c r="O3088" s="113"/>
      <c r="P3088" s="115" t="str">
        <f ca="1">IF(Proc[[#This Row],[DaysAgeing]]&gt;5,"yep","on track")</f>
        <v>on track</v>
      </c>
      <c r="Q3088" s="3">
        <f ca="1">IF(Proc[[#This Row],[DateClosed]]="",ABS(NETWORKDAYS(Proc[[#This Row],[DateOpened]],TODAY()))-1,ABS(NETWORKDAYS(Proc[[#This Row],[DateOpened]],Proc[[#This Row],[DateClosed]]))-1)</f>
        <v>2</v>
      </c>
      <c r="R3088" s="115" t="s">
        <v>1013</v>
      </c>
      <c r="S3088" s="125"/>
    </row>
    <row r="3089" spans="1:19" hidden="1">
      <c r="A3089" s="124" t="s">
        <v>5276</v>
      </c>
      <c r="B3089" s="125" t="str">
        <f>IFERROR(VLOOKUP(Proc[[#This Row],[App]],Table2[],3,0),"open")</f>
        <v>ok</v>
      </c>
      <c r="C3089" s="124" t="s">
        <v>369</v>
      </c>
      <c r="D3089" t="s">
        <v>5126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4897</v>
      </c>
      <c r="M3089" s="113">
        <v>45873</v>
      </c>
      <c r="N3089" s="113"/>
      <c r="O3089" s="113"/>
      <c r="P3089" s="115" t="str">
        <f ca="1">IF(Proc[[#This Row],[DaysAgeing]]&gt;5,"yep","on track")</f>
        <v>on track</v>
      </c>
      <c r="Q3089" s="3">
        <f ca="1">IF(Proc[[#This Row],[DateClosed]]="",ABS(NETWORKDAYS(Proc[[#This Row],[DateOpened]],TODAY()))-1,ABS(NETWORKDAYS(Proc[[#This Row],[DateOpened]],Proc[[#This Row],[DateClosed]]))-1)</f>
        <v>2</v>
      </c>
      <c r="R3089" s="115" t="s">
        <v>1013</v>
      </c>
      <c r="S3089" s="125"/>
    </row>
    <row r="3090" spans="1:19" hidden="1">
      <c r="A3090" s="124" t="s">
        <v>5276</v>
      </c>
      <c r="B3090" s="125" t="str">
        <f>IFERROR(VLOOKUP(Proc[[#This Row],[App]],Table2[],3,0),"open")</f>
        <v>ok</v>
      </c>
      <c r="C3090" s="124" t="s">
        <v>369</v>
      </c>
      <c r="D3090" t="s">
        <v>5127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4897</v>
      </c>
      <c r="M3090" s="113">
        <v>45873</v>
      </c>
      <c r="N3090" s="113"/>
      <c r="O3090" s="113"/>
      <c r="P3090" s="115" t="str">
        <f ca="1">IF(Proc[[#This Row],[DaysAgeing]]&gt;5,"yep","on track")</f>
        <v>on track</v>
      </c>
      <c r="Q3090" s="3">
        <f ca="1">IF(Proc[[#This Row],[DateClosed]]="",ABS(NETWORKDAYS(Proc[[#This Row],[DateOpened]],TODAY()))-1,ABS(NETWORKDAYS(Proc[[#This Row],[DateOpened]],Proc[[#This Row],[DateClosed]]))-1)</f>
        <v>2</v>
      </c>
      <c r="R3090" s="115" t="s">
        <v>1013</v>
      </c>
      <c r="S3090" s="125"/>
    </row>
    <row r="3091" spans="1:19" hidden="1">
      <c r="A3091" s="124" t="s">
        <v>5276</v>
      </c>
      <c r="B3091" s="125" t="str">
        <f>IFERROR(VLOOKUP(Proc[[#This Row],[App]],Table2[],3,0),"open")</f>
        <v>ok</v>
      </c>
      <c r="C3091" s="124" t="s">
        <v>369</v>
      </c>
      <c r="D3091" t="s">
        <v>5128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4897</v>
      </c>
      <c r="M3091" s="113">
        <v>45873</v>
      </c>
      <c r="N3091" s="113"/>
      <c r="O3091" s="113"/>
      <c r="P3091" s="115" t="str">
        <f ca="1">IF(Proc[[#This Row],[DaysAgeing]]&gt;5,"yep","on track")</f>
        <v>on track</v>
      </c>
      <c r="Q3091" s="3">
        <f ca="1">IF(Proc[[#This Row],[DateClosed]]="",ABS(NETWORKDAYS(Proc[[#This Row],[DateOpened]],TODAY()))-1,ABS(NETWORKDAYS(Proc[[#This Row],[DateOpened]],Proc[[#This Row],[DateClosed]]))-1)</f>
        <v>2</v>
      </c>
      <c r="R3091" s="115" t="s">
        <v>1013</v>
      </c>
      <c r="S3091" s="125"/>
    </row>
    <row r="3092" spans="1:19" hidden="1">
      <c r="A3092" s="124" t="s">
        <v>5276</v>
      </c>
      <c r="B3092" s="125" t="str">
        <f>IFERROR(VLOOKUP(Proc[[#This Row],[App]],Table2[],3,0),"open")</f>
        <v>ok</v>
      </c>
      <c r="C3092" s="124" t="s">
        <v>369</v>
      </c>
      <c r="D3092" t="s">
        <v>5129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4897</v>
      </c>
      <c r="M3092" s="113">
        <v>45873</v>
      </c>
      <c r="N3092" s="113"/>
      <c r="O3092" s="113"/>
      <c r="P3092" s="115" t="str">
        <f ca="1">IF(Proc[[#This Row],[DaysAgeing]]&gt;5,"yep","on track")</f>
        <v>on track</v>
      </c>
      <c r="Q3092" s="3">
        <f ca="1">IF(Proc[[#This Row],[DateClosed]]="",ABS(NETWORKDAYS(Proc[[#This Row],[DateOpened]],TODAY()))-1,ABS(NETWORKDAYS(Proc[[#This Row],[DateOpened]],Proc[[#This Row],[DateClosed]]))-1)</f>
        <v>2</v>
      </c>
      <c r="R3092" s="115" t="s">
        <v>1013</v>
      </c>
      <c r="S3092" s="125"/>
    </row>
    <row r="3093" spans="1:19" hidden="1">
      <c r="A3093" s="124" t="s">
        <v>5276</v>
      </c>
      <c r="B3093" s="125" t="str">
        <f>IFERROR(VLOOKUP(Proc[[#This Row],[App]],Table2[],3,0),"open")</f>
        <v>ok</v>
      </c>
      <c r="C3093" s="124" t="s">
        <v>369</v>
      </c>
      <c r="D3093" t="s">
        <v>5130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4897</v>
      </c>
      <c r="M3093" s="113">
        <v>45873</v>
      </c>
      <c r="N3093" s="113"/>
      <c r="O3093" s="113"/>
      <c r="P3093" s="115" t="str">
        <f ca="1">IF(Proc[[#This Row],[DaysAgeing]]&gt;5,"yep","on track")</f>
        <v>on track</v>
      </c>
      <c r="Q3093" s="3">
        <f ca="1">IF(Proc[[#This Row],[DateClosed]]="",ABS(NETWORKDAYS(Proc[[#This Row],[DateOpened]],TODAY()))-1,ABS(NETWORKDAYS(Proc[[#This Row],[DateOpened]],Proc[[#This Row],[DateClosed]]))-1)</f>
        <v>2</v>
      </c>
      <c r="R3093" s="115" t="s">
        <v>1013</v>
      </c>
      <c r="S3093" s="125"/>
    </row>
    <row r="3094" spans="1:19" hidden="1">
      <c r="A3094" s="124" t="s">
        <v>5276</v>
      </c>
      <c r="B3094" s="125" t="str">
        <f>IFERROR(VLOOKUP(Proc[[#This Row],[App]],Table2[],3,0),"open")</f>
        <v>ok</v>
      </c>
      <c r="C3094" s="124" t="s">
        <v>369</v>
      </c>
      <c r="D3094" t="s">
        <v>5131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4897</v>
      </c>
      <c r="M3094" s="113">
        <v>45873</v>
      </c>
      <c r="N3094" s="113"/>
      <c r="O3094" s="113"/>
      <c r="P3094" s="115" t="str">
        <f ca="1">IF(Proc[[#This Row],[DaysAgeing]]&gt;5,"yep","on track")</f>
        <v>on track</v>
      </c>
      <c r="Q3094" s="3">
        <f ca="1">IF(Proc[[#This Row],[DateClosed]]="",ABS(NETWORKDAYS(Proc[[#This Row],[DateOpened]],TODAY()))-1,ABS(NETWORKDAYS(Proc[[#This Row],[DateOpened]],Proc[[#This Row],[DateClosed]]))-1)</f>
        <v>2</v>
      </c>
      <c r="R3094" s="115" t="s">
        <v>1013</v>
      </c>
      <c r="S3094" s="125"/>
    </row>
    <row r="3095" spans="1:19" hidden="1">
      <c r="A3095" s="124" t="s">
        <v>5276</v>
      </c>
      <c r="B3095" s="125" t="str">
        <f>IFERROR(VLOOKUP(Proc[[#This Row],[App]],Table2[],3,0),"open")</f>
        <v>ok</v>
      </c>
      <c r="C3095" s="124" t="s">
        <v>369</v>
      </c>
      <c r="D3095" t="s">
        <v>5132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4897</v>
      </c>
      <c r="M3095" s="113">
        <v>45873</v>
      </c>
      <c r="N3095" s="113"/>
      <c r="O3095" s="113"/>
      <c r="P3095" s="115" t="str">
        <f ca="1">IF(Proc[[#This Row],[DaysAgeing]]&gt;5,"yep","on track")</f>
        <v>on track</v>
      </c>
      <c r="Q3095" s="3">
        <f ca="1">IF(Proc[[#This Row],[DateClosed]]="",ABS(NETWORKDAYS(Proc[[#This Row],[DateOpened]],TODAY()))-1,ABS(NETWORKDAYS(Proc[[#This Row],[DateOpened]],Proc[[#This Row],[DateClosed]]))-1)</f>
        <v>2</v>
      </c>
      <c r="R3095" s="115" t="s">
        <v>1013</v>
      </c>
      <c r="S3095" s="125"/>
    </row>
    <row r="3096" spans="1:19" hidden="1">
      <c r="A3096" s="124" t="s">
        <v>5276</v>
      </c>
      <c r="B3096" s="125" t="str">
        <f>IFERROR(VLOOKUP(Proc[[#This Row],[App]],Table2[],3,0),"open")</f>
        <v>ok</v>
      </c>
      <c r="C3096" s="124" t="s">
        <v>369</v>
      </c>
      <c r="D3096" t="s">
        <v>5133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4897</v>
      </c>
      <c r="M3096" s="113">
        <v>45873</v>
      </c>
      <c r="N3096" s="113"/>
      <c r="O3096" s="113"/>
      <c r="P3096" s="115" t="str">
        <f ca="1">IF(Proc[[#This Row],[DaysAgeing]]&gt;5,"yep","on track")</f>
        <v>on track</v>
      </c>
      <c r="Q3096" s="3">
        <f ca="1">IF(Proc[[#This Row],[DateClosed]]="",ABS(NETWORKDAYS(Proc[[#This Row],[DateOpened]],TODAY()))-1,ABS(NETWORKDAYS(Proc[[#This Row],[DateOpened]],Proc[[#This Row],[DateClosed]]))-1)</f>
        <v>2</v>
      </c>
      <c r="R3096" s="115" t="s">
        <v>1013</v>
      </c>
      <c r="S3096" s="125"/>
    </row>
    <row r="3097" spans="1:19" hidden="1">
      <c r="A3097" s="124" t="s">
        <v>5276</v>
      </c>
      <c r="B3097" s="125" t="str">
        <f>IFERROR(VLOOKUP(Proc[[#This Row],[App]],Table2[],3,0),"open")</f>
        <v>ok</v>
      </c>
      <c r="C3097" s="124" t="s">
        <v>369</v>
      </c>
      <c r="D3097" t="s">
        <v>5134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4897</v>
      </c>
      <c r="M3097" s="113">
        <v>45873</v>
      </c>
      <c r="N3097" s="113"/>
      <c r="O3097" s="113"/>
      <c r="P3097" s="115" t="str">
        <f ca="1">IF(Proc[[#This Row],[DaysAgeing]]&gt;5,"yep","on track")</f>
        <v>on track</v>
      </c>
      <c r="Q3097" s="3">
        <f ca="1">IF(Proc[[#This Row],[DateClosed]]="",ABS(NETWORKDAYS(Proc[[#This Row],[DateOpened]],TODAY()))-1,ABS(NETWORKDAYS(Proc[[#This Row],[DateOpened]],Proc[[#This Row],[DateClosed]]))-1)</f>
        <v>2</v>
      </c>
      <c r="R3097" s="115" t="s">
        <v>1013</v>
      </c>
      <c r="S3097" s="125"/>
    </row>
    <row r="3098" spans="1:19" hidden="1">
      <c r="A3098" s="124" t="s">
        <v>5276</v>
      </c>
      <c r="B3098" s="125" t="str">
        <f>IFERROR(VLOOKUP(Proc[[#This Row],[App]],Table2[],3,0),"open")</f>
        <v>ok</v>
      </c>
      <c r="C3098" s="124" t="s">
        <v>369</v>
      </c>
      <c r="D3098" t="s">
        <v>5135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4897</v>
      </c>
      <c r="M3098" s="113">
        <v>45873</v>
      </c>
      <c r="N3098" s="113"/>
      <c r="O3098" s="113"/>
      <c r="P3098" s="115" t="str">
        <f ca="1">IF(Proc[[#This Row],[DaysAgeing]]&gt;5,"yep","on track")</f>
        <v>on track</v>
      </c>
      <c r="Q3098" s="3">
        <f ca="1">IF(Proc[[#This Row],[DateClosed]]="",ABS(NETWORKDAYS(Proc[[#This Row],[DateOpened]],TODAY()))-1,ABS(NETWORKDAYS(Proc[[#This Row],[DateOpened]],Proc[[#This Row],[DateClosed]]))-1)</f>
        <v>2</v>
      </c>
      <c r="R3098" s="115" t="s">
        <v>1013</v>
      </c>
      <c r="S3098" s="125"/>
    </row>
    <row r="3099" spans="1:19" hidden="1">
      <c r="A3099" s="124" t="s">
        <v>5276</v>
      </c>
      <c r="B3099" s="125" t="str">
        <f>IFERROR(VLOOKUP(Proc[[#This Row],[App]],Table2[],3,0),"open")</f>
        <v>ok</v>
      </c>
      <c r="C3099" s="124" t="s">
        <v>369</v>
      </c>
      <c r="D3099" t="s">
        <v>5136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4897</v>
      </c>
      <c r="M3099" s="113">
        <v>45873</v>
      </c>
      <c r="N3099" s="113"/>
      <c r="O3099" s="113"/>
      <c r="P3099" s="115" t="str">
        <f ca="1">IF(Proc[[#This Row],[DaysAgeing]]&gt;5,"yep","on track")</f>
        <v>on track</v>
      </c>
      <c r="Q3099" s="3">
        <f ca="1">IF(Proc[[#This Row],[DateClosed]]="",ABS(NETWORKDAYS(Proc[[#This Row],[DateOpened]],TODAY()))-1,ABS(NETWORKDAYS(Proc[[#This Row],[DateOpened]],Proc[[#This Row],[DateClosed]]))-1)</f>
        <v>2</v>
      </c>
      <c r="R3099" s="115" t="s">
        <v>1013</v>
      </c>
      <c r="S3099" s="125"/>
    </row>
    <row r="3100" spans="1:19" hidden="1">
      <c r="A3100" s="124" t="s">
        <v>5276</v>
      </c>
      <c r="B3100" s="125" t="str">
        <f>IFERROR(VLOOKUP(Proc[[#This Row],[App]],Table2[],3,0),"open")</f>
        <v>ok</v>
      </c>
      <c r="C3100" s="124" t="s">
        <v>369</v>
      </c>
      <c r="D3100" t="s">
        <v>5137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4897</v>
      </c>
      <c r="M3100" s="113">
        <v>45873</v>
      </c>
      <c r="N3100" s="113"/>
      <c r="O3100" s="113"/>
      <c r="P3100" s="115" t="str">
        <f ca="1">IF(Proc[[#This Row],[DaysAgeing]]&gt;5,"yep","on track")</f>
        <v>on track</v>
      </c>
      <c r="Q3100" s="3">
        <f ca="1">IF(Proc[[#This Row],[DateClosed]]="",ABS(NETWORKDAYS(Proc[[#This Row],[DateOpened]],TODAY()))-1,ABS(NETWORKDAYS(Proc[[#This Row],[DateOpened]],Proc[[#This Row],[DateClosed]]))-1)</f>
        <v>2</v>
      </c>
      <c r="R3100" s="115" t="s">
        <v>1013</v>
      </c>
      <c r="S3100" s="125"/>
    </row>
    <row r="3101" spans="1:19" hidden="1">
      <c r="A3101" s="124" t="s">
        <v>5276</v>
      </c>
      <c r="B3101" s="125" t="str">
        <f>IFERROR(VLOOKUP(Proc[[#This Row],[App]],Table2[],3,0),"open")</f>
        <v>ok</v>
      </c>
      <c r="C3101" s="124" t="s">
        <v>369</v>
      </c>
      <c r="D3101" t="s">
        <v>5138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4897</v>
      </c>
      <c r="M3101" s="113">
        <v>45873</v>
      </c>
      <c r="N3101" s="113"/>
      <c r="O3101" s="113"/>
      <c r="P3101" s="115" t="str">
        <f ca="1">IF(Proc[[#This Row],[DaysAgeing]]&gt;5,"yep","on track")</f>
        <v>on track</v>
      </c>
      <c r="Q3101" s="3">
        <f ca="1">IF(Proc[[#This Row],[DateClosed]]="",ABS(NETWORKDAYS(Proc[[#This Row],[DateOpened]],TODAY()))-1,ABS(NETWORKDAYS(Proc[[#This Row],[DateOpened]],Proc[[#This Row],[DateClosed]]))-1)</f>
        <v>2</v>
      </c>
      <c r="R3101" s="115" t="s">
        <v>1013</v>
      </c>
      <c r="S3101" s="125"/>
    </row>
    <row r="3102" spans="1:19" hidden="1">
      <c r="A3102" s="124" t="s">
        <v>5276</v>
      </c>
      <c r="B3102" s="125" t="str">
        <f>IFERROR(VLOOKUP(Proc[[#This Row],[App]],Table2[],3,0),"open")</f>
        <v>ok</v>
      </c>
      <c r="C3102" s="124" t="s">
        <v>369</v>
      </c>
      <c r="D3102" t="s">
        <v>5139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4897</v>
      </c>
      <c r="M3102" s="113">
        <v>45873</v>
      </c>
      <c r="N3102" s="113"/>
      <c r="O3102" s="113"/>
      <c r="P3102" s="115" t="str">
        <f ca="1">IF(Proc[[#This Row],[DaysAgeing]]&gt;5,"yep","on track")</f>
        <v>on track</v>
      </c>
      <c r="Q3102" s="3">
        <f ca="1">IF(Proc[[#This Row],[DateClosed]]="",ABS(NETWORKDAYS(Proc[[#This Row],[DateOpened]],TODAY()))-1,ABS(NETWORKDAYS(Proc[[#This Row],[DateOpened]],Proc[[#This Row],[DateClosed]]))-1)</f>
        <v>2</v>
      </c>
      <c r="R3102" s="115" t="s">
        <v>1013</v>
      </c>
      <c r="S3102" s="125"/>
    </row>
    <row r="3103" spans="1:19" hidden="1">
      <c r="A3103" s="124" t="s">
        <v>5276</v>
      </c>
      <c r="B3103" s="125" t="str">
        <f>IFERROR(VLOOKUP(Proc[[#This Row],[App]],Table2[],3,0),"open")</f>
        <v>ok</v>
      </c>
      <c r="C3103" s="124" t="s">
        <v>369</v>
      </c>
      <c r="D3103" t="s">
        <v>5140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4897</v>
      </c>
      <c r="M3103" s="113">
        <v>45873</v>
      </c>
      <c r="N3103" s="113"/>
      <c r="O3103" s="113"/>
      <c r="P3103" s="115" t="str">
        <f ca="1">IF(Proc[[#This Row],[DaysAgeing]]&gt;5,"yep","on track")</f>
        <v>on track</v>
      </c>
      <c r="Q3103" s="3">
        <f ca="1">IF(Proc[[#This Row],[DateClosed]]="",ABS(NETWORKDAYS(Proc[[#This Row],[DateOpened]],TODAY()))-1,ABS(NETWORKDAYS(Proc[[#This Row],[DateOpened]],Proc[[#This Row],[DateClosed]]))-1)</f>
        <v>2</v>
      </c>
      <c r="R3103" s="115" t="s">
        <v>1013</v>
      </c>
      <c r="S3103" s="125"/>
    </row>
    <row r="3104" spans="1:19" hidden="1">
      <c r="A3104" s="124" t="s">
        <v>5276</v>
      </c>
      <c r="B3104" s="125" t="str">
        <f>IFERROR(VLOOKUP(Proc[[#This Row],[App]],Table2[],3,0),"open")</f>
        <v>ok</v>
      </c>
      <c r="C3104" s="124" t="s">
        <v>369</v>
      </c>
      <c r="D3104" t="s">
        <v>5141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4897</v>
      </c>
      <c r="M3104" s="113">
        <v>45873</v>
      </c>
      <c r="N3104" s="113"/>
      <c r="O3104" s="113"/>
      <c r="P3104" s="115" t="str">
        <f ca="1">IF(Proc[[#This Row],[DaysAgeing]]&gt;5,"yep","on track")</f>
        <v>on track</v>
      </c>
      <c r="Q3104" s="3">
        <f ca="1">IF(Proc[[#This Row],[DateClosed]]="",ABS(NETWORKDAYS(Proc[[#This Row],[DateOpened]],TODAY()))-1,ABS(NETWORKDAYS(Proc[[#This Row],[DateOpened]],Proc[[#This Row],[DateClosed]]))-1)</f>
        <v>2</v>
      </c>
      <c r="R3104" s="115" t="s">
        <v>1013</v>
      </c>
      <c r="S3104" s="125"/>
    </row>
    <row r="3105" spans="1:19" hidden="1">
      <c r="A3105" s="124" t="s">
        <v>5276</v>
      </c>
      <c r="B3105" s="125" t="str">
        <f>IFERROR(VLOOKUP(Proc[[#This Row],[App]],Table2[],3,0),"open")</f>
        <v>ok</v>
      </c>
      <c r="C3105" s="124" t="s">
        <v>369</v>
      </c>
      <c r="D3105" t="s">
        <v>5142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4897</v>
      </c>
      <c r="M3105" s="113">
        <v>45873</v>
      </c>
      <c r="N3105" s="113"/>
      <c r="O3105" s="113"/>
      <c r="P3105" s="115" t="str">
        <f ca="1">IF(Proc[[#This Row],[DaysAgeing]]&gt;5,"yep","on track")</f>
        <v>on track</v>
      </c>
      <c r="Q3105" s="3">
        <f ca="1">IF(Proc[[#This Row],[DateClosed]]="",ABS(NETWORKDAYS(Proc[[#This Row],[DateOpened]],TODAY()))-1,ABS(NETWORKDAYS(Proc[[#This Row],[DateOpened]],Proc[[#This Row],[DateClosed]]))-1)</f>
        <v>2</v>
      </c>
      <c r="R3105" s="115" t="s">
        <v>1013</v>
      </c>
      <c r="S3105" s="125"/>
    </row>
    <row r="3106" spans="1:19" hidden="1">
      <c r="A3106" s="124" t="s">
        <v>5276</v>
      </c>
      <c r="B3106" s="125" t="str">
        <f>IFERROR(VLOOKUP(Proc[[#This Row],[App]],Table2[],3,0),"open")</f>
        <v>ok</v>
      </c>
      <c r="C3106" s="124" t="s">
        <v>369</v>
      </c>
      <c r="D3106" t="s">
        <v>5143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4897</v>
      </c>
      <c r="M3106" s="113">
        <v>45873</v>
      </c>
      <c r="N3106" s="113"/>
      <c r="O3106" s="113"/>
      <c r="P3106" s="115" t="str">
        <f ca="1">IF(Proc[[#This Row],[DaysAgeing]]&gt;5,"yep","on track")</f>
        <v>on track</v>
      </c>
      <c r="Q3106" s="3">
        <f ca="1">IF(Proc[[#This Row],[DateClosed]]="",ABS(NETWORKDAYS(Proc[[#This Row],[DateOpened]],TODAY()))-1,ABS(NETWORKDAYS(Proc[[#This Row],[DateOpened]],Proc[[#This Row],[DateClosed]]))-1)</f>
        <v>2</v>
      </c>
      <c r="R3106" s="115" t="s">
        <v>1013</v>
      </c>
      <c r="S3106" s="125"/>
    </row>
    <row r="3107" spans="1:19" hidden="1">
      <c r="A3107" s="124" t="s">
        <v>5276</v>
      </c>
      <c r="B3107" s="125" t="str">
        <f>IFERROR(VLOOKUP(Proc[[#This Row],[App]],Table2[],3,0),"open")</f>
        <v>ok</v>
      </c>
      <c r="C3107" s="124" t="s">
        <v>369</v>
      </c>
      <c r="D3107" t="s">
        <v>5144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4897</v>
      </c>
      <c r="M3107" s="113">
        <v>45873</v>
      </c>
      <c r="N3107" s="113"/>
      <c r="O3107" s="113"/>
      <c r="P3107" s="115" t="str">
        <f ca="1">IF(Proc[[#This Row],[DaysAgeing]]&gt;5,"yep","on track")</f>
        <v>on track</v>
      </c>
      <c r="Q3107" s="3">
        <f ca="1">IF(Proc[[#This Row],[DateClosed]]="",ABS(NETWORKDAYS(Proc[[#This Row],[DateOpened]],TODAY()))-1,ABS(NETWORKDAYS(Proc[[#This Row],[DateOpened]],Proc[[#This Row],[DateClosed]]))-1)</f>
        <v>2</v>
      </c>
      <c r="R3107" s="115" t="s">
        <v>1013</v>
      </c>
      <c r="S3107" s="125"/>
    </row>
    <row r="3108" spans="1:19" hidden="1">
      <c r="A3108" s="124" t="s">
        <v>5276</v>
      </c>
      <c r="B3108" s="125" t="str">
        <f>IFERROR(VLOOKUP(Proc[[#This Row],[App]],Table2[],3,0),"open")</f>
        <v>ok</v>
      </c>
      <c r="C3108" s="124" t="s">
        <v>369</v>
      </c>
      <c r="D3108" t="s">
        <v>5145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4897</v>
      </c>
      <c r="M3108" s="113">
        <v>45873</v>
      </c>
      <c r="N3108" s="113"/>
      <c r="O3108" s="113"/>
      <c r="P3108" s="115" t="str">
        <f ca="1">IF(Proc[[#This Row],[DaysAgeing]]&gt;5,"yep","on track")</f>
        <v>on track</v>
      </c>
      <c r="Q3108" s="3">
        <f ca="1">IF(Proc[[#This Row],[DateClosed]]="",ABS(NETWORKDAYS(Proc[[#This Row],[DateOpened]],TODAY()))-1,ABS(NETWORKDAYS(Proc[[#This Row],[DateOpened]],Proc[[#This Row],[DateClosed]]))-1)</f>
        <v>2</v>
      </c>
      <c r="R3108" s="115" t="s">
        <v>1013</v>
      </c>
      <c r="S3108" s="125"/>
    </row>
    <row r="3109" spans="1:19" hidden="1">
      <c r="A3109" s="124" t="s">
        <v>5276</v>
      </c>
      <c r="B3109" s="125" t="str">
        <f>IFERROR(VLOOKUP(Proc[[#This Row],[App]],Table2[],3,0),"open")</f>
        <v>ok</v>
      </c>
      <c r="C3109" s="124" t="s">
        <v>369</v>
      </c>
      <c r="D3109" t="s">
        <v>5146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4897</v>
      </c>
      <c r="M3109" s="113">
        <v>45873</v>
      </c>
      <c r="N3109" s="113"/>
      <c r="O3109" s="113"/>
      <c r="P3109" s="115" t="str">
        <f ca="1">IF(Proc[[#This Row],[DaysAgeing]]&gt;5,"yep","on track")</f>
        <v>on track</v>
      </c>
      <c r="Q3109" s="3">
        <f ca="1">IF(Proc[[#This Row],[DateClosed]]="",ABS(NETWORKDAYS(Proc[[#This Row],[DateOpened]],TODAY()))-1,ABS(NETWORKDAYS(Proc[[#This Row],[DateOpened]],Proc[[#This Row],[DateClosed]]))-1)</f>
        <v>2</v>
      </c>
      <c r="R3109" s="115" t="s">
        <v>1013</v>
      </c>
      <c r="S3109" s="125"/>
    </row>
    <row r="3110" spans="1:19" hidden="1">
      <c r="A3110" s="124" t="s">
        <v>5276</v>
      </c>
      <c r="B3110" s="125" t="str">
        <f>IFERROR(VLOOKUP(Proc[[#This Row],[App]],Table2[],3,0),"open")</f>
        <v>ok</v>
      </c>
      <c r="C3110" s="124" t="s">
        <v>369</v>
      </c>
      <c r="D3110" t="s">
        <v>5147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4897</v>
      </c>
      <c r="M3110" s="113">
        <v>45873</v>
      </c>
      <c r="N3110" s="113"/>
      <c r="O3110" s="113"/>
      <c r="P3110" s="115" t="str">
        <f ca="1">IF(Proc[[#This Row],[DaysAgeing]]&gt;5,"yep","on track")</f>
        <v>on track</v>
      </c>
      <c r="Q3110" s="3">
        <f ca="1">IF(Proc[[#This Row],[DateClosed]]="",ABS(NETWORKDAYS(Proc[[#This Row],[DateOpened]],TODAY()))-1,ABS(NETWORKDAYS(Proc[[#This Row],[DateOpened]],Proc[[#This Row],[DateClosed]]))-1)</f>
        <v>2</v>
      </c>
      <c r="R3110" s="115" t="s">
        <v>1013</v>
      </c>
      <c r="S3110" s="125"/>
    </row>
    <row r="3111" spans="1:19" hidden="1">
      <c r="A3111" s="124" t="s">
        <v>5276</v>
      </c>
      <c r="B3111" s="125" t="str">
        <f>IFERROR(VLOOKUP(Proc[[#This Row],[App]],Table2[],3,0),"open")</f>
        <v>ok</v>
      </c>
      <c r="C3111" s="124" t="s">
        <v>369</v>
      </c>
      <c r="D3111" t="s">
        <v>5148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4897</v>
      </c>
      <c r="M3111" s="113">
        <v>45873</v>
      </c>
      <c r="N3111" s="113"/>
      <c r="O3111" s="113"/>
      <c r="P3111" s="115" t="str">
        <f ca="1">IF(Proc[[#This Row],[DaysAgeing]]&gt;5,"yep","on track")</f>
        <v>on track</v>
      </c>
      <c r="Q3111" s="3">
        <f ca="1">IF(Proc[[#This Row],[DateClosed]]="",ABS(NETWORKDAYS(Proc[[#This Row],[DateOpened]],TODAY()))-1,ABS(NETWORKDAYS(Proc[[#This Row],[DateOpened]],Proc[[#This Row],[DateClosed]]))-1)</f>
        <v>2</v>
      </c>
      <c r="R3111" s="115" t="s">
        <v>1013</v>
      </c>
      <c r="S3111" s="125"/>
    </row>
    <row r="3112" spans="1:19" hidden="1">
      <c r="A3112" s="124" t="s">
        <v>5276</v>
      </c>
      <c r="B3112" s="125" t="str">
        <f>IFERROR(VLOOKUP(Proc[[#This Row],[App]],Table2[],3,0),"open")</f>
        <v>ok</v>
      </c>
      <c r="C3112" s="124" t="s">
        <v>369</v>
      </c>
      <c r="D3112" t="s">
        <v>5149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4897</v>
      </c>
      <c r="M3112" s="113">
        <v>45873</v>
      </c>
      <c r="N3112" s="113"/>
      <c r="O3112" s="113"/>
      <c r="P3112" s="115" t="str">
        <f ca="1">IF(Proc[[#This Row],[DaysAgeing]]&gt;5,"yep","on track")</f>
        <v>on track</v>
      </c>
      <c r="Q3112" s="3">
        <f ca="1">IF(Proc[[#This Row],[DateClosed]]="",ABS(NETWORKDAYS(Proc[[#This Row],[DateOpened]],TODAY()))-1,ABS(NETWORKDAYS(Proc[[#This Row],[DateOpened]],Proc[[#This Row],[DateClosed]]))-1)</f>
        <v>2</v>
      </c>
      <c r="R3112" s="115" t="s">
        <v>1013</v>
      </c>
      <c r="S3112" s="125"/>
    </row>
    <row r="3113" spans="1:19" hidden="1">
      <c r="A3113" s="124" t="s">
        <v>5276</v>
      </c>
      <c r="B3113" s="125" t="str">
        <f>IFERROR(VLOOKUP(Proc[[#This Row],[App]],Table2[],3,0),"open")</f>
        <v>ok</v>
      </c>
      <c r="C3113" s="124" t="s">
        <v>369</v>
      </c>
      <c r="D3113" t="s">
        <v>5150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4897</v>
      </c>
      <c r="M3113" s="113">
        <v>45873</v>
      </c>
      <c r="N3113" s="113"/>
      <c r="O3113" s="113"/>
      <c r="P3113" s="115" t="str">
        <f ca="1">IF(Proc[[#This Row],[DaysAgeing]]&gt;5,"yep","on track")</f>
        <v>on track</v>
      </c>
      <c r="Q3113" s="3">
        <f ca="1">IF(Proc[[#This Row],[DateClosed]]="",ABS(NETWORKDAYS(Proc[[#This Row],[DateOpened]],TODAY()))-1,ABS(NETWORKDAYS(Proc[[#This Row],[DateOpened]],Proc[[#This Row],[DateClosed]]))-1)</f>
        <v>2</v>
      </c>
      <c r="R3113" s="115" t="s">
        <v>1013</v>
      </c>
      <c r="S3113" s="125"/>
    </row>
    <row r="3114" spans="1:19" hidden="1">
      <c r="A3114" s="124" t="s">
        <v>5276</v>
      </c>
      <c r="B3114" s="125" t="str">
        <f>IFERROR(VLOOKUP(Proc[[#This Row],[App]],Table2[],3,0),"open")</f>
        <v>ok</v>
      </c>
      <c r="C3114" s="124" t="s">
        <v>369</v>
      </c>
      <c r="D3114" t="s">
        <v>5151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4897</v>
      </c>
      <c r="M3114" s="113">
        <v>45873</v>
      </c>
      <c r="N3114" s="113"/>
      <c r="O3114" s="113"/>
      <c r="P3114" s="115" t="str">
        <f ca="1">IF(Proc[[#This Row],[DaysAgeing]]&gt;5,"yep","on track")</f>
        <v>on track</v>
      </c>
      <c r="Q3114" s="3">
        <f ca="1">IF(Proc[[#This Row],[DateClosed]]="",ABS(NETWORKDAYS(Proc[[#This Row],[DateOpened]],TODAY()))-1,ABS(NETWORKDAYS(Proc[[#This Row],[DateOpened]],Proc[[#This Row],[DateClosed]]))-1)</f>
        <v>2</v>
      </c>
      <c r="R3114" s="115" t="s">
        <v>1013</v>
      </c>
      <c r="S3114" s="125"/>
    </row>
    <row r="3115" spans="1:19" hidden="1">
      <c r="A3115" s="124" t="s">
        <v>5276</v>
      </c>
      <c r="B3115" s="125" t="str">
        <f>IFERROR(VLOOKUP(Proc[[#This Row],[App]],Table2[],3,0),"open")</f>
        <v>ok</v>
      </c>
      <c r="C3115" s="124" t="s">
        <v>369</v>
      </c>
      <c r="D3115" t="s">
        <v>5152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4897</v>
      </c>
      <c r="M3115" s="113">
        <v>45873</v>
      </c>
      <c r="N3115" s="113"/>
      <c r="O3115" s="113"/>
      <c r="P3115" s="115" t="str">
        <f ca="1">IF(Proc[[#This Row],[DaysAgeing]]&gt;5,"yep","on track")</f>
        <v>on track</v>
      </c>
      <c r="Q3115" s="3">
        <f ca="1">IF(Proc[[#This Row],[DateClosed]]="",ABS(NETWORKDAYS(Proc[[#This Row],[DateOpened]],TODAY()))-1,ABS(NETWORKDAYS(Proc[[#This Row],[DateOpened]],Proc[[#This Row],[DateClosed]]))-1)</f>
        <v>2</v>
      </c>
      <c r="R3115" s="115" t="s">
        <v>1013</v>
      </c>
      <c r="S3115" s="125"/>
    </row>
    <row r="3116" spans="1:19" hidden="1">
      <c r="A3116" s="124" t="s">
        <v>5276</v>
      </c>
      <c r="B3116" s="125" t="str">
        <f>IFERROR(VLOOKUP(Proc[[#This Row],[App]],Table2[],3,0),"open")</f>
        <v>ok</v>
      </c>
      <c r="C3116" s="124" t="s">
        <v>369</v>
      </c>
      <c r="D3116" t="s">
        <v>5153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4897</v>
      </c>
      <c r="M3116" s="113">
        <v>45873</v>
      </c>
      <c r="N3116" s="113"/>
      <c r="O3116" s="113"/>
      <c r="P3116" s="115" t="str">
        <f ca="1">IF(Proc[[#This Row],[DaysAgeing]]&gt;5,"yep","on track")</f>
        <v>on track</v>
      </c>
      <c r="Q3116" s="3">
        <f ca="1">IF(Proc[[#This Row],[DateClosed]]="",ABS(NETWORKDAYS(Proc[[#This Row],[DateOpened]],TODAY()))-1,ABS(NETWORKDAYS(Proc[[#This Row],[DateOpened]],Proc[[#This Row],[DateClosed]]))-1)</f>
        <v>2</v>
      </c>
      <c r="R3116" s="115" t="s">
        <v>1013</v>
      </c>
      <c r="S3116" s="125"/>
    </row>
    <row r="3117" spans="1:19" hidden="1">
      <c r="A3117" s="124" t="s">
        <v>5276</v>
      </c>
      <c r="B3117" s="125" t="str">
        <f>IFERROR(VLOOKUP(Proc[[#This Row],[App]],Table2[],3,0),"open")</f>
        <v>ok</v>
      </c>
      <c r="C3117" s="124" t="s">
        <v>369</v>
      </c>
      <c r="D3117" t="s">
        <v>5154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4897</v>
      </c>
      <c r="M3117" s="113">
        <v>45873</v>
      </c>
      <c r="N3117" s="113"/>
      <c r="O3117" s="113"/>
      <c r="P3117" s="115" t="str">
        <f ca="1">IF(Proc[[#This Row],[DaysAgeing]]&gt;5,"yep","on track")</f>
        <v>on track</v>
      </c>
      <c r="Q3117" s="3">
        <f ca="1">IF(Proc[[#This Row],[DateClosed]]="",ABS(NETWORKDAYS(Proc[[#This Row],[DateOpened]],TODAY()))-1,ABS(NETWORKDAYS(Proc[[#This Row],[DateOpened]],Proc[[#This Row],[DateClosed]]))-1)</f>
        <v>2</v>
      </c>
      <c r="R3117" s="115" t="s">
        <v>1013</v>
      </c>
      <c r="S3117" s="125"/>
    </row>
    <row r="3118" spans="1:19" hidden="1">
      <c r="A3118" s="124" t="s">
        <v>5276</v>
      </c>
      <c r="B3118" s="125" t="str">
        <f>IFERROR(VLOOKUP(Proc[[#This Row],[App]],Table2[],3,0),"open")</f>
        <v>ok</v>
      </c>
      <c r="C3118" s="124" t="s">
        <v>369</v>
      </c>
      <c r="D3118" t="s">
        <v>5155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4897</v>
      </c>
      <c r="M3118" s="113">
        <v>45873</v>
      </c>
      <c r="N3118" s="113"/>
      <c r="O3118" s="113"/>
      <c r="P3118" s="115" t="str">
        <f ca="1">IF(Proc[[#This Row],[DaysAgeing]]&gt;5,"yep","on track")</f>
        <v>on track</v>
      </c>
      <c r="Q3118" s="3">
        <f ca="1">IF(Proc[[#This Row],[DateClosed]]="",ABS(NETWORKDAYS(Proc[[#This Row],[DateOpened]],TODAY()))-1,ABS(NETWORKDAYS(Proc[[#This Row],[DateOpened]],Proc[[#This Row],[DateClosed]]))-1)</f>
        <v>2</v>
      </c>
      <c r="R3118" s="115" t="s">
        <v>1013</v>
      </c>
      <c r="S3118" s="125"/>
    </row>
    <row r="3119" spans="1:19" hidden="1">
      <c r="A3119" s="124" t="s">
        <v>5276</v>
      </c>
      <c r="B3119" s="125" t="str">
        <f>IFERROR(VLOOKUP(Proc[[#This Row],[App]],Table2[],3,0),"open")</f>
        <v>ok</v>
      </c>
      <c r="C3119" s="124" t="s">
        <v>369</v>
      </c>
      <c r="D3119" t="s">
        <v>5156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4897</v>
      </c>
      <c r="M3119" s="113">
        <v>45873</v>
      </c>
      <c r="N3119" s="113"/>
      <c r="O3119" s="113"/>
      <c r="P3119" s="115" t="str">
        <f ca="1">IF(Proc[[#This Row],[DaysAgeing]]&gt;5,"yep","on track")</f>
        <v>on track</v>
      </c>
      <c r="Q3119" s="3">
        <f ca="1">IF(Proc[[#This Row],[DateClosed]]="",ABS(NETWORKDAYS(Proc[[#This Row],[DateOpened]],TODAY()))-1,ABS(NETWORKDAYS(Proc[[#This Row],[DateOpened]],Proc[[#This Row],[DateClosed]]))-1)</f>
        <v>2</v>
      </c>
      <c r="R3119" s="115" t="s">
        <v>1013</v>
      </c>
      <c r="S3119" s="125"/>
    </row>
    <row r="3120" spans="1:19" hidden="1">
      <c r="A3120" s="124" t="s">
        <v>5276</v>
      </c>
      <c r="B3120" s="125" t="str">
        <f>IFERROR(VLOOKUP(Proc[[#This Row],[App]],Table2[],3,0),"open")</f>
        <v>ok</v>
      </c>
      <c r="C3120" s="124" t="s">
        <v>369</v>
      </c>
      <c r="D3120" t="s">
        <v>5157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4897</v>
      </c>
      <c r="M3120" s="113">
        <v>45873</v>
      </c>
      <c r="N3120" s="113"/>
      <c r="O3120" s="113"/>
      <c r="P3120" s="115" t="str">
        <f ca="1">IF(Proc[[#This Row],[DaysAgeing]]&gt;5,"yep","on track")</f>
        <v>on track</v>
      </c>
      <c r="Q3120" s="3">
        <f ca="1">IF(Proc[[#This Row],[DateClosed]]="",ABS(NETWORKDAYS(Proc[[#This Row],[DateOpened]],TODAY()))-1,ABS(NETWORKDAYS(Proc[[#This Row],[DateOpened]],Proc[[#This Row],[DateClosed]]))-1)</f>
        <v>2</v>
      </c>
      <c r="R3120" s="115" t="s">
        <v>1013</v>
      </c>
      <c r="S3120" s="125"/>
    </row>
    <row r="3121" spans="1:19" hidden="1">
      <c r="A3121" s="124" t="s">
        <v>5276</v>
      </c>
      <c r="B3121" s="125" t="str">
        <f>IFERROR(VLOOKUP(Proc[[#This Row],[App]],Table2[],3,0),"open")</f>
        <v>ok</v>
      </c>
      <c r="C3121" s="124" t="s">
        <v>369</v>
      </c>
      <c r="D3121" t="s">
        <v>5158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4897</v>
      </c>
      <c r="M3121" s="113">
        <v>45873</v>
      </c>
      <c r="N3121" s="113"/>
      <c r="O3121" s="113"/>
      <c r="P3121" s="115" t="str">
        <f ca="1">IF(Proc[[#This Row],[DaysAgeing]]&gt;5,"yep","on track")</f>
        <v>on track</v>
      </c>
      <c r="Q3121" s="3">
        <f ca="1">IF(Proc[[#This Row],[DateClosed]]="",ABS(NETWORKDAYS(Proc[[#This Row],[DateOpened]],TODAY()))-1,ABS(NETWORKDAYS(Proc[[#This Row],[DateOpened]],Proc[[#This Row],[DateClosed]]))-1)</f>
        <v>2</v>
      </c>
      <c r="R3121" s="115" t="s">
        <v>1013</v>
      </c>
      <c r="S3121" s="125"/>
    </row>
    <row r="3122" spans="1:19" hidden="1">
      <c r="A3122" s="124" t="s">
        <v>5276</v>
      </c>
      <c r="B3122" s="125" t="str">
        <f>IFERROR(VLOOKUP(Proc[[#This Row],[App]],Table2[],3,0),"open")</f>
        <v>ok</v>
      </c>
      <c r="C3122" s="124" t="s">
        <v>369</v>
      </c>
      <c r="D3122" t="s">
        <v>5159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4897</v>
      </c>
      <c r="M3122" s="113">
        <v>45873</v>
      </c>
      <c r="N3122" s="113"/>
      <c r="O3122" s="113"/>
      <c r="P3122" s="115" t="str">
        <f ca="1">IF(Proc[[#This Row],[DaysAgeing]]&gt;5,"yep","on track")</f>
        <v>on track</v>
      </c>
      <c r="Q3122" s="3">
        <f ca="1">IF(Proc[[#This Row],[DateClosed]]="",ABS(NETWORKDAYS(Proc[[#This Row],[DateOpened]],TODAY()))-1,ABS(NETWORKDAYS(Proc[[#This Row],[DateOpened]],Proc[[#This Row],[DateClosed]]))-1)</f>
        <v>2</v>
      </c>
      <c r="R3122" s="115" t="s">
        <v>1013</v>
      </c>
      <c r="S3122" s="125"/>
    </row>
    <row r="3123" spans="1:19" hidden="1">
      <c r="A3123" s="124" t="s">
        <v>5276</v>
      </c>
      <c r="B3123" s="125" t="str">
        <f>IFERROR(VLOOKUP(Proc[[#This Row],[App]],Table2[],3,0),"open")</f>
        <v>ok</v>
      </c>
      <c r="C3123" s="124" t="s">
        <v>369</v>
      </c>
      <c r="D3123" t="s">
        <v>5160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4897</v>
      </c>
      <c r="M3123" s="113">
        <v>45873</v>
      </c>
      <c r="N3123" s="113"/>
      <c r="O3123" s="113"/>
      <c r="P3123" s="115" t="str">
        <f ca="1">IF(Proc[[#This Row],[DaysAgeing]]&gt;5,"yep","on track")</f>
        <v>on track</v>
      </c>
      <c r="Q3123" s="3">
        <f ca="1">IF(Proc[[#This Row],[DateClosed]]="",ABS(NETWORKDAYS(Proc[[#This Row],[DateOpened]],TODAY()))-1,ABS(NETWORKDAYS(Proc[[#This Row],[DateOpened]],Proc[[#This Row],[DateClosed]]))-1)</f>
        <v>2</v>
      </c>
      <c r="R3123" s="115" t="s">
        <v>1013</v>
      </c>
      <c r="S3123" s="125"/>
    </row>
    <row r="3124" spans="1:19" hidden="1">
      <c r="A3124" s="124" t="s">
        <v>5276</v>
      </c>
      <c r="B3124" s="125" t="str">
        <f>IFERROR(VLOOKUP(Proc[[#This Row],[App]],Table2[],3,0),"open")</f>
        <v>ok</v>
      </c>
      <c r="C3124" s="124" t="s">
        <v>369</v>
      </c>
      <c r="D3124" t="s">
        <v>5161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4897</v>
      </c>
      <c r="M3124" s="113">
        <v>45873</v>
      </c>
      <c r="N3124" s="113"/>
      <c r="O3124" s="113"/>
      <c r="P3124" s="115" t="str">
        <f ca="1">IF(Proc[[#This Row],[DaysAgeing]]&gt;5,"yep","on track")</f>
        <v>on track</v>
      </c>
      <c r="Q3124" s="3">
        <f ca="1">IF(Proc[[#This Row],[DateClosed]]="",ABS(NETWORKDAYS(Proc[[#This Row],[DateOpened]],TODAY()))-1,ABS(NETWORKDAYS(Proc[[#This Row],[DateOpened]],Proc[[#This Row],[DateClosed]]))-1)</f>
        <v>2</v>
      </c>
      <c r="R3124" s="115" t="s">
        <v>1013</v>
      </c>
      <c r="S3124" s="125"/>
    </row>
    <row r="3125" spans="1:19" hidden="1">
      <c r="A3125" s="124" t="s">
        <v>5276</v>
      </c>
      <c r="B3125" s="125" t="str">
        <f>IFERROR(VLOOKUP(Proc[[#This Row],[App]],Table2[],3,0),"open")</f>
        <v>ok</v>
      </c>
      <c r="C3125" s="124" t="s">
        <v>369</v>
      </c>
      <c r="D3125" t="s">
        <v>5162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4897</v>
      </c>
      <c r="M3125" s="113">
        <v>45873</v>
      </c>
      <c r="N3125" s="113"/>
      <c r="O3125" s="113"/>
      <c r="P3125" s="115" t="str">
        <f ca="1">IF(Proc[[#This Row],[DaysAgeing]]&gt;5,"yep","on track")</f>
        <v>on track</v>
      </c>
      <c r="Q3125" s="3">
        <f ca="1">IF(Proc[[#This Row],[DateClosed]]="",ABS(NETWORKDAYS(Proc[[#This Row],[DateOpened]],TODAY()))-1,ABS(NETWORKDAYS(Proc[[#This Row],[DateOpened]],Proc[[#This Row],[DateClosed]]))-1)</f>
        <v>2</v>
      </c>
      <c r="R3125" s="115" t="s">
        <v>1013</v>
      </c>
      <c r="S3125" s="125"/>
    </row>
    <row r="3126" spans="1:19" hidden="1">
      <c r="A3126" s="124" t="s">
        <v>5276</v>
      </c>
      <c r="B3126" s="125" t="str">
        <f>IFERROR(VLOOKUP(Proc[[#This Row],[App]],Table2[],3,0),"open")</f>
        <v>ok</v>
      </c>
      <c r="C3126" s="124" t="s">
        <v>369</v>
      </c>
      <c r="D3126" t="s">
        <v>5163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4897</v>
      </c>
      <c r="M3126" s="113">
        <v>45873</v>
      </c>
      <c r="N3126" s="113"/>
      <c r="O3126" s="113"/>
      <c r="P3126" s="115" t="str">
        <f ca="1">IF(Proc[[#This Row],[DaysAgeing]]&gt;5,"yep","on track")</f>
        <v>on track</v>
      </c>
      <c r="Q3126" s="3">
        <f ca="1">IF(Proc[[#This Row],[DateClosed]]="",ABS(NETWORKDAYS(Proc[[#This Row],[DateOpened]],TODAY()))-1,ABS(NETWORKDAYS(Proc[[#This Row],[DateOpened]],Proc[[#This Row],[DateClosed]]))-1)</f>
        <v>2</v>
      </c>
      <c r="R3126" s="115" t="s">
        <v>1013</v>
      </c>
      <c r="S3126" s="125"/>
    </row>
    <row r="3127" spans="1:19" hidden="1">
      <c r="A3127" s="124" t="s">
        <v>5276</v>
      </c>
      <c r="B3127" s="125" t="str">
        <f>IFERROR(VLOOKUP(Proc[[#This Row],[App]],Table2[],3,0),"open")</f>
        <v>ok</v>
      </c>
      <c r="C3127" s="124" t="s">
        <v>369</v>
      </c>
      <c r="D3127" t="s">
        <v>5164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4897</v>
      </c>
      <c r="M3127" s="113">
        <v>45873</v>
      </c>
      <c r="N3127" s="113"/>
      <c r="O3127" s="113"/>
      <c r="P3127" s="115" t="str">
        <f ca="1">IF(Proc[[#This Row],[DaysAgeing]]&gt;5,"yep","on track")</f>
        <v>on track</v>
      </c>
      <c r="Q3127" s="3">
        <f ca="1">IF(Proc[[#This Row],[DateClosed]]="",ABS(NETWORKDAYS(Proc[[#This Row],[DateOpened]],TODAY()))-1,ABS(NETWORKDAYS(Proc[[#This Row],[DateOpened]],Proc[[#This Row],[DateClosed]]))-1)</f>
        <v>2</v>
      </c>
      <c r="R3127" s="115" t="s">
        <v>1013</v>
      </c>
      <c r="S3127" s="125"/>
    </row>
    <row r="3128" spans="1:19" hidden="1">
      <c r="A3128" s="124" t="s">
        <v>5276</v>
      </c>
      <c r="B3128" s="125" t="str">
        <f>IFERROR(VLOOKUP(Proc[[#This Row],[App]],Table2[],3,0),"open")</f>
        <v>ok</v>
      </c>
      <c r="C3128" s="124" t="s">
        <v>369</v>
      </c>
      <c r="D3128" t="s">
        <v>5165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4897</v>
      </c>
      <c r="M3128" s="113">
        <v>45873</v>
      </c>
      <c r="N3128" s="113"/>
      <c r="O3128" s="113"/>
      <c r="P3128" s="115" t="str">
        <f ca="1">IF(Proc[[#This Row],[DaysAgeing]]&gt;5,"yep","on track")</f>
        <v>on track</v>
      </c>
      <c r="Q3128" s="3">
        <f ca="1">IF(Proc[[#This Row],[DateClosed]]="",ABS(NETWORKDAYS(Proc[[#This Row],[DateOpened]],TODAY()))-1,ABS(NETWORKDAYS(Proc[[#This Row],[DateOpened]],Proc[[#This Row],[DateClosed]]))-1)</f>
        <v>2</v>
      </c>
      <c r="R3128" s="115" t="s">
        <v>1013</v>
      </c>
      <c r="S3128" s="125"/>
    </row>
    <row r="3129" spans="1:19" hidden="1">
      <c r="A3129" s="124" t="s">
        <v>5276</v>
      </c>
      <c r="B3129" s="125" t="str">
        <f>IFERROR(VLOOKUP(Proc[[#This Row],[App]],Table2[],3,0),"open")</f>
        <v>ok</v>
      </c>
      <c r="C3129" s="124" t="s">
        <v>369</v>
      </c>
      <c r="D3129" t="s">
        <v>5166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4897</v>
      </c>
      <c r="M3129" s="113">
        <v>45873</v>
      </c>
      <c r="N3129" s="113"/>
      <c r="O3129" s="113"/>
      <c r="P3129" s="115" t="str">
        <f ca="1">IF(Proc[[#This Row],[DaysAgeing]]&gt;5,"yep","on track")</f>
        <v>on track</v>
      </c>
      <c r="Q3129" s="3">
        <f ca="1">IF(Proc[[#This Row],[DateClosed]]="",ABS(NETWORKDAYS(Proc[[#This Row],[DateOpened]],TODAY()))-1,ABS(NETWORKDAYS(Proc[[#This Row],[DateOpened]],Proc[[#This Row],[DateClosed]]))-1)</f>
        <v>2</v>
      </c>
      <c r="R3129" s="115" t="s">
        <v>1013</v>
      </c>
      <c r="S3129" s="125"/>
    </row>
    <row r="3130" spans="1:19" hidden="1">
      <c r="A3130" s="124" t="s">
        <v>5276</v>
      </c>
      <c r="B3130" s="125" t="str">
        <f>IFERROR(VLOOKUP(Proc[[#This Row],[App]],Table2[],3,0),"open")</f>
        <v>ok</v>
      </c>
      <c r="C3130" s="124" t="s">
        <v>369</v>
      </c>
      <c r="D3130" t="s">
        <v>5167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4897</v>
      </c>
      <c r="M3130" s="113">
        <v>45873</v>
      </c>
      <c r="N3130" s="113"/>
      <c r="O3130" s="113"/>
      <c r="P3130" s="115" t="str">
        <f ca="1">IF(Proc[[#This Row],[DaysAgeing]]&gt;5,"yep","on track")</f>
        <v>on track</v>
      </c>
      <c r="Q3130" s="3">
        <f ca="1">IF(Proc[[#This Row],[DateClosed]]="",ABS(NETWORKDAYS(Proc[[#This Row],[DateOpened]],TODAY()))-1,ABS(NETWORKDAYS(Proc[[#This Row],[DateOpened]],Proc[[#This Row],[DateClosed]]))-1)</f>
        <v>2</v>
      </c>
      <c r="R3130" s="115" t="s">
        <v>1013</v>
      </c>
      <c r="S3130" s="125"/>
    </row>
    <row r="3131" spans="1:19" hidden="1">
      <c r="A3131" s="124" t="s">
        <v>5276</v>
      </c>
      <c r="B3131" s="125" t="str">
        <f>IFERROR(VLOOKUP(Proc[[#This Row],[App]],Table2[],3,0),"open")</f>
        <v>ok</v>
      </c>
      <c r="C3131" s="124" t="s">
        <v>369</v>
      </c>
      <c r="D3131" t="s">
        <v>5168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4897</v>
      </c>
      <c r="M3131" s="113">
        <v>45873</v>
      </c>
      <c r="N3131" s="113"/>
      <c r="O3131" s="113"/>
      <c r="P3131" s="115" t="str">
        <f ca="1">IF(Proc[[#This Row],[DaysAgeing]]&gt;5,"yep","on track")</f>
        <v>on track</v>
      </c>
      <c r="Q3131" s="3">
        <f ca="1">IF(Proc[[#This Row],[DateClosed]]="",ABS(NETWORKDAYS(Proc[[#This Row],[DateOpened]],TODAY()))-1,ABS(NETWORKDAYS(Proc[[#This Row],[DateOpened]],Proc[[#This Row],[DateClosed]]))-1)</f>
        <v>2</v>
      </c>
      <c r="R3131" s="115" t="s">
        <v>1013</v>
      </c>
      <c r="S3131" s="125"/>
    </row>
    <row r="3132" spans="1:19" hidden="1">
      <c r="A3132" s="124" t="s">
        <v>5276</v>
      </c>
      <c r="B3132" s="125" t="str">
        <f>IFERROR(VLOOKUP(Proc[[#This Row],[App]],Table2[],3,0),"open")</f>
        <v>ok</v>
      </c>
      <c r="C3132" s="124" t="s">
        <v>369</v>
      </c>
      <c r="D3132" t="s">
        <v>5169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4897</v>
      </c>
      <c r="M3132" s="113">
        <v>45873</v>
      </c>
      <c r="N3132" s="113"/>
      <c r="O3132" s="113"/>
      <c r="P3132" s="115" t="str">
        <f ca="1">IF(Proc[[#This Row],[DaysAgeing]]&gt;5,"yep","on track")</f>
        <v>on track</v>
      </c>
      <c r="Q3132" s="3">
        <f ca="1">IF(Proc[[#This Row],[DateClosed]]="",ABS(NETWORKDAYS(Proc[[#This Row],[DateOpened]],TODAY()))-1,ABS(NETWORKDAYS(Proc[[#This Row],[DateOpened]],Proc[[#This Row],[DateClosed]]))-1)</f>
        <v>2</v>
      </c>
      <c r="R3132" s="115" t="s">
        <v>1013</v>
      </c>
      <c r="S3132" s="125"/>
    </row>
    <row r="3133" spans="1:19" hidden="1">
      <c r="A3133" s="124" t="s">
        <v>5276</v>
      </c>
      <c r="B3133" s="125" t="str">
        <f>IFERROR(VLOOKUP(Proc[[#This Row],[App]],Table2[],3,0),"open")</f>
        <v>ok</v>
      </c>
      <c r="C3133" s="124" t="s">
        <v>369</v>
      </c>
      <c r="D3133" t="s">
        <v>5170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4897</v>
      </c>
      <c r="M3133" s="113">
        <v>45873</v>
      </c>
      <c r="N3133" s="113"/>
      <c r="O3133" s="113"/>
      <c r="P3133" s="115" t="str">
        <f ca="1">IF(Proc[[#This Row],[DaysAgeing]]&gt;5,"yep","on track")</f>
        <v>on track</v>
      </c>
      <c r="Q3133" s="3">
        <f ca="1">IF(Proc[[#This Row],[DateClosed]]="",ABS(NETWORKDAYS(Proc[[#This Row],[DateOpened]],TODAY()))-1,ABS(NETWORKDAYS(Proc[[#This Row],[DateOpened]],Proc[[#This Row],[DateClosed]]))-1)</f>
        <v>2</v>
      </c>
      <c r="R3133" s="115" t="s">
        <v>1013</v>
      </c>
      <c r="S3133" s="125"/>
    </row>
    <row r="3134" spans="1:19" hidden="1">
      <c r="A3134" s="124" t="s">
        <v>5276</v>
      </c>
      <c r="B3134" s="125" t="str">
        <f>IFERROR(VLOOKUP(Proc[[#This Row],[App]],Table2[],3,0),"open")</f>
        <v>ok</v>
      </c>
      <c r="C3134" s="124" t="s">
        <v>369</v>
      </c>
      <c r="D3134" t="s">
        <v>5171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4897</v>
      </c>
      <c r="M3134" s="113">
        <v>45873</v>
      </c>
      <c r="N3134" s="113"/>
      <c r="O3134" s="113"/>
      <c r="P3134" s="115" t="str">
        <f ca="1">IF(Proc[[#This Row],[DaysAgeing]]&gt;5,"yep","on track")</f>
        <v>on track</v>
      </c>
      <c r="Q3134" s="3">
        <f ca="1">IF(Proc[[#This Row],[DateClosed]]="",ABS(NETWORKDAYS(Proc[[#This Row],[DateOpened]],TODAY()))-1,ABS(NETWORKDAYS(Proc[[#This Row],[DateOpened]],Proc[[#This Row],[DateClosed]]))-1)</f>
        <v>2</v>
      </c>
      <c r="R3134" s="115" t="s">
        <v>1013</v>
      </c>
      <c r="S3134" s="125"/>
    </row>
    <row r="3135" spans="1:19" hidden="1">
      <c r="A3135" s="124" t="s">
        <v>5276</v>
      </c>
      <c r="B3135" s="125" t="str">
        <f>IFERROR(VLOOKUP(Proc[[#This Row],[App]],Table2[],3,0),"open")</f>
        <v>ok</v>
      </c>
      <c r="C3135" s="124" t="s">
        <v>369</v>
      </c>
      <c r="D3135" t="s">
        <v>5172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4897</v>
      </c>
      <c r="M3135" s="113">
        <v>45873</v>
      </c>
      <c r="N3135" s="113"/>
      <c r="O3135" s="113"/>
      <c r="P3135" s="115" t="str">
        <f ca="1">IF(Proc[[#This Row],[DaysAgeing]]&gt;5,"yep","on track")</f>
        <v>on track</v>
      </c>
      <c r="Q3135" s="3">
        <f ca="1">IF(Proc[[#This Row],[DateClosed]]="",ABS(NETWORKDAYS(Proc[[#This Row],[DateOpened]],TODAY()))-1,ABS(NETWORKDAYS(Proc[[#This Row],[DateOpened]],Proc[[#This Row],[DateClosed]]))-1)</f>
        <v>2</v>
      </c>
      <c r="R3135" s="115" t="s">
        <v>1013</v>
      </c>
      <c r="S3135" s="125"/>
    </row>
    <row r="3136" spans="1:19" hidden="1">
      <c r="A3136" s="124" t="s">
        <v>5276</v>
      </c>
      <c r="B3136" s="125" t="str">
        <f>IFERROR(VLOOKUP(Proc[[#This Row],[App]],Table2[],3,0),"open")</f>
        <v>ok</v>
      </c>
      <c r="C3136" s="124" t="s">
        <v>369</v>
      </c>
      <c r="D3136" t="s">
        <v>5173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4897</v>
      </c>
      <c r="M3136" s="113">
        <v>45873</v>
      </c>
      <c r="N3136" s="113"/>
      <c r="O3136" s="113"/>
      <c r="P3136" s="115" t="str">
        <f ca="1">IF(Proc[[#This Row],[DaysAgeing]]&gt;5,"yep","on track")</f>
        <v>on track</v>
      </c>
      <c r="Q3136" s="3">
        <f ca="1">IF(Proc[[#This Row],[DateClosed]]="",ABS(NETWORKDAYS(Proc[[#This Row],[DateOpened]],TODAY()))-1,ABS(NETWORKDAYS(Proc[[#This Row],[DateOpened]],Proc[[#This Row],[DateClosed]]))-1)</f>
        <v>2</v>
      </c>
      <c r="R3136" s="115" t="s">
        <v>1013</v>
      </c>
      <c r="S3136" s="125"/>
    </row>
    <row r="3137" spans="1:19" hidden="1">
      <c r="A3137" s="124" t="s">
        <v>5276</v>
      </c>
      <c r="B3137" s="125" t="str">
        <f>IFERROR(VLOOKUP(Proc[[#This Row],[App]],Table2[],3,0),"open")</f>
        <v>ok</v>
      </c>
      <c r="C3137" s="124" t="s">
        <v>369</v>
      </c>
      <c r="D3137" t="s">
        <v>5174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4897</v>
      </c>
      <c r="M3137" s="113">
        <v>45873</v>
      </c>
      <c r="N3137" s="113"/>
      <c r="O3137" s="113"/>
      <c r="P3137" s="115" t="str">
        <f ca="1">IF(Proc[[#This Row],[DaysAgeing]]&gt;5,"yep","on track")</f>
        <v>on track</v>
      </c>
      <c r="Q3137" s="3">
        <f ca="1">IF(Proc[[#This Row],[DateClosed]]="",ABS(NETWORKDAYS(Proc[[#This Row],[DateOpened]],TODAY()))-1,ABS(NETWORKDAYS(Proc[[#This Row],[DateOpened]],Proc[[#This Row],[DateClosed]]))-1)</f>
        <v>2</v>
      </c>
      <c r="R3137" s="115" t="s">
        <v>1013</v>
      </c>
      <c r="S3137" s="125"/>
    </row>
    <row r="3138" spans="1:19" hidden="1">
      <c r="A3138" s="124" t="s">
        <v>5276</v>
      </c>
      <c r="B3138" s="125" t="str">
        <f>IFERROR(VLOOKUP(Proc[[#This Row],[App]],Table2[],3,0),"open")</f>
        <v>ok</v>
      </c>
      <c r="C3138" s="124" t="s">
        <v>369</v>
      </c>
      <c r="D3138" t="s">
        <v>5175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4897</v>
      </c>
      <c r="M3138" s="113">
        <v>45873</v>
      </c>
      <c r="N3138" s="113"/>
      <c r="O3138" s="113"/>
      <c r="P3138" s="115" t="str">
        <f ca="1">IF(Proc[[#This Row],[DaysAgeing]]&gt;5,"yep","on track")</f>
        <v>on track</v>
      </c>
      <c r="Q3138" s="3">
        <f ca="1">IF(Proc[[#This Row],[DateClosed]]="",ABS(NETWORKDAYS(Proc[[#This Row],[DateOpened]],TODAY()))-1,ABS(NETWORKDAYS(Proc[[#This Row],[DateOpened]],Proc[[#This Row],[DateClosed]]))-1)</f>
        <v>2</v>
      </c>
      <c r="R3138" s="115" t="s">
        <v>1013</v>
      </c>
      <c r="S3138" s="125"/>
    </row>
    <row r="3139" spans="1:19" hidden="1">
      <c r="A3139" s="124" t="s">
        <v>5276</v>
      </c>
      <c r="B3139" s="125" t="str">
        <f>IFERROR(VLOOKUP(Proc[[#This Row],[App]],Table2[],3,0),"open")</f>
        <v>ok</v>
      </c>
      <c r="C3139" s="124" t="s">
        <v>369</v>
      </c>
      <c r="D3139" t="s">
        <v>5176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4897</v>
      </c>
      <c r="M3139" s="113">
        <v>45873</v>
      </c>
      <c r="N3139" s="113"/>
      <c r="O3139" s="113"/>
      <c r="P3139" s="115" t="str">
        <f ca="1">IF(Proc[[#This Row],[DaysAgeing]]&gt;5,"yep","on track")</f>
        <v>on track</v>
      </c>
      <c r="Q3139" s="3">
        <f ca="1">IF(Proc[[#This Row],[DateClosed]]="",ABS(NETWORKDAYS(Proc[[#This Row],[DateOpened]],TODAY()))-1,ABS(NETWORKDAYS(Proc[[#This Row],[DateOpened]],Proc[[#This Row],[DateClosed]]))-1)</f>
        <v>2</v>
      </c>
      <c r="R3139" s="115" t="s">
        <v>1013</v>
      </c>
      <c r="S3139" s="125"/>
    </row>
    <row r="3140" spans="1:19" hidden="1">
      <c r="A3140" s="124" t="s">
        <v>5276</v>
      </c>
      <c r="B3140" s="125" t="str">
        <f>IFERROR(VLOOKUP(Proc[[#This Row],[App]],Table2[],3,0),"open")</f>
        <v>ok</v>
      </c>
      <c r="C3140" s="124" t="s">
        <v>369</v>
      </c>
      <c r="D3140" t="s">
        <v>5177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4897</v>
      </c>
      <c r="M3140" s="113">
        <v>45873</v>
      </c>
      <c r="N3140" s="113"/>
      <c r="O3140" s="113"/>
      <c r="P3140" s="115" t="str">
        <f ca="1">IF(Proc[[#This Row],[DaysAgeing]]&gt;5,"yep","on track")</f>
        <v>on track</v>
      </c>
      <c r="Q3140" s="3">
        <f ca="1">IF(Proc[[#This Row],[DateClosed]]="",ABS(NETWORKDAYS(Proc[[#This Row],[DateOpened]],TODAY()))-1,ABS(NETWORKDAYS(Proc[[#This Row],[DateOpened]],Proc[[#This Row],[DateClosed]]))-1)</f>
        <v>2</v>
      </c>
      <c r="R3140" s="115" t="s">
        <v>1013</v>
      </c>
      <c r="S3140" s="125"/>
    </row>
    <row r="3141" spans="1:19" hidden="1">
      <c r="A3141" s="124" t="s">
        <v>5276</v>
      </c>
      <c r="B3141" s="125" t="str">
        <f>IFERROR(VLOOKUP(Proc[[#This Row],[App]],Table2[],3,0),"open")</f>
        <v>ok</v>
      </c>
      <c r="C3141" s="124" t="s">
        <v>369</v>
      </c>
      <c r="D3141" t="s">
        <v>5178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4897</v>
      </c>
      <c r="M3141" s="113">
        <v>45873</v>
      </c>
      <c r="N3141" s="113"/>
      <c r="O3141" s="113"/>
      <c r="P3141" s="115" t="str">
        <f ca="1">IF(Proc[[#This Row],[DaysAgeing]]&gt;5,"yep","on track")</f>
        <v>on track</v>
      </c>
      <c r="Q3141" s="3">
        <f ca="1">IF(Proc[[#This Row],[DateClosed]]="",ABS(NETWORKDAYS(Proc[[#This Row],[DateOpened]],TODAY()))-1,ABS(NETWORKDAYS(Proc[[#This Row],[DateOpened]],Proc[[#This Row],[DateClosed]]))-1)</f>
        <v>2</v>
      </c>
      <c r="R3141" s="115" t="s">
        <v>1013</v>
      </c>
      <c r="S3141" s="125"/>
    </row>
    <row r="3142" spans="1:19" hidden="1">
      <c r="A3142" s="124" t="s">
        <v>5276</v>
      </c>
      <c r="B3142" s="125" t="str">
        <f>IFERROR(VLOOKUP(Proc[[#This Row],[App]],Table2[],3,0),"open")</f>
        <v>ok</v>
      </c>
      <c r="C3142" s="124" t="s">
        <v>369</v>
      </c>
      <c r="D3142" t="s">
        <v>5179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4897</v>
      </c>
      <c r="M3142" s="113">
        <v>45873</v>
      </c>
      <c r="N3142" s="113"/>
      <c r="O3142" s="113"/>
      <c r="P3142" s="115" t="str">
        <f ca="1">IF(Proc[[#This Row],[DaysAgeing]]&gt;5,"yep","on track")</f>
        <v>on track</v>
      </c>
      <c r="Q3142" s="3">
        <f ca="1">IF(Proc[[#This Row],[DateClosed]]="",ABS(NETWORKDAYS(Proc[[#This Row],[DateOpened]],TODAY()))-1,ABS(NETWORKDAYS(Proc[[#This Row],[DateOpened]],Proc[[#This Row],[DateClosed]]))-1)</f>
        <v>2</v>
      </c>
      <c r="R3142" s="115" t="s">
        <v>1013</v>
      </c>
      <c r="S3142" s="125"/>
    </row>
    <row r="3143" spans="1:19" hidden="1">
      <c r="A3143" s="124" t="s">
        <v>5276</v>
      </c>
      <c r="B3143" s="125" t="str">
        <f>IFERROR(VLOOKUP(Proc[[#This Row],[App]],Table2[],3,0),"open")</f>
        <v>ok</v>
      </c>
      <c r="C3143" s="124" t="s">
        <v>369</v>
      </c>
      <c r="D3143" t="s">
        <v>5180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4897</v>
      </c>
      <c r="M3143" s="113">
        <v>45873</v>
      </c>
      <c r="N3143" s="113"/>
      <c r="O3143" s="113"/>
      <c r="P3143" s="115" t="str">
        <f ca="1">IF(Proc[[#This Row],[DaysAgeing]]&gt;5,"yep","on track")</f>
        <v>on track</v>
      </c>
      <c r="Q3143" s="3">
        <f ca="1">IF(Proc[[#This Row],[DateClosed]]="",ABS(NETWORKDAYS(Proc[[#This Row],[DateOpened]],TODAY()))-1,ABS(NETWORKDAYS(Proc[[#This Row],[DateOpened]],Proc[[#This Row],[DateClosed]]))-1)</f>
        <v>2</v>
      </c>
      <c r="R3143" s="115" t="s">
        <v>1013</v>
      </c>
      <c r="S3143" s="125"/>
    </row>
    <row r="3144" spans="1:19" hidden="1">
      <c r="A3144" s="124" t="s">
        <v>5276</v>
      </c>
      <c r="B3144" s="125" t="str">
        <f>IFERROR(VLOOKUP(Proc[[#This Row],[App]],Table2[],3,0),"open")</f>
        <v>ok</v>
      </c>
      <c r="C3144" s="124" t="s">
        <v>369</v>
      </c>
      <c r="D3144" t="s">
        <v>5181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4897</v>
      </c>
      <c r="M3144" s="113">
        <v>45873</v>
      </c>
      <c r="N3144" s="113"/>
      <c r="O3144" s="113"/>
      <c r="P3144" s="115" t="str">
        <f ca="1">IF(Proc[[#This Row],[DaysAgeing]]&gt;5,"yep","on track")</f>
        <v>on track</v>
      </c>
      <c r="Q3144" s="3">
        <f ca="1">IF(Proc[[#This Row],[DateClosed]]="",ABS(NETWORKDAYS(Proc[[#This Row],[DateOpened]],TODAY()))-1,ABS(NETWORKDAYS(Proc[[#This Row],[DateOpened]],Proc[[#This Row],[DateClosed]]))-1)</f>
        <v>2</v>
      </c>
      <c r="R3144" s="115" t="s">
        <v>1013</v>
      </c>
      <c r="S3144" s="125"/>
    </row>
    <row r="3145" spans="1:19" hidden="1">
      <c r="A3145" s="124" t="s">
        <v>5276</v>
      </c>
      <c r="B3145" s="125" t="str">
        <f>IFERROR(VLOOKUP(Proc[[#This Row],[App]],Table2[],3,0),"open")</f>
        <v>ok</v>
      </c>
      <c r="C3145" s="124" t="s">
        <v>369</v>
      </c>
      <c r="D3145" t="s">
        <v>5182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4897</v>
      </c>
      <c r="M3145" s="113">
        <v>45873</v>
      </c>
      <c r="N3145" s="113"/>
      <c r="O3145" s="113"/>
      <c r="P3145" s="115" t="str">
        <f ca="1">IF(Proc[[#This Row],[DaysAgeing]]&gt;5,"yep","on track")</f>
        <v>on track</v>
      </c>
      <c r="Q3145" s="3">
        <f ca="1">IF(Proc[[#This Row],[DateClosed]]="",ABS(NETWORKDAYS(Proc[[#This Row],[DateOpened]],TODAY()))-1,ABS(NETWORKDAYS(Proc[[#This Row],[DateOpened]],Proc[[#This Row],[DateClosed]]))-1)</f>
        <v>2</v>
      </c>
      <c r="R3145" s="115" t="s">
        <v>1013</v>
      </c>
      <c r="S3145" s="125"/>
    </row>
    <row r="3146" spans="1:19" hidden="1">
      <c r="A3146" s="124" t="s">
        <v>5276</v>
      </c>
      <c r="B3146" s="125" t="str">
        <f>IFERROR(VLOOKUP(Proc[[#This Row],[App]],Table2[],3,0),"open")</f>
        <v>ok</v>
      </c>
      <c r="C3146" s="124" t="s">
        <v>369</v>
      </c>
      <c r="D3146" t="s">
        <v>5183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4897</v>
      </c>
      <c r="M3146" s="113">
        <v>45873</v>
      </c>
      <c r="N3146" s="113"/>
      <c r="O3146" s="113"/>
      <c r="P3146" s="115" t="str">
        <f ca="1">IF(Proc[[#This Row],[DaysAgeing]]&gt;5,"yep","on track")</f>
        <v>on track</v>
      </c>
      <c r="Q3146" s="3">
        <f ca="1">IF(Proc[[#This Row],[DateClosed]]="",ABS(NETWORKDAYS(Proc[[#This Row],[DateOpened]],TODAY()))-1,ABS(NETWORKDAYS(Proc[[#This Row],[DateOpened]],Proc[[#This Row],[DateClosed]]))-1)</f>
        <v>2</v>
      </c>
      <c r="R3146" s="115" t="s">
        <v>1013</v>
      </c>
      <c r="S3146" s="125"/>
    </row>
    <row r="3147" spans="1:19" hidden="1">
      <c r="A3147" s="124" t="s">
        <v>5276</v>
      </c>
      <c r="B3147" s="125" t="str">
        <f>IFERROR(VLOOKUP(Proc[[#This Row],[App]],Table2[],3,0),"open")</f>
        <v>ok</v>
      </c>
      <c r="C3147" s="124" t="s">
        <v>369</v>
      </c>
      <c r="D3147" t="s">
        <v>5184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4897</v>
      </c>
      <c r="M3147" s="113">
        <v>45873</v>
      </c>
      <c r="N3147" s="113"/>
      <c r="O3147" s="113"/>
      <c r="P3147" s="115" t="str">
        <f ca="1">IF(Proc[[#This Row],[DaysAgeing]]&gt;5,"yep","on track")</f>
        <v>on track</v>
      </c>
      <c r="Q3147" s="3">
        <f ca="1">IF(Proc[[#This Row],[DateClosed]]="",ABS(NETWORKDAYS(Proc[[#This Row],[DateOpened]],TODAY()))-1,ABS(NETWORKDAYS(Proc[[#This Row],[DateOpened]],Proc[[#This Row],[DateClosed]]))-1)</f>
        <v>2</v>
      </c>
      <c r="R3147" s="115" t="s">
        <v>1013</v>
      </c>
      <c r="S3147" s="125"/>
    </row>
    <row r="3148" spans="1:19" hidden="1">
      <c r="A3148" s="124" t="s">
        <v>5276</v>
      </c>
      <c r="B3148" s="125" t="str">
        <f>IFERROR(VLOOKUP(Proc[[#This Row],[App]],Table2[],3,0),"open")</f>
        <v>ok</v>
      </c>
      <c r="C3148" s="124" t="s">
        <v>369</v>
      </c>
      <c r="D3148" t="s">
        <v>5185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4897</v>
      </c>
      <c r="M3148" s="113">
        <v>45873</v>
      </c>
      <c r="N3148" s="113"/>
      <c r="O3148" s="113"/>
      <c r="P3148" s="115" t="str">
        <f ca="1">IF(Proc[[#This Row],[DaysAgeing]]&gt;5,"yep","on track")</f>
        <v>on track</v>
      </c>
      <c r="Q3148" s="3">
        <f ca="1">IF(Proc[[#This Row],[DateClosed]]="",ABS(NETWORKDAYS(Proc[[#This Row],[DateOpened]],TODAY()))-1,ABS(NETWORKDAYS(Proc[[#This Row],[DateOpened]],Proc[[#This Row],[DateClosed]]))-1)</f>
        <v>2</v>
      </c>
      <c r="R3148" s="115" t="s">
        <v>1013</v>
      </c>
      <c r="S3148" s="125"/>
    </row>
    <row r="3149" spans="1:19" hidden="1">
      <c r="A3149" s="124" t="s">
        <v>5276</v>
      </c>
      <c r="B3149" s="125" t="str">
        <f>IFERROR(VLOOKUP(Proc[[#This Row],[App]],Table2[],3,0),"open")</f>
        <v>ok</v>
      </c>
      <c r="C3149" s="124" t="s">
        <v>369</v>
      </c>
      <c r="D3149" t="s">
        <v>5186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4897</v>
      </c>
      <c r="M3149" s="113">
        <v>45873</v>
      </c>
      <c r="N3149" s="113"/>
      <c r="O3149" s="113"/>
      <c r="P3149" s="115" t="str">
        <f ca="1">IF(Proc[[#This Row],[DaysAgeing]]&gt;5,"yep","on track")</f>
        <v>on track</v>
      </c>
      <c r="Q3149" s="3">
        <f ca="1">IF(Proc[[#This Row],[DateClosed]]="",ABS(NETWORKDAYS(Proc[[#This Row],[DateOpened]],TODAY()))-1,ABS(NETWORKDAYS(Proc[[#This Row],[DateOpened]],Proc[[#This Row],[DateClosed]]))-1)</f>
        <v>2</v>
      </c>
      <c r="R3149" s="115" t="s">
        <v>1013</v>
      </c>
      <c r="S3149" s="125"/>
    </row>
    <row r="3150" spans="1:19" hidden="1">
      <c r="A3150" s="124" t="s">
        <v>5276</v>
      </c>
      <c r="B3150" s="125" t="str">
        <f>IFERROR(VLOOKUP(Proc[[#This Row],[App]],Table2[],3,0),"open")</f>
        <v>ok</v>
      </c>
      <c r="C3150" s="124" t="s">
        <v>369</v>
      </c>
      <c r="D3150" t="s">
        <v>5187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4897</v>
      </c>
      <c r="M3150" s="113">
        <v>45873</v>
      </c>
      <c r="N3150" s="113"/>
      <c r="O3150" s="113"/>
      <c r="P3150" s="115" t="str">
        <f ca="1">IF(Proc[[#This Row],[DaysAgeing]]&gt;5,"yep","on track")</f>
        <v>on track</v>
      </c>
      <c r="Q3150" s="3">
        <f ca="1">IF(Proc[[#This Row],[DateClosed]]="",ABS(NETWORKDAYS(Proc[[#This Row],[DateOpened]],TODAY()))-1,ABS(NETWORKDAYS(Proc[[#This Row],[DateOpened]],Proc[[#This Row],[DateClosed]]))-1)</f>
        <v>2</v>
      </c>
      <c r="R3150" s="115" t="s">
        <v>1013</v>
      </c>
      <c r="S3150" s="125"/>
    </row>
    <row r="3151" spans="1:19" hidden="1">
      <c r="A3151" s="124" t="s">
        <v>5276</v>
      </c>
      <c r="B3151" s="125" t="str">
        <f>IFERROR(VLOOKUP(Proc[[#This Row],[App]],Table2[],3,0),"open")</f>
        <v>ok</v>
      </c>
      <c r="C3151" s="124" t="s">
        <v>369</v>
      </c>
      <c r="D3151" t="s">
        <v>5188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4897</v>
      </c>
      <c r="M3151" s="113">
        <v>45873</v>
      </c>
      <c r="N3151" s="113"/>
      <c r="O3151" s="113"/>
      <c r="P3151" s="115" t="str">
        <f ca="1">IF(Proc[[#This Row],[DaysAgeing]]&gt;5,"yep","on track")</f>
        <v>on track</v>
      </c>
      <c r="Q3151" s="3">
        <f ca="1">IF(Proc[[#This Row],[DateClosed]]="",ABS(NETWORKDAYS(Proc[[#This Row],[DateOpened]],TODAY()))-1,ABS(NETWORKDAYS(Proc[[#This Row],[DateOpened]],Proc[[#This Row],[DateClosed]]))-1)</f>
        <v>2</v>
      </c>
      <c r="R3151" s="115" t="s">
        <v>1013</v>
      </c>
      <c r="S3151" s="125"/>
    </row>
    <row r="3152" spans="1:19" hidden="1">
      <c r="A3152" s="124" t="s">
        <v>5276</v>
      </c>
      <c r="B3152" s="125" t="str">
        <f>IFERROR(VLOOKUP(Proc[[#This Row],[App]],Table2[],3,0),"open")</f>
        <v>ok</v>
      </c>
      <c r="C3152" s="124" t="s">
        <v>369</v>
      </c>
      <c r="D3152" t="s">
        <v>5189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4897</v>
      </c>
      <c r="M3152" s="113">
        <v>45873</v>
      </c>
      <c r="N3152" s="113"/>
      <c r="O3152" s="113"/>
      <c r="P3152" s="115" t="str">
        <f ca="1">IF(Proc[[#This Row],[DaysAgeing]]&gt;5,"yep","on track")</f>
        <v>on track</v>
      </c>
      <c r="Q3152" s="3">
        <f ca="1">IF(Proc[[#This Row],[DateClosed]]="",ABS(NETWORKDAYS(Proc[[#This Row],[DateOpened]],TODAY()))-1,ABS(NETWORKDAYS(Proc[[#This Row],[DateOpened]],Proc[[#This Row],[DateClosed]]))-1)</f>
        <v>2</v>
      </c>
      <c r="R3152" s="115" t="s">
        <v>1013</v>
      </c>
      <c r="S3152" s="125"/>
    </row>
    <row r="3153" spans="1:19" hidden="1">
      <c r="A3153" s="124" t="s">
        <v>5276</v>
      </c>
      <c r="B3153" s="125" t="str">
        <f>IFERROR(VLOOKUP(Proc[[#This Row],[App]],Table2[],3,0),"open")</f>
        <v>ok</v>
      </c>
      <c r="C3153" s="124" t="s">
        <v>369</v>
      </c>
      <c r="D3153" t="s">
        <v>5190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4897</v>
      </c>
      <c r="M3153" s="113">
        <v>45873</v>
      </c>
      <c r="N3153" s="113"/>
      <c r="O3153" s="113"/>
      <c r="P3153" s="115" t="str">
        <f ca="1">IF(Proc[[#This Row],[DaysAgeing]]&gt;5,"yep","on track")</f>
        <v>on track</v>
      </c>
      <c r="Q3153" s="3">
        <f ca="1">IF(Proc[[#This Row],[DateClosed]]="",ABS(NETWORKDAYS(Proc[[#This Row],[DateOpened]],TODAY()))-1,ABS(NETWORKDAYS(Proc[[#This Row],[DateOpened]],Proc[[#This Row],[DateClosed]]))-1)</f>
        <v>2</v>
      </c>
      <c r="R3153" s="115" t="s">
        <v>1013</v>
      </c>
      <c r="S3153" s="125"/>
    </row>
    <row r="3154" spans="1:19" hidden="1">
      <c r="A3154" s="124" t="s">
        <v>5276</v>
      </c>
      <c r="B3154" s="125" t="str">
        <f>IFERROR(VLOOKUP(Proc[[#This Row],[App]],Table2[],3,0),"open")</f>
        <v>ok</v>
      </c>
      <c r="C3154" s="124" t="s">
        <v>369</v>
      </c>
      <c r="D3154" t="s">
        <v>5191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4897</v>
      </c>
      <c r="M3154" s="113">
        <v>45873</v>
      </c>
      <c r="N3154" s="113"/>
      <c r="O3154" s="113"/>
      <c r="P3154" s="115" t="str">
        <f ca="1">IF(Proc[[#This Row],[DaysAgeing]]&gt;5,"yep","on track")</f>
        <v>on track</v>
      </c>
      <c r="Q3154" s="3">
        <f ca="1">IF(Proc[[#This Row],[DateClosed]]="",ABS(NETWORKDAYS(Proc[[#This Row],[DateOpened]],TODAY()))-1,ABS(NETWORKDAYS(Proc[[#This Row],[DateOpened]],Proc[[#This Row],[DateClosed]]))-1)</f>
        <v>2</v>
      </c>
      <c r="R3154" s="115" t="s">
        <v>1013</v>
      </c>
      <c r="S3154" s="125"/>
    </row>
    <row r="3155" spans="1:19" hidden="1">
      <c r="A3155" s="124" t="s">
        <v>5276</v>
      </c>
      <c r="B3155" s="125" t="str">
        <f>IFERROR(VLOOKUP(Proc[[#This Row],[App]],Table2[],3,0),"open")</f>
        <v>ok</v>
      </c>
      <c r="C3155" s="124" t="s">
        <v>369</v>
      </c>
      <c r="D3155" t="s">
        <v>5192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4897</v>
      </c>
      <c r="M3155" s="113">
        <v>45873</v>
      </c>
      <c r="N3155" s="113"/>
      <c r="O3155" s="113"/>
      <c r="P3155" s="115" t="str">
        <f ca="1">IF(Proc[[#This Row],[DaysAgeing]]&gt;5,"yep","on track")</f>
        <v>on track</v>
      </c>
      <c r="Q3155" s="3">
        <f ca="1">IF(Proc[[#This Row],[DateClosed]]="",ABS(NETWORKDAYS(Proc[[#This Row],[DateOpened]],TODAY()))-1,ABS(NETWORKDAYS(Proc[[#This Row],[DateOpened]],Proc[[#This Row],[DateClosed]]))-1)</f>
        <v>2</v>
      </c>
      <c r="R3155" s="115" t="s">
        <v>1013</v>
      </c>
      <c r="S3155" s="125"/>
    </row>
    <row r="3156" spans="1:19" hidden="1">
      <c r="A3156" s="124" t="s">
        <v>5276</v>
      </c>
      <c r="B3156" s="125" t="str">
        <f>IFERROR(VLOOKUP(Proc[[#This Row],[App]],Table2[],3,0),"open")</f>
        <v>ok</v>
      </c>
      <c r="C3156" s="124" t="s">
        <v>369</v>
      </c>
      <c r="D3156" t="s">
        <v>5193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4897</v>
      </c>
      <c r="M3156" s="113">
        <v>45873</v>
      </c>
      <c r="N3156" s="113"/>
      <c r="O3156" s="113"/>
      <c r="P3156" s="115" t="str">
        <f ca="1">IF(Proc[[#This Row],[DaysAgeing]]&gt;5,"yep","on track")</f>
        <v>on track</v>
      </c>
      <c r="Q3156" s="3">
        <f ca="1">IF(Proc[[#This Row],[DateClosed]]="",ABS(NETWORKDAYS(Proc[[#This Row],[DateOpened]],TODAY()))-1,ABS(NETWORKDAYS(Proc[[#This Row],[DateOpened]],Proc[[#This Row],[DateClosed]]))-1)</f>
        <v>2</v>
      </c>
      <c r="R3156" s="115" t="s">
        <v>1013</v>
      </c>
      <c r="S3156" s="125"/>
    </row>
    <row r="3157" spans="1:19" hidden="1">
      <c r="A3157" s="124" t="s">
        <v>5276</v>
      </c>
      <c r="B3157" s="125" t="str">
        <f>IFERROR(VLOOKUP(Proc[[#This Row],[App]],Table2[],3,0),"open")</f>
        <v>ok</v>
      </c>
      <c r="C3157" s="124" t="s">
        <v>369</v>
      </c>
      <c r="D3157" t="s">
        <v>5194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4897</v>
      </c>
      <c r="M3157" s="113">
        <v>45873</v>
      </c>
      <c r="N3157" s="113"/>
      <c r="O3157" s="113"/>
      <c r="P3157" s="115" t="str">
        <f ca="1">IF(Proc[[#This Row],[DaysAgeing]]&gt;5,"yep","on track")</f>
        <v>on track</v>
      </c>
      <c r="Q3157" s="3">
        <f ca="1">IF(Proc[[#This Row],[DateClosed]]="",ABS(NETWORKDAYS(Proc[[#This Row],[DateOpened]],TODAY()))-1,ABS(NETWORKDAYS(Proc[[#This Row],[DateOpened]],Proc[[#This Row],[DateClosed]]))-1)</f>
        <v>2</v>
      </c>
      <c r="R3157" s="115" t="s">
        <v>1013</v>
      </c>
      <c r="S3157" s="125"/>
    </row>
    <row r="3158" spans="1:19" hidden="1">
      <c r="A3158" s="124" t="s">
        <v>5276</v>
      </c>
      <c r="B3158" s="125" t="str">
        <f>IFERROR(VLOOKUP(Proc[[#This Row],[App]],Table2[],3,0),"open")</f>
        <v>ok</v>
      </c>
      <c r="C3158" s="124" t="s">
        <v>369</v>
      </c>
      <c r="D3158" t="s">
        <v>5195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4897</v>
      </c>
      <c r="M3158" s="113">
        <v>45873</v>
      </c>
      <c r="N3158" s="113"/>
      <c r="O3158" s="113"/>
      <c r="P3158" s="115" t="str">
        <f ca="1">IF(Proc[[#This Row],[DaysAgeing]]&gt;5,"yep","on track")</f>
        <v>on track</v>
      </c>
      <c r="Q3158" s="3">
        <f ca="1">IF(Proc[[#This Row],[DateClosed]]="",ABS(NETWORKDAYS(Proc[[#This Row],[DateOpened]],TODAY()))-1,ABS(NETWORKDAYS(Proc[[#This Row],[DateOpened]],Proc[[#This Row],[DateClosed]]))-1)</f>
        <v>2</v>
      </c>
      <c r="R3158" s="115" t="s">
        <v>1013</v>
      </c>
      <c r="S3158" s="125"/>
    </row>
    <row r="3159" spans="1:19" hidden="1">
      <c r="A3159" s="124" t="s">
        <v>5276</v>
      </c>
      <c r="B3159" s="125" t="str">
        <f>IFERROR(VLOOKUP(Proc[[#This Row],[App]],Table2[],3,0),"open")</f>
        <v>ok</v>
      </c>
      <c r="C3159" s="124" t="s">
        <v>369</v>
      </c>
      <c r="D3159" t="s">
        <v>5196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4897</v>
      </c>
      <c r="M3159" s="113">
        <v>45873</v>
      </c>
      <c r="N3159" s="113"/>
      <c r="O3159" s="113"/>
      <c r="P3159" s="115" t="str">
        <f ca="1">IF(Proc[[#This Row],[DaysAgeing]]&gt;5,"yep","on track")</f>
        <v>on track</v>
      </c>
      <c r="Q3159" s="3">
        <f ca="1">IF(Proc[[#This Row],[DateClosed]]="",ABS(NETWORKDAYS(Proc[[#This Row],[DateOpened]],TODAY()))-1,ABS(NETWORKDAYS(Proc[[#This Row],[DateOpened]],Proc[[#This Row],[DateClosed]]))-1)</f>
        <v>2</v>
      </c>
      <c r="R3159" s="115" t="s">
        <v>1013</v>
      </c>
      <c r="S3159" s="125"/>
    </row>
    <row r="3160" spans="1:19" hidden="1">
      <c r="A3160" s="124" t="s">
        <v>5276</v>
      </c>
      <c r="B3160" s="125" t="str">
        <f>IFERROR(VLOOKUP(Proc[[#This Row],[App]],Table2[],3,0),"open")</f>
        <v>ok</v>
      </c>
      <c r="C3160" s="124" t="s">
        <v>369</v>
      </c>
      <c r="D3160" t="s">
        <v>5197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4897</v>
      </c>
      <c r="M3160" s="113">
        <v>45873</v>
      </c>
      <c r="N3160" s="113"/>
      <c r="O3160" s="113"/>
      <c r="P3160" s="115" t="str">
        <f ca="1">IF(Proc[[#This Row],[DaysAgeing]]&gt;5,"yep","on track")</f>
        <v>on track</v>
      </c>
      <c r="Q3160" s="3">
        <f ca="1">IF(Proc[[#This Row],[DateClosed]]="",ABS(NETWORKDAYS(Proc[[#This Row],[DateOpened]],TODAY()))-1,ABS(NETWORKDAYS(Proc[[#This Row],[DateOpened]],Proc[[#This Row],[DateClosed]]))-1)</f>
        <v>2</v>
      </c>
      <c r="R3160" s="115" t="s">
        <v>1013</v>
      </c>
      <c r="S3160" s="125"/>
    </row>
    <row r="3161" spans="1:19" hidden="1">
      <c r="A3161" s="124" t="s">
        <v>5276</v>
      </c>
      <c r="B3161" s="125" t="str">
        <f>IFERROR(VLOOKUP(Proc[[#This Row],[App]],Table2[],3,0),"open")</f>
        <v>ok</v>
      </c>
      <c r="C3161" s="124" t="s">
        <v>369</v>
      </c>
      <c r="D3161" t="s">
        <v>5198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4897</v>
      </c>
      <c r="M3161" s="113">
        <v>45873</v>
      </c>
      <c r="N3161" s="113"/>
      <c r="O3161" s="113"/>
      <c r="P3161" s="115" t="str">
        <f ca="1">IF(Proc[[#This Row],[DaysAgeing]]&gt;5,"yep","on track")</f>
        <v>on track</v>
      </c>
      <c r="Q3161" s="3">
        <f ca="1">IF(Proc[[#This Row],[DateClosed]]="",ABS(NETWORKDAYS(Proc[[#This Row],[DateOpened]],TODAY()))-1,ABS(NETWORKDAYS(Proc[[#This Row],[DateOpened]],Proc[[#This Row],[DateClosed]]))-1)</f>
        <v>2</v>
      </c>
      <c r="R3161" s="115" t="s">
        <v>1013</v>
      </c>
      <c r="S3161" s="125"/>
    </row>
    <row r="3162" spans="1:19" hidden="1">
      <c r="A3162" s="124" t="s">
        <v>5276</v>
      </c>
      <c r="B3162" s="125" t="str">
        <f>IFERROR(VLOOKUP(Proc[[#This Row],[App]],Table2[],3,0),"open")</f>
        <v>ok</v>
      </c>
      <c r="C3162" s="124" t="s">
        <v>369</v>
      </c>
      <c r="D3162" t="s">
        <v>5199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4897</v>
      </c>
      <c r="M3162" s="113">
        <v>45873</v>
      </c>
      <c r="N3162" s="113"/>
      <c r="O3162" s="113"/>
      <c r="P3162" s="115" t="str">
        <f ca="1">IF(Proc[[#This Row],[DaysAgeing]]&gt;5,"yep","on track")</f>
        <v>on track</v>
      </c>
      <c r="Q3162" s="3">
        <f ca="1">IF(Proc[[#This Row],[DateClosed]]="",ABS(NETWORKDAYS(Proc[[#This Row],[DateOpened]],TODAY()))-1,ABS(NETWORKDAYS(Proc[[#This Row],[DateOpened]],Proc[[#This Row],[DateClosed]]))-1)</f>
        <v>2</v>
      </c>
      <c r="R3162" s="115" t="s">
        <v>1013</v>
      </c>
      <c r="S3162" s="125"/>
    </row>
    <row r="3163" spans="1:19" hidden="1">
      <c r="A3163" s="124" t="s">
        <v>5276</v>
      </c>
      <c r="B3163" s="125" t="str">
        <f>IFERROR(VLOOKUP(Proc[[#This Row],[App]],Table2[],3,0),"open")</f>
        <v>ok</v>
      </c>
      <c r="C3163" s="124" t="s">
        <v>369</v>
      </c>
      <c r="D3163" t="s">
        <v>5200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4897</v>
      </c>
      <c r="M3163" s="113">
        <v>45873</v>
      </c>
      <c r="N3163" s="113"/>
      <c r="O3163" s="113"/>
      <c r="P3163" s="115" t="str">
        <f ca="1">IF(Proc[[#This Row],[DaysAgeing]]&gt;5,"yep","on track")</f>
        <v>on track</v>
      </c>
      <c r="Q3163" s="3">
        <f ca="1">IF(Proc[[#This Row],[DateClosed]]="",ABS(NETWORKDAYS(Proc[[#This Row],[DateOpened]],TODAY()))-1,ABS(NETWORKDAYS(Proc[[#This Row],[DateOpened]],Proc[[#This Row],[DateClosed]]))-1)</f>
        <v>2</v>
      </c>
      <c r="R3163" s="115" t="s">
        <v>1013</v>
      </c>
      <c r="S3163" s="125"/>
    </row>
    <row r="3164" spans="1:19" hidden="1">
      <c r="A3164" s="124" t="s">
        <v>5276</v>
      </c>
      <c r="B3164" s="125" t="str">
        <f>IFERROR(VLOOKUP(Proc[[#This Row],[App]],Table2[],3,0),"open")</f>
        <v>ok</v>
      </c>
      <c r="C3164" s="124" t="s">
        <v>369</v>
      </c>
      <c r="D3164" t="s">
        <v>5201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4897</v>
      </c>
      <c r="M3164" s="113">
        <v>45873</v>
      </c>
      <c r="N3164" s="113"/>
      <c r="O3164" s="113"/>
      <c r="P3164" s="115" t="str">
        <f ca="1">IF(Proc[[#This Row],[DaysAgeing]]&gt;5,"yep","on track")</f>
        <v>on track</v>
      </c>
      <c r="Q3164" s="3">
        <f ca="1">IF(Proc[[#This Row],[DateClosed]]="",ABS(NETWORKDAYS(Proc[[#This Row],[DateOpened]],TODAY()))-1,ABS(NETWORKDAYS(Proc[[#This Row],[DateOpened]],Proc[[#This Row],[DateClosed]]))-1)</f>
        <v>2</v>
      </c>
      <c r="R3164" s="115" t="s">
        <v>1013</v>
      </c>
      <c r="S3164" s="125"/>
    </row>
    <row r="3165" spans="1:19" hidden="1">
      <c r="A3165" s="124" t="s">
        <v>5276</v>
      </c>
      <c r="B3165" s="125" t="str">
        <f>IFERROR(VLOOKUP(Proc[[#This Row],[App]],Table2[],3,0),"open")</f>
        <v>ok</v>
      </c>
      <c r="C3165" s="124" t="s">
        <v>369</v>
      </c>
      <c r="D3165" t="s">
        <v>5202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4897</v>
      </c>
      <c r="M3165" s="113">
        <v>45873</v>
      </c>
      <c r="N3165" s="113"/>
      <c r="O3165" s="113"/>
      <c r="P3165" s="115" t="str">
        <f ca="1">IF(Proc[[#This Row],[DaysAgeing]]&gt;5,"yep","on track")</f>
        <v>on track</v>
      </c>
      <c r="Q3165" s="3">
        <f ca="1">IF(Proc[[#This Row],[DateClosed]]="",ABS(NETWORKDAYS(Proc[[#This Row],[DateOpened]],TODAY()))-1,ABS(NETWORKDAYS(Proc[[#This Row],[DateOpened]],Proc[[#This Row],[DateClosed]]))-1)</f>
        <v>2</v>
      </c>
      <c r="R3165" s="115" t="s">
        <v>1013</v>
      </c>
      <c r="S3165" s="125"/>
    </row>
    <row r="3166" spans="1:19" hidden="1">
      <c r="A3166" s="124" t="s">
        <v>5276</v>
      </c>
      <c r="B3166" s="125" t="str">
        <f>IFERROR(VLOOKUP(Proc[[#This Row],[App]],Table2[],3,0),"open")</f>
        <v>ok</v>
      </c>
      <c r="C3166" s="124" t="s">
        <v>369</v>
      </c>
      <c r="D3166" t="s">
        <v>5203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4897</v>
      </c>
      <c r="M3166" s="113">
        <v>45873</v>
      </c>
      <c r="N3166" s="113"/>
      <c r="O3166" s="113"/>
      <c r="P3166" s="115" t="str">
        <f ca="1">IF(Proc[[#This Row],[DaysAgeing]]&gt;5,"yep","on track")</f>
        <v>on track</v>
      </c>
      <c r="Q3166" s="3">
        <f ca="1">IF(Proc[[#This Row],[DateClosed]]="",ABS(NETWORKDAYS(Proc[[#This Row],[DateOpened]],TODAY()))-1,ABS(NETWORKDAYS(Proc[[#This Row],[DateOpened]],Proc[[#This Row],[DateClosed]]))-1)</f>
        <v>2</v>
      </c>
      <c r="R3166" s="115" t="s">
        <v>1013</v>
      </c>
      <c r="S3166" s="125"/>
    </row>
    <row r="3167" spans="1:19" hidden="1">
      <c r="A3167" s="124" t="s">
        <v>5276</v>
      </c>
      <c r="B3167" s="125" t="str">
        <f>IFERROR(VLOOKUP(Proc[[#This Row],[App]],Table2[],3,0),"open")</f>
        <v>ok</v>
      </c>
      <c r="C3167" s="124" t="s">
        <v>369</v>
      </c>
      <c r="D3167" t="s">
        <v>5204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4897</v>
      </c>
      <c r="M3167" s="113">
        <v>45873</v>
      </c>
      <c r="N3167" s="113"/>
      <c r="O3167" s="113"/>
      <c r="P3167" s="115" t="str">
        <f ca="1">IF(Proc[[#This Row],[DaysAgeing]]&gt;5,"yep","on track")</f>
        <v>on track</v>
      </c>
      <c r="Q3167" s="3">
        <f ca="1">IF(Proc[[#This Row],[DateClosed]]="",ABS(NETWORKDAYS(Proc[[#This Row],[DateOpened]],TODAY()))-1,ABS(NETWORKDAYS(Proc[[#This Row],[DateOpened]],Proc[[#This Row],[DateClosed]]))-1)</f>
        <v>2</v>
      </c>
      <c r="R3167" s="115" t="s">
        <v>1013</v>
      </c>
      <c r="S3167" s="125"/>
    </row>
    <row r="3168" spans="1:19" hidden="1">
      <c r="A3168" s="124" t="s">
        <v>5276</v>
      </c>
      <c r="B3168" s="125" t="str">
        <f>IFERROR(VLOOKUP(Proc[[#This Row],[App]],Table2[],3,0),"open")</f>
        <v>ok</v>
      </c>
      <c r="C3168" s="124" t="s">
        <v>369</v>
      </c>
      <c r="D3168" t="s">
        <v>5205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4897</v>
      </c>
      <c r="M3168" s="113">
        <v>45873</v>
      </c>
      <c r="N3168" s="113"/>
      <c r="O3168" s="113"/>
      <c r="P3168" s="115" t="str">
        <f ca="1">IF(Proc[[#This Row],[DaysAgeing]]&gt;5,"yep","on track")</f>
        <v>on track</v>
      </c>
      <c r="Q3168" s="3">
        <f ca="1">IF(Proc[[#This Row],[DateClosed]]="",ABS(NETWORKDAYS(Proc[[#This Row],[DateOpened]],TODAY()))-1,ABS(NETWORKDAYS(Proc[[#This Row],[DateOpened]],Proc[[#This Row],[DateClosed]]))-1)</f>
        <v>2</v>
      </c>
      <c r="R3168" s="115" t="s">
        <v>1013</v>
      </c>
      <c r="S3168" s="125"/>
    </row>
    <row r="3169" spans="1:19" hidden="1">
      <c r="A3169" s="124" t="s">
        <v>5276</v>
      </c>
      <c r="B3169" s="125" t="str">
        <f>IFERROR(VLOOKUP(Proc[[#This Row],[App]],Table2[],3,0),"open")</f>
        <v>ok</v>
      </c>
      <c r="C3169" s="124" t="s">
        <v>369</v>
      </c>
      <c r="D3169" t="s">
        <v>5206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4897</v>
      </c>
      <c r="M3169" s="113">
        <v>45873</v>
      </c>
      <c r="N3169" s="113"/>
      <c r="O3169" s="113"/>
      <c r="P3169" s="115" t="str">
        <f ca="1">IF(Proc[[#This Row],[DaysAgeing]]&gt;5,"yep","on track")</f>
        <v>on track</v>
      </c>
      <c r="Q3169" s="3">
        <f ca="1">IF(Proc[[#This Row],[DateClosed]]="",ABS(NETWORKDAYS(Proc[[#This Row],[DateOpened]],TODAY()))-1,ABS(NETWORKDAYS(Proc[[#This Row],[DateOpened]],Proc[[#This Row],[DateClosed]]))-1)</f>
        <v>2</v>
      </c>
      <c r="R3169" s="115" t="s">
        <v>1013</v>
      </c>
      <c r="S3169" s="125"/>
    </row>
    <row r="3170" spans="1:19" hidden="1">
      <c r="A3170" s="124" t="s">
        <v>5276</v>
      </c>
      <c r="B3170" s="125" t="str">
        <f>IFERROR(VLOOKUP(Proc[[#This Row],[App]],Table2[],3,0),"open")</f>
        <v>ok</v>
      </c>
      <c r="C3170" s="124" t="s">
        <v>369</v>
      </c>
      <c r="D3170" t="s">
        <v>5207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4897</v>
      </c>
      <c r="M3170" s="113">
        <v>45873</v>
      </c>
      <c r="N3170" s="113"/>
      <c r="O3170" s="113"/>
      <c r="P3170" s="115" t="str">
        <f ca="1">IF(Proc[[#This Row],[DaysAgeing]]&gt;5,"yep","on track")</f>
        <v>on track</v>
      </c>
      <c r="Q3170" s="3">
        <f ca="1">IF(Proc[[#This Row],[DateClosed]]="",ABS(NETWORKDAYS(Proc[[#This Row],[DateOpened]],TODAY()))-1,ABS(NETWORKDAYS(Proc[[#This Row],[DateOpened]],Proc[[#This Row],[DateClosed]]))-1)</f>
        <v>2</v>
      </c>
      <c r="R3170" s="115" t="s">
        <v>1013</v>
      </c>
      <c r="S3170" s="125"/>
    </row>
    <row r="3171" spans="1:19" hidden="1">
      <c r="A3171" s="124" t="s">
        <v>5276</v>
      </c>
      <c r="B3171" s="125" t="str">
        <f>IFERROR(VLOOKUP(Proc[[#This Row],[App]],Table2[],3,0),"open")</f>
        <v>ok</v>
      </c>
      <c r="C3171" s="124" t="s">
        <v>369</v>
      </c>
      <c r="D3171" t="s">
        <v>5208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4897</v>
      </c>
      <c r="M3171" s="113">
        <v>45873</v>
      </c>
      <c r="N3171" s="113"/>
      <c r="O3171" s="113"/>
      <c r="P3171" s="115" t="str">
        <f ca="1">IF(Proc[[#This Row],[DaysAgeing]]&gt;5,"yep","on track")</f>
        <v>on track</v>
      </c>
      <c r="Q3171" s="3">
        <f ca="1">IF(Proc[[#This Row],[DateClosed]]="",ABS(NETWORKDAYS(Proc[[#This Row],[DateOpened]],TODAY()))-1,ABS(NETWORKDAYS(Proc[[#This Row],[DateOpened]],Proc[[#This Row],[DateClosed]]))-1)</f>
        <v>2</v>
      </c>
      <c r="R3171" s="115" t="s">
        <v>1013</v>
      </c>
      <c r="S3171" s="125"/>
    </row>
    <row r="3172" spans="1:19" hidden="1">
      <c r="A3172" s="124" t="s">
        <v>5276</v>
      </c>
      <c r="B3172" s="125" t="str">
        <f>IFERROR(VLOOKUP(Proc[[#This Row],[App]],Table2[],3,0),"open")</f>
        <v>ok</v>
      </c>
      <c r="C3172" s="124" t="s">
        <v>369</v>
      </c>
      <c r="D3172" t="s">
        <v>5209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4897</v>
      </c>
      <c r="M3172" s="113">
        <v>45873</v>
      </c>
      <c r="N3172" s="113"/>
      <c r="O3172" s="113"/>
      <c r="P3172" s="115" t="str">
        <f ca="1">IF(Proc[[#This Row],[DaysAgeing]]&gt;5,"yep","on track")</f>
        <v>on track</v>
      </c>
      <c r="Q3172" s="3">
        <f ca="1">IF(Proc[[#This Row],[DateClosed]]="",ABS(NETWORKDAYS(Proc[[#This Row],[DateOpened]],TODAY()))-1,ABS(NETWORKDAYS(Proc[[#This Row],[DateOpened]],Proc[[#This Row],[DateClosed]]))-1)</f>
        <v>2</v>
      </c>
      <c r="R3172" s="115" t="s">
        <v>1013</v>
      </c>
      <c r="S3172" s="125"/>
    </row>
    <row r="3173" spans="1:19" hidden="1">
      <c r="A3173" s="124" t="s">
        <v>5276</v>
      </c>
      <c r="B3173" s="125" t="str">
        <f>IFERROR(VLOOKUP(Proc[[#This Row],[App]],Table2[],3,0),"open")</f>
        <v>ok</v>
      </c>
      <c r="C3173" s="124" t="s">
        <v>369</v>
      </c>
      <c r="D3173" t="s">
        <v>5210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4897</v>
      </c>
      <c r="M3173" s="113">
        <v>45873</v>
      </c>
      <c r="N3173" s="113"/>
      <c r="O3173" s="113"/>
      <c r="P3173" s="115" t="str">
        <f ca="1">IF(Proc[[#This Row],[DaysAgeing]]&gt;5,"yep","on track")</f>
        <v>on track</v>
      </c>
      <c r="Q3173" s="3">
        <f ca="1">IF(Proc[[#This Row],[DateClosed]]="",ABS(NETWORKDAYS(Proc[[#This Row],[DateOpened]],TODAY()))-1,ABS(NETWORKDAYS(Proc[[#This Row],[DateOpened]],Proc[[#This Row],[DateClosed]]))-1)</f>
        <v>2</v>
      </c>
      <c r="R3173" s="115" t="s">
        <v>1013</v>
      </c>
      <c r="S3173" s="125"/>
    </row>
    <row r="3174" spans="1:19" hidden="1">
      <c r="A3174" s="124" t="s">
        <v>5276</v>
      </c>
      <c r="B3174" s="125" t="str">
        <f>IFERROR(VLOOKUP(Proc[[#This Row],[App]],Table2[],3,0),"open")</f>
        <v>ok</v>
      </c>
      <c r="C3174" s="124" t="s">
        <v>369</v>
      </c>
      <c r="D3174" t="s">
        <v>5211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4897</v>
      </c>
      <c r="M3174" s="113">
        <v>45873</v>
      </c>
      <c r="N3174" s="113"/>
      <c r="O3174" s="113"/>
      <c r="P3174" s="115" t="str">
        <f ca="1">IF(Proc[[#This Row],[DaysAgeing]]&gt;5,"yep","on track")</f>
        <v>on track</v>
      </c>
      <c r="Q3174" s="3">
        <f ca="1">IF(Proc[[#This Row],[DateClosed]]="",ABS(NETWORKDAYS(Proc[[#This Row],[DateOpened]],TODAY()))-1,ABS(NETWORKDAYS(Proc[[#This Row],[DateOpened]],Proc[[#This Row],[DateClosed]]))-1)</f>
        <v>2</v>
      </c>
      <c r="R3174" s="115" t="s">
        <v>1013</v>
      </c>
      <c r="S3174" s="125"/>
    </row>
    <row r="3175" spans="1:19" hidden="1">
      <c r="A3175" s="124" t="s">
        <v>5276</v>
      </c>
      <c r="B3175" s="125" t="str">
        <f>IFERROR(VLOOKUP(Proc[[#This Row],[App]],Table2[],3,0),"open")</f>
        <v>ok</v>
      </c>
      <c r="C3175" s="124" t="s">
        <v>369</v>
      </c>
      <c r="D3175" t="s">
        <v>5212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4897</v>
      </c>
      <c r="M3175" s="113">
        <v>45873</v>
      </c>
      <c r="N3175" s="113"/>
      <c r="O3175" s="113"/>
      <c r="P3175" s="115" t="str">
        <f ca="1">IF(Proc[[#This Row],[DaysAgeing]]&gt;5,"yep","on track")</f>
        <v>on track</v>
      </c>
      <c r="Q3175" s="3">
        <f ca="1">IF(Proc[[#This Row],[DateClosed]]="",ABS(NETWORKDAYS(Proc[[#This Row],[DateOpened]],TODAY()))-1,ABS(NETWORKDAYS(Proc[[#This Row],[DateOpened]],Proc[[#This Row],[DateClosed]]))-1)</f>
        <v>2</v>
      </c>
      <c r="R3175" s="115" t="s">
        <v>1013</v>
      </c>
      <c r="S3175" s="125"/>
    </row>
    <row r="3176" spans="1:19" hidden="1">
      <c r="A3176" s="124" t="s">
        <v>5276</v>
      </c>
      <c r="B3176" s="125" t="str">
        <f>IFERROR(VLOOKUP(Proc[[#This Row],[App]],Table2[],3,0),"open")</f>
        <v>ok</v>
      </c>
      <c r="C3176" s="124" t="s">
        <v>369</v>
      </c>
      <c r="D3176" t="s">
        <v>5213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4897</v>
      </c>
      <c r="M3176" s="113">
        <v>45873</v>
      </c>
      <c r="N3176" s="113"/>
      <c r="O3176" s="113"/>
      <c r="P3176" s="115" t="str">
        <f ca="1">IF(Proc[[#This Row],[DaysAgeing]]&gt;5,"yep","on track")</f>
        <v>on track</v>
      </c>
      <c r="Q3176" s="3">
        <f ca="1">IF(Proc[[#This Row],[DateClosed]]="",ABS(NETWORKDAYS(Proc[[#This Row],[DateOpened]],TODAY()))-1,ABS(NETWORKDAYS(Proc[[#This Row],[DateOpened]],Proc[[#This Row],[DateClosed]]))-1)</f>
        <v>2</v>
      </c>
      <c r="R3176" s="115" t="s">
        <v>1013</v>
      </c>
      <c r="S3176" s="125"/>
    </row>
    <row r="3177" spans="1:19" hidden="1">
      <c r="A3177" s="124" t="s">
        <v>5276</v>
      </c>
      <c r="B3177" s="125" t="str">
        <f>IFERROR(VLOOKUP(Proc[[#This Row],[App]],Table2[],3,0),"open")</f>
        <v>ok</v>
      </c>
      <c r="C3177" s="124" t="s">
        <v>369</v>
      </c>
      <c r="D3177" t="s">
        <v>5214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4897</v>
      </c>
      <c r="M3177" s="113">
        <v>45873</v>
      </c>
      <c r="N3177" s="113"/>
      <c r="O3177" s="113"/>
      <c r="P3177" s="115" t="str">
        <f ca="1">IF(Proc[[#This Row],[DaysAgeing]]&gt;5,"yep","on track")</f>
        <v>on track</v>
      </c>
      <c r="Q3177" s="3">
        <f ca="1">IF(Proc[[#This Row],[DateClosed]]="",ABS(NETWORKDAYS(Proc[[#This Row],[DateOpened]],TODAY()))-1,ABS(NETWORKDAYS(Proc[[#This Row],[DateOpened]],Proc[[#This Row],[DateClosed]]))-1)</f>
        <v>2</v>
      </c>
      <c r="R3177" s="115" t="s">
        <v>1013</v>
      </c>
      <c r="S3177" s="125"/>
    </row>
    <row r="3178" spans="1:19" hidden="1">
      <c r="A3178" s="124" t="s">
        <v>5276</v>
      </c>
      <c r="B3178" s="125" t="str">
        <f>IFERROR(VLOOKUP(Proc[[#This Row],[App]],Table2[],3,0),"open")</f>
        <v>ok</v>
      </c>
      <c r="C3178" s="124" t="s">
        <v>369</v>
      </c>
      <c r="D3178" t="s">
        <v>5215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4897</v>
      </c>
      <c r="M3178" s="113">
        <v>45873</v>
      </c>
      <c r="N3178" s="113"/>
      <c r="O3178" s="113"/>
      <c r="P3178" s="115" t="str">
        <f ca="1">IF(Proc[[#This Row],[DaysAgeing]]&gt;5,"yep","on track")</f>
        <v>on track</v>
      </c>
      <c r="Q3178" s="3">
        <f ca="1">IF(Proc[[#This Row],[DateClosed]]="",ABS(NETWORKDAYS(Proc[[#This Row],[DateOpened]],TODAY()))-1,ABS(NETWORKDAYS(Proc[[#This Row],[DateOpened]],Proc[[#This Row],[DateClosed]]))-1)</f>
        <v>2</v>
      </c>
      <c r="R3178" s="115" t="s">
        <v>1013</v>
      </c>
      <c r="S3178" s="125"/>
    </row>
    <row r="3179" spans="1:19" hidden="1">
      <c r="A3179" s="124" t="s">
        <v>5276</v>
      </c>
      <c r="B3179" s="125" t="str">
        <f>IFERROR(VLOOKUP(Proc[[#This Row],[App]],Table2[],3,0),"open")</f>
        <v>ok</v>
      </c>
      <c r="C3179" s="124" t="s">
        <v>369</v>
      </c>
      <c r="D3179" t="s">
        <v>5216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4897</v>
      </c>
      <c r="M3179" s="113">
        <v>45873</v>
      </c>
      <c r="N3179" s="113"/>
      <c r="O3179" s="113"/>
      <c r="P3179" s="115" t="str">
        <f ca="1">IF(Proc[[#This Row],[DaysAgeing]]&gt;5,"yep","on track")</f>
        <v>on track</v>
      </c>
      <c r="Q3179" s="3">
        <f ca="1">IF(Proc[[#This Row],[DateClosed]]="",ABS(NETWORKDAYS(Proc[[#This Row],[DateOpened]],TODAY()))-1,ABS(NETWORKDAYS(Proc[[#This Row],[DateOpened]],Proc[[#This Row],[DateClosed]]))-1)</f>
        <v>2</v>
      </c>
      <c r="R3179" s="115" t="s">
        <v>1013</v>
      </c>
      <c r="S3179" s="125"/>
    </row>
    <row r="3180" spans="1:19" hidden="1">
      <c r="A3180" s="124" t="s">
        <v>5276</v>
      </c>
      <c r="B3180" s="125" t="str">
        <f>IFERROR(VLOOKUP(Proc[[#This Row],[App]],Table2[],3,0),"open")</f>
        <v>ok</v>
      </c>
      <c r="C3180" s="124" t="s">
        <v>369</v>
      </c>
      <c r="D3180" t="s">
        <v>5217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4897</v>
      </c>
      <c r="M3180" s="113">
        <v>45873</v>
      </c>
      <c r="N3180" s="113"/>
      <c r="O3180" s="113"/>
      <c r="P3180" s="115" t="str">
        <f ca="1">IF(Proc[[#This Row],[DaysAgeing]]&gt;5,"yep","on track")</f>
        <v>on track</v>
      </c>
      <c r="Q3180" s="3">
        <f ca="1">IF(Proc[[#This Row],[DateClosed]]="",ABS(NETWORKDAYS(Proc[[#This Row],[DateOpened]],TODAY()))-1,ABS(NETWORKDAYS(Proc[[#This Row],[DateOpened]],Proc[[#This Row],[DateClosed]]))-1)</f>
        <v>2</v>
      </c>
      <c r="R3180" s="115" t="s">
        <v>1013</v>
      </c>
      <c r="S3180" s="125"/>
    </row>
    <row r="3181" spans="1:19" hidden="1">
      <c r="A3181" s="124" t="s">
        <v>5276</v>
      </c>
      <c r="B3181" s="125" t="str">
        <f>IFERROR(VLOOKUP(Proc[[#This Row],[App]],Table2[],3,0),"open")</f>
        <v>ok</v>
      </c>
      <c r="C3181" s="124" t="s">
        <v>369</v>
      </c>
      <c r="D3181" t="s">
        <v>5218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4897</v>
      </c>
      <c r="M3181" s="113">
        <v>45873</v>
      </c>
      <c r="N3181" s="113"/>
      <c r="O3181" s="113"/>
      <c r="P3181" s="115" t="str">
        <f ca="1">IF(Proc[[#This Row],[DaysAgeing]]&gt;5,"yep","on track")</f>
        <v>on track</v>
      </c>
      <c r="Q3181" s="3">
        <f ca="1">IF(Proc[[#This Row],[DateClosed]]="",ABS(NETWORKDAYS(Proc[[#This Row],[DateOpened]],TODAY()))-1,ABS(NETWORKDAYS(Proc[[#This Row],[DateOpened]],Proc[[#This Row],[DateClosed]]))-1)</f>
        <v>2</v>
      </c>
      <c r="R3181" s="115" t="s">
        <v>1013</v>
      </c>
      <c r="S3181" s="125"/>
    </row>
    <row r="3182" spans="1:19" hidden="1">
      <c r="A3182" s="124" t="s">
        <v>5276</v>
      </c>
      <c r="B3182" s="125" t="str">
        <f>IFERROR(VLOOKUP(Proc[[#This Row],[App]],Table2[],3,0),"open")</f>
        <v>ok</v>
      </c>
      <c r="C3182" s="124" t="s">
        <v>369</v>
      </c>
      <c r="D3182" t="s">
        <v>5219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4897</v>
      </c>
      <c r="M3182" s="113">
        <v>45873</v>
      </c>
      <c r="N3182" s="113"/>
      <c r="O3182" s="113"/>
      <c r="P3182" s="115" t="str">
        <f ca="1">IF(Proc[[#This Row],[DaysAgeing]]&gt;5,"yep","on track")</f>
        <v>on track</v>
      </c>
      <c r="Q3182" s="3">
        <f ca="1">IF(Proc[[#This Row],[DateClosed]]="",ABS(NETWORKDAYS(Proc[[#This Row],[DateOpened]],TODAY()))-1,ABS(NETWORKDAYS(Proc[[#This Row],[DateOpened]],Proc[[#This Row],[DateClosed]]))-1)</f>
        <v>2</v>
      </c>
      <c r="R3182" s="115" t="s">
        <v>1013</v>
      </c>
      <c r="S3182" s="125"/>
    </row>
    <row r="3183" spans="1:19" hidden="1">
      <c r="A3183" s="124" t="s">
        <v>5276</v>
      </c>
      <c r="B3183" s="125" t="str">
        <f>IFERROR(VLOOKUP(Proc[[#This Row],[App]],Table2[],3,0),"open")</f>
        <v>ok</v>
      </c>
      <c r="C3183" s="124" t="s">
        <v>369</v>
      </c>
      <c r="D3183" t="s">
        <v>5220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4897</v>
      </c>
      <c r="M3183" s="113">
        <v>45873</v>
      </c>
      <c r="N3183" s="113"/>
      <c r="O3183" s="113"/>
      <c r="P3183" s="115" t="str">
        <f ca="1">IF(Proc[[#This Row],[DaysAgeing]]&gt;5,"yep","on track")</f>
        <v>on track</v>
      </c>
      <c r="Q3183" s="3">
        <f ca="1">IF(Proc[[#This Row],[DateClosed]]="",ABS(NETWORKDAYS(Proc[[#This Row],[DateOpened]],TODAY()))-1,ABS(NETWORKDAYS(Proc[[#This Row],[DateOpened]],Proc[[#This Row],[DateClosed]]))-1)</f>
        <v>2</v>
      </c>
      <c r="R3183" s="115" t="s">
        <v>1013</v>
      </c>
      <c r="S3183" s="125"/>
    </row>
    <row r="3184" spans="1:19" hidden="1">
      <c r="A3184" s="124" t="s">
        <v>5276</v>
      </c>
      <c r="B3184" s="125" t="str">
        <f>IFERROR(VLOOKUP(Proc[[#This Row],[App]],Table2[],3,0),"open")</f>
        <v>ok</v>
      </c>
      <c r="C3184" s="124" t="s">
        <v>369</v>
      </c>
      <c r="D3184" t="s">
        <v>5221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4897</v>
      </c>
      <c r="M3184" s="113">
        <v>45873</v>
      </c>
      <c r="N3184" s="113"/>
      <c r="O3184" s="113"/>
      <c r="P3184" s="115" t="str">
        <f ca="1">IF(Proc[[#This Row],[DaysAgeing]]&gt;5,"yep","on track")</f>
        <v>on track</v>
      </c>
      <c r="Q3184" s="3">
        <f ca="1">IF(Proc[[#This Row],[DateClosed]]="",ABS(NETWORKDAYS(Proc[[#This Row],[DateOpened]],TODAY()))-1,ABS(NETWORKDAYS(Proc[[#This Row],[DateOpened]],Proc[[#This Row],[DateClosed]]))-1)</f>
        <v>2</v>
      </c>
      <c r="R3184" s="115" t="s">
        <v>1013</v>
      </c>
      <c r="S3184" s="125"/>
    </row>
    <row r="3185" spans="1:19" hidden="1">
      <c r="A3185" s="124" t="s">
        <v>5276</v>
      </c>
      <c r="B3185" s="125" t="str">
        <f>IFERROR(VLOOKUP(Proc[[#This Row],[App]],Table2[],3,0),"open")</f>
        <v>ok</v>
      </c>
      <c r="C3185" s="124" t="s">
        <v>369</v>
      </c>
      <c r="D3185" t="s">
        <v>5222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4897</v>
      </c>
      <c r="M3185" s="113">
        <v>45873</v>
      </c>
      <c r="N3185" s="113"/>
      <c r="O3185" s="113"/>
      <c r="P3185" s="115" t="str">
        <f ca="1">IF(Proc[[#This Row],[DaysAgeing]]&gt;5,"yep","on track")</f>
        <v>on track</v>
      </c>
      <c r="Q3185" s="3">
        <f ca="1">IF(Proc[[#This Row],[DateClosed]]="",ABS(NETWORKDAYS(Proc[[#This Row],[DateOpened]],TODAY()))-1,ABS(NETWORKDAYS(Proc[[#This Row],[DateOpened]],Proc[[#This Row],[DateClosed]]))-1)</f>
        <v>2</v>
      </c>
      <c r="R3185" s="115" t="s">
        <v>1013</v>
      </c>
      <c r="S3185" s="125"/>
    </row>
    <row r="3186" spans="1:19" hidden="1">
      <c r="A3186" s="124" t="s">
        <v>5276</v>
      </c>
      <c r="B3186" s="125" t="str">
        <f>IFERROR(VLOOKUP(Proc[[#This Row],[App]],Table2[],3,0),"open")</f>
        <v>ok</v>
      </c>
      <c r="C3186" s="124" t="s">
        <v>369</v>
      </c>
      <c r="D3186" t="s">
        <v>5223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4897</v>
      </c>
      <c r="M3186" s="113">
        <v>45873</v>
      </c>
      <c r="N3186" s="113"/>
      <c r="O3186" s="113"/>
      <c r="P3186" s="115" t="str">
        <f ca="1">IF(Proc[[#This Row],[DaysAgeing]]&gt;5,"yep","on track")</f>
        <v>on track</v>
      </c>
      <c r="Q3186" s="3">
        <f ca="1">IF(Proc[[#This Row],[DateClosed]]="",ABS(NETWORKDAYS(Proc[[#This Row],[DateOpened]],TODAY()))-1,ABS(NETWORKDAYS(Proc[[#This Row],[DateOpened]],Proc[[#This Row],[DateClosed]]))-1)</f>
        <v>2</v>
      </c>
      <c r="R3186" s="115" t="s">
        <v>1013</v>
      </c>
      <c r="S3186" s="125"/>
    </row>
    <row r="3187" spans="1:19" hidden="1">
      <c r="A3187" s="124" t="s">
        <v>5276</v>
      </c>
      <c r="B3187" s="125" t="str">
        <f>IFERROR(VLOOKUP(Proc[[#This Row],[App]],Table2[],3,0),"open")</f>
        <v>ok</v>
      </c>
      <c r="C3187" s="124" t="s">
        <v>369</v>
      </c>
      <c r="D3187" t="s">
        <v>5224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4897</v>
      </c>
      <c r="M3187" s="113">
        <v>45873</v>
      </c>
      <c r="N3187" s="113"/>
      <c r="O3187" s="113"/>
      <c r="P3187" s="115" t="str">
        <f ca="1">IF(Proc[[#This Row],[DaysAgeing]]&gt;5,"yep","on track")</f>
        <v>on track</v>
      </c>
      <c r="Q3187" s="3">
        <f ca="1">IF(Proc[[#This Row],[DateClosed]]="",ABS(NETWORKDAYS(Proc[[#This Row],[DateOpened]],TODAY()))-1,ABS(NETWORKDAYS(Proc[[#This Row],[DateOpened]],Proc[[#This Row],[DateClosed]]))-1)</f>
        <v>2</v>
      </c>
      <c r="R3187" s="115" t="s">
        <v>1013</v>
      </c>
      <c r="S3187" s="125"/>
    </row>
    <row r="3188" spans="1:19" hidden="1">
      <c r="A3188" s="124" t="s">
        <v>5276</v>
      </c>
      <c r="B3188" s="125" t="str">
        <f>IFERROR(VLOOKUP(Proc[[#This Row],[App]],Table2[],3,0),"open")</f>
        <v>ok</v>
      </c>
      <c r="C3188" s="124" t="s">
        <v>369</v>
      </c>
      <c r="D3188" t="s">
        <v>5225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4897</v>
      </c>
      <c r="M3188" s="113">
        <v>45873</v>
      </c>
      <c r="N3188" s="113"/>
      <c r="O3188" s="113"/>
      <c r="P3188" s="115" t="str">
        <f ca="1">IF(Proc[[#This Row],[DaysAgeing]]&gt;5,"yep","on track")</f>
        <v>on track</v>
      </c>
      <c r="Q3188" s="3">
        <f ca="1">IF(Proc[[#This Row],[DateClosed]]="",ABS(NETWORKDAYS(Proc[[#This Row],[DateOpened]],TODAY()))-1,ABS(NETWORKDAYS(Proc[[#This Row],[DateOpened]],Proc[[#This Row],[DateClosed]]))-1)</f>
        <v>2</v>
      </c>
      <c r="R3188" s="115" t="s">
        <v>1013</v>
      </c>
      <c r="S3188" s="125"/>
    </row>
    <row r="3189" spans="1:19" hidden="1">
      <c r="A3189" s="124" t="s">
        <v>5276</v>
      </c>
      <c r="B3189" s="125" t="str">
        <f>IFERROR(VLOOKUP(Proc[[#This Row],[App]],Table2[],3,0),"open")</f>
        <v>ok</v>
      </c>
      <c r="C3189" s="124" t="s">
        <v>369</v>
      </c>
      <c r="D3189" t="s">
        <v>5226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4897</v>
      </c>
      <c r="M3189" s="113">
        <v>45873</v>
      </c>
      <c r="N3189" s="113"/>
      <c r="O3189" s="113"/>
      <c r="P3189" s="115" t="str">
        <f ca="1">IF(Proc[[#This Row],[DaysAgeing]]&gt;5,"yep","on track")</f>
        <v>on track</v>
      </c>
      <c r="Q3189" s="3">
        <f ca="1">IF(Proc[[#This Row],[DateClosed]]="",ABS(NETWORKDAYS(Proc[[#This Row],[DateOpened]],TODAY()))-1,ABS(NETWORKDAYS(Proc[[#This Row],[DateOpened]],Proc[[#This Row],[DateClosed]]))-1)</f>
        <v>2</v>
      </c>
      <c r="R3189" s="115" t="s">
        <v>1013</v>
      </c>
      <c r="S3189" s="125"/>
    </row>
    <row r="3190" spans="1:19" hidden="1">
      <c r="A3190" s="124" t="s">
        <v>5276</v>
      </c>
      <c r="B3190" s="125" t="str">
        <f>IFERROR(VLOOKUP(Proc[[#This Row],[App]],Table2[],3,0),"open")</f>
        <v>ok</v>
      </c>
      <c r="C3190" s="124" t="s">
        <v>369</v>
      </c>
      <c r="D3190" t="s">
        <v>5227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4897</v>
      </c>
      <c r="M3190" s="113">
        <v>45873</v>
      </c>
      <c r="N3190" s="113"/>
      <c r="O3190" s="113"/>
      <c r="P3190" s="115" t="str">
        <f ca="1">IF(Proc[[#This Row],[DaysAgeing]]&gt;5,"yep","on track")</f>
        <v>on track</v>
      </c>
      <c r="Q3190" s="3">
        <f ca="1">IF(Proc[[#This Row],[DateClosed]]="",ABS(NETWORKDAYS(Proc[[#This Row],[DateOpened]],TODAY()))-1,ABS(NETWORKDAYS(Proc[[#This Row],[DateOpened]],Proc[[#This Row],[DateClosed]]))-1)</f>
        <v>2</v>
      </c>
      <c r="R3190" s="115" t="s">
        <v>1013</v>
      </c>
      <c r="S3190" s="125"/>
    </row>
    <row r="3191" spans="1:19" hidden="1">
      <c r="A3191" s="124" t="s">
        <v>5276</v>
      </c>
      <c r="B3191" s="125" t="str">
        <f>IFERROR(VLOOKUP(Proc[[#This Row],[App]],Table2[],3,0),"open")</f>
        <v>ok</v>
      </c>
      <c r="C3191" s="124" t="s">
        <v>369</v>
      </c>
      <c r="D3191" t="s">
        <v>5228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4897</v>
      </c>
      <c r="M3191" s="113">
        <v>45873</v>
      </c>
      <c r="N3191" s="113"/>
      <c r="O3191" s="113"/>
      <c r="P3191" s="115" t="str">
        <f ca="1">IF(Proc[[#This Row],[DaysAgeing]]&gt;5,"yep","on track")</f>
        <v>on track</v>
      </c>
      <c r="Q3191" s="3">
        <f ca="1">IF(Proc[[#This Row],[DateClosed]]="",ABS(NETWORKDAYS(Proc[[#This Row],[DateOpened]],TODAY()))-1,ABS(NETWORKDAYS(Proc[[#This Row],[DateOpened]],Proc[[#This Row],[DateClosed]]))-1)</f>
        <v>2</v>
      </c>
      <c r="R3191" s="115" t="s">
        <v>1013</v>
      </c>
      <c r="S3191" s="125"/>
    </row>
    <row r="3192" spans="1:19" hidden="1">
      <c r="A3192" s="124" t="s">
        <v>5276</v>
      </c>
      <c r="B3192" s="125" t="str">
        <f>IFERROR(VLOOKUP(Proc[[#This Row],[App]],Table2[],3,0),"open")</f>
        <v>ok</v>
      </c>
      <c r="C3192" s="124" t="s">
        <v>369</v>
      </c>
      <c r="D3192" t="s">
        <v>5229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4897</v>
      </c>
      <c r="M3192" s="113">
        <v>45873</v>
      </c>
      <c r="N3192" s="113"/>
      <c r="O3192" s="113"/>
      <c r="P3192" s="115" t="str">
        <f ca="1">IF(Proc[[#This Row],[DaysAgeing]]&gt;5,"yep","on track")</f>
        <v>on track</v>
      </c>
      <c r="Q3192" s="3">
        <f ca="1">IF(Proc[[#This Row],[DateClosed]]="",ABS(NETWORKDAYS(Proc[[#This Row],[DateOpened]],TODAY()))-1,ABS(NETWORKDAYS(Proc[[#This Row],[DateOpened]],Proc[[#This Row],[DateClosed]]))-1)</f>
        <v>2</v>
      </c>
      <c r="R3192" s="115" t="s">
        <v>1013</v>
      </c>
      <c r="S3192" s="125"/>
    </row>
    <row r="3193" spans="1:19" hidden="1">
      <c r="A3193" s="124" t="s">
        <v>5276</v>
      </c>
      <c r="B3193" s="125" t="str">
        <f>IFERROR(VLOOKUP(Proc[[#This Row],[App]],Table2[],3,0),"open")</f>
        <v>ok</v>
      </c>
      <c r="C3193" s="124" t="s">
        <v>369</v>
      </c>
      <c r="D3193" t="s">
        <v>5230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4897</v>
      </c>
      <c r="M3193" s="113">
        <v>45873</v>
      </c>
      <c r="N3193" s="113"/>
      <c r="O3193" s="113"/>
      <c r="P3193" s="115" t="str">
        <f ca="1">IF(Proc[[#This Row],[DaysAgeing]]&gt;5,"yep","on track")</f>
        <v>on track</v>
      </c>
      <c r="Q3193" s="3">
        <f ca="1">IF(Proc[[#This Row],[DateClosed]]="",ABS(NETWORKDAYS(Proc[[#This Row],[DateOpened]],TODAY()))-1,ABS(NETWORKDAYS(Proc[[#This Row],[DateOpened]],Proc[[#This Row],[DateClosed]]))-1)</f>
        <v>2</v>
      </c>
      <c r="R3193" s="115" t="s">
        <v>1013</v>
      </c>
      <c r="S3193" s="125"/>
    </row>
    <row r="3194" spans="1:19" hidden="1">
      <c r="A3194" s="124" t="s">
        <v>5276</v>
      </c>
      <c r="B3194" s="125" t="str">
        <f>IFERROR(VLOOKUP(Proc[[#This Row],[App]],Table2[],3,0),"open")</f>
        <v>ok</v>
      </c>
      <c r="C3194" s="124" t="s">
        <v>369</v>
      </c>
      <c r="D3194" t="s">
        <v>5231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4897</v>
      </c>
      <c r="M3194" s="113">
        <v>45873</v>
      </c>
      <c r="N3194" s="113"/>
      <c r="O3194" s="113"/>
      <c r="P3194" s="115" t="str">
        <f ca="1">IF(Proc[[#This Row],[DaysAgeing]]&gt;5,"yep","on track")</f>
        <v>on track</v>
      </c>
      <c r="Q3194" s="3">
        <f ca="1">IF(Proc[[#This Row],[DateClosed]]="",ABS(NETWORKDAYS(Proc[[#This Row],[DateOpened]],TODAY()))-1,ABS(NETWORKDAYS(Proc[[#This Row],[DateOpened]],Proc[[#This Row],[DateClosed]]))-1)</f>
        <v>2</v>
      </c>
      <c r="R3194" s="115" t="s">
        <v>1013</v>
      </c>
      <c r="S3194" s="125"/>
    </row>
    <row r="3195" spans="1:19" hidden="1">
      <c r="A3195" s="124" t="s">
        <v>5276</v>
      </c>
      <c r="B3195" s="125" t="str">
        <f>IFERROR(VLOOKUP(Proc[[#This Row],[App]],Table2[],3,0),"open")</f>
        <v>ok</v>
      </c>
      <c r="C3195" s="124" t="s">
        <v>369</v>
      </c>
      <c r="D3195" t="s">
        <v>5232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4897</v>
      </c>
      <c r="M3195" s="113">
        <v>45873</v>
      </c>
      <c r="N3195" s="113"/>
      <c r="O3195" s="113"/>
      <c r="P3195" s="115" t="str">
        <f ca="1">IF(Proc[[#This Row],[DaysAgeing]]&gt;5,"yep","on track")</f>
        <v>on track</v>
      </c>
      <c r="Q3195" s="3">
        <f ca="1">IF(Proc[[#This Row],[DateClosed]]="",ABS(NETWORKDAYS(Proc[[#This Row],[DateOpened]],TODAY()))-1,ABS(NETWORKDAYS(Proc[[#This Row],[DateOpened]],Proc[[#This Row],[DateClosed]]))-1)</f>
        <v>2</v>
      </c>
      <c r="R3195" s="115" t="s">
        <v>1013</v>
      </c>
      <c r="S3195" s="125"/>
    </row>
    <row r="3196" spans="1:19" hidden="1">
      <c r="A3196" s="124" t="s">
        <v>5276</v>
      </c>
      <c r="B3196" s="125" t="str">
        <f>IFERROR(VLOOKUP(Proc[[#This Row],[App]],Table2[],3,0),"open")</f>
        <v>ok</v>
      </c>
      <c r="C3196" s="124" t="s">
        <v>369</v>
      </c>
      <c r="D3196" t="s">
        <v>5233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4897</v>
      </c>
      <c r="M3196" s="113">
        <v>45873</v>
      </c>
      <c r="N3196" s="113"/>
      <c r="O3196" s="113"/>
      <c r="P3196" s="115" t="str">
        <f ca="1">IF(Proc[[#This Row],[DaysAgeing]]&gt;5,"yep","on track")</f>
        <v>on track</v>
      </c>
      <c r="Q3196" s="3">
        <f ca="1">IF(Proc[[#This Row],[DateClosed]]="",ABS(NETWORKDAYS(Proc[[#This Row],[DateOpened]],TODAY()))-1,ABS(NETWORKDAYS(Proc[[#This Row],[DateOpened]],Proc[[#This Row],[DateClosed]]))-1)</f>
        <v>2</v>
      </c>
      <c r="R3196" s="115" t="s">
        <v>1013</v>
      </c>
      <c r="S3196" s="125"/>
    </row>
    <row r="3197" spans="1:19" hidden="1">
      <c r="A3197" s="124" t="s">
        <v>5276</v>
      </c>
      <c r="B3197" s="125" t="str">
        <f>IFERROR(VLOOKUP(Proc[[#This Row],[App]],Table2[],3,0),"open")</f>
        <v>ok</v>
      </c>
      <c r="C3197" s="124" t="s">
        <v>369</v>
      </c>
      <c r="D3197" t="s">
        <v>5234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4897</v>
      </c>
      <c r="M3197" s="113">
        <v>45873</v>
      </c>
      <c r="N3197" s="113"/>
      <c r="O3197" s="113"/>
      <c r="P3197" s="115" t="str">
        <f ca="1">IF(Proc[[#This Row],[DaysAgeing]]&gt;5,"yep","on track")</f>
        <v>on track</v>
      </c>
      <c r="Q3197" s="3">
        <f ca="1">IF(Proc[[#This Row],[DateClosed]]="",ABS(NETWORKDAYS(Proc[[#This Row],[DateOpened]],TODAY()))-1,ABS(NETWORKDAYS(Proc[[#This Row],[DateOpened]],Proc[[#This Row],[DateClosed]]))-1)</f>
        <v>2</v>
      </c>
      <c r="R3197" s="115" t="s">
        <v>1013</v>
      </c>
      <c r="S3197" s="125"/>
    </row>
    <row r="3198" spans="1:19" hidden="1">
      <c r="A3198" s="124" t="s">
        <v>5276</v>
      </c>
      <c r="B3198" s="125" t="str">
        <f>IFERROR(VLOOKUP(Proc[[#This Row],[App]],Table2[],3,0),"open")</f>
        <v>ok</v>
      </c>
      <c r="C3198" s="124" t="s">
        <v>369</v>
      </c>
      <c r="D3198" t="s">
        <v>5235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4897</v>
      </c>
      <c r="M3198" s="113">
        <v>45873</v>
      </c>
      <c r="N3198" s="113"/>
      <c r="O3198" s="113"/>
      <c r="P3198" s="115" t="str">
        <f ca="1">IF(Proc[[#This Row],[DaysAgeing]]&gt;5,"yep","on track")</f>
        <v>on track</v>
      </c>
      <c r="Q3198" s="3">
        <f ca="1">IF(Proc[[#This Row],[DateClosed]]="",ABS(NETWORKDAYS(Proc[[#This Row],[DateOpened]],TODAY()))-1,ABS(NETWORKDAYS(Proc[[#This Row],[DateOpened]],Proc[[#This Row],[DateClosed]]))-1)</f>
        <v>2</v>
      </c>
      <c r="R3198" s="115" t="s">
        <v>1013</v>
      </c>
      <c r="S3198" s="125"/>
    </row>
    <row r="3199" spans="1:19" hidden="1">
      <c r="A3199" s="124" t="s">
        <v>5276</v>
      </c>
      <c r="B3199" s="125" t="str">
        <f>IFERROR(VLOOKUP(Proc[[#This Row],[App]],Table2[],3,0),"open")</f>
        <v>ok</v>
      </c>
      <c r="C3199" s="124" t="s">
        <v>369</v>
      </c>
      <c r="D3199" t="s">
        <v>5236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4897</v>
      </c>
      <c r="M3199" s="113">
        <v>45873</v>
      </c>
      <c r="N3199" s="113"/>
      <c r="O3199" s="113"/>
      <c r="P3199" s="115" t="str">
        <f ca="1">IF(Proc[[#This Row],[DaysAgeing]]&gt;5,"yep","on track")</f>
        <v>on track</v>
      </c>
      <c r="Q3199" s="3">
        <f ca="1">IF(Proc[[#This Row],[DateClosed]]="",ABS(NETWORKDAYS(Proc[[#This Row],[DateOpened]],TODAY()))-1,ABS(NETWORKDAYS(Proc[[#This Row],[DateOpened]],Proc[[#This Row],[DateClosed]]))-1)</f>
        <v>2</v>
      </c>
      <c r="R3199" s="115" t="s">
        <v>1013</v>
      </c>
      <c r="S3199" s="125"/>
    </row>
    <row r="3200" spans="1:19" hidden="1">
      <c r="A3200" s="124" t="s">
        <v>5276</v>
      </c>
      <c r="B3200" s="125" t="str">
        <f>IFERROR(VLOOKUP(Proc[[#This Row],[App]],Table2[],3,0),"open")</f>
        <v>ok</v>
      </c>
      <c r="C3200" s="124" t="s">
        <v>369</v>
      </c>
      <c r="D3200" t="s">
        <v>5237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4897</v>
      </c>
      <c r="M3200" s="113">
        <v>45873</v>
      </c>
      <c r="N3200" s="113"/>
      <c r="O3200" s="113"/>
      <c r="P3200" s="115" t="str">
        <f ca="1">IF(Proc[[#This Row],[DaysAgeing]]&gt;5,"yep","on track")</f>
        <v>on track</v>
      </c>
      <c r="Q3200" s="3">
        <f ca="1">IF(Proc[[#This Row],[DateClosed]]="",ABS(NETWORKDAYS(Proc[[#This Row],[DateOpened]],TODAY()))-1,ABS(NETWORKDAYS(Proc[[#This Row],[DateOpened]],Proc[[#This Row],[DateClosed]]))-1)</f>
        <v>2</v>
      </c>
      <c r="R3200" s="115" t="s">
        <v>1013</v>
      </c>
      <c r="S3200" s="125"/>
    </row>
    <row r="3201" spans="1:19" hidden="1">
      <c r="A3201" s="124" t="s">
        <v>5276</v>
      </c>
      <c r="B3201" s="125" t="str">
        <f>IFERROR(VLOOKUP(Proc[[#This Row],[App]],Table2[],3,0),"open")</f>
        <v>ok</v>
      </c>
      <c r="C3201" s="124" t="s">
        <v>369</v>
      </c>
      <c r="D3201" t="s">
        <v>5238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4897</v>
      </c>
      <c r="M3201" s="113">
        <v>45873</v>
      </c>
      <c r="N3201" s="113"/>
      <c r="O3201" s="113"/>
      <c r="P3201" s="115" t="str">
        <f ca="1">IF(Proc[[#This Row],[DaysAgeing]]&gt;5,"yep","on track")</f>
        <v>on track</v>
      </c>
      <c r="Q3201" s="3">
        <f ca="1">IF(Proc[[#This Row],[DateClosed]]="",ABS(NETWORKDAYS(Proc[[#This Row],[DateOpened]],TODAY()))-1,ABS(NETWORKDAYS(Proc[[#This Row],[DateOpened]],Proc[[#This Row],[DateClosed]]))-1)</f>
        <v>2</v>
      </c>
      <c r="R3201" s="115" t="s">
        <v>1013</v>
      </c>
      <c r="S3201" s="125"/>
    </row>
    <row r="3202" spans="1:19" hidden="1">
      <c r="A3202" s="124" t="s">
        <v>5276</v>
      </c>
      <c r="B3202" s="125" t="str">
        <f>IFERROR(VLOOKUP(Proc[[#This Row],[App]],Table2[],3,0),"open")</f>
        <v>ok</v>
      </c>
      <c r="C3202" s="124" t="s">
        <v>369</v>
      </c>
      <c r="D3202" t="s">
        <v>5239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4897</v>
      </c>
      <c r="M3202" s="113">
        <v>45873</v>
      </c>
      <c r="N3202" s="113"/>
      <c r="O3202" s="113"/>
      <c r="P3202" s="115" t="str">
        <f ca="1">IF(Proc[[#This Row],[DaysAgeing]]&gt;5,"yep","on track")</f>
        <v>on track</v>
      </c>
      <c r="Q3202" s="3">
        <f ca="1">IF(Proc[[#This Row],[DateClosed]]="",ABS(NETWORKDAYS(Proc[[#This Row],[DateOpened]],TODAY()))-1,ABS(NETWORKDAYS(Proc[[#This Row],[DateOpened]],Proc[[#This Row],[DateClosed]]))-1)</f>
        <v>2</v>
      </c>
      <c r="R3202" s="115" t="s">
        <v>1013</v>
      </c>
      <c r="S3202" s="125"/>
    </row>
    <row r="3203" spans="1:19" hidden="1">
      <c r="A3203" s="124" t="s">
        <v>5276</v>
      </c>
      <c r="B3203" s="125" t="str">
        <f>IFERROR(VLOOKUP(Proc[[#This Row],[App]],Table2[],3,0),"open")</f>
        <v>ok</v>
      </c>
      <c r="C3203" s="124" t="s">
        <v>369</v>
      </c>
      <c r="D3203" t="s">
        <v>5240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4897</v>
      </c>
      <c r="M3203" s="113">
        <v>45873</v>
      </c>
      <c r="N3203" s="113"/>
      <c r="O3203" s="113"/>
      <c r="P3203" s="115" t="str">
        <f ca="1">IF(Proc[[#This Row],[DaysAgeing]]&gt;5,"yep","on track")</f>
        <v>on track</v>
      </c>
      <c r="Q3203" s="3">
        <f ca="1">IF(Proc[[#This Row],[DateClosed]]="",ABS(NETWORKDAYS(Proc[[#This Row],[DateOpened]],TODAY()))-1,ABS(NETWORKDAYS(Proc[[#This Row],[DateOpened]],Proc[[#This Row],[DateClosed]]))-1)</f>
        <v>2</v>
      </c>
      <c r="R3203" s="115" t="s">
        <v>1013</v>
      </c>
      <c r="S3203" s="125"/>
    </row>
    <row r="3204" spans="1:19" hidden="1">
      <c r="A3204" s="124" t="s">
        <v>5276</v>
      </c>
      <c r="B3204" s="125" t="str">
        <f>IFERROR(VLOOKUP(Proc[[#This Row],[App]],Table2[],3,0),"open")</f>
        <v>ok</v>
      </c>
      <c r="C3204" s="124" t="s">
        <v>369</v>
      </c>
      <c r="D3204" t="s">
        <v>5241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4897</v>
      </c>
      <c r="M3204" s="113">
        <v>45873</v>
      </c>
      <c r="N3204" s="113"/>
      <c r="O3204" s="113"/>
      <c r="P3204" s="115" t="str">
        <f ca="1">IF(Proc[[#This Row],[DaysAgeing]]&gt;5,"yep","on track")</f>
        <v>on track</v>
      </c>
      <c r="Q3204" s="3">
        <f ca="1">IF(Proc[[#This Row],[DateClosed]]="",ABS(NETWORKDAYS(Proc[[#This Row],[DateOpened]],TODAY()))-1,ABS(NETWORKDAYS(Proc[[#This Row],[DateOpened]],Proc[[#This Row],[DateClosed]]))-1)</f>
        <v>2</v>
      </c>
      <c r="R3204" s="115" t="s">
        <v>1013</v>
      </c>
      <c r="S3204" s="125"/>
    </row>
    <row r="3205" spans="1:19" hidden="1">
      <c r="A3205" s="124" t="s">
        <v>5276</v>
      </c>
      <c r="B3205" s="125" t="str">
        <f>IFERROR(VLOOKUP(Proc[[#This Row],[App]],Table2[],3,0),"open")</f>
        <v>ok</v>
      </c>
      <c r="C3205" s="124" t="s">
        <v>369</v>
      </c>
      <c r="D3205" t="s">
        <v>5242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4897</v>
      </c>
      <c r="M3205" s="113">
        <v>45873</v>
      </c>
      <c r="N3205" s="113"/>
      <c r="O3205" s="113"/>
      <c r="P3205" s="115" t="str">
        <f ca="1">IF(Proc[[#This Row],[DaysAgeing]]&gt;5,"yep","on track")</f>
        <v>on track</v>
      </c>
      <c r="Q3205" s="3">
        <f ca="1">IF(Proc[[#This Row],[DateClosed]]="",ABS(NETWORKDAYS(Proc[[#This Row],[DateOpened]],TODAY()))-1,ABS(NETWORKDAYS(Proc[[#This Row],[DateOpened]],Proc[[#This Row],[DateClosed]]))-1)</f>
        <v>2</v>
      </c>
      <c r="R3205" s="115" t="s">
        <v>1013</v>
      </c>
      <c r="S3205" s="125"/>
    </row>
    <row r="3206" spans="1:19" hidden="1">
      <c r="A3206" s="124" t="s">
        <v>5276</v>
      </c>
      <c r="B3206" s="125" t="str">
        <f>IFERROR(VLOOKUP(Proc[[#This Row],[App]],Table2[],3,0),"open")</f>
        <v>ok</v>
      </c>
      <c r="C3206" s="124" t="s">
        <v>369</v>
      </c>
      <c r="D3206" t="s">
        <v>5243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4897</v>
      </c>
      <c r="M3206" s="113">
        <v>45873</v>
      </c>
      <c r="N3206" s="113"/>
      <c r="O3206" s="113"/>
      <c r="P3206" s="115" t="str">
        <f ca="1">IF(Proc[[#This Row],[DaysAgeing]]&gt;5,"yep","on track")</f>
        <v>on track</v>
      </c>
      <c r="Q3206" s="3">
        <f ca="1">IF(Proc[[#This Row],[DateClosed]]="",ABS(NETWORKDAYS(Proc[[#This Row],[DateOpened]],TODAY()))-1,ABS(NETWORKDAYS(Proc[[#This Row],[DateOpened]],Proc[[#This Row],[DateClosed]]))-1)</f>
        <v>2</v>
      </c>
      <c r="R3206" s="115" t="s">
        <v>1013</v>
      </c>
      <c r="S3206" s="125"/>
    </row>
    <row r="3207" spans="1:19" hidden="1">
      <c r="A3207" s="124" t="s">
        <v>5276</v>
      </c>
      <c r="B3207" s="125" t="str">
        <f>IFERROR(VLOOKUP(Proc[[#This Row],[App]],Table2[],3,0),"open")</f>
        <v>ok</v>
      </c>
      <c r="C3207" s="124" t="s">
        <v>369</v>
      </c>
      <c r="D3207" t="s">
        <v>5244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4897</v>
      </c>
      <c r="M3207" s="113">
        <v>45873</v>
      </c>
      <c r="N3207" s="113"/>
      <c r="O3207" s="113"/>
      <c r="P3207" s="115" t="str">
        <f ca="1">IF(Proc[[#This Row],[DaysAgeing]]&gt;5,"yep","on track")</f>
        <v>on track</v>
      </c>
      <c r="Q3207" s="3">
        <f ca="1">IF(Proc[[#This Row],[DateClosed]]="",ABS(NETWORKDAYS(Proc[[#This Row],[DateOpened]],TODAY()))-1,ABS(NETWORKDAYS(Proc[[#This Row],[DateOpened]],Proc[[#This Row],[DateClosed]]))-1)</f>
        <v>2</v>
      </c>
      <c r="R3207" s="115" t="s">
        <v>1013</v>
      </c>
      <c r="S3207" s="125"/>
    </row>
    <row r="3208" spans="1:19" hidden="1">
      <c r="A3208" s="124" t="s">
        <v>5276</v>
      </c>
      <c r="B3208" s="125" t="str">
        <f>IFERROR(VLOOKUP(Proc[[#This Row],[App]],Table2[],3,0),"open")</f>
        <v>ok</v>
      </c>
      <c r="C3208" s="124" t="s">
        <v>369</v>
      </c>
      <c r="D3208" t="s">
        <v>5245</v>
      </c>
      <c r="E3208" t="s">
        <v>5271</v>
      </c>
      <c r="F3208" s="125" t="s">
        <v>5271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4897</v>
      </c>
      <c r="M3208" s="113">
        <v>45873</v>
      </c>
      <c r="N3208" s="113"/>
      <c r="O3208" s="113"/>
      <c r="P3208" s="115" t="str">
        <f ca="1">IF(Proc[[#This Row],[DaysAgeing]]&gt;5,"yep","on track")</f>
        <v>on track</v>
      </c>
      <c r="Q3208" s="3">
        <f ca="1">IF(Proc[[#This Row],[DateClosed]]="",ABS(NETWORKDAYS(Proc[[#This Row],[DateOpened]],TODAY()))-1,ABS(NETWORKDAYS(Proc[[#This Row],[DateOpened]],Proc[[#This Row],[DateClosed]]))-1)</f>
        <v>2</v>
      </c>
      <c r="R3208" s="115" t="s">
        <v>1013</v>
      </c>
      <c r="S3208" s="125"/>
    </row>
    <row r="3209" spans="1:19" hidden="1">
      <c r="A3209" s="124" t="s">
        <v>5276</v>
      </c>
      <c r="B3209" s="125" t="str">
        <f>IFERROR(VLOOKUP(Proc[[#This Row],[App]],Table2[],3,0),"open")</f>
        <v>ok</v>
      </c>
      <c r="C3209" s="124" t="s">
        <v>369</v>
      </c>
      <c r="D3209" t="s">
        <v>5246</v>
      </c>
      <c r="E3209" t="s">
        <v>5271</v>
      </c>
      <c r="F3209" s="125" t="s">
        <v>5271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4897</v>
      </c>
      <c r="M3209" s="113">
        <v>45873</v>
      </c>
      <c r="N3209" s="113"/>
      <c r="O3209" s="113"/>
      <c r="P3209" s="115" t="str">
        <f ca="1">IF(Proc[[#This Row],[DaysAgeing]]&gt;5,"yep","on track")</f>
        <v>on track</v>
      </c>
      <c r="Q3209" s="3">
        <f ca="1">IF(Proc[[#This Row],[DateClosed]]="",ABS(NETWORKDAYS(Proc[[#This Row],[DateOpened]],TODAY()))-1,ABS(NETWORKDAYS(Proc[[#This Row],[DateOpened]],Proc[[#This Row],[DateClosed]]))-1)</f>
        <v>2</v>
      </c>
      <c r="R3209" s="115" t="s">
        <v>1013</v>
      </c>
      <c r="S3209" s="125"/>
    </row>
    <row r="3210" spans="1:19" hidden="1">
      <c r="A3210" s="124" t="s">
        <v>5276</v>
      </c>
      <c r="B3210" s="125" t="str">
        <f>IFERROR(VLOOKUP(Proc[[#This Row],[App]],Table2[],3,0),"open")</f>
        <v>ok</v>
      </c>
      <c r="C3210" s="124" t="s">
        <v>369</v>
      </c>
      <c r="D3210" t="s">
        <v>5247</v>
      </c>
      <c r="E3210" t="s">
        <v>5271</v>
      </c>
      <c r="F3210" s="125" t="s">
        <v>5271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4897</v>
      </c>
      <c r="M3210" s="113">
        <v>45873</v>
      </c>
      <c r="N3210" s="113"/>
      <c r="O3210" s="113"/>
      <c r="P3210" s="115" t="str">
        <f ca="1">IF(Proc[[#This Row],[DaysAgeing]]&gt;5,"yep","on track")</f>
        <v>on track</v>
      </c>
      <c r="Q3210" s="3">
        <f ca="1">IF(Proc[[#This Row],[DateClosed]]="",ABS(NETWORKDAYS(Proc[[#This Row],[DateOpened]],TODAY()))-1,ABS(NETWORKDAYS(Proc[[#This Row],[DateOpened]],Proc[[#This Row],[DateClosed]]))-1)</f>
        <v>2</v>
      </c>
      <c r="R3210" s="115" t="s">
        <v>1013</v>
      </c>
      <c r="S3210" s="125"/>
    </row>
    <row r="3211" spans="1:19" hidden="1">
      <c r="A3211" s="124" t="s">
        <v>5276</v>
      </c>
      <c r="B3211" s="125" t="str">
        <f>IFERROR(VLOOKUP(Proc[[#This Row],[App]],Table2[],3,0),"open")</f>
        <v>ok</v>
      </c>
      <c r="C3211" s="124" t="s">
        <v>369</v>
      </c>
      <c r="D3211" t="s">
        <v>5248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4897</v>
      </c>
      <c r="M3211" s="113">
        <v>45873</v>
      </c>
      <c r="N3211" s="113"/>
      <c r="O3211" s="113"/>
      <c r="P3211" s="115" t="str">
        <f ca="1">IF(Proc[[#This Row],[DaysAgeing]]&gt;5,"yep","on track")</f>
        <v>on track</v>
      </c>
      <c r="Q3211" s="3">
        <f ca="1">IF(Proc[[#This Row],[DateClosed]]="",ABS(NETWORKDAYS(Proc[[#This Row],[DateOpened]],TODAY()))-1,ABS(NETWORKDAYS(Proc[[#This Row],[DateOpened]],Proc[[#This Row],[DateClosed]]))-1)</f>
        <v>2</v>
      </c>
      <c r="R3211" s="115" t="s">
        <v>1013</v>
      </c>
      <c r="S3211" s="125"/>
    </row>
    <row r="3212" spans="1:19" hidden="1">
      <c r="A3212" s="124" t="s">
        <v>5276</v>
      </c>
      <c r="B3212" s="125" t="str">
        <f>IFERROR(VLOOKUP(Proc[[#This Row],[App]],Table2[],3,0),"open")</f>
        <v>ok</v>
      </c>
      <c r="C3212" s="124" t="s">
        <v>369</v>
      </c>
      <c r="D3212" t="s">
        <v>5249</v>
      </c>
      <c r="E3212" t="s">
        <v>5271</v>
      </c>
      <c r="F3212" s="125" t="s">
        <v>5271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4897</v>
      </c>
      <c r="M3212" s="113">
        <v>45873</v>
      </c>
      <c r="N3212" s="113"/>
      <c r="O3212" s="113"/>
      <c r="P3212" s="115" t="str">
        <f ca="1">IF(Proc[[#This Row],[DaysAgeing]]&gt;5,"yep","on track")</f>
        <v>on track</v>
      </c>
      <c r="Q3212" s="3">
        <f ca="1">IF(Proc[[#This Row],[DateClosed]]="",ABS(NETWORKDAYS(Proc[[#This Row],[DateOpened]],TODAY()))-1,ABS(NETWORKDAYS(Proc[[#This Row],[DateOpened]],Proc[[#This Row],[DateClosed]]))-1)</f>
        <v>2</v>
      </c>
      <c r="R3212" s="115" t="s">
        <v>1013</v>
      </c>
      <c r="S3212" s="125"/>
    </row>
    <row r="3213" spans="1:19" hidden="1">
      <c r="A3213" s="124" t="s">
        <v>5276</v>
      </c>
      <c r="B3213" s="125" t="str">
        <f>IFERROR(VLOOKUP(Proc[[#This Row],[App]],Table2[],3,0),"open")</f>
        <v>ok</v>
      </c>
      <c r="C3213" s="124" t="s">
        <v>369</v>
      </c>
      <c r="D3213" t="s">
        <v>5250</v>
      </c>
      <c r="E3213" t="s">
        <v>5272</v>
      </c>
      <c r="F3213" s="125" t="s">
        <v>5272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4897</v>
      </c>
      <c r="M3213" s="113">
        <v>45873</v>
      </c>
      <c r="N3213" s="113"/>
      <c r="O3213" s="113"/>
      <c r="P3213" s="115" t="str">
        <f ca="1">IF(Proc[[#This Row],[DaysAgeing]]&gt;5,"yep","on track")</f>
        <v>on track</v>
      </c>
      <c r="Q3213" s="3">
        <f ca="1">IF(Proc[[#This Row],[DateClosed]]="",ABS(NETWORKDAYS(Proc[[#This Row],[DateOpened]],TODAY()))-1,ABS(NETWORKDAYS(Proc[[#This Row],[DateOpened]],Proc[[#This Row],[DateClosed]]))-1)</f>
        <v>2</v>
      </c>
      <c r="R3213" s="115" t="s">
        <v>1013</v>
      </c>
      <c r="S3213" s="125"/>
    </row>
    <row r="3214" spans="1:19" hidden="1">
      <c r="A3214" s="124" t="s">
        <v>5276</v>
      </c>
      <c r="B3214" s="125" t="str">
        <f>IFERROR(VLOOKUP(Proc[[#This Row],[App]],Table2[],3,0),"open")</f>
        <v>ok</v>
      </c>
      <c r="C3214" s="124" t="s">
        <v>369</v>
      </c>
      <c r="D3214" t="s">
        <v>5251</v>
      </c>
      <c r="E3214" t="s">
        <v>5273</v>
      </c>
      <c r="F3214" s="125" t="s">
        <v>5273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4897</v>
      </c>
      <c r="M3214" s="113">
        <v>45873</v>
      </c>
      <c r="N3214" s="113"/>
      <c r="O3214" s="113"/>
      <c r="P3214" s="115" t="str">
        <f ca="1">IF(Proc[[#This Row],[DaysAgeing]]&gt;5,"yep","on track")</f>
        <v>on track</v>
      </c>
      <c r="Q3214" s="3">
        <f ca="1">IF(Proc[[#This Row],[DateClosed]]="",ABS(NETWORKDAYS(Proc[[#This Row],[DateOpened]],TODAY()))-1,ABS(NETWORKDAYS(Proc[[#This Row],[DateOpened]],Proc[[#This Row],[DateClosed]]))-1)</f>
        <v>2</v>
      </c>
      <c r="R3214" s="115" t="s">
        <v>1013</v>
      </c>
      <c r="S3214" s="125"/>
    </row>
    <row r="3215" spans="1:19" hidden="1">
      <c r="A3215" s="124" t="s">
        <v>5276</v>
      </c>
      <c r="B3215" s="125" t="str">
        <f>IFERROR(VLOOKUP(Proc[[#This Row],[App]],Table2[],3,0),"open")</f>
        <v>ok</v>
      </c>
      <c r="C3215" s="124" t="s">
        <v>369</v>
      </c>
      <c r="D3215" t="s">
        <v>5252</v>
      </c>
      <c r="E3215" t="s">
        <v>5273</v>
      </c>
      <c r="F3215" s="125" t="s">
        <v>5273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4897</v>
      </c>
      <c r="M3215" s="113">
        <v>45873</v>
      </c>
      <c r="N3215" s="113"/>
      <c r="O3215" s="113"/>
      <c r="P3215" s="115" t="str">
        <f ca="1">IF(Proc[[#This Row],[DaysAgeing]]&gt;5,"yep","on track")</f>
        <v>on track</v>
      </c>
      <c r="Q3215" s="3">
        <f ca="1">IF(Proc[[#This Row],[DateClosed]]="",ABS(NETWORKDAYS(Proc[[#This Row],[DateOpened]],TODAY()))-1,ABS(NETWORKDAYS(Proc[[#This Row],[DateOpened]],Proc[[#This Row],[DateClosed]]))-1)</f>
        <v>2</v>
      </c>
      <c r="R3215" s="115" t="s">
        <v>1013</v>
      </c>
      <c r="S3215" s="125"/>
    </row>
    <row r="3216" spans="1:19" hidden="1">
      <c r="A3216" s="124" t="s">
        <v>5276</v>
      </c>
      <c r="B3216" s="125" t="str">
        <f>IFERROR(VLOOKUP(Proc[[#This Row],[App]],Table2[],3,0),"open")</f>
        <v>ok</v>
      </c>
      <c r="C3216" s="124" t="s">
        <v>369</v>
      </c>
      <c r="D3216" t="s">
        <v>5253</v>
      </c>
      <c r="E3216" t="s">
        <v>5273</v>
      </c>
      <c r="F3216" s="125" t="s">
        <v>5273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4897</v>
      </c>
      <c r="M3216" s="113">
        <v>45873</v>
      </c>
      <c r="N3216" s="113"/>
      <c r="O3216" s="113"/>
      <c r="P3216" s="115" t="str">
        <f ca="1">IF(Proc[[#This Row],[DaysAgeing]]&gt;5,"yep","on track")</f>
        <v>on track</v>
      </c>
      <c r="Q3216" s="3">
        <f ca="1">IF(Proc[[#This Row],[DateClosed]]="",ABS(NETWORKDAYS(Proc[[#This Row],[DateOpened]],TODAY()))-1,ABS(NETWORKDAYS(Proc[[#This Row],[DateOpened]],Proc[[#This Row],[DateClosed]]))-1)</f>
        <v>2</v>
      </c>
      <c r="R3216" s="115" t="s">
        <v>1013</v>
      </c>
      <c r="S3216" s="125"/>
    </row>
    <row r="3217" spans="1:19" hidden="1">
      <c r="A3217" s="124" t="s">
        <v>5276</v>
      </c>
      <c r="B3217" s="125" t="str">
        <f>IFERROR(VLOOKUP(Proc[[#This Row],[App]],Table2[],3,0),"open")</f>
        <v>ok</v>
      </c>
      <c r="C3217" s="124" t="s">
        <v>369</v>
      </c>
      <c r="D3217" t="s">
        <v>5254</v>
      </c>
      <c r="E3217" t="s">
        <v>5274</v>
      </c>
      <c r="F3217" s="125" t="s">
        <v>5274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4897</v>
      </c>
      <c r="M3217" s="113">
        <v>45873</v>
      </c>
      <c r="N3217" s="113"/>
      <c r="O3217" s="113"/>
      <c r="P3217" s="115" t="str">
        <f ca="1">IF(Proc[[#This Row],[DaysAgeing]]&gt;5,"yep","on track")</f>
        <v>on track</v>
      </c>
      <c r="Q3217" s="3">
        <f ca="1">IF(Proc[[#This Row],[DateClosed]]="",ABS(NETWORKDAYS(Proc[[#This Row],[DateOpened]],TODAY()))-1,ABS(NETWORKDAYS(Proc[[#This Row],[DateOpened]],Proc[[#This Row],[DateClosed]]))-1)</f>
        <v>2</v>
      </c>
      <c r="R3217" s="115" t="s">
        <v>1013</v>
      </c>
      <c r="S3217" s="125"/>
    </row>
    <row r="3218" spans="1:19" hidden="1">
      <c r="A3218" s="124" t="s">
        <v>5276</v>
      </c>
      <c r="B3218" s="125" t="str">
        <f>IFERROR(VLOOKUP(Proc[[#This Row],[App]],Table2[],3,0),"open")</f>
        <v>ok</v>
      </c>
      <c r="C3218" s="124" t="s">
        <v>369</v>
      </c>
      <c r="D3218" t="s">
        <v>5255</v>
      </c>
      <c r="E3218" t="s">
        <v>5274</v>
      </c>
      <c r="F3218" s="125" t="s">
        <v>5274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4897</v>
      </c>
      <c r="M3218" s="113">
        <v>45873</v>
      </c>
      <c r="N3218" s="113"/>
      <c r="O3218" s="113"/>
      <c r="P3218" s="115" t="str">
        <f ca="1">IF(Proc[[#This Row],[DaysAgeing]]&gt;5,"yep","on track")</f>
        <v>on track</v>
      </c>
      <c r="Q3218" s="3">
        <f ca="1">IF(Proc[[#This Row],[DateClosed]]="",ABS(NETWORKDAYS(Proc[[#This Row],[DateOpened]],TODAY()))-1,ABS(NETWORKDAYS(Proc[[#This Row],[DateOpened]],Proc[[#This Row],[DateClosed]]))-1)</f>
        <v>2</v>
      </c>
      <c r="R3218" s="115" t="s">
        <v>1013</v>
      </c>
      <c r="S3218" s="125"/>
    </row>
    <row r="3219" spans="1:19" hidden="1">
      <c r="A3219" s="124" t="s">
        <v>5276</v>
      </c>
      <c r="B3219" s="125" t="str">
        <f>IFERROR(VLOOKUP(Proc[[#This Row],[App]],Table2[],3,0),"open")</f>
        <v>ok</v>
      </c>
      <c r="C3219" s="124" t="s">
        <v>369</v>
      </c>
      <c r="D3219" t="s">
        <v>5256</v>
      </c>
      <c r="E3219" t="s">
        <v>5275</v>
      </c>
      <c r="F3219" s="125" t="s">
        <v>5275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4897</v>
      </c>
      <c r="M3219" s="113">
        <v>45873</v>
      </c>
      <c r="N3219" s="113"/>
      <c r="O3219" s="113"/>
      <c r="P3219" s="115" t="str">
        <f ca="1">IF(Proc[[#This Row],[DaysAgeing]]&gt;5,"yep","on track")</f>
        <v>on track</v>
      </c>
      <c r="Q3219" s="3">
        <f ca="1">IF(Proc[[#This Row],[DateClosed]]="",ABS(NETWORKDAYS(Proc[[#This Row],[DateOpened]],TODAY()))-1,ABS(NETWORKDAYS(Proc[[#This Row],[DateOpened]],Proc[[#This Row],[DateClosed]]))-1)</f>
        <v>2</v>
      </c>
      <c r="R3219" s="115" t="s">
        <v>1013</v>
      </c>
      <c r="S3219" s="125"/>
    </row>
    <row r="3220" spans="1:19" hidden="1">
      <c r="A3220" s="124" t="s">
        <v>5276</v>
      </c>
      <c r="B3220" s="125" t="str">
        <f>IFERROR(VLOOKUP(Proc[[#This Row],[App]],Table2[],3,0),"open")</f>
        <v>ok</v>
      </c>
      <c r="C3220" s="124" t="s">
        <v>369</v>
      </c>
      <c r="D3220" t="s">
        <v>5257</v>
      </c>
      <c r="E3220" t="s">
        <v>5275</v>
      </c>
      <c r="F3220" s="125" t="s">
        <v>5275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4897</v>
      </c>
      <c r="M3220" s="113">
        <v>45873</v>
      </c>
      <c r="N3220" s="113"/>
      <c r="O3220" s="113"/>
      <c r="P3220" s="115" t="str">
        <f ca="1">IF(Proc[[#This Row],[DaysAgeing]]&gt;5,"yep","on track")</f>
        <v>on track</v>
      </c>
      <c r="Q3220" s="3">
        <f ca="1">IF(Proc[[#This Row],[DateClosed]]="",ABS(NETWORKDAYS(Proc[[#This Row],[DateOpened]],TODAY()))-1,ABS(NETWORKDAYS(Proc[[#This Row],[DateOpened]],Proc[[#This Row],[DateClosed]]))-1)</f>
        <v>2</v>
      </c>
      <c r="R3220" s="115" t="s">
        <v>1013</v>
      </c>
      <c r="S3220" s="125"/>
    </row>
    <row r="3221" spans="1:19" hidden="1">
      <c r="A3221" s="124" t="s">
        <v>5276</v>
      </c>
      <c r="B3221" s="125" t="str">
        <f>IFERROR(VLOOKUP(Proc[[#This Row],[App]],Table2[],3,0),"open")</f>
        <v>ok</v>
      </c>
      <c r="C3221" s="124" t="s">
        <v>369</v>
      </c>
      <c r="D3221" t="s">
        <v>5258</v>
      </c>
      <c r="E3221" t="s">
        <v>5275</v>
      </c>
      <c r="F3221" s="125" t="s">
        <v>5275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4897</v>
      </c>
      <c r="M3221" s="113">
        <v>45873</v>
      </c>
      <c r="N3221" s="113"/>
      <c r="O3221" s="113"/>
      <c r="P3221" s="115" t="str">
        <f ca="1">IF(Proc[[#This Row],[DaysAgeing]]&gt;5,"yep","on track")</f>
        <v>on track</v>
      </c>
      <c r="Q3221" s="3">
        <f ca="1">IF(Proc[[#This Row],[DateClosed]]="",ABS(NETWORKDAYS(Proc[[#This Row],[DateOpened]],TODAY()))-1,ABS(NETWORKDAYS(Proc[[#This Row],[DateOpened]],Proc[[#This Row],[DateClosed]]))-1)</f>
        <v>2</v>
      </c>
      <c r="R3221" s="115" t="s">
        <v>1013</v>
      </c>
      <c r="S3221" s="125"/>
    </row>
    <row r="3222" spans="1:19" hidden="1">
      <c r="A3222" s="124" t="s">
        <v>5276</v>
      </c>
      <c r="B3222" s="125" t="str">
        <f>IFERROR(VLOOKUP(Proc[[#This Row],[App]],Table2[],3,0),"open")</f>
        <v>ok</v>
      </c>
      <c r="C3222" s="124" t="s">
        <v>369</v>
      </c>
      <c r="D3222" t="s">
        <v>5259</v>
      </c>
      <c r="E3222" t="s">
        <v>5275</v>
      </c>
      <c r="F3222" s="125" t="s">
        <v>5275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4897</v>
      </c>
      <c r="M3222" s="113">
        <v>45873</v>
      </c>
      <c r="N3222" s="113"/>
      <c r="O3222" s="113"/>
      <c r="P3222" s="115" t="str">
        <f ca="1">IF(Proc[[#This Row],[DaysAgeing]]&gt;5,"yep","on track")</f>
        <v>on track</v>
      </c>
      <c r="Q3222" s="3">
        <f ca="1">IF(Proc[[#This Row],[DateClosed]]="",ABS(NETWORKDAYS(Proc[[#This Row],[DateOpened]],TODAY()))-1,ABS(NETWORKDAYS(Proc[[#This Row],[DateOpened]],Proc[[#This Row],[DateClosed]]))-1)</f>
        <v>2</v>
      </c>
      <c r="R3222" s="115" t="s">
        <v>1013</v>
      </c>
      <c r="S3222" s="125"/>
    </row>
    <row r="3223" spans="1:19" hidden="1">
      <c r="A3223" s="124" t="s">
        <v>5276</v>
      </c>
      <c r="B3223" s="125" t="str">
        <f>IFERROR(VLOOKUP(Proc[[#This Row],[App]],Table2[],3,0),"open")</f>
        <v>ok</v>
      </c>
      <c r="C3223" s="124" t="s">
        <v>369</v>
      </c>
      <c r="D3223" t="s">
        <v>5260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4897</v>
      </c>
      <c r="M3223" s="113">
        <v>45873</v>
      </c>
      <c r="N3223" s="113"/>
      <c r="O3223" s="113"/>
      <c r="P3223" s="115" t="str">
        <f ca="1">IF(Proc[[#This Row],[DaysAgeing]]&gt;5,"yep","on track")</f>
        <v>on track</v>
      </c>
      <c r="Q3223" s="3">
        <f ca="1">IF(Proc[[#This Row],[DateClosed]]="",ABS(NETWORKDAYS(Proc[[#This Row],[DateOpened]],TODAY()))-1,ABS(NETWORKDAYS(Proc[[#This Row],[DateOpened]],Proc[[#This Row],[DateClosed]]))-1)</f>
        <v>2</v>
      </c>
      <c r="R3223" s="115" t="s">
        <v>1013</v>
      </c>
      <c r="S3223" s="125"/>
    </row>
    <row r="3224" spans="1:19" hidden="1">
      <c r="A3224" s="124" t="s">
        <v>5276</v>
      </c>
      <c r="B3224" s="125" t="str">
        <f>IFERROR(VLOOKUP(Proc[[#This Row],[App]],Table2[],3,0),"open")</f>
        <v>ok</v>
      </c>
      <c r="C3224" s="124" t="s">
        <v>369</v>
      </c>
      <c r="D3224" t="s">
        <v>5261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4897</v>
      </c>
      <c r="M3224" s="113">
        <v>45873</v>
      </c>
      <c r="N3224" s="113"/>
      <c r="O3224" s="113"/>
      <c r="P3224" s="115" t="str">
        <f ca="1">IF(Proc[[#This Row],[DaysAgeing]]&gt;5,"yep","on track")</f>
        <v>on track</v>
      </c>
      <c r="Q3224" s="3">
        <f ca="1">IF(Proc[[#This Row],[DateClosed]]="",ABS(NETWORKDAYS(Proc[[#This Row],[DateOpened]],TODAY()))-1,ABS(NETWORKDAYS(Proc[[#This Row],[DateOpened]],Proc[[#This Row],[DateClosed]]))-1)</f>
        <v>2</v>
      </c>
      <c r="R3224" s="115" t="s">
        <v>1013</v>
      </c>
      <c r="S3224" s="125"/>
    </row>
    <row r="3225" spans="1:19" hidden="1">
      <c r="A3225" s="124" t="s">
        <v>5276</v>
      </c>
      <c r="B3225" s="125" t="str">
        <f>IFERROR(VLOOKUP(Proc[[#This Row],[App]],Table2[],3,0),"open")</f>
        <v>ok</v>
      </c>
      <c r="C3225" s="124" t="s">
        <v>369</v>
      </c>
      <c r="D3225" t="s">
        <v>5262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4897</v>
      </c>
      <c r="M3225" s="113">
        <v>45873</v>
      </c>
      <c r="N3225" s="113"/>
      <c r="O3225" s="113"/>
      <c r="P3225" s="115" t="str">
        <f ca="1">IF(Proc[[#This Row],[DaysAgeing]]&gt;5,"yep","on track")</f>
        <v>on track</v>
      </c>
      <c r="Q3225" s="3">
        <f ca="1">IF(Proc[[#This Row],[DateClosed]]="",ABS(NETWORKDAYS(Proc[[#This Row],[DateOpened]],TODAY()))-1,ABS(NETWORKDAYS(Proc[[#This Row],[DateOpened]],Proc[[#This Row],[DateClosed]]))-1)</f>
        <v>2</v>
      </c>
      <c r="R3225" s="115" t="s">
        <v>1013</v>
      </c>
      <c r="S3225" s="125"/>
    </row>
    <row r="3226" spans="1:19" hidden="1">
      <c r="A3226" s="124" t="s">
        <v>5276</v>
      </c>
      <c r="B3226" s="125" t="str">
        <f>IFERROR(VLOOKUP(Proc[[#This Row],[App]],Table2[],3,0),"open")</f>
        <v>ok</v>
      </c>
      <c r="C3226" s="124" t="s">
        <v>369</v>
      </c>
      <c r="D3226" t="s">
        <v>5263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4897</v>
      </c>
      <c r="M3226" s="113">
        <v>45873</v>
      </c>
      <c r="N3226" s="113"/>
      <c r="O3226" s="113"/>
      <c r="P3226" s="115" t="str">
        <f ca="1">IF(Proc[[#This Row],[DaysAgeing]]&gt;5,"yep","on track")</f>
        <v>on track</v>
      </c>
      <c r="Q3226" s="3">
        <f ca="1">IF(Proc[[#This Row],[DateClosed]]="",ABS(NETWORKDAYS(Proc[[#This Row],[DateOpened]],TODAY()))-1,ABS(NETWORKDAYS(Proc[[#This Row],[DateOpened]],Proc[[#This Row],[DateClosed]]))-1)</f>
        <v>2</v>
      </c>
      <c r="R3226" s="115" t="s">
        <v>1013</v>
      </c>
      <c r="S3226" s="125"/>
    </row>
    <row r="3227" spans="1:19" hidden="1">
      <c r="A3227" s="124" t="s">
        <v>5276</v>
      </c>
      <c r="B3227" s="125" t="str">
        <f>IFERROR(VLOOKUP(Proc[[#This Row],[App]],Table2[],3,0),"open")</f>
        <v>ok</v>
      </c>
      <c r="C3227" s="124" t="s">
        <v>369</v>
      </c>
      <c r="D3227" t="s">
        <v>5264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4897</v>
      </c>
      <c r="M3227" s="113">
        <v>45873</v>
      </c>
      <c r="N3227" s="113"/>
      <c r="O3227" s="113"/>
      <c r="P3227" s="115" t="str">
        <f ca="1">IF(Proc[[#This Row],[DaysAgeing]]&gt;5,"yep","on track")</f>
        <v>on track</v>
      </c>
      <c r="Q3227" s="3">
        <f ca="1">IF(Proc[[#This Row],[DateClosed]]="",ABS(NETWORKDAYS(Proc[[#This Row],[DateOpened]],TODAY()))-1,ABS(NETWORKDAYS(Proc[[#This Row],[DateOpened]],Proc[[#This Row],[DateClosed]]))-1)</f>
        <v>2</v>
      </c>
      <c r="R3227" s="115" t="s">
        <v>1013</v>
      </c>
      <c r="S3227" s="125"/>
    </row>
    <row r="3228" spans="1:19" hidden="1">
      <c r="A3228" s="124" t="s">
        <v>5276</v>
      </c>
      <c r="B3228" s="125" t="str">
        <f>IFERROR(VLOOKUP(Proc[[#This Row],[App]],Table2[],3,0),"open")</f>
        <v>ok</v>
      </c>
      <c r="C3228" s="124" t="s">
        <v>369</v>
      </c>
      <c r="D3228" t="s">
        <v>5265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4897</v>
      </c>
      <c r="M3228" s="113">
        <v>45873</v>
      </c>
      <c r="N3228" s="113"/>
      <c r="O3228" s="113"/>
      <c r="P3228" s="115" t="str">
        <f ca="1">IF(Proc[[#This Row],[DaysAgeing]]&gt;5,"yep","on track")</f>
        <v>on track</v>
      </c>
      <c r="Q3228" s="3">
        <f ca="1">IF(Proc[[#This Row],[DateClosed]]="",ABS(NETWORKDAYS(Proc[[#This Row],[DateOpened]],TODAY()))-1,ABS(NETWORKDAYS(Proc[[#This Row],[DateOpened]],Proc[[#This Row],[DateClosed]]))-1)</f>
        <v>2</v>
      </c>
      <c r="R3228" s="115" t="s">
        <v>1013</v>
      </c>
      <c r="S3228" s="125"/>
    </row>
    <row r="3229" spans="1:19" hidden="1">
      <c r="A3229" s="124" t="s">
        <v>5276</v>
      </c>
      <c r="B3229" s="125" t="str">
        <f>IFERROR(VLOOKUP(Proc[[#This Row],[App]],Table2[],3,0),"open")</f>
        <v>ok</v>
      </c>
      <c r="C3229" s="124" t="s">
        <v>369</v>
      </c>
      <c r="D3229" t="s">
        <v>5266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4897</v>
      </c>
      <c r="M3229" s="113">
        <v>45873</v>
      </c>
      <c r="N3229" s="113"/>
      <c r="O3229" s="113"/>
      <c r="P3229" s="115" t="str">
        <f ca="1">IF(Proc[[#This Row],[DaysAgeing]]&gt;5,"yep","on track")</f>
        <v>on track</v>
      </c>
      <c r="Q3229" s="3">
        <f ca="1">IF(Proc[[#This Row],[DateClosed]]="",ABS(NETWORKDAYS(Proc[[#This Row],[DateOpened]],TODAY()))-1,ABS(NETWORKDAYS(Proc[[#This Row],[DateOpened]],Proc[[#This Row],[DateClosed]]))-1)</f>
        <v>2</v>
      </c>
      <c r="R3229" s="115" t="s">
        <v>1013</v>
      </c>
      <c r="S3229" s="125"/>
    </row>
    <row r="3230" spans="1:19" hidden="1">
      <c r="A3230" s="124" t="s">
        <v>5276</v>
      </c>
      <c r="B3230" s="125" t="str">
        <f>IFERROR(VLOOKUP(Proc[[#This Row],[App]],Table2[],3,0),"open")</f>
        <v>ok</v>
      </c>
      <c r="C3230" s="124" t="s">
        <v>369</v>
      </c>
      <c r="D3230" t="s">
        <v>5267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4897</v>
      </c>
      <c r="M3230" s="113">
        <v>45873</v>
      </c>
      <c r="N3230" s="113"/>
      <c r="O3230" s="113"/>
      <c r="P3230" s="115" t="str">
        <f ca="1">IF(Proc[[#This Row],[DaysAgeing]]&gt;5,"yep","on track")</f>
        <v>on track</v>
      </c>
      <c r="Q3230" s="3">
        <f ca="1">IF(Proc[[#This Row],[DateClosed]]="",ABS(NETWORKDAYS(Proc[[#This Row],[DateOpened]],TODAY()))-1,ABS(NETWORKDAYS(Proc[[#This Row],[DateOpened]],Proc[[#This Row],[DateClosed]]))-1)</f>
        <v>2</v>
      </c>
      <c r="R3230" s="115" t="s">
        <v>1013</v>
      </c>
      <c r="S3230" s="125"/>
    </row>
    <row r="3231" spans="1:19" hidden="1">
      <c r="A3231" s="124" t="s">
        <v>5276</v>
      </c>
      <c r="B3231" s="125" t="str">
        <f>IFERROR(VLOOKUP(Proc[[#This Row],[App]],Table2[],3,0),"open")</f>
        <v>ok</v>
      </c>
      <c r="C3231" s="124" t="s">
        <v>369</v>
      </c>
      <c r="D3231" t="s">
        <v>5268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4897</v>
      </c>
      <c r="M3231" s="113">
        <v>45873</v>
      </c>
      <c r="N3231" s="113"/>
      <c r="O3231" s="113"/>
      <c r="P3231" s="115" t="str">
        <f ca="1">IF(Proc[[#This Row],[DaysAgeing]]&gt;5,"yep","on track")</f>
        <v>on track</v>
      </c>
      <c r="Q3231" s="3">
        <f ca="1">IF(Proc[[#This Row],[DateClosed]]="",ABS(NETWORKDAYS(Proc[[#This Row],[DateOpened]],TODAY()))-1,ABS(NETWORKDAYS(Proc[[#This Row],[DateOpened]],Proc[[#This Row],[DateClosed]]))-1)</f>
        <v>2</v>
      </c>
      <c r="R3231" s="115" t="s">
        <v>1013</v>
      </c>
      <c r="S3231" s="125"/>
    </row>
    <row r="3232" spans="1:19" hidden="1">
      <c r="A3232" t="s">
        <v>5313</v>
      </c>
      <c r="B3232" s="125" t="str">
        <f>IFERROR(VLOOKUP(Proc[[#This Row],[App]],Table2[],3,0),"open")</f>
        <v>open</v>
      </c>
      <c r="C3232" t="s">
        <v>370</v>
      </c>
      <c r="D3232" t="s">
        <v>5301</v>
      </c>
      <c r="E3232" t="s">
        <v>5312</v>
      </c>
      <c r="F3232" s="125" t="s">
        <v>5524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0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4897</v>
      </c>
      <c r="M3232" s="113">
        <v>45874</v>
      </c>
      <c r="N3232" s="113"/>
      <c r="O3232" s="113"/>
      <c r="P3232" s="115" t="str">
        <f ca="1">IF(Proc[[#This Row],[DaysAgeing]]&gt;5,"yep","on track")</f>
        <v>on track</v>
      </c>
      <c r="Q3232" s="3">
        <f ca="1">IF(Proc[[#This Row],[DateClosed]]="",ABS(NETWORKDAYS(Proc[[#This Row],[DateOpened]],TODAY()))-1,ABS(NETWORKDAYS(Proc[[#This Row],[DateOpened]],Proc[[#This Row],[DateClosed]]))-1)</f>
        <v>1</v>
      </c>
      <c r="R3232" s="115" t="s">
        <v>489</v>
      </c>
      <c r="S3232" s="125"/>
    </row>
    <row r="3233" spans="1:19" hidden="1">
      <c r="A3233" s="124" t="s">
        <v>5313</v>
      </c>
      <c r="B3233" s="125" t="str">
        <f>IFERROR(VLOOKUP(Proc[[#This Row],[App]],Table2[],3,0),"open")</f>
        <v>open</v>
      </c>
      <c r="C3233" s="124" t="s">
        <v>370</v>
      </c>
      <c r="D3233" t="s">
        <v>5302</v>
      </c>
      <c r="E3233" t="s">
        <v>5312</v>
      </c>
      <c r="F3233" s="125" t="s">
        <v>5524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0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4897</v>
      </c>
      <c r="M3233" s="113">
        <v>45874</v>
      </c>
      <c r="N3233" s="113"/>
      <c r="O3233" s="113"/>
      <c r="P3233" s="115" t="str">
        <f ca="1">IF(Proc[[#This Row],[DaysAgeing]]&gt;5,"yep","on track")</f>
        <v>on track</v>
      </c>
      <c r="Q3233" s="3">
        <f ca="1">IF(Proc[[#This Row],[DateClosed]]="",ABS(NETWORKDAYS(Proc[[#This Row],[DateOpened]],TODAY()))-1,ABS(NETWORKDAYS(Proc[[#This Row],[DateOpened]],Proc[[#This Row],[DateClosed]]))-1)</f>
        <v>1</v>
      </c>
      <c r="R3233" s="115" t="s">
        <v>489</v>
      </c>
      <c r="S3233" s="125"/>
    </row>
    <row r="3234" spans="1:19" hidden="1">
      <c r="A3234" s="124" t="s">
        <v>5313</v>
      </c>
      <c r="B3234" s="125" t="str">
        <f>IFERROR(VLOOKUP(Proc[[#This Row],[App]],Table2[],3,0),"open")</f>
        <v>open</v>
      </c>
      <c r="C3234" s="124" t="s">
        <v>370</v>
      </c>
      <c r="D3234" t="s">
        <v>5303</v>
      </c>
      <c r="E3234" t="s">
        <v>5312</v>
      </c>
      <c r="F3234" s="125" t="s">
        <v>5524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0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4897</v>
      </c>
      <c r="M3234" s="113">
        <v>45874</v>
      </c>
      <c r="N3234" s="113"/>
      <c r="O3234" s="113"/>
      <c r="P3234" s="115" t="str">
        <f ca="1">IF(Proc[[#This Row],[DaysAgeing]]&gt;5,"yep","on track")</f>
        <v>on track</v>
      </c>
      <c r="Q3234" s="3">
        <f ca="1">IF(Proc[[#This Row],[DateClosed]]="",ABS(NETWORKDAYS(Proc[[#This Row],[DateOpened]],TODAY()))-1,ABS(NETWORKDAYS(Proc[[#This Row],[DateOpened]],Proc[[#This Row],[DateClosed]]))-1)</f>
        <v>1</v>
      </c>
      <c r="R3234" s="115" t="s">
        <v>489</v>
      </c>
      <c r="S3234" s="125"/>
    </row>
    <row r="3235" spans="1:19" hidden="1">
      <c r="A3235" s="124" t="s">
        <v>5313</v>
      </c>
      <c r="B3235" s="125" t="str">
        <f>IFERROR(VLOOKUP(Proc[[#This Row],[App]],Table2[],3,0),"open")</f>
        <v>open</v>
      </c>
      <c r="C3235" s="124" t="s">
        <v>370</v>
      </c>
      <c r="D3235" t="s">
        <v>5304</v>
      </c>
      <c r="E3235" t="s">
        <v>5312</v>
      </c>
      <c r="F3235" s="125" t="s">
        <v>5526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0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4897</v>
      </c>
      <c r="M3235" s="113">
        <v>45874</v>
      </c>
      <c r="N3235" s="113"/>
      <c r="O3235" s="113"/>
      <c r="P3235" s="115" t="str">
        <f ca="1">IF(Proc[[#This Row],[DaysAgeing]]&gt;5,"yep","on track")</f>
        <v>on track</v>
      </c>
      <c r="Q3235" s="3">
        <f ca="1">IF(Proc[[#This Row],[DateClosed]]="",ABS(NETWORKDAYS(Proc[[#This Row],[DateOpened]],TODAY()))-1,ABS(NETWORKDAYS(Proc[[#This Row],[DateOpened]],Proc[[#This Row],[DateClosed]]))-1)</f>
        <v>1</v>
      </c>
      <c r="R3235" s="115" t="s">
        <v>489</v>
      </c>
      <c r="S3235" s="125"/>
    </row>
    <row r="3236" spans="1:19" hidden="1">
      <c r="A3236" s="124" t="s">
        <v>5313</v>
      </c>
      <c r="B3236" s="125" t="str">
        <f>IFERROR(VLOOKUP(Proc[[#This Row],[App]],Table2[],3,0),"open")</f>
        <v>open</v>
      </c>
      <c r="C3236" s="124" t="s">
        <v>370</v>
      </c>
      <c r="D3236" t="s">
        <v>5305</v>
      </c>
      <c r="E3236" t="s">
        <v>5312</v>
      </c>
      <c r="F3236" s="125" t="s">
        <v>5527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0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4897</v>
      </c>
      <c r="M3236" s="113">
        <v>45874</v>
      </c>
      <c r="N3236" s="113"/>
      <c r="O3236" s="113"/>
      <c r="P3236" s="115" t="str">
        <f ca="1">IF(Proc[[#This Row],[DaysAgeing]]&gt;5,"yep","on track")</f>
        <v>on track</v>
      </c>
      <c r="Q3236" s="3">
        <f ca="1">IF(Proc[[#This Row],[DateClosed]]="",ABS(NETWORKDAYS(Proc[[#This Row],[DateOpened]],TODAY()))-1,ABS(NETWORKDAYS(Proc[[#This Row],[DateOpened]],Proc[[#This Row],[DateClosed]]))-1)</f>
        <v>1</v>
      </c>
      <c r="R3236" s="115" t="s">
        <v>489</v>
      </c>
      <c r="S3236" s="125"/>
    </row>
    <row r="3237" spans="1:19" hidden="1">
      <c r="A3237" s="124" t="s">
        <v>5313</v>
      </c>
      <c r="B3237" s="125" t="str">
        <f>IFERROR(VLOOKUP(Proc[[#This Row],[App]],Table2[],3,0),"open")</f>
        <v>open</v>
      </c>
      <c r="C3237" s="124" t="s">
        <v>370</v>
      </c>
      <c r="D3237" t="s">
        <v>5306</v>
      </c>
      <c r="E3237" t="s">
        <v>5312</v>
      </c>
      <c r="F3237" s="125" t="s">
        <v>5528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0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4897</v>
      </c>
      <c r="M3237" s="113">
        <v>45874</v>
      </c>
      <c r="N3237" s="113"/>
      <c r="O3237" s="113"/>
      <c r="P3237" s="115" t="str">
        <f ca="1">IF(Proc[[#This Row],[DaysAgeing]]&gt;5,"yep","on track")</f>
        <v>on track</v>
      </c>
      <c r="Q3237" s="3">
        <f ca="1">IF(Proc[[#This Row],[DateClosed]]="",ABS(NETWORKDAYS(Proc[[#This Row],[DateOpened]],TODAY()))-1,ABS(NETWORKDAYS(Proc[[#This Row],[DateOpened]],Proc[[#This Row],[DateClosed]]))-1)</f>
        <v>1</v>
      </c>
      <c r="R3237" s="115" t="s">
        <v>489</v>
      </c>
      <c r="S3237" s="125"/>
    </row>
    <row r="3238" spans="1:19" hidden="1">
      <c r="A3238" s="124" t="s">
        <v>5313</v>
      </c>
      <c r="B3238" s="125" t="str">
        <f>IFERROR(VLOOKUP(Proc[[#This Row],[App]],Table2[],3,0),"open")</f>
        <v>open</v>
      </c>
      <c r="C3238" s="124" t="s">
        <v>370</v>
      </c>
      <c r="D3238" t="s">
        <v>5307</v>
      </c>
      <c r="E3238" t="s">
        <v>5312</v>
      </c>
      <c r="F3238" s="125" t="s">
        <v>5566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0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4897</v>
      </c>
      <c r="M3238" s="113">
        <v>45874</v>
      </c>
      <c r="N3238" s="113"/>
      <c r="O3238" s="113"/>
      <c r="P3238" s="115" t="str">
        <f ca="1">IF(Proc[[#This Row],[DaysAgeing]]&gt;5,"yep","on track")</f>
        <v>on track</v>
      </c>
      <c r="Q3238" s="3">
        <f ca="1">IF(Proc[[#This Row],[DateClosed]]="",ABS(NETWORKDAYS(Proc[[#This Row],[DateOpened]],TODAY()))-1,ABS(NETWORKDAYS(Proc[[#This Row],[DateOpened]],Proc[[#This Row],[DateClosed]]))-1)</f>
        <v>1</v>
      </c>
      <c r="R3238" s="115" t="s">
        <v>489</v>
      </c>
      <c r="S3238" s="125"/>
    </row>
    <row r="3239" spans="1:19" hidden="1">
      <c r="A3239" s="124" t="s">
        <v>5313</v>
      </c>
      <c r="B3239" s="125" t="str">
        <f>IFERROR(VLOOKUP(Proc[[#This Row],[App]],Table2[],3,0),"open")</f>
        <v>open</v>
      </c>
      <c r="C3239" s="124" t="s">
        <v>370</v>
      </c>
      <c r="D3239" t="s">
        <v>5308</v>
      </c>
      <c r="E3239" t="s">
        <v>5312</v>
      </c>
      <c r="F3239" s="125" t="s">
        <v>5567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0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4897</v>
      </c>
      <c r="M3239" s="113">
        <v>45874</v>
      </c>
      <c r="N3239" s="113"/>
      <c r="O3239" s="113"/>
      <c r="P3239" s="115" t="str">
        <f ca="1">IF(Proc[[#This Row],[DaysAgeing]]&gt;5,"yep","on track")</f>
        <v>on track</v>
      </c>
      <c r="Q3239" s="3">
        <f ca="1">IF(Proc[[#This Row],[DateClosed]]="",ABS(NETWORKDAYS(Proc[[#This Row],[DateOpened]],TODAY()))-1,ABS(NETWORKDAYS(Proc[[#This Row],[DateOpened]],Proc[[#This Row],[DateClosed]]))-1)</f>
        <v>1</v>
      </c>
      <c r="R3239" s="115" t="s">
        <v>489</v>
      </c>
      <c r="S3239" s="125"/>
    </row>
    <row r="3240" spans="1:19" hidden="1">
      <c r="A3240" s="124" t="s">
        <v>5313</v>
      </c>
      <c r="B3240" s="125" t="str">
        <f>IFERROR(VLOOKUP(Proc[[#This Row],[App]],Table2[],3,0),"open")</f>
        <v>open</v>
      </c>
      <c r="C3240" s="124" t="s">
        <v>370</v>
      </c>
      <c r="D3240" t="s">
        <v>5309</v>
      </c>
      <c r="E3240" t="s">
        <v>5312</v>
      </c>
      <c r="F3240" s="125" t="s">
        <v>5531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0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4897</v>
      </c>
      <c r="M3240" s="113">
        <v>45874</v>
      </c>
      <c r="N3240" s="113"/>
      <c r="O3240" s="113"/>
      <c r="P3240" s="115" t="str">
        <f ca="1">IF(Proc[[#This Row],[DaysAgeing]]&gt;5,"yep","on track")</f>
        <v>on track</v>
      </c>
      <c r="Q3240" s="3">
        <f ca="1">IF(Proc[[#This Row],[DateClosed]]="",ABS(NETWORKDAYS(Proc[[#This Row],[DateOpened]],TODAY()))-1,ABS(NETWORKDAYS(Proc[[#This Row],[DateOpened]],Proc[[#This Row],[DateClosed]]))-1)</f>
        <v>1</v>
      </c>
      <c r="R3240" s="115" t="s">
        <v>489</v>
      </c>
      <c r="S3240" s="125"/>
    </row>
    <row r="3241" spans="1:19" hidden="1">
      <c r="A3241" s="124" t="s">
        <v>5313</v>
      </c>
      <c r="B3241" s="125" t="str">
        <f>IFERROR(VLOOKUP(Proc[[#This Row],[App]],Table2[],3,0),"open")</f>
        <v>open</v>
      </c>
      <c r="C3241" s="124" t="s">
        <v>370</v>
      </c>
      <c r="D3241" t="s">
        <v>5310</v>
      </c>
      <c r="E3241" t="s">
        <v>5312</v>
      </c>
      <c r="F3241" s="125" t="s">
        <v>5531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0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4897</v>
      </c>
      <c r="M3241" s="113">
        <v>45874</v>
      </c>
      <c r="N3241" s="113"/>
      <c r="O3241" s="113"/>
      <c r="P3241" s="115" t="str">
        <f ca="1">IF(Proc[[#This Row],[DaysAgeing]]&gt;5,"yep","on track")</f>
        <v>on track</v>
      </c>
      <c r="Q3241" s="3">
        <f ca="1">IF(Proc[[#This Row],[DateClosed]]="",ABS(NETWORKDAYS(Proc[[#This Row],[DateOpened]],TODAY()))-1,ABS(NETWORKDAYS(Proc[[#This Row],[DateOpened]],Proc[[#This Row],[DateClosed]]))-1)</f>
        <v>1</v>
      </c>
      <c r="R3241" s="115" t="s">
        <v>489</v>
      </c>
      <c r="S3241" s="125"/>
    </row>
    <row r="3242" spans="1:19">
      <c r="A3242" s="124" t="s">
        <v>5313</v>
      </c>
      <c r="B3242" s="125" t="str">
        <f>IFERROR(VLOOKUP(Proc[[#This Row],[App]],Table2[],3,0),"open")</f>
        <v>open</v>
      </c>
      <c r="C3242" s="124" t="s">
        <v>375</v>
      </c>
      <c r="D3242" t="s">
        <v>5311</v>
      </c>
      <c r="E3242" t="s">
        <v>5312</v>
      </c>
      <c r="F3242" s="125" t="s">
        <v>5533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0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4897</v>
      </c>
      <c r="M3242" s="113">
        <v>45874</v>
      </c>
      <c r="N3242" s="113"/>
      <c r="O3242" s="113"/>
      <c r="P3242" s="115" t="str">
        <f ca="1">IF(Proc[[#This Row],[DaysAgeing]]&gt;5,"yep","on track")</f>
        <v>on track</v>
      </c>
      <c r="Q3242" s="3">
        <f ca="1">IF(Proc[[#This Row],[DateClosed]]="",ABS(NETWORKDAYS(Proc[[#This Row],[DateOpened]],TODAY()))-1,ABS(NETWORKDAYS(Proc[[#This Row],[DateOpened]],Proc[[#This Row],[DateClosed]]))-1)</f>
        <v>1</v>
      </c>
      <c r="R3242" s="115" t="s">
        <v>489</v>
      </c>
      <c r="S3242" s="125"/>
    </row>
    <row r="3243" spans="1:19" hidden="1">
      <c r="A3243" t="s">
        <v>5520</v>
      </c>
      <c r="B3243" s="125" t="str">
        <f>IFERROR(VLOOKUP(Proc[[#This Row],[App]],Table2[],3,0),"open")</f>
        <v>open</v>
      </c>
      <c r="C3243" s="124" t="s">
        <v>370</v>
      </c>
      <c r="D3243" t="s">
        <v>5314</v>
      </c>
      <c r="E3243" t="s">
        <v>5486</v>
      </c>
      <c r="F3243" s="125" t="s">
        <v>5534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0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4897</v>
      </c>
      <c r="M3243" s="113">
        <v>45874</v>
      </c>
      <c r="N3243" s="113"/>
      <c r="O3243" s="113"/>
      <c r="P3243" s="115" t="str">
        <f ca="1">IF(Proc[[#This Row],[DaysAgeing]]&gt;5,"yep","on track")</f>
        <v>on track</v>
      </c>
      <c r="Q3243" s="3">
        <f ca="1">IF(Proc[[#This Row],[DateClosed]]="",ABS(NETWORKDAYS(Proc[[#This Row],[DateOpened]],TODAY()))-1,ABS(NETWORKDAYS(Proc[[#This Row],[DateOpened]],Proc[[#This Row],[DateClosed]]))-1)</f>
        <v>1</v>
      </c>
      <c r="R3243" s="115" t="s">
        <v>1459</v>
      </c>
      <c r="S3243" s="125"/>
    </row>
    <row r="3244" spans="1:19">
      <c r="A3244" s="124" t="s">
        <v>5520</v>
      </c>
      <c r="B3244" s="125" t="str">
        <f>IFERROR(VLOOKUP(Proc[[#This Row],[App]],Table2[],3,0),"open")</f>
        <v>open</v>
      </c>
      <c r="C3244" s="124" t="s">
        <v>375</v>
      </c>
      <c r="D3244" t="s">
        <v>5315</v>
      </c>
      <c r="E3244" t="s">
        <v>5487</v>
      </c>
      <c r="F3244" s="125" t="s">
        <v>5535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0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4897</v>
      </c>
      <c r="M3244" s="113">
        <v>45874</v>
      </c>
      <c r="N3244" s="113"/>
      <c r="O3244" s="113"/>
      <c r="P3244" s="115" t="str">
        <f ca="1">IF(Proc[[#This Row],[DaysAgeing]]&gt;5,"yep","on track")</f>
        <v>on track</v>
      </c>
      <c r="Q3244" s="3">
        <f ca="1">IF(Proc[[#This Row],[DateClosed]]="",ABS(NETWORKDAYS(Proc[[#This Row],[DateOpened]],TODAY()))-1,ABS(NETWORKDAYS(Proc[[#This Row],[DateOpened]],Proc[[#This Row],[DateClosed]]))-1)</f>
        <v>1</v>
      </c>
      <c r="R3244" s="115" t="s">
        <v>1459</v>
      </c>
      <c r="S3244" s="125"/>
    </row>
    <row r="3245" spans="1:19" hidden="1">
      <c r="A3245" s="124" t="s">
        <v>5520</v>
      </c>
      <c r="B3245" s="125" t="str">
        <f>IFERROR(VLOOKUP(Proc[[#This Row],[App]],Table2[],3,0),"open")</f>
        <v>open</v>
      </c>
      <c r="C3245" s="124" t="s">
        <v>370</v>
      </c>
      <c r="D3245" t="s">
        <v>5316</v>
      </c>
      <c r="E3245" t="s">
        <v>5486</v>
      </c>
      <c r="F3245" s="125" t="s">
        <v>859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0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4897</v>
      </c>
      <c r="M3245" s="113">
        <v>45874</v>
      </c>
      <c r="N3245" s="113"/>
      <c r="O3245" s="113"/>
      <c r="P3245" s="115" t="str">
        <f ca="1">IF(Proc[[#This Row],[DaysAgeing]]&gt;5,"yep","on track")</f>
        <v>on track</v>
      </c>
      <c r="Q3245" s="3">
        <f ca="1">IF(Proc[[#This Row],[DateClosed]]="",ABS(NETWORKDAYS(Proc[[#This Row],[DateOpened]],TODAY()))-1,ABS(NETWORKDAYS(Proc[[#This Row],[DateOpened]],Proc[[#This Row],[DateClosed]]))-1)</f>
        <v>1</v>
      </c>
      <c r="R3245" s="115" t="s">
        <v>1459</v>
      </c>
      <c r="S3245" s="125"/>
    </row>
    <row r="3246" spans="1:19">
      <c r="A3246" s="124" t="s">
        <v>5520</v>
      </c>
      <c r="B3246" s="125" t="str">
        <f>IFERROR(VLOOKUP(Proc[[#This Row],[App]],Table2[],3,0),"open")</f>
        <v>open</v>
      </c>
      <c r="C3246" s="124" t="s">
        <v>375</v>
      </c>
      <c r="D3246" t="s">
        <v>5317</v>
      </c>
      <c r="E3246" t="s">
        <v>5488</v>
      </c>
      <c r="F3246" s="125" t="s">
        <v>5536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0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4897</v>
      </c>
      <c r="M3246" s="113">
        <v>45874</v>
      </c>
      <c r="N3246" s="113"/>
      <c r="O3246" s="113"/>
      <c r="P3246" s="115" t="str">
        <f ca="1">IF(Proc[[#This Row],[DaysAgeing]]&gt;5,"yep","on track")</f>
        <v>on track</v>
      </c>
      <c r="Q3246" s="3">
        <f ca="1">IF(Proc[[#This Row],[DateClosed]]="",ABS(NETWORKDAYS(Proc[[#This Row],[DateOpened]],TODAY()))-1,ABS(NETWORKDAYS(Proc[[#This Row],[DateOpened]],Proc[[#This Row],[DateClosed]]))-1)</f>
        <v>1</v>
      </c>
      <c r="R3246" s="115" t="s">
        <v>1459</v>
      </c>
      <c r="S3246" s="125"/>
    </row>
    <row r="3247" spans="1:19">
      <c r="A3247" s="124" t="s">
        <v>5520</v>
      </c>
      <c r="B3247" s="125" t="str">
        <f>IFERROR(VLOOKUP(Proc[[#This Row],[App]],Table2[],3,0),"open")</f>
        <v>open</v>
      </c>
      <c r="C3247" s="124" t="s">
        <v>375</v>
      </c>
      <c r="D3247" t="s">
        <v>5318</v>
      </c>
      <c r="E3247" t="s">
        <v>5489</v>
      </c>
      <c r="F3247" s="125" t="s">
        <v>2570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0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4897</v>
      </c>
      <c r="M3247" s="113">
        <v>45874</v>
      </c>
      <c r="N3247" s="113"/>
      <c r="O3247" s="113"/>
      <c r="P3247" s="115" t="str">
        <f ca="1">IF(Proc[[#This Row],[DaysAgeing]]&gt;5,"yep","on track")</f>
        <v>on track</v>
      </c>
      <c r="Q3247" s="3">
        <f ca="1">IF(Proc[[#This Row],[DateClosed]]="",ABS(NETWORKDAYS(Proc[[#This Row],[DateOpened]],TODAY()))-1,ABS(NETWORKDAYS(Proc[[#This Row],[DateOpened]],Proc[[#This Row],[DateClosed]]))-1)</f>
        <v>1</v>
      </c>
      <c r="R3247" s="115" t="s">
        <v>1459</v>
      </c>
      <c r="S3247" s="125"/>
    </row>
    <row r="3248" spans="1:19">
      <c r="A3248" s="124" t="s">
        <v>5520</v>
      </c>
      <c r="B3248" s="125" t="str">
        <f>IFERROR(VLOOKUP(Proc[[#This Row],[App]],Table2[],3,0),"open")</f>
        <v>open</v>
      </c>
      <c r="C3248" s="124" t="s">
        <v>375</v>
      </c>
      <c r="D3248" t="s">
        <v>5319</v>
      </c>
      <c r="E3248" t="s">
        <v>5490</v>
      </c>
      <c r="F3248" s="125" t="s">
        <v>5537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0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4897</v>
      </c>
      <c r="M3248" s="113">
        <v>45874</v>
      </c>
      <c r="N3248" s="113"/>
      <c r="O3248" s="113"/>
      <c r="P3248" s="115" t="str">
        <f ca="1">IF(Proc[[#This Row],[DaysAgeing]]&gt;5,"yep","on track")</f>
        <v>on track</v>
      </c>
      <c r="Q3248" s="3">
        <f ca="1">IF(Proc[[#This Row],[DateClosed]]="",ABS(NETWORKDAYS(Proc[[#This Row],[DateOpened]],TODAY()))-1,ABS(NETWORKDAYS(Proc[[#This Row],[DateOpened]],Proc[[#This Row],[DateClosed]]))-1)</f>
        <v>1</v>
      </c>
      <c r="R3248" s="115" t="s">
        <v>1459</v>
      </c>
      <c r="S3248" s="125"/>
    </row>
    <row r="3249" spans="1:19">
      <c r="A3249" s="124" t="s">
        <v>5520</v>
      </c>
      <c r="B3249" s="125" t="str">
        <f>IFERROR(VLOOKUP(Proc[[#This Row],[App]],Table2[],3,0),"open")</f>
        <v>open</v>
      </c>
      <c r="C3249" s="124" t="s">
        <v>375</v>
      </c>
      <c r="D3249" t="s">
        <v>5320</v>
      </c>
      <c r="E3249" t="s">
        <v>5491</v>
      </c>
      <c r="F3249" s="125" t="s">
        <v>5504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0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4897</v>
      </c>
      <c r="M3249" s="113">
        <v>45874</v>
      </c>
      <c r="N3249" s="113"/>
      <c r="O3249" s="113"/>
      <c r="P3249" s="115" t="str">
        <f ca="1">IF(Proc[[#This Row],[DaysAgeing]]&gt;5,"yep","on track")</f>
        <v>on track</v>
      </c>
      <c r="Q3249" s="3">
        <f ca="1">IF(Proc[[#This Row],[DateClosed]]="",ABS(NETWORKDAYS(Proc[[#This Row],[DateOpened]],TODAY()))-1,ABS(NETWORKDAYS(Proc[[#This Row],[DateOpened]],Proc[[#This Row],[DateClosed]]))-1)</f>
        <v>1</v>
      </c>
      <c r="R3249" s="115" t="s">
        <v>1459</v>
      </c>
      <c r="S3249" s="125"/>
    </row>
    <row r="3250" spans="1:19">
      <c r="A3250" s="124" t="s">
        <v>5520</v>
      </c>
      <c r="B3250" s="125" t="str">
        <f>IFERROR(VLOOKUP(Proc[[#This Row],[App]],Table2[],3,0),"open")</f>
        <v>open</v>
      </c>
      <c r="C3250" s="124" t="s">
        <v>375</v>
      </c>
      <c r="D3250" t="s">
        <v>5321</v>
      </c>
      <c r="E3250" t="s">
        <v>424</v>
      </c>
      <c r="F3250" s="125" t="s">
        <v>5538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0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4897</v>
      </c>
      <c r="M3250" s="113">
        <v>45874</v>
      </c>
      <c r="N3250" s="113"/>
      <c r="O3250" s="113"/>
      <c r="P3250" s="115" t="str">
        <f ca="1">IF(Proc[[#This Row],[DaysAgeing]]&gt;5,"yep","on track")</f>
        <v>on track</v>
      </c>
      <c r="Q3250" s="3">
        <f ca="1">IF(Proc[[#This Row],[DateClosed]]="",ABS(NETWORKDAYS(Proc[[#This Row],[DateOpened]],TODAY()))-1,ABS(NETWORKDAYS(Proc[[#This Row],[DateOpened]],Proc[[#This Row],[DateClosed]]))-1)</f>
        <v>1</v>
      </c>
      <c r="R3250" s="115" t="s">
        <v>1459</v>
      </c>
      <c r="S3250" s="125"/>
    </row>
    <row r="3251" spans="1:19">
      <c r="A3251" s="124" t="s">
        <v>5520</v>
      </c>
      <c r="B3251" s="125" t="str">
        <f>IFERROR(VLOOKUP(Proc[[#This Row],[App]],Table2[],3,0),"open")</f>
        <v>open</v>
      </c>
      <c r="C3251" s="124" t="s">
        <v>375</v>
      </c>
      <c r="D3251" t="s">
        <v>5322</v>
      </c>
      <c r="E3251" t="s">
        <v>424</v>
      </c>
      <c r="F3251" s="125" t="s">
        <v>5538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0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4897</v>
      </c>
      <c r="M3251" s="113">
        <v>45874</v>
      </c>
      <c r="N3251" s="113"/>
      <c r="O3251" s="113"/>
      <c r="P3251" s="115" t="str">
        <f ca="1">IF(Proc[[#This Row],[DaysAgeing]]&gt;5,"yep","on track")</f>
        <v>on track</v>
      </c>
      <c r="Q3251" s="3">
        <f ca="1">IF(Proc[[#This Row],[DateClosed]]="",ABS(NETWORKDAYS(Proc[[#This Row],[DateOpened]],TODAY()))-1,ABS(NETWORKDAYS(Proc[[#This Row],[DateOpened]],Proc[[#This Row],[DateClosed]]))-1)</f>
        <v>1</v>
      </c>
      <c r="R3251" s="115" t="s">
        <v>1459</v>
      </c>
      <c r="S3251" s="125"/>
    </row>
    <row r="3252" spans="1:19" hidden="1">
      <c r="A3252" s="124" t="s">
        <v>5520</v>
      </c>
      <c r="B3252" s="125" t="str">
        <f>IFERROR(VLOOKUP(Proc[[#This Row],[App]],Table2[],3,0),"open")</f>
        <v>open</v>
      </c>
      <c r="C3252" s="124" t="s">
        <v>370</v>
      </c>
      <c r="D3252" t="s">
        <v>5323</v>
      </c>
      <c r="E3252" t="s">
        <v>5492</v>
      </c>
      <c r="F3252" s="125" t="s">
        <v>5539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0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4897</v>
      </c>
      <c r="M3252" s="113">
        <v>45874</v>
      </c>
      <c r="N3252" s="113"/>
      <c r="O3252" s="113"/>
      <c r="P3252" s="115" t="str">
        <f ca="1">IF(Proc[[#This Row],[DaysAgeing]]&gt;5,"yep","on track")</f>
        <v>on track</v>
      </c>
      <c r="Q3252" s="3">
        <f ca="1">IF(Proc[[#This Row],[DateClosed]]="",ABS(NETWORKDAYS(Proc[[#This Row],[DateOpened]],TODAY()))-1,ABS(NETWORKDAYS(Proc[[#This Row],[DateOpened]],Proc[[#This Row],[DateClosed]]))-1)</f>
        <v>1</v>
      </c>
      <c r="R3252" s="115" t="s">
        <v>1459</v>
      </c>
      <c r="S3252" s="125"/>
    </row>
    <row r="3253" spans="1:19" hidden="1">
      <c r="A3253" s="124" t="s">
        <v>5520</v>
      </c>
      <c r="B3253" s="125" t="str">
        <f>IFERROR(VLOOKUP(Proc[[#This Row],[App]],Table2[],3,0),"open")</f>
        <v>open</v>
      </c>
      <c r="C3253" s="124" t="s">
        <v>370</v>
      </c>
      <c r="D3253" t="s">
        <v>5324</v>
      </c>
      <c r="E3253" t="s">
        <v>5493</v>
      </c>
      <c r="F3253" s="125" t="s">
        <v>2570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0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4897</v>
      </c>
      <c r="M3253" s="113">
        <v>45874</v>
      </c>
      <c r="N3253" s="113"/>
      <c r="O3253" s="113"/>
      <c r="P3253" s="115" t="str">
        <f ca="1">IF(Proc[[#This Row],[DaysAgeing]]&gt;5,"yep","on track")</f>
        <v>on track</v>
      </c>
      <c r="Q3253" s="3">
        <f ca="1">IF(Proc[[#This Row],[DateClosed]]="",ABS(NETWORKDAYS(Proc[[#This Row],[DateOpened]],TODAY()))-1,ABS(NETWORKDAYS(Proc[[#This Row],[DateOpened]],Proc[[#This Row],[DateClosed]]))-1)</f>
        <v>1</v>
      </c>
      <c r="R3253" s="115" t="s">
        <v>1459</v>
      </c>
      <c r="S3253" s="125"/>
    </row>
    <row r="3254" spans="1:19" hidden="1">
      <c r="A3254" s="124" t="s">
        <v>5520</v>
      </c>
      <c r="B3254" s="125" t="str">
        <f>IFERROR(VLOOKUP(Proc[[#This Row],[App]],Table2[],3,0),"open")</f>
        <v>open</v>
      </c>
      <c r="C3254" s="124" t="s">
        <v>370</v>
      </c>
      <c r="D3254" t="s">
        <v>5325</v>
      </c>
      <c r="E3254" t="s">
        <v>5494</v>
      </c>
      <c r="F3254" s="125" t="s">
        <v>5540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0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4897</v>
      </c>
      <c r="M3254" s="113">
        <v>45874</v>
      </c>
      <c r="N3254" s="113"/>
      <c r="O3254" s="113"/>
      <c r="P3254" s="115" t="str">
        <f ca="1">IF(Proc[[#This Row],[DaysAgeing]]&gt;5,"yep","on track")</f>
        <v>on track</v>
      </c>
      <c r="Q3254" s="3">
        <f ca="1">IF(Proc[[#This Row],[DateClosed]]="",ABS(NETWORKDAYS(Proc[[#This Row],[DateOpened]],TODAY()))-1,ABS(NETWORKDAYS(Proc[[#This Row],[DateOpened]],Proc[[#This Row],[DateClosed]]))-1)</f>
        <v>1</v>
      </c>
      <c r="R3254" s="115" t="s">
        <v>1459</v>
      </c>
      <c r="S3254" s="125"/>
    </row>
    <row r="3255" spans="1:19" hidden="1">
      <c r="A3255" s="124" t="s">
        <v>5520</v>
      </c>
      <c r="B3255" s="125" t="str">
        <f>IFERROR(VLOOKUP(Proc[[#This Row],[App]],Table2[],3,0),"open")</f>
        <v>open</v>
      </c>
      <c r="C3255" s="124" t="s">
        <v>370</v>
      </c>
      <c r="D3255" t="s">
        <v>5326</v>
      </c>
      <c r="E3255" t="s">
        <v>5495</v>
      </c>
      <c r="F3255" s="125" t="s">
        <v>2570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0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4897</v>
      </c>
      <c r="M3255" s="113">
        <v>45874</v>
      </c>
      <c r="N3255" s="113"/>
      <c r="O3255" s="113"/>
      <c r="P3255" s="115" t="str">
        <f ca="1">IF(Proc[[#This Row],[DaysAgeing]]&gt;5,"yep","on track")</f>
        <v>on track</v>
      </c>
      <c r="Q3255" s="3">
        <f ca="1">IF(Proc[[#This Row],[DateClosed]]="",ABS(NETWORKDAYS(Proc[[#This Row],[DateOpened]],TODAY()))-1,ABS(NETWORKDAYS(Proc[[#This Row],[DateOpened]],Proc[[#This Row],[DateClosed]]))-1)</f>
        <v>1</v>
      </c>
      <c r="R3255" s="115" t="s">
        <v>1459</v>
      </c>
      <c r="S3255" s="125"/>
    </row>
    <row r="3256" spans="1:19">
      <c r="A3256" s="124" t="s">
        <v>5520</v>
      </c>
      <c r="B3256" s="125" t="str">
        <f>IFERROR(VLOOKUP(Proc[[#This Row],[App]],Table2[],3,0),"open")</f>
        <v>open</v>
      </c>
      <c r="C3256" s="124" t="s">
        <v>375</v>
      </c>
      <c r="D3256" t="s">
        <v>5327</v>
      </c>
      <c r="E3256" t="s">
        <v>5495</v>
      </c>
      <c r="F3256" s="125" t="s">
        <v>2570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0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4897</v>
      </c>
      <c r="M3256" s="113">
        <v>45874</v>
      </c>
      <c r="N3256" s="113"/>
      <c r="O3256" s="113"/>
      <c r="P3256" s="115" t="str">
        <f ca="1">IF(Proc[[#This Row],[DaysAgeing]]&gt;5,"yep","on track")</f>
        <v>on track</v>
      </c>
      <c r="Q3256" s="3">
        <f ca="1">IF(Proc[[#This Row],[DateClosed]]="",ABS(NETWORKDAYS(Proc[[#This Row],[DateOpened]],TODAY()))-1,ABS(NETWORKDAYS(Proc[[#This Row],[DateOpened]],Proc[[#This Row],[DateClosed]]))-1)</f>
        <v>1</v>
      </c>
      <c r="R3256" s="115" t="s">
        <v>1459</v>
      </c>
      <c r="S3256" s="125"/>
    </row>
    <row r="3257" spans="1:19">
      <c r="A3257" s="124" t="s">
        <v>5520</v>
      </c>
      <c r="B3257" s="125" t="str">
        <f>IFERROR(VLOOKUP(Proc[[#This Row],[App]],Table2[],3,0),"open")</f>
        <v>open</v>
      </c>
      <c r="C3257" s="124" t="s">
        <v>375</v>
      </c>
      <c r="D3257" t="s">
        <v>5328</v>
      </c>
      <c r="E3257" t="s">
        <v>5495</v>
      </c>
      <c r="F3257" s="125" t="s">
        <v>2570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0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4897</v>
      </c>
      <c r="M3257" s="113">
        <v>45874</v>
      </c>
      <c r="N3257" s="113"/>
      <c r="O3257" s="113"/>
      <c r="P3257" s="115" t="str">
        <f ca="1">IF(Proc[[#This Row],[DaysAgeing]]&gt;5,"yep","on track")</f>
        <v>on track</v>
      </c>
      <c r="Q3257" s="3">
        <f ca="1">IF(Proc[[#This Row],[DateClosed]]="",ABS(NETWORKDAYS(Proc[[#This Row],[DateOpened]],TODAY()))-1,ABS(NETWORKDAYS(Proc[[#This Row],[DateOpened]],Proc[[#This Row],[DateClosed]]))-1)</f>
        <v>1</v>
      </c>
      <c r="R3257" s="115" t="s">
        <v>1459</v>
      </c>
      <c r="S3257" s="125"/>
    </row>
    <row r="3258" spans="1:19">
      <c r="A3258" s="124" t="s">
        <v>5520</v>
      </c>
      <c r="B3258" s="125" t="str">
        <f>IFERROR(VLOOKUP(Proc[[#This Row],[App]],Table2[],3,0),"open")</f>
        <v>open</v>
      </c>
      <c r="C3258" s="124" t="s">
        <v>375</v>
      </c>
      <c r="D3258" t="s">
        <v>5329</v>
      </c>
      <c r="E3258" t="s">
        <v>5496</v>
      </c>
      <c r="F3258" s="125" t="s">
        <v>5540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0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4897</v>
      </c>
      <c r="M3258" s="113">
        <v>45874</v>
      </c>
      <c r="N3258" s="113"/>
      <c r="O3258" s="113"/>
      <c r="P3258" s="115" t="str">
        <f ca="1">IF(Proc[[#This Row],[DaysAgeing]]&gt;5,"yep","on track")</f>
        <v>on track</v>
      </c>
      <c r="Q3258" s="3">
        <f ca="1">IF(Proc[[#This Row],[DateClosed]]="",ABS(NETWORKDAYS(Proc[[#This Row],[DateOpened]],TODAY()))-1,ABS(NETWORKDAYS(Proc[[#This Row],[DateOpened]],Proc[[#This Row],[DateClosed]]))-1)</f>
        <v>1</v>
      </c>
      <c r="R3258" s="115" t="s">
        <v>1459</v>
      </c>
      <c r="S3258" s="125"/>
    </row>
    <row r="3259" spans="1:19">
      <c r="A3259" s="124" t="s">
        <v>5520</v>
      </c>
      <c r="B3259" s="125" t="str">
        <f>IFERROR(VLOOKUP(Proc[[#This Row],[App]],Table2[],3,0),"open")</f>
        <v>open</v>
      </c>
      <c r="C3259" s="124" t="s">
        <v>375</v>
      </c>
      <c r="D3259" t="s">
        <v>5330</v>
      </c>
      <c r="E3259" t="s">
        <v>5492</v>
      </c>
      <c r="F3259" s="125" t="s">
        <v>5539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0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4897</v>
      </c>
      <c r="M3259" s="113">
        <v>45874</v>
      </c>
      <c r="N3259" s="113"/>
      <c r="O3259" s="113"/>
      <c r="P3259" s="115" t="str">
        <f ca="1">IF(Proc[[#This Row],[DaysAgeing]]&gt;5,"yep","on track")</f>
        <v>on track</v>
      </c>
      <c r="Q3259" s="3">
        <f ca="1">IF(Proc[[#This Row],[DateClosed]]="",ABS(NETWORKDAYS(Proc[[#This Row],[DateOpened]],TODAY()))-1,ABS(NETWORKDAYS(Proc[[#This Row],[DateOpened]],Proc[[#This Row],[DateClosed]]))-1)</f>
        <v>1</v>
      </c>
      <c r="R3259" s="115" t="s">
        <v>1459</v>
      </c>
      <c r="S3259" s="125"/>
    </row>
    <row r="3260" spans="1:19" hidden="1">
      <c r="A3260" s="124" t="s">
        <v>5520</v>
      </c>
      <c r="B3260" s="125" t="str">
        <f>IFERROR(VLOOKUP(Proc[[#This Row],[App]],Table2[],3,0),"open")</f>
        <v>open</v>
      </c>
      <c r="C3260" s="124" t="s">
        <v>370</v>
      </c>
      <c r="D3260" t="s">
        <v>5331</v>
      </c>
      <c r="E3260" t="s">
        <v>5497</v>
      </c>
      <c r="F3260" s="125" t="s">
        <v>5535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0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4897</v>
      </c>
      <c r="M3260" s="113">
        <v>45874</v>
      </c>
      <c r="N3260" s="113"/>
      <c r="O3260" s="113"/>
      <c r="P3260" s="115" t="str">
        <f ca="1">IF(Proc[[#This Row],[DaysAgeing]]&gt;5,"yep","on track")</f>
        <v>on track</v>
      </c>
      <c r="Q3260" s="3">
        <f ca="1">IF(Proc[[#This Row],[DateClosed]]="",ABS(NETWORKDAYS(Proc[[#This Row],[DateOpened]],TODAY()))-1,ABS(NETWORKDAYS(Proc[[#This Row],[DateOpened]],Proc[[#This Row],[DateClosed]]))-1)</f>
        <v>1</v>
      </c>
      <c r="R3260" s="115" t="s">
        <v>1459</v>
      </c>
      <c r="S3260" s="125"/>
    </row>
    <row r="3261" spans="1:19" hidden="1">
      <c r="A3261" s="124" t="s">
        <v>5520</v>
      </c>
      <c r="B3261" s="125" t="str">
        <f>IFERROR(VLOOKUP(Proc[[#This Row],[App]],Table2[],3,0),"open")</f>
        <v>open</v>
      </c>
      <c r="C3261" s="124" t="s">
        <v>370</v>
      </c>
      <c r="D3261" t="s">
        <v>5332</v>
      </c>
      <c r="E3261" t="s">
        <v>5497</v>
      </c>
      <c r="F3261" s="125" t="s">
        <v>5535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0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4897</v>
      </c>
      <c r="M3261" s="113">
        <v>45874</v>
      </c>
      <c r="N3261" s="113"/>
      <c r="O3261" s="113"/>
      <c r="P3261" s="115" t="str">
        <f ca="1">IF(Proc[[#This Row],[DaysAgeing]]&gt;5,"yep","on track")</f>
        <v>on track</v>
      </c>
      <c r="Q3261" s="3">
        <f ca="1">IF(Proc[[#This Row],[DateClosed]]="",ABS(NETWORKDAYS(Proc[[#This Row],[DateOpened]],TODAY()))-1,ABS(NETWORKDAYS(Proc[[#This Row],[DateOpened]],Proc[[#This Row],[DateClosed]]))-1)</f>
        <v>1</v>
      </c>
      <c r="R3261" s="115" t="s">
        <v>1459</v>
      </c>
      <c r="S3261" s="125"/>
    </row>
    <row r="3262" spans="1:19" hidden="1">
      <c r="A3262" s="124" t="s">
        <v>5520</v>
      </c>
      <c r="B3262" s="125" t="str">
        <f>IFERROR(VLOOKUP(Proc[[#This Row],[App]],Table2[],3,0),"open")</f>
        <v>open</v>
      </c>
      <c r="C3262" s="124" t="s">
        <v>370</v>
      </c>
      <c r="D3262" t="s">
        <v>5333</v>
      </c>
      <c r="E3262" t="s">
        <v>5495</v>
      </c>
      <c r="F3262" s="125" t="s">
        <v>2570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0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4897</v>
      </c>
      <c r="M3262" s="113">
        <v>45874</v>
      </c>
      <c r="N3262" s="113"/>
      <c r="O3262" s="113"/>
      <c r="P3262" s="115" t="str">
        <f ca="1">IF(Proc[[#This Row],[DaysAgeing]]&gt;5,"yep","on track")</f>
        <v>on track</v>
      </c>
      <c r="Q3262" s="3">
        <f ca="1">IF(Proc[[#This Row],[DateClosed]]="",ABS(NETWORKDAYS(Proc[[#This Row],[DateOpened]],TODAY()))-1,ABS(NETWORKDAYS(Proc[[#This Row],[DateOpened]],Proc[[#This Row],[DateClosed]]))-1)</f>
        <v>1</v>
      </c>
      <c r="R3262" s="115" t="s">
        <v>1459</v>
      </c>
      <c r="S3262" s="125"/>
    </row>
    <row r="3263" spans="1:19" hidden="1">
      <c r="A3263" s="124" t="s">
        <v>5520</v>
      </c>
      <c r="B3263" s="125" t="str">
        <f>IFERROR(VLOOKUP(Proc[[#This Row],[App]],Table2[],3,0),"open")</f>
        <v>open</v>
      </c>
      <c r="C3263" s="124" t="s">
        <v>370</v>
      </c>
      <c r="D3263" t="s">
        <v>5334</v>
      </c>
      <c r="E3263" t="s">
        <v>5498</v>
      </c>
      <c r="F3263" s="125" t="s">
        <v>3187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0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4897</v>
      </c>
      <c r="M3263" s="113">
        <v>45874</v>
      </c>
      <c r="N3263" s="113"/>
      <c r="O3263" s="113"/>
      <c r="P3263" s="115" t="str">
        <f ca="1">IF(Proc[[#This Row],[DaysAgeing]]&gt;5,"yep","on track")</f>
        <v>on track</v>
      </c>
      <c r="Q3263" s="3">
        <f ca="1">IF(Proc[[#This Row],[DateClosed]]="",ABS(NETWORKDAYS(Proc[[#This Row],[DateOpened]],TODAY()))-1,ABS(NETWORKDAYS(Proc[[#This Row],[DateOpened]],Proc[[#This Row],[DateClosed]]))-1)</f>
        <v>1</v>
      </c>
      <c r="R3263" s="115" t="s">
        <v>1459</v>
      </c>
      <c r="S3263" s="125"/>
    </row>
    <row r="3264" spans="1:19" hidden="1">
      <c r="A3264" s="124" t="s">
        <v>5520</v>
      </c>
      <c r="B3264" s="125" t="str">
        <f>IFERROR(VLOOKUP(Proc[[#This Row],[App]],Table2[],3,0),"open")</f>
        <v>open</v>
      </c>
      <c r="C3264" s="124" t="s">
        <v>370</v>
      </c>
      <c r="D3264" t="s">
        <v>5335</v>
      </c>
      <c r="E3264" t="s">
        <v>5491</v>
      </c>
      <c r="F3264" s="125" t="s">
        <v>5541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0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4897</v>
      </c>
      <c r="M3264" s="113">
        <v>45874</v>
      </c>
      <c r="N3264" s="113"/>
      <c r="O3264" s="113"/>
      <c r="P3264" s="115" t="str">
        <f ca="1">IF(Proc[[#This Row],[DaysAgeing]]&gt;5,"yep","on track")</f>
        <v>on track</v>
      </c>
      <c r="Q3264" s="3">
        <f ca="1">IF(Proc[[#This Row],[DateClosed]]="",ABS(NETWORKDAYS(Proc[[#This Row],[DateOpened]],TODAY()))-1,ABS(NETWORKDAYS(Proc[[#This Row],[DateOpened]],Proc[[#This Row],[DateClosed]]))-1)</f>
        <v>1</v>
      </c>
      <c r="R3264" s="115" t="s">
        <v>1459</v>
      </c>
      <c r="S3264" s="125"/>
    </row>
    <row r="3265" spans="1:19" hidden="1">
      <c r="A3265" s="124" t="s">
        <v>5520</v>
      </c>
      <c r="B3265" s="125" t="str">
        <f>IFERROR(VLOOKUP(Proc[[#This Row],[App]],Table2[],3,0),"open")</f>
        <v>open</v>
      </c>
      <c r="C3265" s="124" t="s">
        <v>370</v>
      </c>
      <c r="D3265" t="s">
        <v>5336</v>
      </c>
      <c r="E3265" t="s">
        <v>5498</v>
      </c>
      <c r="F3265" s="125" t="s">
        <v>5542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0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4897</v>
      </c>
      <c r="M3265" s="113">
        <v>45874</v>
      </c>
      <c r="N3265" s="113"/>
      <c r="O3265" s="113"/>
      <c r="P3265" s="115" t="str">
        <f ca="1">IF(Proc[[#This Row],[DaysAgeing]]&gt;5,"yep","on track")</f>
        <v>on track</v>
      </c>
      <c r="Q3265" s="3">
        <f ca="1">IF(Proc[[#This Row],[DateClosed]]="",ABS(NETWORKDAYS(Proc[[#This Row],[DateOpened]],TODAY()))-1,ABS(NETWORKDAYS(Proc[[#This Row],[DateOpened]],Proc[[#This Row],[DateClosed]]))-1)</f>
        <v>1</v>
      </c>
      <c r="R3265" s="115" t="s">
        <v>1459</v>
      </c>
      <c r="S3265" s="125"/>
    </row>
    <row r="3266" spans="1:19" hidden="1">
      <c r="A3266" s="124" t="s">
        <v>5520</v>
      </c>
      <c r="B3266" s="125" t="str">
        <f>IFERROR(VLOOKUP(Proc[[#This Row],[App]],Table2[],3,0),"open")</f>
        <v>open</v>
      </c>
      <c r="C3266" s="124" t="s">
        <v>370</v>
      </c>
      <c r="D3266" t="s">
        <v>5337</v>
      </c>
      <c r="E3266" t="s">
        <v>5499</v>
      </c>
      <c r="F3266" s="125" t="s">
        <v>5543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0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4897</v>
      </c>
      <c r="M3266" s="113">
        <v>45874</v>
      </c>
      <c r="N3266" s="113"/>
      <c r="O3266" s="113"/>
      <c r="P3266" s="115" t="str">
        <f ca="1">IF(Proc[[#This Row],[DaysAgeing]]&gt;5,"yep","on track")</f>
        <v>on track</v>
      </c>
      <c r="Q3266" s="3">
        <f ca="1">IF(Proc[[#This Row],[DateClosed]]="",ABS(NETWORKDAYS(Proc[[#This Row],[DateOpened]],TODAY()))-1,ABS(NETWORKDAYS(Proc[[#This Row],[DateOpened]],Proc[[#This Row],[DateClosed]]))-1)</f>
        <v>1</v>
      </c>
      <c r="R3266" s="115" t="s">
        <v>1459</v>
      </c>
      <c r="S3266" s="125"/>
    </row>
    <row r="3267" spans="1:19" hidden="1">
      <c r="A3267" s="124" t="s">
        <v>5520</v>
      </c>
      <c r="B3267" s="125" t="str">
        <f>IFERROR(VLOOKUP(Proc[[#This Row],[App]],Table2[],3,0),"open")</f>
        <v>open</v>
      </c>
      <c r="C3267" s="124" t="s">
        <v>370</v>
      </c>
      <c r="D3267" t="s">
        <v>5338</v>
      </c>
      <c r="E3267" t="s">
        <v>5491</v>
      </c>
      <c r="F3267" s="125" t="s">
        <v>5544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0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4897</v>
      </c>
      <c r="M3267" s="113">
        <v>45874</v>
      </c>
      <c r="N3267" s="113"/>
      <c r="O3267" s="113"/>
      <c r="P3267" s="115" t="str">
        <f ca="1">IF(Proc[[#This Row],[DaysAgeing]]&gt;5,"yep","on track")</f>
        <v>on track</v>
      </c>
      <c r="Q3267" s="3">
        <f ca="1">IF(Proc[[#This Row],[DateClosed]]="",ABS(NETWORKDAYS(Proc[[#This Row],[DateOpened]],TODAY()))-1,ABS(NETWORKDAYS(Proc[[#This Row],[DateOpened]],Proc[[#This Row],[DateClosed]]))-1)</f>
        <v>1</v>
      </c>
      <c r="R3267" s="115" t="s">
        <v>1459</v>
      </c>
      <c r="S3267" s="125"/>
    </row>
    <row r="3268" spans="1:19" hidden="1">
      <c r="A3268" s="124" t="s">
        <v>5520</v>
      </c>
      <c r="B3268" s="125" t="str">
        <f>IFERROR(VLOOKUP(Proc[[#This Row],[App]],Table2[],3,0),"open")</f>
        <v>open</v>
      </c>
      <c r="C3268" s="124" t="s">
        <v>370</v>
      </c>
      <c r="D3268" t="s">
        <v>4810</v>
      </c>
      <c r="E3268" t="s">
        <v>4412</v>
      </c>
      <c r="F3268" s="125" t="s">
        <v>4790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0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4897</v>
      </c>
      <c r="M3268" s="113">
        <v>45874</v>
      </c>
      <c r="N3268" s="113"/>
      <c r="O3268" s="113"/>
      <c r="P3268" s="115" t="str">
        <f ca="1">IF(Proc[[#This Row],[DaysAgeing]]&gt;5,"yep","on track")</f>
        <v>on track</v>
      </c>
      <c r="Q3268" s="3">
        <f ca="1">IF(Proc[[#This Row],[DateClosed]]="",ABS(NETWORKDAYS(Proc[[#This Row],[DateOpened]],TODAY()))-1,ABS(NETWORKDAYS(Proc[[#This Row],[DateOpened]],Proc[[#This Row],[DateClosed]]))-1)</f>
        <v>1</v>
      </c>
      <c r="R3268" s="115" t="s">
        <v>1459</v>
      </c>
      <c r="S3268" s="125"/>
    </row>
    <row r="3269" spans="1:19" hidden="1">
      <c r="A3269" s="124" t="s">
        <v>5520</v>
      </c>
      <c r="B3269" s="125" t="str">
        <f>IFERROR(VLOOKUP(Proc[[#This Row],[App]],Table2[],3,0),"open")</f>
        <v>open</v>
      </c>
      <c r="C3269" s="124" t="s">
        <v>370</v>
      </c>
      <c r="D3269" t="s">
        <v>5339</v>
      </c>
      <c r="E3269" t="s">
        <v>5491</v>
      </c>
      <c r="F3269" s="125" t="s">
        <v>5544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0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4897</v>
      </c>
      <c r="M3269" s="113">
        <v>45874</v>
      </c>
      <c r="N3269" s="113"/>
      <c r="O3269" s="113"/>
      <c r="P3269" s="115" t="str">
        <f ca="1">IF(Proc[[#This Row],[DaysAgeing]]&gt;5,"yep","on track")</f>
        <v>on track</v>
      </c>
      <c r="Q3269" s="3">
        <f ca="1">IF(Proc[[#This Row],[DateClosed]]="",ABS(NETWORKDAYS(Proc[[#This Row],[DateOpened]],TODAY()))-1,ABS(NETWORKDAYS(Proc[[#This Row],[DateOpened]],Proc[[#This Row],[DateClosed]]))-1)</f>
        <v>1</v>
      </c>
      <c r="R3269" s="115" t="s">
        <v>1459</v>
      </c>
      <c r="S3269" s="125"/>
    </row>
    <row r="3270" spans="1:19" hidden="1">
      <c r="A3270" s="124" t="s">
        <v>5520</v>
      </c>
      <c r="B3270" s="125" t="str">
        <f>IFERROR(VLOOKUP(Proc[[#This Row],[App]],Table2[],3,0),"open")</f>
        <v>open</v>
      </c>
      <c r="C3270" s="124" t="s">
        <v>370</v>
      </c>
      <c r="D3270" t="s">
        <v>5340</v>
      </c>
      <c r="E3270" t="s">
        <v>5500</v>
      </c>
      <c r="F3270" s="125" t="s">
        <v>5545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0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4897</v>
      </c>
      <c r="M3270" s="113">
        <v>45874</v>
      </c>
      <c r="N3270" s="113"/>
      <c r="O3270" s="113"/>
      <c r="P3270" s="115" t="str">
        <f ca="1">IF(Proc[[#This Row],[DaysAgeing]]&gt;5,"yep","on track")</f>
        <v>on track</v>
      </c>
      <c r="Q3270" s="3">
        <f ca="1">IF(Proc[[#This Row],[DateClosed]]="",ABS(NETWORKDAYS(Proc[[#This Row],[DateOpened]],TODAY()))-1,ABS(NETWORKDAYS(Proc[[#This Row],[DateOpened]],Proc[[#This Row],[DateClosed]]))-1)</f>
        <v>1</v>
      </c>
      <c r="R3270" s="115" t="s">
        <v>1459</v>
      </c>
      <c r="S3270" s="125"/>
    </row>
    <row r="3271" spans="1:19" hidden="1">
      <c r="A3271" s="124" t="s">
        <v>5520</v>
      </c>
      <c r="B3271" s="125" t="str">
        <f>IFERROR(VLOOKUP(Proc[[#This Row],[App]],Table2[],3,0),"open")</f>
        <v>open</v>
      </c>
      <c r="C3271" s="124" t="s">
        <v>370</v>
      </c>
      <c r="D3271" t="s">
        <v>5341</v>
      </c>
      <c r="E3271" t="s">
        <v>5501</v>
      </c>
      <c r="F3271" s="125" t="s">
        <v>5546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0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4897</v>
      </c>
      <c r="M3271" s="113">
        <v>45874</v>
      </c>
      <c r="N3271" s="113"/>
      <c r="O3271" s="113"/>
      <c r="P3271" s="115" t="str">
        <f ca="1">IF(Proc[[#This Row],[DaysAgeing]]&gt;5,"yep","on track")</f>
        <v>on track</v>
      </c>
      <c r="Q3271" s="3">
        <f ca="1">IF(Proc[[#This Row],[DateClosed]]="",ABS(NETWORKDAYS(Proc[[#This Row],[DateOpened]],TODAY()))-1,ABS(NETWORKDAYS(Proc[[#This Row],[DateOpened]],Proc[[#This Row],[DateClosed]]))-1)</f>
        <v>1</v>
      </c>
      <c r="R3271" s="115" t="s">
        <v>1459</v>
      </c>
      <c r="S3271" s="125"/>
    </row>
    <row r="3272" spans="1:19" hidden="1">
      <c r="A3272" s="124" t="s">
        <v>5520</v>
      </c>
      <c r="B3272" s="125" t="str">
        <f>IFERROR(VLOOKUP(Proc[[#This Row],[App]],Table2[],3,0),"open")</f>
        <v>open</v>
      </c>
      <c r="C3272" s="124" t="s">
        <v>370</v>
      </c>
      <c r="D3272" t="s">
        <v>5342</v>
      </c>
      <c r="E3272" t="s">
        <v>5502</v>
      </c>
      <c r="F3272" s="125" t="s">
        <v>5546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0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4897</v>
      </c>
      <c r="M3272" s="113">
        <v>45874</v>
      </c>
      <c r="N3272" s="113"/>
      <c r="O3272" s="113"/>
      <c r="P3272" s="115" t="str">
        <f ca="1">IF(Proc[[#This Row],[DaysAgeing]]&gt;5,"yep","on track")</f>
        <v>on track</v>
      </c>
      <c r="Q3272" s="3">
        <f ca="1">IF(Proc[[#This Row],[DateClosed]]="",ABS(NETWORKDAYS(Proc[[#This Row],[DateOpened]],TODAY()))-1,ABS(NETWORKDAYS(Proc[[#This Row],[DateOpened]],Proc[[#This Row],[DateClosed]]))-1)</f>
        <v>1</v>
      </c>
      <c r="R3272" s="115" t="s">
        <v>1459</v>
      </c>
      <c r="S3272" s="125"/>
    </row>
    <row r="3273" spans="1:19" hidden="1">
      <c r="A3273" s="124" t="s">
        <v>5520</v>
      </c>
      <c r="B3273" s="125" t="str">
        <f>IFERROR(VLOOKUP(Proc[[#This Row],[App]],Table2[],3,0),"open")</f>
        <v>open</v>
      </c>
      <c r="C3273" s="124" t="s">
        <v>370</v>
      </c>
      <c r="D3273" t="s">
        <v>3371</v>
      </c>
      <c r="E3273" t="s">
        <v>5499</v>
      </c>
      <c r="F3273" s="125" t="s">
        <v>5547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0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4897</v>
      </c>
      <c r="M3273" s="113">
        <v>45874</v>
      </c>
      <c r="N3273" s="113"/>
      <c r="O3273" s="113"/>
      <c r="P3273" s="115" t="str">
        <f ca="1">IF(Proc[[#This Row],[DaysAgeing]]&gt;5,"yep","on track")</f>
        <v>on track</v>
      </c>
      <c r="Q3273" s="3">
        <f ca="1">IF(Proc[[#This Row],[DateClosed]]="",ABS(NETWORKDAYS(Proc[[#This Row],[DateOpened]],TODAY()))-1,ABS(NETWORKDAYS(Proc[[#This Row],[DateOpened]],Proc[[#This Row],[DateClosed]]))-1)</f>
        <v>1</v>
      </c>
      <c r="R3273" s="115" t="s">
        <v>1459</v>
      </c>
      <c r="S3273" s="125"/>
    </row>
    <row r="3274" spans="1:19" hidden="1">
      <c r="A3274" s="124" t="s">
        <v>5520</v>
      </c>
      <c r="B3274" s="125" t="str">
        <f>IFERROR(VLOOKUP(Proc[[#This Row],[App]],Table2[],3,0),"open")</f>
        <v>open</v>
      </c>
      <c r="C3274" s="124" t="s">
        <v>370</v>
      </c>
      <c r="D3274" t="s">
        <v>5343</v>
      </c>
      <c r="E3274" t="s">
        <v>5501</v>
      </c>
      <c r="F3274" s="125" t="s">
        <v>5548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0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4897</v>
      </c>
      <c r="M3274" s="113">
        <v>45874</v>
      </c>
      <c r="N3274" s="113"/>
      <c r="O3274" s="113"/>
      <c r="P3274" s="115" t="str">
        <f ca="1">IF(Proc[[#This Row],[DaysAgeing]]&gt;5,"yep","on track")</f>
        <v>on track</v>
      </c>
      <c r="Q3274" s="3">
        <f ca="1">IF(Proc[[#This Row],[DateClosed]]="",ABS(NETWORKDAYS(Proc[[#This Row],[DateOpened]],TODAY()))-1,ABS(NETWORKDAYS(Proc[[#This Row],[DateOpened]],Proc[[#This Row],[DateClosed]]))-1)</f>
        <v>1</v>
      </c>
      <c r="R3274" s="115" t="s">
        <v>1459</v>
      </c>
      <c r="S3274" s="125"/>
    </row>
    <row r="3275" spans="1:19" hidden="1">
      <c r="A3275" s="124" t="s">
        <v>5520</v>
      </c>
      <c r="B3275" s="125" t="str">
        <f>IFERROR(VLOOKUP(Proc[[#This Row],[App]],Table2[],3,0),"open")</f>
        <v>open</v>
      </c>
      <c r="C3275" s="124" t="s">
        <v>370</v>
      </c>
      <c r="D3275" t="s">
        <v>5344</v>
      </c>
      <c r="E3275" t="s">
        <v>5491</v>
      </c>
      <c r="F3275" s="125" t="s">
        <v>5544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0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4897</v>
      </c>
      <c r="M3275" s="113">
        <v>45874</v>
      </c>
      <c r="N3275" s="113"/>
      <c r="O3275" s="113"/>
      <c r="P3275" s="115" t="str">
        <f ca="1">IF(Proc[[#This Row],[DaysAgeing]]&gt;5,"yep","on track")</f>
        <v>on track</v>
      </c>
      <c r="Q3275" s="3">
        <f ca="1">IF(Proc[[#This Row],[DateClosed]]="",ABS(NETWORKDAYS(Proc[[#This Row],[DateOpened]],TODAY()))-1,ABS(NETWORKDAYS(Proc[[#This Row],[DateOpened]],Proc[[#This Row],[DateClosed]]))-1)</f>
        <v>1</v>
      </c>
      <c r="R3275" s="115" t="s">
        <v>1459</v>
      </c>
      <c r="S3275" s="125"/>
    </row>
    <row r="3276" spans="1:19" hidden="1">
      <c r="A3276" s="124" t="s">
        <v>5520</v>
      </c>
      <c r="B3276" s="125" t="str">
        <f>IFERROR(VLOOKUP(Proc[[#This Row],[App]],Table2[],3,0),"open")</f>
        <v>open</v>
      </c>
      <c r="C3276" s="124" t="s">
        <v>370</v>
      </c>
      <c r="D3276" t="s">
        <v>5345</v>
      </c>
      <c r="E3276" t="s">
        <v>5503</v>
      </c>
      <c r="F3276" s="125" t="s">
        <v>5548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0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4897</v>
      </c>
      <c r="M3276" s="113">
        <v>45874</v>
      </c>
      <c r="N3276" s="113"/>
      <c r="O3276" s="113"/>
      <c r="P3276" s="115" t="str">
        <f ca="1">IF(Proc[[#This Row],[DaysAgeing]]&gt;5,"yep","on track")</f>
        <v>on track</v>
      </c>
      <c r="Q3276" s="3">
        <f ca="1">IF(Proc[[#This Row],[DateClosed]]="",ABS(NETWORKDAYS(Proc[[#This Row],[DateOpened]],TODAY()))-1,ABS(NETWORKDAYS(Proc[[#This Row],[DateOpened]],Proc[[#This Row],[DateClosed]]))-1)</f>
        <v>1</v>
      </c>
      <c r="R3276" s="115" t="s">
        <v>1459</v>
      </c>
      <c r="S3276" s="125"/>
    </row>
    <row r="3277" spans="1:19" hidden="1">
      <c r="A3277" s="124" t="s">
        <v>5520</v>
      </c>
      <c r="B3277" s="125" t="str">
        <f>IFERROR(VLOOKUP(Proc[[#This Row],[App]],Table2[],3,0),"open")</f>
        <v>open</v>
      </c>
      <c r="C3277" s="124" t="s">
        <v>370</v>
      </c>
      <c r="D3277" t="s">
        <v>5346</v>
      </c>
      <c r="E3277" t="s">
        <v>5504</v>
      </c>
      <c r="F3277" s="125" t="s">
        <v>413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0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4897</v>
      </c>
      <c r="M3277" s="113">
        <v>45874</v>
      </c>
      <c r="N3277" s="113"/>
      <c r="O3277" s="113"/>
      <c r="P3277" s="115" t="str">
        <f ca="1">IF(Proc[[#This Row],[DaysAgeing]]&gt;5,"yep","on track")</f>
        <v>on track</v>
      </c>
      <c r="Q3277" s="3">
        <f ca="1">IF(Proc[[#This Row],[DateClosed]]="",ABS(NETWORKDAYS(Proc[[#This Row],[DateOpened]],TODAY()))-1,ABS(NETWORKDAYS(Proc[[#This Row],[DateOpened]],Proc[[#This Row],[DateClosed]]))-1)</f>
        <v>1</v>
      </c>
      <c r="R3277" s="115" t="s">
        <v>1459</v>
      </c>
      <c r="S3277" s="125"/>
    </row>
    <row r="3278" spans="1:19" hidden="1">
      <c r="A3278" s="124" t="s">
        <v>5520</v>
      </c>
      <c r="B3278" s="125" t="str">
        <f>IFERROR(VLOOKUP(Proc[[#This Row],[App]],Table2[],3,0),"open")</f>
        <v>open</v>
      </c>
      <c r="C3278" s="124" t="s">
        <v>370</v>
      </c>
      <c r="D3278" t="s">
        <v>5347</v>
      </c>
      <c r="E3278" t="s">
        <v>5491</v>
      </c>
      <c r="F3278" s="125" t="s">
        <v>5544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0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4897</v>
      </c>
      <c r="M3278" s="113">
        <v>45874</v>
      </c>
      <c r="N3278" s="113"/>
      <c r="O3278" s="113"/>
      <c r="P3278" s="115" t="str">
        <f ca="1">IF(Proc[[#This Row],[DaysAgeing]]&gt;5,"yep","on track")</f>
        <v>on track</v>
      </c>
      <c r="Q3278" s="3">
        <f ca="1">IF(Proc[[#This Row],[DateClosed]]="",ABS(NETWORKDAYS(Proc[[#This Row],[DateOpened]],TODAY()))-1,ABS(NETWORKDAYS(Proc[[#This Row],[DateOpened]],Proc[[#This Row],[DateClosed]]))-1)</f>
        <v>1</v>
      </c>
      <c r="R3278" s="115" t="s">
        <v>1459</v>
      </c>
      <c r="S3278" s="125"/>
    </row>
    <row r="3279" spans="1:19" hidden="1">
      <c r="A3279" s="124" t="s">
        <v>5520</v>
      </c>
      <c r="B3279" s="125" t="str">
        <f>IFERROR(VLOOKUP(Proc[[#This Row],[App]],Table2[],3,0),"open")</f>
        <v>open</v>
      </c>
      <c r="C3279" s="124" t="s">
        <v>370</v>
      </c>
      <c r="D3279" t="s">
        <v>5348</v>
      </c>
      <c r="E3279" t="s">
        <v>5498</v>
      </c>
      <c r="F3279" s="125" t="s">
        <v>5542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0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4897</v>
      </c>
      <c r="M3279" s="113">
        <v>45874</v>
      </c>
      <c r="N3279" s="113"/>
      <c r="O3279" s="113"/>
      <c r="P3279" s="115" t="str">
        <f ca="1">IF(Proc[[#This Row],[DaysAgeing]]&gt;5,"yep","on track")</f>
        <v>on track</v>
      </c>
      <c r="Q3279" s="3">
        <f ca="1">IF(Proc[[#This Row],[DateClosed]]="",ABS(NETWORKDAYS(Proc[[#This Row],[DateOpened]],TODAY()))-1,ABS(NETWORKDAYS(Proc[[#This Row],[DateOpened]],Proc[[#This Row],[DateClosed]]))-1)</f>
        <v>1</v>
      </c>
      <c r="R3279" s="115" t="s">
        <v>1459</v>
      </c>
      <c r="S3279" s="125"/>
    </row>
    <row r="3280" spans="1:19" hidden="1">
      <c r="A3280" s="124" t="s">
        <v>5520</v>
      </c>
      <c r="B3280" s="125" t="str">
        <f>IFERROR(VLOOKUP(Proc[[#This Row],[App]],Table2[],3,0),"open")</f>
        <v>open</v>
      </c>
      <c r="C3280" s="124" t="s">
        <v>370</v>
      </c>
      <c r="D3280" t="s">
        <v>5349</v>
      </c>
      <c r="E3280" t="s">
        <v>5498</v>
      </c>
      <c r="F3280" s="125" t="s">
        <v>3187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0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4897</v>
      </c>
      <c r="M3280" s="113">
        <v>45874</v>
      </c>
      <c r="N3280" s="113"/>
      <c r="O3280" s="113"/>
      <c r="P3280" s="115" t="str">
        <f ca="1">IF(Proc[[#This Row],[DaysAgeing]]&gt;5,"yep","on track")</f>
        <v>on track</v>
      </c>
      <c r="Q3280" s="3">
        <f ca="1">IF(Proc[[#This Row],[DateClosed]]="",ABS(NETWORKDAYS(Proc[[#This Row],[DateOpened]],TODAY()))-1,ABS(NETWORKDAYS(Proc[[#This Row],[DateOpened]],Proc[[#This Row],[DateClosed]]))-1)</f>
        <v>1</v>
      </c>
      <c r="R3280" s="115" t="s">
        <v>1459</v>
      </c>
      <c r="S3280" s="125"/>
    </row>
    <row r="3281" spans="1:19" hidden="1">
      <c r="A3281" s="124" t="s">
        <v>5520</v>
      </c>
      <c r="B3281" s="125" t="str">
        <f>IFERROR(VLOOKUP(Proc[[#This Row],[App]],Table2[],3,0),"open")</f>
        <v>open</v>
      </c>
      <c r="C3281" s="124" t="s">
        <v>370</v>
      </c>
      <c r="D3281" t="s">
        <v>5350</v>
      </c>
      <c r="E3281" t="s">
        <v>5505</v>
      </c>
      <c r="F3281" s="125" t="s">
        <v>2570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0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4897</v>
      </c>
      <c r="M3281" s="113">
        <v>45874</v>
      </c>
      <c r="N3281" s="113"/>
      <c r="O3281" s="113"/>
      <c r="P3281" s="115" t="str">
        <f ca="1">IF(Proc[[#This Row],[DaysAgeing]]&gt;5,"yep","on track")</f>
        <v>on track</v>
      </c>
      <c r="Q3281" s="3">
        <f ca="1">IF(Proc[[#This Row],[DateClosed]]="",ABS(NETWORKDAYS(Proc[[#This Row],[DateOpened]],TODAY()))-1,ABS(NETWORKDAYS(Proc[[#This Row],[DateOpened]],Proc[[#This Row],[DateClosed]]))-1)</f>
        <v>1</v>
      </c>
      <c r="R3281" s="115" t="s">
        <v>1459</v>
      </c>
      <c r="S3281" s="125"/>
    </row>
    <row r="3282" spans="1:19" hidden="1">
      <c r="A3282" s="124" t="s">
        <v>5520</v>
      </c>
      <c r="B3282" s="125" t="str">
        <f>IFERROR(VLOOKUP(Proc[[#This Row],[App]],Table2[],3,0),"open")</f>
        <v>open</v>
      </c>
      <c r="C3282" s="124" t="s">
        <v>370</v>
      </c>
      <c r="D3282" t="s">
        <v>5351</v>
      </c>
      <c r="E3282" t="s">
        <v>5501</v>
      </c>
      <c r="F3282" s="125" t="s">
        <v>5546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0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4897</v>
      </c>
      <c r="M3282" s="113">
        <v>45874</v>
      </c>
      <c r="N3282" s="113"/>
      <c r="O3282" s="113"/>
      <c r="P3282" s="115" t="str">
        <f ca="1">IF(Proc[[#This Row],[DaysAgeing]]&gt;5,"yep","on track")</f>
        <v>on track</v>
      </c>
      <c r="Q3282" s="3">
        <f ca="1">IF(Proc[[#This Row],[DateClosed]]="",ABS(NETWORKDAYS(Proc[[#This Row],[DateOpened]],TODAY()))-1,ABS(NETWORKDAYS(Proc[[#This Row],[DateOpened]],Proc[[#This Row],[DateClosed]]))-1)</f>
        <v>1</v>
      </c>
      <c r="R3282" s="115" t="s">
        <v>1459</v>
      </c>
      <c r="S3282" s="125"/>
    </row>
    <row r="3283" spans="1:19">
      <c r="A3283" s="124" t="s">
        <v>5520</v>
      </c>
      <c r="B3283" s="125" t="str">
        <f>IFERROR(VLOOKUP(Proc[[#This Row],[App]],Table2[],3,0),"open")</f>
        <v>open</v>
      </c>
      <c r="C3283" s="124" t="s">
        <v>375</v>
      </c>
      <c r="D3283" t="s">
        <v>2319</v>
      </c>
      <c r="E3283" t="s">
        <v>430</v>
      </c>
      <c r="F3283" s="125" t="s">
        <v>4414</v>
      </c>
      <c r="G3283" s="124" t="s">
        <v>406</v>
      </c>
      <c r="H3283" s="125" t="str">
        <f>IF(Proc[[#This Row],[type]]="LFF (MDG-F)",MID(Proc[[#This Row],[Obj]],13,10),"")</f>
        <v>DE65GIT032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4897</v>
      </c>
      <c r="M3283" s="113">
        <v>45874</v>
      </c>
      <c r="N3283" s="113"/>
      <c r="O3283" s="113"/>
      <c r="P3283" s="115" t="str">
        <f ca="1">IF(Proc[[#This Row],[DaysAgeing]]&gt;5,"yep","on track")</f>
        <v>on track</v>
      </c>
      <c r="Q3283" s="3">
        <f ca="1">IF(Proc[[#This Row],[DateClosed]]="",ABS(NETWORKDAYS(Proc[[#This Row],[DateOpened]],TODAY()))-1,ABS(NETWORKDAYS(Proc[[#This Row],[DateOpened]],Proc[[#This Row],[DateClosed]]))-1)</f>
        <v>1</v>
      </c>
      <c r="R3283" s="115" t="s">
        <v>1459</v>
      </c>
      <c r="S3283" s="125"/>
    </row>
    <row r="3284" spans="1:19">
      <c r="A3284" s="124" t="s">
        <v>5520</v>
      </c>
      <c r="B3284" s="125" t="str">
        <f>IFERROR(VLOOKUP(Proc[[#This Row],[App]],Table2[],3,0),"open")</f>
        <v>open</v>
      </c>
      <c r="C3284" s="124" t="s">
        <v>375</v>
      </c>
      <c r="D3284" t="s">
        <v>5352</v>
      </c>
      <c r="E3284" t="s">
        <v>5506</v>
      </c>
      <c r="F3284" s="125" t="s">
        <v>2570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0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4897</v>
      </c>
      <c r="M3284" s="113">
        <v>45874</v>
      </c>
      <c r="N3284" s="113"/>
      <c r="O3284" s="113"/>
      <c r="P3284" s="115" t="str">
        <f ca="1">IF(Proc[[#This Row],[DaysAgeing]]&gt;5,"yep","on track")</f>
        <v>on track</v>
      </c>
      <c r="Q3284" s="3">
        <f ca="1">IF(Proc[[#This Row],[DateClosed]]="",ABS(NETWORKDAYS(Proc[[#This Row],[DateOpened]],TODAY()))-1,ABS(NETWORKDAYS(Proc[[#This Row],[DateOpened]],Proc[[#This Row],[DateClosed]]))-1)</f>
        <v>1</v>
      </c>
      <c r="R3284" s="115" t="s">
        <v>1459</v>
      </c>
      <c r="S3284" s="125"/>
    </row>
    <row r="3285" spans="1:19" hidden="1">
      <c r="A3285" s="124" t="s">
        <v>5520</v>
      </c>
      <c r="B3285" s="125" t="str">
        <f>IFERROR(VLOOKUP(Proc[[#This Row],[App]],Table2[],3,0),"open")</f>
        <v>open</v>
      </c>
      <c r="C3285" s="124" t="s">
        <v>370</v>
      </c>
      <c r="D3285" t="s">
        <v>5353</v>
      </c>
      <c r="E3285" t="s">
        <v>5498</v>
      </c>
      <c r="F3285" s="125" t="s">
        <v>1963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0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4897</v>
      </c>
      <c r="M3285" s="113">
        <v>45874</v>
      </c>
      <c r="N3285" s="113"/>
      <c r="O3285" s="113"/>
      <c r="P3285" s="115" t="str">
        <f ca="1">IF(Proc[[#This Row],[DaysAgeing]]&gt;5,"yep","on track")</f>
        <v>on track</v>
      </c>
      <c r="Q3285" s="3">
        <f ca="1">IF(Proc[[#This Row],[DateClosed]]="",ABS(NETWORKDAYS(Proc[[#This Row],[DateOpened]],TODAY()))-1,ABS(NETWORKDAYS(Proc[[#This Row],[DateOpened]],Proc[[#This Row],[DateClosed]]))-1)</f>
        <v>1</v>
      </c>
      <c r="R3285" s="115" t="s">
        <v>1459</v>
      </c>
      <c r="S3285" s="125"/>
    </row>
    <row r="3286" spans="1:19">
      <c r="A3286" s="124" t="s">
        <v>5520</v>
      </c>
      <c r="B3286" s="125" t="str">
        <f>IFERROR(VLOOKUP(Proc[[#This Row],[App]],Table2[],3,0),"open")</f>
        <v>open</v>
      </c>
      <c r="C3286" s="124" t="s">
        <v>375</v>
      </c>
      <c r="D3286" t="s">
        <v>5354</v>
      </c>
      <c r="E3286" t="s">
        <v>5506</v>
      </c>
      <c r="F3286" s="125" t="s">
        <v>2570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0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4897</v>
      </c>
      <c r="M3286" s="113">
        <v>45874</v>
      </c>
      <c r="N3286" s="113"/>
      <c r="O3286" s="113"/>
      <c r="P3286" s="115" t="str">
        <f ca="1">IF(Proc[[#This Row],[DaysAgeing]]&gt;5,"yep","on track")</f>
        <v>on track</v>
      </c>
      <c r="Q3286" s="3">
        <f ca="1">IF(Proc[[#This Row],[DateClosed]]="",ABS(NETWORKDAYS(Proc[[#This Row],[DateOpened]],TODAY()))-1,ABS(NETWORKDAYS(Proc[[#This Row],[DateOpened]],Proc[[#This Row],[DateClosed]]))-1)</f>
        <v>1</v>
      </c>
      <c r="R3286" s="115" t="s">
        <v>1459</v>
      </c>
      <c r="S3286" s="125"/>
    </row>
    <row r="3287" spans="1:19">
      <c r="A3287" s="124" t="s">
        <v>5520</v>
      </c>
      <c r="B3287" s="125" t="str">
        <f>IFERROR(VLOOKUP(Proc[[#This Row],[App]],Table2[],3,0),"open")</f>
        <v>open</v>
      </c>
      <c r="C3287" s="124" t="s">
        <v>375</v>
      </c>
      <c r="D3287" t="s">
        <v>5355</v>
      </c>
      <c r="E3287" t="s">
        <v>5498</v>
      </c>
      <c r="F3287" s="125" t="s">
        <v>5507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0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4897</v>
      </c>
      <c r="M3287" s="113">
        <v>45874</v>
      </c>
      <c r="N3287" s="113"/>
      <c r="O3287" s="113"/>
      <c r="P3287" s="115" t="str">
        <f ca="1">IF(Proc[[#This Row],[DaysAgeing]]&gt;5,"yep","on track")</f>
        <v>on track</v>
      </c>
      <c r="Q3287" s="3">
        <f ca="1">IF(Proc[[#This Row],[DateClosed]]="",ABS(NETWORKDAYS(Proc[[#This Row],[DateOpened]],TODAY()))-1,ABS(NETWORKDAYS(Proc[[#This Row],[DateOpened]],Proc[[#This Row],[DateClosed]]))-1)</f>
        <v>1</v>
      </c>
      <c r="R3287" s="115" t="s">
        <v>1459</v>
      </c>
      <c r="S3287" s="125"/>
    </row>
    <row r="3288" spans="1:19" hidden="1">
      <c r="A3288" s="124" t="s">
        <v>5520</v>
      </c>
      <c r="B3288" s="125" t="str">
        <f>IFERROR(VLOOKUP(Proc[[#This Row],[App]],Table2[],3,0),"open")</f>
        <v>open</v>
      </c>
      <c r="C3288" s="124" t="s">
        <v>370</v>
      </c>
      <c r="D3288" t="s">
        <v>5356</v>
      </c>
      <c r="E3288" t="s">
        <v>5495</v>
      </c>
      <c r="F3288" s="125" t="s">
        <v>2570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0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4897</v>
      </c>
      <c r="M3288" s="113">
        <v>45874</v>
      </c>
      <c r="N3288" s="113"/>
      <c r="O3288" s="113"/>
      <c r="P3288" s="115" t="str">
        <f ca="1">IF(Proc[[#This Row],[DaysAgeing]]&gt;5,"yep","on track")</f>
        <v>on track</v>
      </c>
      <c r="Q3288" s="3">
        <f ca="1">IF(Proc[[#This Row],[DateClosed]]="",ABS(NETWORKDAYS(Proc[[#This Row],[DateOpened]],TODAY()))-1,ABS(NETWORKDAYS(Proc[[#This Row],[DateOpened]],Proc[[#This Row],[DateClosed]]))-1)</f>
        <v>1</v>
      </c>
      <c r="R3288" s="115" t="s">
        <v>1459</v>
      </c>
      <c r="S3288" s="125"/>
    </row>
    <row r="3289" spans="1:19">
      <c r="A3289" s="124" t="s">
        <v>5520</v>
      </c>
      <c r="B3289" s="125" t="str">
        <f>IFERROR(VLOOKUP(Proc[[#This Row],[App]],Table2[],3,0),"open")</f>
        <v>open</v>
      </c>
      <c r="C3289" s="124" t="s">
        <v>375</v>
      </c>
      <c r="D3289" t="s">
        <v>5357</v>
      </c>
      <c r="E3289" t="s">
        <v>424</v>
      </c>
      <c r="F3289" s="125" t="s">
        <v>5538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0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4897</v>
      </c>
      <c r="M3289" s="113">
        <v>45874</v>
      </c>
      <c r="N3289" s="113"/>
      <c r="O3289" s="113"/>
      <c r="P3289" s="115" t="str">
        <f ca="1">IF(Proc[[#This Row],[DaysAgeing]]&gt;5,"yep","on track")</f>
        <v>on track</v>
      </c>
      <c r="Q3289" s="3">
        <f ca="1">IF(Proc[[#This Row],[DateClosed]]="",ABS(NETWORKDAYS(Proc[[#This Row],[DateOpened]],TODAY()))-1,ABS(NETWORKDAYS(Proc[[#This Row],[DateOpened]],Proc[[#This Row],[DateClosed]]))-1)</f>
        <v>1</v>
      </c>
      <c r="R3289" s="115" t="s">
        <v>1459</v>
      </c>
      <c r="S3289" s="125"/>
    </row>
    <row r="3290" spans="1:19">
      <c r="A3290" s="124" t="s">
        <v>5520</v>
      </c>
      <c r="B3290" s="125" t="str">
        <f>IFERROR(VLOOKUP(Proc[[#This Row],[App]],Table2[],3,0),"open")</f>
        <v>open</v>
      </c>
      <c r="C3290" s="124" t="s">
        <v>375</v>
      </c>
      <c r="D3290" t="s">
        <v>5358</v>
      </c>
      <c r="E3290" t="s">
        <v>5494</v>
      </c>
      <c r="F3290" s="125" t="s">
        <v>2570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0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4897</v>
      </c>
      <c r="M3290" s="113">
        <v>45874</v>
      </c>
      <c r="N3290" s="113"/>
      <c r="O3290" s="113"/>
      <c r="P3290" s="115" t="str">
        <f ca="1">IF(Proc[[#This Row],[DaysAgeing]]&gt;5,"yep","on track")</f>
        <v>on track</v>
      </c>
      <c r="Q3290" s="3">
        <f ca="1">IF(Proc[[#This Row],[DateClosed]]="",ABS(NETWORKDAYS(Proc[[#This Row],[DateOpened]],TODAY()))-1,ABS(NETWORKDAYS(Proc[[#This Row],[DateOpened]],Proc[[#This Row],[DateClosed]]))-1)</f>
        <v>1</v>
      </c>
      <c r="R3290" s="115" t="s">
        <v>1459</v>
      </c>
      <c r="S3290" s="125"/>
    </row>
    <row r="3291" spans="1:19">
      <c r="A3291" s="124" t="s">
        <v>5520</v>
      </c>
      <c r="B3291" s="125" t="str">
        <f>IFERROR(VLOOKUP(Proc[[#This Row],[App]],Table2[],3,0),"open")</f>
        <v>open</v>
      </c>
      <c r="C3291" s="124" t="s">
        <v>375</v>
      </c>
      <c r="D3291" t="s">
        <v>5359</v>
      </c>
      <c r="E3291" t="s">
        <v>5494</v>
      </c>
      <c r="F3291" s="125" t="s">
        <v>2570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0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4897</v>
      </c>
      <c r="M3291" s="113">
        <v>45874</v>
      </c>
      <c r="N3291" s="113"/>
      <c r="O3291" s="113"/>
      <c r="P3291" s="115" t="str">
        <f ca="1">IF(Proc[[#This Row],[DaysAgeing]]&gt;5,"yep","on track")</f>
        <v>on track</v>
      </c>
      <c r="Q3291" s="3">
        <f ca="1">IF(Proc[[#This Row],[DateClosed]]="",ABS(NETWORKDAYS(Proc[[#This Row],[DateOpened]],TODAY()))-1,ABS(NETWORKDAYS(Proc[[#This Row],[DateOpened]],Proc[[#This Row],[DateClosed]]))-1)</f>
        <v>1</v>
      </c>
      <c r="R3291" s="115" t="s">
        <v>1459</v>
      </c>
      <c r="S3291" s="125"/>
    </row>
    <row r="3292" spans="1:19">
      <c r="A3292" s="124" t="s">
        <v>5520</v>
      </c>
      <c r="B3292" s="125" t="str">
        <f>IFERROR(VLOOKUP(Proc[[#This Row],[App]],Table2[],3,0),"open")</f>
        <v>open</v>
      </c>
      <c r="C3292" s="124" t="s">
        <v>375</v>
      </c>
      <c r="D3292" t="s">
        <v>5360</v>
      </c>
      <c r="E3292" t="s">
        <v>5486</v>
      </c>
      <c r="F3292" s="125" t="s">
        <v>859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0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4897</v>
      </c>
      <c r="M3292" s="113">
        <v>45874</v>
      </c>
      <c r="N3292" s="113"/>
      <c r="O3292" s="113"/>
      <c r="P3292" s="115" t="str">
        <f ca="1">IF(Proc[[#This Row],[DaysAgeing]]&gt;5,"yep","on track")</f>
        <v>on track</v>
      </c>
      <c r="Q3292" s="3">
        <f ca="1">IF(Proc[[#This Row],[DateClosed]]="",ABS(NETWORKDAYS(Proc[[#This Row],[DateOpened]],TODAY()))-1,ABS(NETWORKDAYS(Proc[[#This Row],[DateOpened]],Proc[[#This Row],[DateClosed]]))-1)</f>
        <v>1</v>
      </c>
      <c r="R3292" s="115" t="s">
        <v>1459</v>
      </c>
      <c r="S3292" s="125"/>
    </row>
    <row r="3293" spans="1:19">
      <c r="A3293" s="124" t="s">
        <v>5520</v>
      </c>
      <c r="B3293" s="125" t="str">
        <f>IFERROR(VLOOKUP(Proc[[#This Row],[App]],Table2[],3,0),"open")</f>
        <v>open</v>
      </c>
      <c r="C3293" s="124" t="s">
        <v>375</v>
      </c>
      <c r="D3293" t="s">
        <v>5361</v>
      </c>
      <c r="E3293" t="s">
        <v>5487</v>
      </c>
      <c r="F3293" s="125" t="s">
        <v>5535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0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4897</v>
      </c>
      <c r="M3293" s="113">
        <v>45874</v>
      </c>
      <c r="N3293" s="113"/>
      <c r="O3293" s="113"/>
      <c r="P3293" s="115" t="str">
        <f ca="1">IF(Proc[[#This Row],[DaysAgeing]]&gt;5,"yep","on track")</f>
        <v>on track</v>
      </c>
      <c r="Q3293" s="3">
        <f ca="1">IF(Proc[[#This Row],[DateClosed]]="",ABS(NETWORKDAYS(Proc[[#This Row],[DateOpened]],TODAY()))-1,ABS(NETWORKDAYS(Proc[[#This Row],[DateOpened]],Proc[[#This Row],[DateClosed]]))-1)</f>
        <v>1</v>
      </c>
      <c r="R3293" s="115" t="s">
        <v>1459</v>
      </c>
      <c r="S3293" s="125"/>
    </row>
    <row r="3294" spans="1:19">
      <c r="A3294" s="124" t="s">
        <v>5520</v>
      </c>
      <c r="B3294" s="125" t="str">
        <f>IFERROR(VLOOKUP(Proc[[#This Row],[App]],Table2[],3,0),"open")</f>
        <v>open</v>
      </c>
      <c r="C3294" s="124" t="s">
        <v>375</v>
      </c>
      <c r="D3294" t="s">
        <v>5362</v>
      </c>
      <c r="E3294" t="s">
        <v>5494</v>
      </c>
      <c r="F3294" s="125" t="s">
        <v>2570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0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4897</v>
      </c>
      <c r="M3294" s="113">
        <v>45874</v>
      </c>
      <c r="N3294" s="113"/>
      <c r="O3294" s="113"/>
      <c r="P3294" s="115" t="str">
        <f ca="1">IF(Proc[[#This Row],[DaysAgeing]]&gt;5,"yep","on track")</f>
        <v>on track</v>
      </c>
      <c r="Q3294" s="3">
        <f ca="1">IF(Proc[[#This Row],[DateClosed]]="",ABS(NETWORKDAYS(Proc[[#This Row],[DateOpened]],TODAY()))-1,ABS(NETWORKDAYS(Proc[[#This Row],[DateOpened]],Proc[[#This Row],[DateClosed]]))-1)</f>
        <v>1</v>
      </c>
      <c r="R3294" s="115" t="s">
        <v>1459</v>
      </c>
      <c r="S3294" s="125"/>
    </row>
    <row r="3295" spans="1:19">
      <c r="A3295" s="124" t="s">
        <v>5520</v>
      </c>
      <c r="B3295" s="125" t="str">
        <f>IFERROR(VLOOKUP(Proc[[#This Row],[App]],Table2[],3,0),"open")</f>
        <v>open</v>
      </c>
      <c r="C3295" s="124" t="s">
        <v>375</v>
      </c>
      <c r="D3295" t="s">
        <v>5363</v>
      </c>
      <c r="E3295" t="s">
        <v>5488</v>
      </c>
      <c r="F3295" s="125" t="s">
        <v>5536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0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4897</v>
      </c>
      <c r="M3295" s="113">
        <v>45874</v>
      </c>
      <c r="N3295" s="113"/>
      <c r="O3295" s="113"/>
      <c r="P3295" s="115" t="str">
        <f ca="1">IF(Proc[[#This Row],[DaysAgeing]]&gt;5,"yep","on track")</f>
        <v>on track</v>
      </c>
      <c r="Q3295" s="3">
        <f ca="1">IF(Proc[[#This Row],[DateClosed]]="",ABS(NETWORKDAYS(Proc[[#This Row],[DateOpened]],TODAY()))-1,ABS(NETWORKDAYS(Proc[[#This Row],[DateOpened]],Proc[[#This Row],[DateClosed]]))-1)</f>
        <v>1</v>
      </c>
      <c r="R3295" s="115" t="s">
        <v>1459</v>
      </c>
      <c r="S3295" s="125"/>
    </row>
    <row r="3296" spans="1:19">
      <c r="A3296" s="124" t="s">
        <v>5520</v>
      </c>
      <c r="B3296" s="125" t="str">
        <f>IFERROR(VLOOKUP(Proc[[#This Row],[App]],Table2[],3,0),"open")</f>
        <v>open</v>
      </c>
      <c r="C3296" s="124" t="s">
        <v>375</v>
      </c>
      <c r="D3296" t="s">
        <v>5364</v>
      </c>
      <c r="E3296" t="s">
        <v>5506</v>
      </c>
      <c r="F3296" s="125" t="s">
        <v>2570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0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4897</v>
      </c>
      <c r="M3296" s="113">
        <v>45874</v>
      </c>
      <c r="N3296" s="113"/>
      <c r="O3296" s="113"/>
      <c r="P3296" s="115" t="str">
        <f ca="1">IF(Proc[[#This Row],[DaysAgeing]]&gt;5,"yep","on track")</f>
        <v>on track</v>
      </c>
      <c r="Q3296" s="3">
        <f ca="1">IF(Proc[[#This Row],[DateClosed]]="",ABS(NETWORKDAYS(Proc[[#This Row],[DateOpened]],TODAY()))-1,ABS(NETWORKDAYS(Proc[[#This Row],[DateOpened]],Proc[[#This Row],[DateClosed]]))-1)</f>
        <v>1</v>
      </c>
      <c r="R3296" s="115" t="s">
        <v>1459</v>
      </c>
      <c r="S3296" s="125"/>
    </row>
    <row r="3297" spans="1:19">
      <c r="A3297" s="124" t="s">
        <v>5520</v>
      </c>
      <c r="B3297" s="125" t="str">
        <f>IFERROR(VLOOKUP(Proc[[#This Row],[App]],Table2[],3,0),"open")</f>
        <v>open</v>
      </c>
      <c r="C3297" s="124" t="s">
        <v>375</v>
      </c>
      <c r="D3297" t="s">
        <v>5365</v>
      </c>
      <c r="E3297" t="s">
        <v>5494</v>
      </c>
      <c r="F3297" s="125" t="s">
        <v>2570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0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4897</v>
      </c>
      <c r="M3297" s="113">
        <v>45874</v>
      </c>
      <c r="N3297" s="113"/>
      <c r="O3297" s="113"/>
      <c r="P3297" s="115" t="str">
        <f ca="1">IF(Proc[[#This Row],[DaysAgeing]]&gt;5,"yep","on track")</f>
        <v>on track</v>
      </c>
      <c r="Q3297" s="3">
        <f ca="1">IF(Proc[[#This Row],[DateClosed]]="",ABS(NETWORKDAYS(Proc[[#This Row],[DateOpened]],TODAY()))-1,ABS(NETWORKDAYS(Proc[[#This Row],[DateOpened]],Proc[[#This Row],[DateClosed]]))-1)</f>
        <v>1</v>
      </c>
      <c r="R3297" s="115" t="s">
        <v>1459</v>
      </c>
      <c r="S3297" s="125"/>
    </row>
    <row r="3298" spans="1:19">
      <c r="A3298" s="124" t="s">
        <v>5520</v>
      </c>
      <c r="B3298" s="125" t="str">
        <f>IFERROR(VLOOKUP(Proc[[#This Row],[App]],Table2[],3,0),"open")</f>
        <v>open</v>
      </c>
      <c r="C3298" s="124" t="s">
        <v>375</v>
      </c>
      <c r="D3298" t="s">
        <v>5366</v>
      </c>
      <c r="E3298" t="s">
        <v>5486</v>
      </c>
      <c r="F3298" s="125" t="s">
        <v>859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0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4897</v>
      </c>
      <c r="M3298" s="113">
        <v>45874</v>
      </c>
      <c r="N3298" s="113"/>
      <c r="O3298" s="113"/>
      <c r="P3298" s="115" t="str">
        <f ca="1">IF(Proc[[#This Row],[DaysAgeing]]&gt;5,"yep","on track")</f>
        <v>on track</v>
      </c>
      <c r="Q3298" s="3">
        <f ca="1">IF(Proc[[#This Row],[DateClosed]]="",ABS(NETWORKDAYS(Proc[[#This Row],[DateOpened]],TODAY()))-1,ABS(NETWORKDAYS(Proc[[#This Row],[DateOpened]],Proc[[#This Row],[DateClosed]]))-1)</f>
        <v>1</v>
      </c>
      <c r="R3298" s="115" t="s">
        <v>1459</v>
      </c>
      <c r="S3298" s="125"/>
    </row>
    <row r="3299" spans="1:19">
      <c r="A3299" s="124" t="s">
        <v>5520</v>
      </c>
      <c r="B3299" s="125" t="str">
        <f>IFERROR(VLOOKUP(Proc[[#This Row],[App]],Table2[],3,0),"open")</f>
        <v>open</v>
      </c>
      <c r="C3299" s="124" t="s">
        <v>375</v>
      </c>
      <c r="D3299" t="s">
        <v>5367</v>
      </c>
      <c r="E3299" t="s">
        <v>5506</v>
      </c>
      <c r="F3299" s="125" t="s">
        <v>2570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0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4897</v>
      </c>
      <c r="M3299" s="113">
        <v>45874</v>
      </c>
      <c r="N3299" s="113"/>
      <c r="O3299" s="113"/>
      <c r="P3299" s="115" t="str">
        <f ca="1">IF(Proc[[#This Row],[DaysAgeing]]&gt;5,"yep","on track")</f>
        <v>on track</v>
      </c>
      <c r="Q3299" s="3">
        <f ca="1">IF(Proc[[#This Row],[DateClosed]]="",ABS(NETWORKDAYS(Proc[[#This Row],[DateOpened]],TODAY()))-1,ABS(NETWORKDAYS(Proc[[#This Row],[DateOpened]],Proc[[#This Row],[DateClosed]]))-1)</f>
        <v>1</v>
      </c>
      <c r="R3299" s="115" t="s">
        <v>1459</v>
      </c>
      <c r="S3299" s="125"/>
    </row>
    <row r="3300" spans="1:19">
      <c r="A3300" s="124" t="s">
        <v>5520</v>
      </c>
      <c r="B3300" s="125" t="str">
        <f>IFERROR(VLOOKUP(Proc[[#This Row],[App]],Table2[],3,0),"open")</f>
        <v>open</v>
      </c>
      <c r="C3300" s="124" t="s">
        <v>404</v>
      </c>
      <c r="D3300" t="s">
        <v>5368</v>
      </c>
      <c r="E3300" t="s">
        <v>4412</v>
      </c>
      <c r="F3300" s="125" t="s">
        <v>5549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5521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4897</v>
      </c>
      <c r="M3300" s="113">
        <v>45874</v>
      </c>
      <c r="N3300" s="113"/>
      <c r="O3300" s="113"/>
      <c r="P3300" s="115" t="str">
        <f ca="1">IF(Proc[[#This Row],[DaysAgeing]]&gt;5,"yep","on track")</f>
        <v>on track</v>
      </c>
      <c r="Q3300" s="3">
        <f ca="1">IF(Proc[[#This Row],[DateClosed]]="",ABS(NETWORKDAYS(Proc[[#This Row],[DateOpened]],TODAY()))-1,ABS(NETWORKDAYS(Proc[[#This Row],[DateOpened]],Proc[[#This Row],[DateClosed]]))-1)</f>
        <v>1</v>
      </c>
      <c r="R3300" s="115" t="s">
        <v>1459</v>
      </c>
      <c r="S3300" s="125"/>
    </row>
    <row r="3301" spans="1:19">
      <c r="A3301" s="124" t="s">
        <v>5520</v>
      </c>
      <c r="B3301" s="125" t="str">
        <f>IFERROR(VLOOKUP(Proc[[#This Row],[App]],Table2[],3,0),"open")</f>
        <v>open</v>
      </c>
      <c r="C3301" s="124" t="s">
        <v>375</v>
      </c>
      <c r="D3301" t="s">
        <v>5369</v>
      </c>
      <c r="E3301" t="s">
        <v>5486</v>
      </c>
      <c r="F3301" s="125" t="s">
        <v>859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0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4897</v>
      </c>
      <c r="M3301" s="113">
        <v>45874</v>
      </c>
      <c r="N3301" s="113"/>
      <c r="O3301" s="113"/>
      <c r="P3301" s="115" t="str">
        <f ca="1">IF(Proc[[#This Row],[DaysAgeing]]&gt;5,"yep","on track")</f>
        <v>on track</v>
      </c>
      <c r="Q3301" s="3">
        <f ca="1">IF(Proc[[#This Row],[DateClosed]]="",ABS(NETWORKDAYS(Proc[[#This Row],[DateOpened]],TODAY()))-1,ABS(NETWORKDAYS(Proc[[#This Row],[DateOpened]],Proc[[#This Row],[DateClosed]]))-1)</f>
        <v>1</v>
      </c>
      <c r="R3301" s="115" t="s">
        <v>1459</v>
      </c>
      <c r="S3301" s="125"/>
    </row>
    <row r="3302" spans="1:19">
      <c r="A3302" s="124" t="s">
        <v>5520</v>
      </c>
      <c r="B3302" s="125" t="str">
        <f>IFERROR(VLOOKUP(Proc[[#This Row],[App]],Table2[],3,0),"open")</f>
        <v>open</v>
      </c>
      <c r="C3302" s="124" t="s">
        <v>375</v>
      </c>
      <c r="D3302" t="s">
        <v>5370</v>
      </c>
      <c r="E3302" t="s">
        <v>5498</v>
      </c>
      <c r="F3302" s="125" t="s">
        <v>5507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0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4897</v>
      </c>
      <c r="M3302" s="113">
        <v>45874</v>
      </c>
      <c r="N3302" s="113"/>
      <c r="O3302" s="113"/>
      <c r="P3302" s="115" t="str">
        <f ca="1">IF(Proc[[#This Row],[DaysAgeing]]&gt;5,"yep","on track")</f>
        <v>on track</v>
      </c>
      <c r="Q3302" s="3">
        <f ca="1">IF(Proc[[#This Row],[DateClosed]]="",ABS(NETWORKDAYS(Proc[[#This Row],[DateOpened]],TODAY()))-1,ABS(NETWORKDAYS(Proc[[#This Row],[DateOpened]],Proc[[#This Row],[DateClosed]]))-1)</f>
        <v>1</v>
      </c>
      <c r="R3302" s="115" t="s">
        <v>1459</v>
      </c>
      <c r="S3302" s="125"/>
    </row>
    <row r="3303" spans="1:19">
      <c r="A3303" s="124" t="s">
        <v>5520</v>
      </c>
      <c r="B3303" s="125" t="str">
        <f>IFERROR(VLOOKUP(Proc[[#This Row],[App]],Table2[],3,0),"open")</f>
        <v>open</v>
      </c>
      <c r="C3303" s="124" t="s">
        <v>375</v>
      </c>
      <c r="D3303" t="s">
        <v>5371</v>
      </c>
      <c r="E3303" t="s">
        <v>5494</v>
      </c>
      <c r="F3303" s="125" t="s">
        <v>5550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0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4897</v>
      </c>
      <c r="M3303" s="113">
        <v>45874</v>
      </c>
      <c r="N3303" s="113"/>
      <c r="O3303" s="113"/>
      <c r="P3303" s="115" t="str">
        <f ca="1">IF(Proc[[#This Row],[DaysAgeing]]&gt;5,"yep","on track")</f>
        <v>on track</v>
      </c>
      <c r="Q3303" s="3">
        <f ca="1">IF(Proc[[#This Row],[DateClosed]]="",ABS(NETWORKDAYS(Proc[[#This Row],[DateOpened]],TODAY()))-1,ABS(NETWORKDAYS(Proc[[#This Row],[DateOpened]],Proc[[#This Row],[DateClosed]]))-1)</f>
        <v>1</v>
      </c>
      <c r="R3303" s="115" t="s">
        <v>1459</v>
      </c>
      <c r="S3303" s="125"/>
    </row>
    <row r="3304" spans="1:19">
      <c r="A3304" s="124" t="s">
        <v>5520</v>
      </c>
      <c r="B3304" s="125" t="str">
        <f>IFERROR(VLOOKUP(Proc[[#This Row],[App]],Table2[],3,0),"open")</f>
        <v>open</v>
      </c>
      <c r="C3304" s="124" t="s">
        <v>375</v>
      </c>
      <c r="D3304" t="s">
        <v>5372</v>
      </c>
      <c r="E3304" t="s">
        <v>5494</v>
      </c>
      <c r="F3304" s="125" t="s">
        <v>5540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0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4897</v>
      </c>
      <c r="M3304" s="113">
        <v>45874</v>
      </c>
      <c r="N3304" s="113"/>
      <c r="O3304" s="113"/>
      <c r="P3304" s="115" t="str">
        <f ca="1">IF(Proc[[#This Row],[DaysAgeing]]&gt;5,"yep","on track")</f>
        <v>on track</v>
      </c>
      <c r="Q3304" s="3">
        <f ca="1">IF(Proc[[#This Row],[DateClosed]]="",ABS(NETWORKDAYS(Proc[[#This Row],[DateOpened]],TODAY()))-1,ABS(NETWORKDAYS(Proc[[#This Row],[DateOpened]],Proc[[#This Row],[DateClosed]]))-1)</f>
        <v>1</v>
      </c>
      <c r="R3304" s="115" t="s">
        <v>1459</v>
      </c>
      <c r="S3304" s="125"/>
    </row>
    <row r="3305" spans="1:19">
      <c r="A3305" s="124" t="s">
        <v>5520</v>
      </c>
      <c r="B3305" s="125" t="str">
        <f>IFERROR(VLOOKUP(Proc[[#This Row],[App]],Table2[],3,0),"open")</f>
        <v>open</v>
      </c>
      <c r="C3305" s="124" t="s">
        <v>375</v>
      </c>
      <c r="D3305" t="s">
        <v>5373</v>
      </c>
      <c r="E3305" t="s">
        <v>5487</v>
      </c>
      <c r="F3305" s="125" t="s">
        <v>5535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0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4897</v>
      </c>
      <c r="M3305" s="113">
        <v>45874</v>
      </c>
      <c r="N3305" s="113"/>
      <c r="O3305" s="113"/>
      <c r="P3305" s="115" t="str">
        <f ca="1">IF(Proc[[#This Row],[DaysAgeing]]&gt;5,"yep","on track")</f>
        <v>on track</v>
      </c>
      <c r="Q3305" s="3">
        <f ca="1">IF(Proc[[#This Row],[DateClosed]]="",ABS(NETWORKDAYS(Proc[[#This Row],[DateOpened]],TODAY()))-1,ABS(NETWORKDAYS(Proc[[#This Row],[DateOpened]],Proc[[#This Row],[DateClosed]]))-1)</f>
        <v>1</v>
      </c>
      <c r="R3305" s="115" t="s">
        <v>1459</v>
      </c>
      <c r="S3305" s="125"/>
    </row>
    <row r="3306" spans="1:19">
      <c r="A3306" s="124" t="s">
        <v>5520</v>
      </c>
      <c r="B3306" s="125" t="str">
        <f>IFERROR(VLOOKUP(Proc[[#This Row],[App]],Table2[],3,0),"open")</f>
        <v>open</v>
      </c>
      <c r="C3306" s="124" t="s">
        <v>375</v>
      </c>
      <c r="D3306" t="s">
        <v>5374</v>
      </c>
      <c r="E3306" t="s">
        <v>5499</v>
      </c>
      <c r="F3306" s="125" t="s">
        <v>5504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0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4897</v>
      </c>
      <c r="M3306" s="113">
        <v>45874</v>
      </c>
      <c r="N3306" s="113"/>
      <c r="O3306" s="113"/>
      <c r="P3306" s="115" t="str">
        <f ca="1">IF(Proc[[#This Row],[DaysAgeing]]&gt;5,"yep","on track")</f>
        <v>on track</v>
      </c>
      <c r="Q3306" s="3">
        <f ca="1">IF(Proc[[#This Row],[DateClosed]]="",ABS(NETWORKDAYS(Proc[[#This Row],[DateOpened]],TODAY()))-1,ABS(NETWORKDAYS(Proc[[#This Row],[DateOpened]],Proc[[#This Row],[DateClosed]]))-1)</f>
        <v>1</v>
      </c>
      <c r="R3306" s="115" t="s">
        <v>1459</v>
      </c>
      <c r="S3306" s="125"/>
    </row>
    <row r="3307" spans="1:19">
      <c r="A3307" s="124" t="s">
        <v>5520</v>
      </c>
      <c r="B3307" s="125" t="str">
        <f>IFERROR(VLOOKUP(Proc[[#This Row],[App]],Table2[],3,0),"open")</f>
        <v>open</v>
      </c>
      <c r="C3307" s="124" t="s">
        <v>375</v>
      </c>
      <c r="D3307" t="s">
        <v>5375</v>
      </c>
      <c r="E3307" t="s">
        <v>5486</v>
      </c>
      <c r="F3307" s="125" t="s">
        <v>859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0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4897</v>
      </c>
      <c r="M3307" s="113">
        <v>45874</v>
      </c>
      <c r="N3307" s="113"/>
      <c r="O3307" s="113"/>
      <c r="P3307" s="115" t="str">
        <f ca="1">IF(Proc[[#This Row],[DaysAgeing]]&gt;5,"yep","on track")</f>
        <v>on track</v>
      </c>
      <c r="Q3307" s="3">
        <f ca="1">IF(Proc[[#This Row],[DateClosed]]="",ABS(NETWORKDAYS(Proc[[#This Row],[DateOpened]],TODAY()))-1,ABS(NETWORKDAYS(Proc[[#This Row],[DateOpened]],Proc[[#This Row],[DateClosed]]))-1)</f>
        <v>1</v>
      </c>
      <c r="R3307" s="115" t="s">
        <v>1459</v>
      </c>
      <c r="S3307" s="125"/>
    </row>
    <row r="3308" spans="1:19">
      <c r="A3308" s="124" t="s">
        <v>5520</v>
      </c>
      <c r="B3308" s="125" t="str">
        <f>IFERROR(VLOOKUP(Proc[[#This Row],[App]],Table2[],3,0),"open")</f>
        <v>open</v>
      </c>
      <c r="C3308" s="124" t="s">
        <v>375</v>
      </c>
      <c r="D3308" t="s">
        <v>1457</v>
      </c>
      <c r="E3308" t="s">
        <v>5486</v>
      </c>
      <c r="F3308" s="125" t="s">
        <v>859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0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4897</v>
      </c>
      <c r="M3308" s="113">
        <v>45874</v>
      </c>
      <c r="N3308" s="113"/>
      <c r="O3308" s="113"/>
      <c r="P3308" s="115" t="str">
        <f ca="1">IF(Proc[[#This Row],[DaysAgeing]]&gt;5,"yep","on track")</f>
        <v>on track</v>
      </c>
      <c r="Q3308" s="3">
        <f ca="1">IF(Proc[[#This Row],[DateClosed]]="",ABS(NETWORKDAYS(Proc[[#This Row],[DateOpened]],TODAY()))-1,ABS(NETWORKDAYS(Proc[[#This Row],[DateOpened]],Proc[[#This Row],[DateClosed]]))-1)</f>
        <v>1</v>
      </c>
      <c r="R3308" s="115" t="s">
        <v>1459</v>
      </c>
      <c r="S3308" s="125"/>
    </row>
    <row r="3309" spans="1:19">
      <c r="A3309" s="124" t="s">
        <v>5520</v>
      </c>
      <c r="B3309" s="125" t="str">
        <f>IFERROR(VLOOKUP(Proc[[#This Row],[App]],Table2[],3,0),"open")</f>
        <v>open</v>
      </c>
      <c r="C3309" s="124" t="s">
        <v>375</v>
      </c>
      <c r="D3309" t="s">
        <v>5376</v>
      </c>
      <c r="E3309" t="s">
        <v>662</v>
      </c>
      <c r="F3309" s="125" t="s">
        <v>5551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0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4897</v>
      </c>
      <c r="M3309" s="113">
        <v>45874</v>
      </c>
      <c r="N3309" s="113"/>
      <c r="O3309" s="113"/>
      <c r="P3309" s="115" t="str">
        <f ca="1">IF(Proc[[#This Row],[DaysAgeing]]&gt;5,"yep","on track")</f>
        <v>on track</v>
      </c>
      <c r="Q3309" s="3">
        <f ca="1">IF(Proc[[#This Row],[DateClosed]]="",ABS(NETWORKDAYS(Proc[[#This Row],[DateOpened]],TODAY()))-1,ABS(NETWORKDAYS(Proc[[#This Row],[DateOpened]],Proc[[#This Row],[DateClosed]]))-1)</f>
        <v>1</v>
      </c>
      <c r="R3309" s="115" t="s">
        <v>1459</v>
      </c>
      <c r="S3309" s="125"/>
    </row>
    <row r="3310" spans="1:19">
      <c r="A3310" s="124" t="s">
        <v>5520</v>
      </c>
      <c r="B3310" s="125" t="str">
        <f>IFERROR(VLOOKUP(Proc[[#This Row],[App]],Table2[],3,0),"open")</f>
        <v>open</v>
      </c>
      <c r="C3310" s="124" t="s">
        <v>375</v>
      </c>
      <c r="D3310" t="s">
        <v>5377</v>
      </c>
      <c r="E3310" t="s">
        <v>661</v>
      </c>
      <c r="F3310" s="125" t="s">
        <v>5551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0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4897</v>
      </c>
      <c r="M3310" s="113">
        <v>45874</v>
      </c>
      <c r="N3310" s="113"/>
      <c r="O3310" s="113"/>
      <c r="P3310" s="115" t="str">
        <f ca="1">IF(Proc[[#This Row],[DaysAgeing]]&gt;5,"yep","on track")</f>
        <v>on track</v>
      </c>
      <c r="Q3310" s="3">
        <f ca="1">IF(Proc[[#This Row],[DateClosed]]="",ABS(NETWORKDAYS(Proc[[#This Row],[DateOpened]],TODAY()))-1,ABS(NETWORKDAYS(Proc[[#This Row],[DateOpened]],Proc[[#This Row],[DateClosed]]))-1)</f>
        <v>1</v>
      </c>
      <c r="R3310" s="115" t="s">
        <v>1459</v>
      </c>
      <c r="S3310" s="125"/>
    </row>
    <row r="3311" spans="1:19">
      <c r="A3311" s="124" t="s">
        <v>5520</v>
      </c>
      <c r="B3311" s="125" t="str">
        <f>IFERROR(VLOOKUP(Proc[[#This Row],[App]],Table2[],3,0),"open")</f>
        <v>open</v>
      </c>
      <c r="C3311" s="124" t="s">
        <v>375</v>
      </c>
      <c r="D3311" t="s">
        <v>5378</v>
      </c>
      <c r="E3311" t="s">
        <v>5507</v>
      </c>
      <c r="F3311" s="125" t="s">
        <v>5551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0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4897</v>
      </c>
      <c r="M3311" s="113">
        <v>45874</v>
      </c>
      <c r="N3311" s="113"/>
      <c r="O3311" s="113"/>
      <c r="P3311" s="115" t="str">
        <f ca="1">IF(Proc[[#This Row],[DaysAgeing]]&gt;5,"yep","on track")</f>
        <v>on track</v>
      </c>
      <c r="Q3311" s="3">
        <f ca="1">IF(Proc[[#This Row],[DateClosed]]="",ABS(NETWORKDAYS(Proc[[#This Row],[DateOpened]],TODAY()))-1,ABS(NETWORKDAYS(Proc[[#This Row],[DateOpened]],Proc[[#This Row],[DateClosed]]))-1)</f>
        <v>1</v>
      </c>
      <c r="R3311" s="115" t="s">
        <v>1459</v>
      </c>
      <c r="S3311" s="125"/>
    </row>
    <row r="3312" spans="1:19">
      <c r="A3312" s="124" t="s">
        <v>5520</v>
      </c>
      <c r="B3312" s="125" t="str">
        <f>IFERROR(VLOOKUP(Proc[[#This Row],[App]],Table2[],3,0),"open")</f>
        <v>open</v>
      </c>
      <c r="C3312" s="124" t="s">
        <v>375</v>
      </c>
      <c r="D3312" t="s">
        <v>5379</v>
      </c>
      <c r="E3312" t="s">
        <v>5508</v>
      </c>
      <c r="F3312" s="125" t="s">
        <v>5551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0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4897</v>
      </c>
      <c r="M3312" s="113">
        <v>45874</v>
      </c>
      <c r="N3312" s="113"/>
      <c r="O3312" s="113"/>
      <c r="P3312" s="115" t="str">
        <f ca="1">IF(Proc[[#This Row],[DaysAgeing]]&gt;5,"yep","on track")</f>
        <v>on track</v>
      </c>
      <c r="Q3312" s="3">
        <f ca="1">IF(Proc[[#This Row],[DateClosed]]="",ABS(NETWORKDAYS(Proc[[#This Row],[DateOpened]],TODAY()))-1,ABS(NETWORKDAYS(Proc[[#This Row],[DateOpened]],Proc[[#This Row],[DateClosed]]))-1)</f>
        <v>1</v>
      </c>
      <c r="R3312" s="115" t="s">
        <v>1459</v>
      </c>
      <c r="S3312" s="125"/>
    </row>
    <row r="3313" spans="1:19">
      <c r="A3313" s="124" t="s">
        <v>5520</v>
      </c>
      <c r="B3313" s="125" t="str">
        <f>IFERROR(VLOOKUP(Proc[[#This Row],[App]],Table2[],3,0),"open")</f>
        <v>open</v>
      </c>
      <c r="C3313" s="124" t="s">
        <v>375</v>
      </c>
      <c r="D3313" t="s">
        <v>5380</v>
      </c>
      <c r="E3313" t="s">
        <v>5491</v>
      </c>
      <c r="F3313" s="125" t="s">
        <v>5504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0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4897</v>
      </c>
      <c r="M3313" s="113">
        <v>45874</v>
      </c>
      <c r="N3313" s="113"/>
      <c r="O3313" s="113"/>
      <c r="P3313" s="115" t="str">
        <f ca="1">IF(Proc[[#This Row],[DaysAgeing]]&gt;5,"yep","on track")</f>
        <v>on track</v>
      </c>
      <c r="Q3313" s="3">
        <f ca="1">IF(Proc[[#This Row],[DateClosed]]="",ABS(NETWORKDAYS(Proc[[#This Row],[DateOpened]],TODAY()))-1,ABS(NETWORKDAYS(Proc[[#This Row],[DateOpened]],Proc[[#This Row],[DateClosed]]))-1)</f>
        <v>1</v>
      </c>
      <c r="R3313" s="115" t="s">
        <v>1459</v>
      </c>
      <c r="S3313" s="125"/>
    </row>
    <row r="3314" spans="1:19">
      <c r="A3314" s="124" t="s">
        <v>5520</v>
      </c>
      <c r="B3314" s="125" t="str">
        <f>IFERROR(VLOOKUP(Proc[[#This Row],[App]],Table2[],3,0),"open")</f>
        <v>open</v>
      </c>
      <c r="C3314" s="124" t="s">
        <v>375</v>
      </c>
      <c r="D3314" t="s">
        <v>5381</v>
      </c>
      <c r="E3314" t="s">
        <v>5500</v>
      </c>
      <c r="F3314" s="125" t="s">
        <v>5552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0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4897</v>
      </c>
      <c r="M3314" s="113">
        <v>45874</v>
      </c>
      <c r="N3314" s="113"/>
      <c r="O3314" s="113"/>
      <c r="P3314" s="115" t="str">
        <f ca="1">IF(Proc[[#This Row],[DaysAgeing]]&gt;5,"yep","on track")</f>
        <v>on track</v>
      </c>
      <c r="Q3314" s="3">
        <f ca="1">IF(Proc[[#This Row],[DateClosed]]="",ABS(NETWORKDAYS(Proc[[#This Row],[DateOpened]],TODAY()))-1,ABS(NETWORKDAYS(Proc[[#This Row],[DateOpened]],Proc[[#This Row],[DateClosed]]))-1)</f>
        <v>1</v>
      </c>
      <c r="R3314" s="115" t="s">
        <v>1459</v>
      </c>
      <c r="S3314" s="125"/>
    </row>
    <row r="3315" spans="1:19">
      <c r="A3315" s="124" t="s">
        <v>5520</v>
      </c>
      <c r="B3315" s="125" t="str">
        <f>IFERROR(VLOOKUP(Proc[[#This Row],[App]],Table2[],3,0),"open")</f>
        <v>open</v>
      </c>
      <c r="C3315" s="124" t="s">
        <v>375</v>
      </c>
      <c r="D3315" t="s">
        <v>5382</v>
      </c>
      <c r="E3315" t="s">
        <v>5502</v>
      </c>
      <c r="F3315" s="125" t="s">
        <v>5494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0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4897</v>
      </c>
      <c r="M3315" s="113">
        <v>45874</v>
      </c>
      <c r="N3315" s="113"/>
      <c r="O3315" s="113"/>
      <c r="P3315" s="115" t="str">
        <f ca="1">IF(Proc[[#This Row],[DaysAgeing]]&gt;5,"yep","on track")</f>
        <v>on track</v>
      </c>
      <c r="Q3315" s="3">
        <f ca="1">IF(Proc[[#This Row],[DateClosed]]="",ABS(NETWORKDAYS(Proc[[#This Row],[DateOpened]],TODAY()))-1,ABS(NETWORKDAYS(Proc[[#This Row],[DateOpened]],Proc[[#This Row],[DateClosed]]))-1)</f>
        <v>1</v>
      </c>
      <c r="R3315" s="115" t="s">
        <v>1459</v>
      </c>
      <c r="S3315" s="125"/>
    </row>
    <row r="3316" spans="1:19">
      <c r="A3316" s="124" t="s">
        <v>5520</v>
      </c>
      <c r="B3316" s="125" t="str">
        <f>IFERROR(VLOOKUP(Proc[[#This Row],[App]],Table2[],3,0),"open")</f>
        <v>open</v>
      </c>
      <c r="C3316" s="124" t="s">
        <v>375</v>
      </c>
      <c r="D3316" t="s">
        <v>5383</v>
      </c>
      <c r="E3316" t="s">
        <v>5501</v>
      </c>
      <c r="F3316" s="125" t="s">
        <v>5494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0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4897</v>
      </c>
      <c r="M3316" s="113">
        <v>45874</v>
      </c>
      <c r="N3316" s="113"/>
      <c r="O3316" s="113"/>
      <c r="P3316" s="115" t="str">
        <f ca="1">IF(Proc[[#This Row],[DaysAgeing]]&gt;5,"yep","on track")</f>
        <v>on track</v>
      </c>
      <c r="Q3316" s="3">
        <f ca="1">IF(Proc[[#This Row],[DateClosed]]="",ABS(NETWORKDAYS(Proc[[#This Row],[DateOpened]],TODAY()))-1,ABS(NETWORKDAYS(Proc[[#This Row],[DateOpened]],Proc[[#This Row],[DateClosed]]))-1)</f>
        <v>1</v>
      </c>
      <c r="R3316" s="115" t="s">
        <v>1459</v>
      </c>
      <c r="S3316" s="125"/>
    </row>
    <row r="3317" spans="1:19">
      <c r="A3317" s="124" t="s">
        <v>5520</v>
      </c>
      <c r="B3317" s="125" t="str">
        <f>IFERROR(VLOOKUP(Proc[[#This Row],[App]],Table2[],3,0),"open")</f>
        <v>open</v>
      </c>
      <c r="C3317" s="124" t="s">
        <v>375</v>
      </c>
      <c r="D3317" t="s">
        <v>5384</v>
      </c>
      <c r="E3317" t="s">
        <v>5494</v>
      </c>
      <c r="F3317" s="125" t="s">
        <v>2570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0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4897</v>
      </c>
      <c r="M3317" s="113">
        <v>45874</v>
      </c>
      <c r="N3317" s="113"/>
      <c r="O3317" s="113"/>
      <c r="P3317" s="115" t="str">
        <f ca="1">IF(Proc[[#This Row],[DaysAgeing]]&gt;5,"yep","on track")</f>
        <v>on track</v>
      </c>
      <c r="Q3317" s="3">
        <f ca="1">IF(Proc[[#This Row],[DateClosed]]="",ABS(NETWORKDAYS(Proc[[#This Row],[DateOpened]],TODAY()))-1,ABS(NETWORKDAYS(Proc[[#This Row],[DateOpened]],Proc[[#This Row],[DateClosed]]))-1)</f>
        <v>1</v>
      </c>
      <c r="R3317" s="115" t="s">
        <v>1459</v>
      </c>
      <c r="S3317" s="125"/>
    </row>
    <row r="3318" spans="1:19">
      <c r="A3318" s="124" t="s">
        <v>5520</v>
      </c>
      <c r="B3318" s="125" t="str">
        <f>IFERROR(VLOOKUP(Proc[[#This Row],[App]],Table2[],3,0),"open")</f>
        <v>open</v>
      </c>
      <c r="C3318" s="124" t="s">
        <v>375</v>
      </c>
      <c r="D3318" t="s">
        <v>5385</v>
      </c>
      <c r="E3318" t="s">
        <v>5494</v>
      </c>
      <c r="F3318" s="125" t="s">
        <v>2570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0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4897</v>
      </c>
      <c r="M3318" s="113">
        <v>45874</v>
      </c>
      <c r="N3318" s="113"/>
      <c r="O3318" s="113"/>
      <c r="P3318" s="115" t="str">
        <f ca="1">IF(Proc[[#This Row],[DaysAgeing]]&gt;5,"yep","on track")</f>
        <v>on track</v>
      </c>
      <c r="Q3318" s="3">
        <f ca="1">IF(Proc[[#This Row],[DateClosed]]="",ABS(NETWORKDAYS(Proc[[#This Row],[DateOpened]],TODAY()))-1,ABS(NETWORKDAYS(Proc[[#This Row],[DateOpened]],Proc[[#This Row],[DateClosed]]))-1)</f>
        <v>1</v>
      </c>
      <c r="R3318" s="115" t="s">
        <v>1459</v>
      </c>
      <c r="S3318" s="125"/>
    </row>
    <row r="3319" spans="1:19">
      <c r="A3319" s="124" t="s">
        <v>5520</v>
      </c>
      <c r="B3319" s="125" t="str">
        <f>IFERROR(VLOOKUP(Proc[[#This Row],[App]],Table2[],3,0),"open")</f>
        <v>open</v>
      </c>
      <c r="C3319" s="124" t="s">
        <v>375</v>
      </c>
      <c r="D3319" t="s">
        <v>5386</v>
      </c>
      <c r="E3319" t="s">
        <v>5494</v>
      </c>
      <c r="F3319" s="125" t="s">
        <v>2570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0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4897</v>
      </c>
      <c r="M3319" s="113">
        <v>45874</v>
      </c>
      <c r="N3319" s="113"/>
      <c r="O3319" s="113"/>
      <c r="P3319" s="115" t="str">
        <f ca="1">IF(Proc[[#This Row],[DaysAgeing]]&gt;5,"yep","on track")</f>
        <v>on track</v>
      </c>
      <c r="Q3319" s="3">
        <f ca="1">IF(Proc[[#This Row],[DateClosed]]="",ABS(NETWORKDAYS(Proc[[#This Row],[DateOpened]],TODAY()))-1,ABS(NETWORKDAYS(Proc[[#This Row],[DateOpened]],Proc[[#This Row],[DateClosed]]))-1)</f>
        <v>1</v>
      </c>
      <c r="R3319" s="115" t="s">
        <v>1459</v>
      </c>
      <c r="S3319" s="125"/>
    </row>
    <row r="3320" spans="1:19">
      <c r="A3320" s="124" t="s">
        <v>5520</v>
      </c>
      <c r="B3320" s="125" t="str">
        <f>IFERROR(VLOOKUP(Proc[[#This Row],[App]],Table2[],3,0),"open")</f>
        <v>open</v>
      </c>
      <c r="C3320" s="124" t="s">
        <v>375</v>
      </c>
      <c r="D3320" t="s">
        <v>5387</v>
      </c>
      <c r="E3320" t="s">
        <v>5494</v>
      </c>
      <c r="F3320" s="125" t="s">
        <v>2570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0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4897</v>
      </c>
      <c r="M3320" s="113">
        <v>45874</v>
      </c>
      <c r="N3320" s="113"/>
      <c r="O3320" s="113"/>
      <c r="P3320" s="115" t="str">
        <f ca="1">IF(Proc[[#This Row],[DaysAgeing]]&gt;5,"yep","on track")</f>
        <v>on track</v>
      </c>
      <c r="Q3320" s="3">
        <f ca="1">IF(Proc[[#This Row],[DateClosed]]="",ABS(NETWORKDAYS(Proc[[#This Row],[DateOpened]],TODAY()))-1,ABS(NETWORKDAYS(Proc[[#This Row],[DateOpened]],Proc[[#This Row],[DateClosed]]))-1)</f>
        <v>1</v>
      </c>
      <c r="R3320" s="115" t="s">
        <v>1459</v>
      </c>
      <c r="S3320" s="125"/>
    </row>
    <row r="3321" spans="1:19">
      <c r="A3321" s="124" t="s">
        <v>5520</v>
      </c>
      <c r="B3321" s="125" t="str">
        <f>IFERROR(VLOOKUP(Proc[[#This Row],[App]],Table2[],3,0),"open")</f>
        <v>open</v>
      </c>
      <c r="C3321" s="124" t="s">
        <v>375</v>
      </c>
      <c r="D3321" t="s">
        <v>5388</v>
      </c>
      <c r="E3321" t="s">
        <v>5494</v>
      </c>
      <c r="F3321" s="125" t="s">
        <v>2570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0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4897</v>
      </c>
      <c r="M3321" s="113">
        <v>45874</v>
      </c>
      <c r="N3321" s="113"/>
      <c r="O3321" s="113"/>
      <c r="P3321" s="115" t="str">
        <f ca="1">IF(Proc[[#This Row],[DaysAgeing]]&gt;5,"yep","on track")</f>
        <v>on track</v>
      </c>
      <c r="Q3321" s="3">
        <f ca="1">IF(Proc[[#This Row],[DateClosed]]="",ABS(NETWORKDAYS(Proc[[#This Row],[DateOpened]],TODAY()))-1,ABS(NETWORKDAYS(Proc[[#This Row],[DateOpened]],Proc[[#This Row],[DateClosed]]))-1)</f>
        <v>1</v>
      </c>
      <c r="R3321" s="115" t="s">
        <v>1459</v>
      </c>
      <c r="S3321" s="125"/>
    </row>
    <row r="3322" spans="1:19">
      <c r="A3322" s="124" t="s">
        <v>5520</v>
      </c>
      <c r="B3322" s="125" t="str">
        <f>IFERROR(VLOOKUP(Proc[[#This Row],[App]],Table2[],3,0),"open")</f>
        <v>open</v>
      </c>
      <c r="C3322" s="124" t="s">
        <v>375</v>
      </c>
      <c r="D3322" t="s">
        <v>5389</v>
      </c>
      <c r="E3322" t="s">
        <v>5494</v>
      </c>
      <c r="F3322" s="125" t="s">
        <v>2570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0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4897</v>
      </c>
      <c r="M3322" s="113">
        <v>45874</v>
      </c>
      <c r="N3322" s="113"/>
      <c r="O3322" s="113"/>
      <c r="P3322" s="115" t="str">
        <f ca="1">IF(Proc[[#This Row],[DaysAgeing]]&gt;5,"yep","on track")</f>
        <v>on track</v>
      </c>
      <c r="Q3322" s="3">
        <f ca="1">IF(Proc[[#This Row],[DateClosed]]="",ABS(NETWORKDAYS(Proc[[#This Row],[DateOpened]],TODAY()))-1,ABS(NETWORKDAYS(Proc[[#This Row],[DateOpened]],Proc[[#This Row],[DateClosed]]))-1)</f>
        <v>1</v>
      </c>
      <c r="R3322" s="115" t="s">
        <v>1459</v>
      </c>
      <c r="S3322" s="125"/>
    </row>
    <row r="3323" spans="1:19">
      <c r="A3323" s="124" t="s">
        <v>5520</v>
      </c>
      <c r="B3323" s="125" t="str">
        <f>IFERROR(VLOOKUP(Proc[[#This Row],[App]],Table2[],3,0),"open")</f>
        <v>open</v>
      </c>
      <c r="C3323" s="124" t="s">
        <v>375</v>
      </c>
      <c r="D3323" t="s">
        <v>5390</v>
      </c>
      <c r="E3323" t="s">
        <v>5494</v>
      </c>
      <c r="F3323" s="125" t="s">
        <v>2570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0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4897</v>
      </c>
      <c r="M3323" s="113">
        <v>45874</v>
      </c>
      <c r="N3323" s="113"/>
      <c r="O3323" s="113"/>
      <c r="P3323" s="115" t="str">
        <f ca="1">IF(Proc[[#This Row],[DaysAgeing]]&gt;5,"yep","on track")</f>
        <v>on track</v>
      </c>
      <c r="Q3323" s="3">
        <f ca="1">IF(Proc[[#This Row],[DateClosed]]="",ABS(NETWORKDAYS(Proc[[#This Row],[DateOpened]],TODAY()))-1,ABS(NETWORKDAYS(Proc[[#This Row],[DateOpened]],Proc[[#This Row],[DateClosed]]))-1)</f>
        <v>1</v>
      </c>
      <c r="R3323" s="115" t="s">
        <v>1459</v>
      </c>
      <c r="S3323" s="125"/>
    </row>
    <row r="3324" spans="1:19">
      <c r="A3324" s="124" t="s">
        <v>5520</v>
      </c>
      <c r="B3324" s="125" t="str">
        <f>IFERROR(VLOOKUP(Proc[[#This Row],[App]],Table2[],3,0),"open")</f>
        <v>open</v>
      </c>
      <c r="C3324" s="124" t="s">
        <v>375</v>
      </c>
      <c r="D3324" t="s">
        <v>5391</v>
      </c>
      <c r="E3324" t="s">
        <v>5492</v>
      </c>
      <c r="F3324" s="125" t="s">
        <v>5504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0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4897</v>
      </c>
      <c r="M3324" s="113">
        <v>45874</v>
      </c>
      <c r="N3324" s="113"/>
      <c r="O3324" s="113"/>
      <c r="P3324" s="115" t="str">
        <f ca="1">IF(Proc[[#This Row],[DaysAgeing]]&gt;5,"yep","on track")</f>
        <v>on track</v>
      </c>
      <c r="Q3324" s="3">
        <f ca="1">IF(Proc[[#This Row],[DateClosed]]="",ABS(NETWORKDAYS(Proc[[#This Row],[DateOpened]],TODAY()))-1,ABS(NETWORKDAYS(Proc[[#This Row],[DateOpened]],Proc[[#This Row],[DateClosed]]))-1)</f>
        <v>1</v>
      </c>
      <c r="R3324" s="115" t="s">
        <v>1459</v>
      </c>
      <c r="S3324" s="125"/>
    </row>
    <row r="3325" spans="1:19">
      <c r="A3325" s="124" t="s">
        <v>5520</v>
      </c>
      <c r="B3325" s="125" t="str">
        <f>IFERROR(VLOOKUP(Proc[[#This Row],[App]],Table2[],3,0),"open")</f>
        <v>open</v>
      </c>
      <c r="C3325" s="124" t="s">
        <v>375</v>
      </c>
      <c r="D3325" t="s">
        <v>5392</v>
      </c>
      <c r="E3325" t="s">
        <v>5491</v>
      </c>
      <c r="F3325" s="125" t="s">
        <v>5504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0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4897</v>
      </c>
      <c r="M3325" s="113">
        <v>45874</v>
      </c>
      <c r="N3325" s="113"/>
      <c r="O3325" s="113"/>
      <c r="P3325" s="115" t="str">
        <f ca="1">IF(Proc[[#This Row],[DaysAgeing]]&gt;5,"yep","on track")</f>
        <v>on track</v>
      </c>
      <c r="Q3325" s="3">
        <f ca="1">IF(Proc[[#This Row],[DateClosed]]="",ABS(NETWORKDAYS(Proc[[#This Row],[DateOpened]],TODAY()))-1,ABS(NETWORKDAYS(Proc[[#This Row],[DateOpened]],Proc[[#This Row],[DateClosed]]))-1)</f>
        <v>1</v>
      </c>
      <c r="R3325" s="115" t="s">
        <v>1459</v>
      </c>
      <c r="S3325" s="125"/>
    </row>
    <row r="3326" spans="1:19">
      <c r="A3326" s="124" t="s">
        <v>5520</v>
      </c>
      <c r="B3326" s="125" t="str">
        <f>IFERROR(VLOOKUP(Proc[[#This Row],[App]],Table2[],3,0),"open")</f>
        <v>open</v>
      </c>
      <c r="C3326" s="124" t="s">
        <v>375</v>
      </c>
      <c r="D3326" t="s">
        <v>5393</v>
      </c>
      <c r="E3326" t="s">
        <v>5492</v>
      </c>
      <c r="F3326" s="125" t="s">
        <v>5539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0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4897</v>
      </c>
      <c r="M3326" s="113">
        <v>45874</v>
      </c>
      <c r="N3326" s="113"/>
      <c r="O3326" s="113"/>
      <c r="P3326" s="115" t="str">
        <f ca="1">IF(Proc[[#This Row],[DaysAgeing]]&gt;5,"yep","on track")</f>
        <v>on track</v>
      </c>
      <c r="Q3326" s="3">
        <f ca="1">IF(Proc[[#This Row],[DateClosed]]="",ABS(NETWORKDAYS(Proc[[#This Row],[DateOpened]],TODAY()))-1,ABS(NETWORKDAYS(Proc[[#This Row],[DateOpened]],Proc[[#This Row],[DateClosed]]))-1)</f>
        <v>1</v>
      </c>
      <c r="R3326" s="115" t="s">
        <v>1459</v>
      </c>
      <c r="S3326" s="125"/>
    </row>
    <row r="3327" spans="1:19">
      <c r="A3327" s="124" t="s">
        <v>5520</v>
      </c>
      <c r="B3327" s="125" t="str">
        <f>IFERROR(VLOOKUP(Proc[[#This Row],[App]],Table2[],3,0),"open")</f>
        <v>open</v>
      </c>
      <c r="C3327" s="124" t="s">
        <v>375</v>
      </c>
      <c r="D3327" t="s">
        <v>5394</v>
      </c>
      <c r="E3327" t="s">
        <v>5492</v>
      </c>
      <c r="F3327" s="125" t="s">
        <v>5553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0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4897</v>
      </c>
      <c r="M3327" s="113">
        <v>45874</v>
      </c>
      <c r="N3327" s="113"/>
      <c r="O3327" s="113"/>
      <c r="P3327" s="115" t="str">
        <f ca="1">IF(Proc[[#This Row],[DaysAgeing]]&gt;5,"yep","on track")</f>
        <v>on track</v>
      </c>
      <c r="Q3327" s="3">
        <f ca="1">IF(Proc[[#This Row],[DateClosed]]="",ABS(NETWORKDAYS(Proc[[#This Row],[DateOpened]],TODAY()))-1,ABS(NETWORKDAYS(Proc[[#This Row],[DateOpened]],Proc[[#This Row],[DateClosed]]))-1)</f>
        <v>1</v>
      </c>
      <c r="R3327" s="115" t="s">
        <v>1459</v>
      </c>
      <c r="S3327" s="125"/>
    </row>
    <row r="3328" spans="1:19">
      <c r="A3328" s="124" t="s">
        <v>5520</v>
      </c>
      <c r="B3328" s="125" t="str">
        <f>IFERROR(VLOOKUP(Proc[[#This Row],[App]],Table2[],3,0),"open")</f>
        <v>open</v>
      </c>
      <c r="C3328" s="124" t="s">
        <v>375</v>
      </c>
      <c r="D3328" t="s">
        <v>5395</v>
      </c>
      <c r="E3328" t="s">
        <v>5492</v>
      </c>
      <c r="F3328" s="125" t="s">
        <v>5554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0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4897</v>
      </c>
      <c r="M3328" s="113">
        <v>45874</v>
      </c>
      <c r="N3328" s="113"/>
      <c r="O3328" s="113"/>
      <c r="P3328" s="115" t="str">
        <f ca="1">IF(Proc[[#This Row],[DaysAgeing]]&gt;5,"yep","on track")</f>
        <v>on track</v>
      </c>
      <c r="Q3328" s="3">
        <f ca="1">IF(Proc[[#This Row],[DateClosed]]="",ABS(NETWORKDAYS(Proc[[#This Row],[DateOpened]],TODAY()))-1,ABS(NETWORKDAYS(Proc[[#This Row],[DateOpened]],Proc[[#This Row],[DateClosed]]))-1)</f>
        <v>1</v>
      </c>
      <c r="R3328" s="115" t="s">
        <v>1459</v>
      </c>
      <c r="S3328" s="125"/>
    </row>
    <row r="3329" spans="1:19">
      <c r="A3329" s="124" t="s">
        <v>5520</v>
      </c>
      <c r="B3329" s="125" t="str">
        <f>IFERROR(VLOOKUP(Proc[[#This Row],[App]],Table2[],3,0),"open")</f>
        <v>open</v>
      </c>
      <c r="C3329" s="124" t="s">
        <v>375</v>
      </c>
      <c r="D3329" t="s">
        <v>5396</v>
      </c>
      <c r="E3329" t="s">
        <v>5492</v>
      </c>
      <c r="F3329" s="125" t="s">
        <v>5555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0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4897</v>
      </c>
      <c r="M3329" s="113">
        <v>45874</v>
      </c>
      <c r="N3329" s="113"/>
      <c r="O3329" s="113"/>
      <c r="P3329" s="115" t="str">
        <f ca="1">IF(Proc[[#This Row],[DaysAgeing]]&gt;5,"yep","on track")</f>
        <v>on track</v>
      </c>
      <c r="Q3329" s="3">
        <f ca="1">IF(Proc[[#This Row],[DateClosed]]="",ABS(NETWORKDAYS(Proc[[#This Row],[DateOpened]],TODAY()))-1,ABS(NETWORKDAYS(Proc[[#This Row],[DateOpened]],Proc[[#This Row],[DateClosed]]))-1)</f>
        <v>1</v>
      </c>
      <c r="R3329" s="115" t="s">
        <v>1459</v>
      </c>
      <c r="S3329" s="125"/>
    </row>
    <row r="3330" spans="1:19" hidden="1">
      <c r="A3330" s="124" t="s">
        <v>5520</v>
      </c>
      <c r="B3330" s="125" t="str">
        <f>IFERROR(VLOOKUP(Proc[[#This Row],[App]],Table2[],3,0),"open")</f>
        <v>open</v>
      </c>
      <c r="C3330" s="124" t="s">
        <v>370</v>
      </c>
      <c r="D3330" t="s">
        <v>5397</v>
      </c>
      <c r="E3330" t="s">
        <v>5488</v>
      </c>
      <c r="F3330" s="125" t="s">
        <v>5536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0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4897</v>
      </c>
      <c r="M3330" s="113">
        <v>45874</v>
      </c>
      <c r="N3330" s="113"/>
      <c r="O3330" s="113"/>
      <c r="P3330" s="115" t="str">
        <f ca="1">IF(Proc[[#This Row],[DaysAgeing]]&gt;5,"yep","on track")</f>
        <v>on track</v>
      </c>
      <c r="Q3330" s="3">
        <f ca="1">IF(Proc[[#This Row],[DateClosed]]="",ABS(NETWORKDAYS(Proc[[#This Row],[DateOpened]],TODAY()))-1,ABS(NETWORKDAYS(Proc[[#This Row],[DateOpened]],Proc[[#This Row],[DateClosed]]))-1)</f>
        <v>1</v>
      </c>
      <c r="R3330" s="115" t="s">
        <v>1459</v>
      </c>
      <c r="S3330" s="125"/>
    </row>
    <row r="3331" spans="1:19">
      <c r="A3331" s="124" t="s">
        <v>5520</v>
      </c>
      <c r="B3331" s="125" t="str">
        <f>IFERROR(VLOOKUP(Proc[[#This Row],[App]],Table2[],3,0),"open")</f>
        <v>open</v>
      </c>
      <c r="C3331" s="124" t="s">
        <v>375</v>
      </c>
      <c r="D3331" t="s">
        <v>5398</v>
      </c>
      <c r="E3331" t="s">
        <v>5488</v>
      </c>
      <c r="F3331" s="125" t="s">
        <v>5536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0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4897</v>
      </c>
      <c r="M3331" s="113">
        <v>45874</v>
      </c>
      <c r="N3331" s="113"/>
      <c r="O3331" s="113"/>
      <c r="P3331" s="115" t="str">
        <f ca="1">IF(Proc[[#This Row],[DaysAgeing]]&gt;5,"yep","on track")</f>
        <v>on track</v>
      </c>
      <c r="Q3331" s="3">
        <f ca="1">IF(Proc[[#This Row],[DateClosed]]="",ABS(NETWORKDAYS(Proc[[#This Row],[DateOpened]],TODAY()))-1,ABS(NETWORKDAYS(Proc[[#This Row],[DateOpened]],Proc[[#This Row],[DateClosed]]))-1)</f>
        <v>1</v>
      </c>
      <c r="R3331" s="115" t="s">
        <v>1459</v>
      </c>
      <c r="S3331" s="125"/>
    </row>
    <row r="3332" spans="1:19" hidden="1">
      <c r="A3332" s="124" t="s">
        <v>5520</v>
      </c>
      <c r="B3332" s="125" t="str">
        <f>IFERROR(VLOOKUP(Proc[[#This Row],[App]],Table2[],3,0),"open")</f>
        <v>open</v>
      </c>
      <c r="C3332" s="124" t="s">
        <v>370</v>
      </c>
      <c r="D3332" t="s">
        <v>5399</v>
      </c>
      <c r="E3332" t="s">
        <v>5494</v>
      </c>
      <c r="F3332" s="125" t="s">
        <v>5556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0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4897</v>
      </c>
      <c r="M3332" s="113">
        <v>45874</v>
      </c>
      <c r="N3332" s="113"/>
      <c r="O3332" s="113"/>
      <c r="P3332" s="115" t="str">
        <f ca="1">IF(Proc[[#This Row],[DaysAgeing]]&gt;5,"yep","on track")</f>
        <v>on track</v>
      </c>
      <c r="Q3332" s="3">
        <f ca="1">IF(Proc[[#This Row],[DateClosed]]="",ABS(NETWORKDAYS(Proc[[#This Row],[DateOpened]],TODAY()))-1,ABS(NETWORKDAYS(Proc[[#This Row],[DateOpened]],Proc[[#This Row],[DateClosed]]))-1)</f>
        <v>1</v>
      </c>
      <c r="R3332" s="115" t="s">
        <v>1459</v>
      </c>
      <c r="S3332" s="125"/>
    </row>
    <row r="3333" spans="1:19">
      <c r="A3333" s="124" t="s">
        <v>5520</v>
      </c>
      <c r="B3333" s="125" t="str">
        <f>IFERROR(VLOOKUP(Proc[[#This Row],[App]],Table2[],3,0),"open")</f>
        <v>open</v>
      </c>
      <c r="C3333" s="124" t="s">
        <v>375</v>
      </c>
      <c r="D3333" t="s">
        <v>5400</v>
      </c>
      <c r="E3333" t="s">
        <v>5509</v>
      </c>
      <c r="F3333" s="125" t="s">
        <v>2570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0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4897</v>
      </c>
      <c r="M3333" s="113">
        <v>45874</v>
      </c>
      <c r="N3333" s="113"/>
      <c r="O3333" s="113"/>
      <c r="P3333" s="115" t="str">
        <f ca="1">IF(Proc[[#This Row],[DaysAgeing]]&gt;5,"yep","on track")</f>
        <v>on track</v>
      </c>
      <c r="Q3333" s="3">
        <f ca="1">IF(Proc[[#This Row],[DateClosed]]="",ABS(NETWORKDAYS(Proc[[#This Row],[DateOpened]],TODAY()))-1,ABS(NETWORKDAYS(Proc[[#This Row],[DateOpened]],Proc[[#This Row],[DateClosed]]))-1)</f>
        <v>1</v>
      </c>
      <c r="R3333" s="115" t="s">
        <v>1459</v>
      </c>
      <c r="S3333" s="125"/>
    </row>
    <row r="3334" spans="1:19">
      <c r="A3334" s="124" t="s">
        <v>5520</v>
      </c>
      <c r="B3334" s="125" t="str">
        <f>IFERROR(VLOOKUP(Proc[[#This Row],[App]],Table2[],3,0),"open")</f>
        <v>open</v>
      </c>
      <c r="C3334" s="124" t="s">
        <v>375</v>
      </c>
      <c r="D3334" t="s">
        <v>5401</v>
      </c>
      <c r="E3334" t="s">
        <v>5510</v>
      </c>
      <c r="F3334" s="125" t="s">
        <v>2570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0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4897</v>
      </c>
      <c r="M3334" s="113">
        <v>45874</v>
      </c>
      <c r="N3334" s="113"/>
      <c r="O3334" s="113"/>
      <c r="P3334" s="115" t="str">
        <f ca="1">IF(Proc[[#This Row],[DaysAgeing]]&gt;5,"yep","on track")</f>
        <v>on track</v>
      </c>
      <c r="Q3334" s="3">
        <f ca="1">IF(Proc[[#This Row],[DateClosed]]="",ABS(NETWORKDAYS(Proc[[#This Row],[DateOpened]],TODAY()))-1,ABS(NETWORKDAYS(Proc[[#This Row],[DateOpened]],Proc[[#This Row],[DateClosed]]))-1)</f>
        <v>1</v>
      </c>
      <c r="R3334" s="115" t="s">
        <v>1459</v>
      </c>
      <c r="S3334" s="125"/>
    </row>
    <row r="3335" spans="1:19" hidden="1">
      <c r="A3335" s="124" t="s">
        <v>5520</v>
      </c>
      <c r="B3335" s="125" t="str">
        <f>IFERROR(VLOOKUP(Proc[[#This Row],[App]],Table2[],3,0),"open")</f>
        <v>open</v>
      </c>
      <c r="C3335" s="124" t="s">
        <v>370</v>
      </c>
      <c r="D3335" t="s">
        <v>5402</v>
      </c>
      <c r="E3335" t="s">
        <v>5487</v>
      </c>
      <c r="F3335" s="125" t="s">
        <v>5557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0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4897</v>
      </c>
      <c r="M3335" s="113">
        <v>45874</v>
      </c>
      <c r="N3335" s="113"/>
      <c r="O3335" s="113"/>
      <c r="P3335" s="115" t="str">
        <f ca="1">IF(Proc[[#This Row],[DaysAgeing]]&gt;5,"yep","on track")</f>
        <v>on track</v>
      </c>
      <c r="Q3335" s="3">
        <f ca="1">IF(Proc[[#This Row],[DateClosed]]="",ABS(NETWORKDAYS(Proc[[#This Row],[DateOpened]],TODAY()))-1,ABS(NETWORKDAYS(Proc[[#This Row],[DateOpened]],Proc[[#This Row],[DateClosed]]))-1)</f>
        <v>1</v>
      </c>
      <c r="R3335" s="115" t="s">
        <v>1459</v>
      </c>
      <c r="S3335" s="125"/>
    </row>
    <row r="3336" spans="1:19" hidden="1">
      <c r="A3336" s="124" t="s">
        <v>5520</v>
      </c>
      <c r="B3336" s="125" t="str">
        <f>IFERROR(VLOOKUP(Proc[[#This Row],[App]],Table2[],3,0),"open")</f>
        <v>open</v>
      </c>
      <c r="C3336" s="124" t="s">
        <v>370</v>
      </c>
      <c r="D3336" t="s">
        <v>5403</v>
      </c>
      <c r="E3336" t="s">
        <v>5491</v>
      </c>
      <c r="F3336" s="125" t="s">
        <v>5544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0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4897</v>
      </c>
      <c r="M3336" s="113">
        <v>45874</v>
      </c>
      <c r="N3336" s="113"/>
      <c r="O3336" s="113"/>
      <c r="P3336" s="115" t="str">
        <f ca="1">IF(Proc[[#This Row],[DaysAgeing]]&gt;5,"yep","on track")</f>
        <v>on track</v>
      </c>
      <c r="Q3336" s="3">
        <f ca="1">IF(Proc[[#This Row],[DateClosed]]="",ABS(NETWORKDAYS(Proc[[#This Row],[DateOpened]],TODAY()))-1,ABS(NETWORKDAYS(Proc[[#This Row],[DateOpened]],Proc[[#This Row],[DateClosed]]))-1)</f>
        <v>1</v>
      </c>
      <c r="R3336" s="115" t="s">
        <v>1459</v>
      </c>
      <c r="S3336" s="125"/>
    </row>
    <row r="3337" spans="1:19" hidden="1">
      <c r="A3337" s="124" t="s">
        <v>5520</v>
      </c>
      <c r="B3337" s="125" t="str">
        <f>IFERROR(VLOOKUP(Proc[[#This Row],[App]],Table2[],3,0),"open")</f>
        <v>open</v>
      </c>
      <c r="C3337" s="124" t="s">
        <v>370</v>
      </c>
      <c r="D3337" t="s">
        <v>5404</v>
      </c>
      <c r="E3337" t="s">
        <v>5491</v>
      </c>
      <c r="F3337" s="125" t="s">
        <v>5544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0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4897</v>
      </c>
      <c r="M3337" s="113">
        <v>45874</v>
      </c>
      <c r="N3337" s="113"/>
      <c r="O3337" s="113"/>
      <c r="P3337" s="115" t="str">
        <f ca="1">IF(Proc[[#This Row],[DaysAgeing]]&gt;5,"yep","on track")</f>
        <v>on track</v>
      </c>
      <c r="Q3337" s="3">
        <f ca="1">IF(Proc[[#This Row],[DateClosed]]="",ABS(NETWORKDAYS(Proc[[#This Row],[DateOpened]],TODAY()))-1,ABS(NETWORKDAYS(Proc[[#This Row],[DateOpened]],Proc[[#This Row],[DateClosed]]))-1)</f>
        <v>1</v>
      </c>
      <c r="R3337" s="115" t="s">
        <v>1459</v>
      </c>
      <c r="S3337" s="125"/>
    </row>
    <row r="3338" spans="1:19" hidden="1">
      <c r="A3338" s="124" t="s">
        <v>5520</v>
      </c>
      <c r="B3338" s="125" t="str">
        <f>IFERROR(VLOOKUP(Proc[[#This Row],[App]],Table2[],3,0),"open")</f>
        <v>open</v>
      </c>
      <c r="C3338" s="124" t="s">
        <v>370</v>
      </c>
      <c r="D3338" t="s">
        <v>5405</v>
      </c>
      <c r="E3338" t="s">
        <v>5499</v>
      </c>
      <c r="F3338" s="125" t="s">
        <v>5558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0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4897</v>
      </c>
      <c r="M3338" s="113">
        <v>45874</v>
      </c>
      <c r="N3338" s="113"/>
      <c r="O3338" s="113"/>
      <c r="P3338" s="115" t="str">
        <f ca="1">IF(Proc[[#This Row],[DaysAgeing]]&gt;5,"yep","on track")</f>
        <v>on track</v>
      </c>
      <c r="Q3338" s="3">
        <f ca="1">IF(Proc[[#This Row],[DateClosed]]="",ABS(NETWORKDAYS(Proc[[#This Row],[DateOpened]],TODAY()))-1,ABS(NETWORKDAYS(Proc[[#This Row],[DateOpened]],Proc[[#This Row],[DateClosed]]))-1)</f>
        <v>1</v>
      </c>
      <c r="R3338" s="115" t="s">
        <v>1459</v>
      </c>
      <c r="S3338" s="125"/>
    </row>
    <row r="3339" spans="1:19" hidden="1">
      <c r="A3339" s="124" t="s">
        <v>5520</v>
      </c>
      <c r="B3339" s="125" t="str">
        <f>IFERROR(VLOOKUP(Proc[[#This Row],[App]],Table2[],3,0),"open")</f>
        <v>open</v>
      </c>
      <c r="C3339" s="124" t="s">
        <v>370</v>
      </c>
      <c r="D3339" t="s">
        <v>5406</v>
      </c>
      <c r="E3339" t="s">
        <v>5488</v>
      </c>
      <c r="F3339" s="125" t="s">
        <v>5536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0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4897</v>
      </c>
      <c r="M3339" s="113">
        <v>45874</v>
      </c>
      <c r="N3339" s="113"/>
      <c r="O3339" s="113"/>
      <c r="P3339" s="115" t="str">
        <f ca="1">IF(Proc[[#This Row],[DaysAgeing]]&gt;5,"yep","on track")</f>
        <v>on track</v>
      </c>
      <c r="Q3339" s="3">
        <f ca="1">IF(Proc[[#This Row],[DateClosed]]="",ABS(NETWORKDAYS(Proc[[#This Row],[DateOpened]],TODAY()))-1,ABS(NETWORKDAYS(Proc[[#This Row],[DateOpened]],Proc[[#This Row],[DateClosed]]))-1)</f>
        <v>1</v>
      </c>
      <c r="R3339" s="115" t="s">
        <v>1459</v>
      </c>
      <c r="S3339" s="125"/>
    </row>
    <row r="3340" spans="1:19" hidden="1">
      <c r="A3340" s="124" t="s">
        <v>5520</v>
      </c>
      <c r="B3340" s="125" t="str">
        <f>IFERROR(VLOOKUP(Proc[[#This Row],[App]],Table2[],3,0),"open")</f>
        <v>open</v>
      </c>
      <c r="C3340" s="124" t="s">
        <v>370</v>
      </c>
      <c r="D3340" t="s">
        <v>5407</v>
      </c>
      <c r="E3340" t="s">
        <v>5511</v>
      </c>
      <c r="F3340" s="125" t="s">
        <v>2570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0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4897</v>
      </c>
      <c r="M3340" s="113">
        <v>45874</v>
      </c>
      <c r="N3340" s="113"/>
      <c r="O3340" s="113"/>
      <c r="P3340" s="115" t="str">
        <f ca="1">IF(Proc[[#This Row],[DaysAgeing]]&gt;5,"yep","on track")</f>
        <v>on track</v>
      </c>
      <c r="Q3340" s="3">
        <f ca="1">IF(Proc[[#This Row],[DateClosed]]="",ABS(NETWORKDAYS(Proc[[#This Row],[DateOpened]],TODAY()))-1,ABS(NETWORKDAYS(Proc[[#This Row],[DateOpened]],Proc[[#This Row],[DateClosed]]))-1)</f>
        <v>1</v>
      </c>
      <c r="R3340" s="115" t="s">
        <v>1459</v>
      </c>
      <c r="S3340" s="125"/>
    </row>
    <row r="3341" spans="1:19" hidden="1">
      <c r="A3341" s="124" t="s">
        <v>5520</v>
      </c>
      <c r="B3341" s="125" t="str">
        <f>IFERROR(VLOOKUP(Proc[[#This Row],[App]],Table2[],3,0),"open")</f>
        <v>open</v>
      </c>
      <c r="C3341" s="124" t="s">
        <v>370</v>
      </c>
      <c r="D3341" t="s">
        <v>5408</v>
      </c>
      <c r="E3341" t="s">
        <v>5498</v>
      </c>
      <c r="F3341" s="125" t="s">
        <v>3187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0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4897</v>
      </c>
      <c r="M3341" s="113">
        <v>45874</v>
      </c>
      <c r="N3341" s="113"/>
      <c r="O3341" s="113"/>
      <c r="P3341" s="115" t="str">
        <f ca="1">IF(Proc[[#This Row],[DaysAgeing]]&gt;5,"yep","on track")</f>
        <v>on track</v>
      </c>
      <c r="Q3341" s="3">
        <f ca="1">IF(Proc[[#This Row],[DateClosed]]="",ABS(NETWORKDAYS(Proc[[#This Row],[DateOpened]],TODAY()))-1,ABS(NETWORKDAYS(Proc[[#This Row],[DateOpened]],Proc[[#This Row],[DateClosed]]))-1)</f>
        <v>1</v>
      </c>
      <c r="R3341" s="115" t="s">
        <v>1459</v>
      </c>
      <c r="S3341" s="125"/>
    </row>
    <row r="3342" spans="1:19" hidden="1">
      <c r="A3342" s="124" t="s">
        <v>5520</v>
      </c>
      <c r="B3342" s="125" t="str">
        <f>IFERROR(VLOOKUP(Proc[[#This Row],[App]],Table2[],3,0),"open")</f>
        <v>open</v>
      </c>
      <c r="C3342" s="124" t="s">
        <v>370</v>
      </c>
      <c r="D3342" t="s">
        <v>5409</v>
      </c>
      <c r="E3342" t="s">
        <v>5494</v>
      </c>
      <c r="F3342" s="125" t="s">
        <v>5540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0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4897</v>
      </c>
      <c r="M3342" s="113">
        <v>45874</v>
      </c>
      <c r="N3342" s="113"/>
      <c r="O3342" s="113"/>
      <c r="P3342" s="115" t="str">
        <f ca="1">IF(Proc[[#This Row],[DaysAgeing]]&gt;5,"yep","on track")</f>
        <v>on track</v>
      </c>
      <c r="Q3342" s="3">
        <f ca="1">IF(Proc[[#This Row],[DateClosed]]="",ABS(NETWORKDAYS(Proc[[#This Row],[DateOpened]],TODAY()))-1,ABS(NETWORKDAYS(Proc[[#This Row],[DateOpened]],Proc[[#This Row],[DateClosed]]))-1)</f>
        <v>1</v>
      </c>
      <c r="R3342" s="115" t="s">
        <v>1459</v>
      </c>
      <c r="S3342" s="125"/>
    </row>
    <row r="3343" spans="1:19">
      <c r="A3343" s="124" t="s">
        <v>5520</v>
      </c>
      <c r="B3343" s="125" t="str">
        <f>IFERROR(VLOOKUP(Proc[[#This Row],[App]],Table2[],3,0),"open")</f>
        <v>open</v>
      </c>
      <c r="C3343" s="124" t="s">
        <v>375</v>
      </c>
      <c r="D3343" t="s">
        <v>5410</v>
      </c>
      <c r="E3343" t="s">
        <v>661</v>
      </c>
      <c r="F3343" s="125" t="s">
        <v>5551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0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4897</v>
      </c>
      <c r="M3343" s="113">
        <v>45874</v>
      </c>
      <c r="N3343" s="113"/>
      <c r="O3343" s="113"/>
      <c r="P3343" s="115" t="str">
        <f ca="1">IF(Proc[[#This Row],[DaysAgeing]]&gt;5,"yep","on track")</f>
        <v>on track</v>
      </c>
      <c r="Q3343" s="3">
        <f ca="1">IF(Proc[[#This Row],[DateClosed]]="",ABS(NETWORKDAYS(Proc[[#This Row],[DateOpened]],TODAY()))-1,ABS(NETWORKDAYS(Proc[[#This Row],[DateOpened]],Proc[[#This Row],[DateClosed]]))-1)</f>
        <v>1</v>
      </c>
      <c r="R3343" s="115" t="s">
        <v>1459</v>
      </c>
      <c r="S3343" s="125"/>
    </row>
    <row r="3344" spans="1:19">
      <c r="A3344" s="124" t="s">
        <v>5520</v>
      </c>
      <c r="B3344" s="125" t="str">
        <f>IFERROR(VLOOKUP(Proc[[#This Row],[App]],Table2[],3,0),"open")</f>
        <v>open</v>
      </c>
      <c r="C3344" s="124" t="s">
        <v>375</v>
      </c>
      <c r="D3344" t="s">
        <v>5411</v>
      </c>
      <c r="E3344" t="s">
        <v>5486</v>
      </c>
      <c r="F3344" s="125" t="s">
        <v>859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0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4897</v>
      </c>
      <c r="M3344" s="113">
        <v>45874</v>
      </c>
      <c r="N3344" s="113"/>
      <c r="O3344" s="113"/>
      <c r="P3344" s="115" t="str">
        <f ca="1">IF(Proc[[#This Row],[DaysAgeing]]&gt;5,"yep","on track")</f>
        <v>on track</v>
      </c>
      <c r="Q3344" s="3">
        <f ca="1">IF(Proc[[#This Row],[DateClosed]]="",ABS(NETWORKDAYS(Proc[[#This Row],[DateOpened]],TODAY()))-1,ABS(NETWORKDAYS(Proc[[#This Row],[DateOpened]],Proc[[#This Row],[DateClosed]]))-1)</f>
        <v>1</v>
      </c>
      <c r="R3344" s="115" t="s">
        <v>1459</v>
      </c>
      <c r="S3344" s="125"/>
    </row>
    <row r="3345" spans="1:19" hidden="1">
      <c r="A3345" s="124" t="s">
        <v>5520</v>
      </c>
      <c r="B3345" s="125" t="str">
        <f>IFERROR(VLOOKUP(Proc[[#This Row],[App]],Table2[],3,0),"open")</f>
        <v>open</v>
      </c>
      <c r="C3345" s="124" t="s">
        <v>370</v>
      </c>
      <c r="D3345" t="s">
        <v>5412</v>
      </c>
      <c r="E3345" t="s">
        <v>5487</v>
      </c>
      <c r="F3345" s="125" t="s">
        <v>5535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0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4897</v>
      </c>
      <c r="M3345" s="113">
        <v>45874</v>
      </c>
      <c r="N3345" s="113"/>
      <c r="O3345" s="113"/>
      <c r="P3345" s="115" t="str">
        <f ca="1">IF(Proc[[#This Row],[DaysAgeing]]&gt;5,"yep","on track")</f>
        <v>on track</v>
      </c>
      <c r="Q3345" s="3">
        <f ca="1">IF(Proc[[#This Row],[DateClosed]]="",ABS(NETWORKDAYS(Proc[[#This Row],[DateOpened]],TODAY()))-1,ABS(NETWORKDAYS(Proc[[#This Row],[DateOpened]],Proc[[#This Row],[DateClosed]]))-1)</f>
        <v>1</v>
      </c>
      <c r="R3345" s="115" t="s">
        <v>1459</v>
      </c>
      <c r="S3345" s="125"/>
    </row>
    <row r="3346" spans="1:19" hidden="1">
      <c r="A3346" s="124" t="s">
        <v>5520</v>
      </c>
      <c r="B3346" s="125" t="str">
        <f>IFERROR(VLOOKUP(Proc[[#This Row],[App]],Table2[],3,0),"open")</f>
        <v>open</v>
      </c>
      <c r="C3346" s="124" t="s">
        <v>370</v>
      </c>
      <c r="D3346" t="s">
        <v>5413</v>
      </c>
      <c r="E3346" t="s">
        <v>5488</v>
      </c>
      <c r="F3346" s="125" t="s">
        <v>5536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0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4897</v>
      </c>
      <c r="M3346" s="113">
        <v>45874</v>
      </c>
      <c r="N3346" s="113"/>
      <c r="O3346" s="113"/>
      <c r="P3346" s="115" t="str">
        <f ca="1">IF(Proc[[#This Row],[DaysAgeing]]&gt;5,"yep","on track")</f>
        <v>on track</v>
      </c>
      <c r="Q3346" s="3">
        <f ca="1">IF(Proc[[#This Row],[DateClosed]]="",ABS(NETWORKDAYS(Proc[[#This Row],[DateOpened]],TODAY()))-1,ABS(NETWORKDAYS(Proc[[#This Row],[DateOpened]],Proc[[#This Row],[DateClosed]]))-1)</f>
        <v>1</v>
      </c>
      <c r="R3346" s="115" t="s">
        <v>1459</v>
      </c>
      <c r="S3346" s="125"/>
    </row>
    <row r="3347" spans="1:19">
      <c r="A3347" s="124" t="s">
        <v>5520</v>
      </c>
      <c r="B3347" s="125" t="str">
        <f>IFERROR(VLOOKUP(Proc[[#This Row],[App]],Table2[],3,0),"open")</f>
        <v>open</v>
      </c>
      <c r="C3347" s="124" t="s">
        <v>375</v>
      </c>
      <c r="D3347" t="s">
        <v>2569</v>
      </c>
      <c r="E3347" t="s">
        <v>5495</v>
      </c>
      <c r="F3347" s="125" t="s">
        <v>2570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0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4897</v>
      </c>
      <c r="M3347" s="113">
        <v>45874</v>
      </c>
      <c r="N3347" s="113"/>
      <c r="O3347" s="113"/>
      <c r="P3347" s="115" t="str">
        <f ca="1">IF(Proc[[#This Row],[DaysAgeing]]&gt;5,"yep","on track")</f>
        <v>on track</v>
      </c>
      <c r="Q3347" s="3">
        <f ca="1">IF(Proc[[#This Row],[DateClosed]]="",ABS(NETWORKDAYS(Proc[[#This Row],[DateOpened]],TODAY()))-1,ABS(NETWORKDAYS(Proc[[#This Row],[DateOpened]],Proc[[#This Row],[DateClosed]]))-1)</f>
        <v>1</v>
      </c>
      <c r="R3347" s="115" t="s">
        <v>1459</v>
      </c>
      <c r="S3347" s="125"/>
    </row>
    <row r="3348" spans="1:19">
      <c r="A3348" s="124" t="s">
        <v>5520</v>
      </c>
      <c r="B3348" s="125" t="str">
        <f>IFERROR(VLOOKUP(Proc[[#This Row],[App]],Table2[],3,0),"open")</f>
        <v>open</v>
      </c>
      <c r="C3348" s="124" t="s">
        <v>375</v>
      </c>
      <c r="D3348" t="s">
        <v>5414</v>
      </c>
      <c r="E3348" t="s">
        <v>424</v>
      </c>
      <c r="F3348" s="125" t="s">
        <v>5538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0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4897</v>
      </c>
      <c r="M3348" s="113">
        <v>45874</v>
      </c>
      <c r="N3348" s="113"/>
      <c r="O3348" s="113"/>
      <c r="P3348" s="115" t="str">
        <f ca="1">IF(Proc[[#This Row],[DaysAgeing]]&gt;5,"yep","on track")</f>
        <v>on track</v>
      </c>
      <c r="Q3348" s="3">
        <f ca="1">IF(Proc[[#This Row],[DateClosed]]="",ABS(NETWORKDAYS(Proc[[#This Row],[DateOpened]],TODAY()))-1,ABS(NETWORKDAYS(Proc[[#This Row],[DateOpened]],Proc[[#This Row],[DateClosed]]))-1)</f>
        <v>1</v>
      </c>
      <c r="R3348" s="115" t="s">
        <v>1459</v>
      </c>
      <c r="S3348" s="125"/>
    </row>
    <row r="3349" spans="1:19" hidden="1">
      <c r="A3349" s="124" t="s">
        <v>5520</v>
      </c>
      <c r="B3349" s="125" t="str">
        <f>IFERROR(VLOOKUP(Proc[[#This Row],[App]],Table2[],3,0),"open")</f>
        <v>open</v>
      </c>
      <c r="C3349" s="124" t="s">
        <v>370</v>
      </c>
      <c r="D3349" t="s">
        <v>5415</v>
      </c>
      <c r="E3349" t="s">
        <v>5488</v>
      </c>
      <c r="F3349" s="125" t="s">
        <v>5536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0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4897</v>
      </c>
      <c r="M3349" s="113">
        <v>45874</v>
      </c>
      <c r="N3349" s="113"/>
      <c r="O3349" s="113"/>
      <c r="P3349" s="115" t="str">
        <f ca="1">IF(Proc[[#This Row],[DaysAgeing]]&gt;5,"yep","on track")</f>
        <v>on track</v>
      </c>
      <c r="Q3349" s="3">
        <f ca="1">IF(Proc[[#This Row],[DateClosed]]="",ABS(NETWORKDAYS(Proc[[#This Row],[DateOpened]],TODAY()))-1,ABS(NETWORKDAYS(Proc[[#This Row],[DateOpened]],Proc[[#This Row],[DateClosed]]))-1)</f>
        <v>1</v>
      </c>
      <c r="R3349" s="115" t="s">
        <v>1459</v>
      </c>
      <c r="S3349" s="125"/>
    </row>
    <row r="3350" spans="1:19" hidden="1">
      <c r="A3350" s="124" t="s">
        <v>5520</v>
      </c>
      <c r="B3350" s="125" t="str">
        <f>IFERROR(VLOOKUP(Proc[[#This Row],[App]],Table2[],3,0),"open")</f>
        <v>open</v>
      </c>
      <c r="C3350" s="124" t="s">
        <v>370</v>
      </c>
      <c r="D3350" t="s">
        <v>5416</v>
      </c>
      <c r="E3350" t="s">
        <v>5487</v>
      </c>
      <c r="F3350" s="125" t="s">
        <v>5535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0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4897</v>
      </c>
      <c r="M3350" s="113">
        <v>45874</v>
      </c>
      <c r="N3350" s="113"/>
      <c r="O3350" s="113"/>
      <c r="P3350" s="115" t="str">
        <f ca="1">IF(Proc[[#This Row],[DaysAgeing]]&gt;5,"yep","on track")</f>
        <v>on track</v>
      </c>
      <c r="Q3350" s="3">
        <f ca="1">IF(Proc[[#This Row],[DateClosed]]="",ABS(NETWORKDAYS(Proc[[#This Row],[DateOpened]],TODAY()))-1,ABS(NETWORKDAYS(Proc[[#This Row],[DateOpened]],Proc[[#This Row],[DateClosed]]))-1)</f>
        <v>1</v>
      </c>
      <c r="R3350" s="115" t="s">
        <v>1459</v>
      </c>
      <c r="S3350" s="125"/>
    </row>
    <row r="3351" spans="1:19" hidden="1">
      <c r="A3351" s="124" t="s">
        <v>5520</v>
      </c>
      <c r="B3351" s="125" t="str">
        <f>IFERROR(VLOOKUP(Proc[[#This Row],[App]],Table2[],3,0),"open")</f>
        <v>open</v>
      </c>
      <c r="C3351" s="124" t="s">
        <v>370</v>
      </c>
      <c r="D3351" t="s">
        <v>5417</v>
      </c>
      <c r="E3351" t="s">
        <v>5512</v>
      </c>
      <c r="F3351" s="125" t="s">
        <v>2570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0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4897</v>
      </c>
      <c r="M3351" s="113">
        <v>45874</v>
      </c>
      <c r="N3351" s="113"/>
      <c r="O3351" s="113"/>
      <c r="P3351" s="115" t="str">
        <f ca="1">IF(Proc[[#This Row],[DaysAgeing]]&gt;5,"yep","on track")</f>
        <v>on track</v>
      </c>
      <c r="Q3351" s="3">
        <f ca="1">IF(Proc[[#This Row],[DateClosed]]="",ABS(NETWORKDAYS(Proc[[#This Row],[DateOpened]],TODAY()))-1,ABS(NETWORKDAYS(Proc[[#This Row],[DateOpened]],Proc[[#This Row],[DateClosed]]))-1)</f>
        <v>1</v>
      </c>
      <c r="R3351" s="115" t="s">
        <v>1459</v>
      </c>
      <c r="S3351" s="125"/>
    </row>
    <row r="3352" spans="1:19" hidden="1">
      <c r="A3352" s="124" t="s">
        <v>5520</v>
      </c>
      <c r="B3352" s="125" t="str">
        <f>IFERROR(VLOOKUP(Proc[[#This Row],[App]],Table2[],3,0),"open")</f>
        <v>open</v>
      </c>
      <c r="C3352" s="124" t="s">
        <v>370</v>
      </c>
      <c r="D3352" t="s">
        <v>5418</v>
      </c>
      <c r="E3352" t="s">
        <v>5486</v>
      </c>
      <c r="F3352" s="125" t="s">
        <v>859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0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4897</v>
      </c>
      <c r="M3352" s="113">
        <v>45874</v>
      </c>
      <c r="N3352" s="113"/>
      <c r="O3352" s="113"/>
      <c r="P3352" s="115" t="str">
        <f ca="1">IF(Proc[[#This Row],[DaysAgeing]]&gt;5,"yep","on track")</f>
        <v>on track</v>
      </c>
      <c r="Q3352" s="3">
        <f ca="1">IF(Proc[[#This Row],[DateClosed]]="",ABS(NETWORKDAYS(Proc[[#This Row],[DateOpened]],TODAY()))-1,ABS(NETWORKDAYS(Proc[[#This Row],[DateOpened]],Proc[[#This Row],[DateClosed]]))-1)</f>
        <v>1</v>
      </c>
      <c r="R3352" s="115" t="s">
        <v>1459</v>
      </c>
      <c r="S3352" s="125"/>
    </row>
    <row r="3353" spans="1:19" hidden="1">
      <c r="A3353" s="124" t="s">
        <v>5520</v>
      </c>
      <c r="B3353" s="125" t="str">
        <f>IFERROR(VLOOKUP(Proc[[#This Row],[App]],Table2[],3,0),"open")</f>
        <v>open</v>
      </c>
      <c r="C3353" s="124" t="s">
        <v>370</v>
      </c>
      <c r="D3353" t="s">
        <v>5419</v>
      </c>
      <c r="E3353" t="s">
        <v>5506</v>
      </c>
      <c r="F3353" s="125" t="s">
        <v>2570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0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4897</v>
      </c>
      <c r="M3353" s="113">
        <v>45874</v>
      </c>
      <c r="N3353" s="113"/>
      <c r="O3353" s="113"/>
      <c r="P3353" s="115" t="str">
        <f ca="1">IF(Proc[[#This Row],[DaysAgeing]]&gt;5,"yep","on track")</f>
        <v>on track</v>
      </c>
      <c r="Q3353" s="3">
        <f ca="1">IF(Proc[[#This Row],[DateClosed]]="",ABS(NETWORKDAYS(Proc[[#This Row],[DateOpened]],TODAY()))-1,ABS(NETWORKDAYS(Proc[[#This Row],[DateOpened]],Proc[[#This Row],[DateClosed]]))-1)</f>
        <v>1</v>
      </c>
      <c r="R3353" s="115" t="s">
        <v>1459</v>
      </c>
      <c r="S3353" s="125"/>
    </row>
    <row r="3354" spans="1:19" hidden="1">
      <c r="A3354" s="124" t="s">
        <v>5520</v>
      </c>
      <c r="B3354" s="125" t="str">
        <f>IFERROR(VLOOKUP(Proc[[#This Row],[App]],Table2[],3,0),"open")</f>
        <v>open</v>
      </c>
      <c r="C3354" s="124" t="s">
        <v>370</v>
      </c>
      <c r="D3354" t="s">
        <v>5420</v>
      </c>
      <c r="E3354" t="s">
        <v>5488</v>
      </c>
      <c r="F3354" s="125" t="s">
        <v>5536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0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4897</v>
      </c>
      <c r="M3354" s="113">
        <v>45874</v>
      </c>
      <c r="N3354" s="113"/>
      <c r="O3354" s="113"/>
      <c r="P3354" s="115" t="str">
        <f ca="1">IF(Proc[[#This Row],[DaysAgeing]]&gt;5,"yep","on track")</f>
        <v>on track</v>
      </c>
      <c r="Q3354" s="3">
        <f ca="1">IF(Proc[[#This Row],[DateClosed]]="",ABS(NETWORKDAYS(Proc[[#This Row],[DateOpened]],TODAY()))-1,ABS(NETWORKDAYS(Proc[[#This Row],[DateOpened]],Proc[[#This Row],[DateClosed]]))-1)</f>
        <v>1</v>
      </c>
      <c r="R3354" s="115" t="s">
        <v>1459</v>
      </c>
      <c r="S3354" s="125"/>
    </row>
    <row r="3355" spans="1:19" hidden="1">
      <c r="A3355" s="124" t="s">
        <v>5520</v>
      </c>
      <c r="B3355" s="125" t="str">
        <f>IFERROR(VLOOKUP(Proc[[#This Row],[App]],Table2[],3,0),"open")</f>
        <v>open</v>
      </c>
      <c r="C3355" s="124" t="s">
        <v>370</v>
      </c>
      <c r="D3355" t="s">
        <v>5421</v>
      </c>
      <c r="E3355" t="s">
        <v>5497</v>
      </c>
      <c r="F3355" s="125" t="s">
        <v>5535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0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4897</v>
      </c>
      <c r="M3355" s="113">
        <v>45874</v>
      </c>
      <c r="N3355" s="113"/>
      <c r="O3355" s="113"/>
      <c r="P3355" s="115" t="str">
        <f ca="1">IF(Proc[[#This Row],[DaysAgeing]]&gt;5,"yep","on track")</f>
        <v>on track</v>
      </c>
      <c r="Q3355" s="3">
        <f ca="1">IF(Proc[[#This Row],[DateClosed]]="",ABS(NETWORKDAYS(Proc[[#This Row],[DateOpened]],TODAY()))-1,ABS(NETWORKDAYS(Proc[[#This Row],[DateOpened]],Proc[[#This Row],[DateClosed]]))-1)</f>
        <v>1</v>
      </c>
      <c r="R3355" s="115" t="s">
        <v>1459</v>
      </c>
      <c r="S3355" s="125"/>
    </row>
    <row r="3356" spans="1:19" hidden="1">
      <c r="A3356" s="124" t="s">
        <v>5520</v>
      </c>
      <c r="B3356" s="125" t="str">
        <f>IFERROR(VLOOKUP(Proc[[#This Row],[App]],Table2[],3,0),"open")</f>
        <v>open</v>
      </c>
      <c r="C3356" s="124" t="s">
        <v>370</v>
      </c>
      <c r="D3356" t="s">
        <v>5422</v>
      </c>
      <c r="E3356" t="s">
        <v>5487</v>
      </c>
      <c r="F3356" s="125" t="s">
        <v>5535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0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4897</v>
      </c>
      <c r="M3356" s="113">
        <v>45874</v>
      </c>
      <c r="N3356" s="113"/>
      <c r="O3356" s="113"/>
      <c r="P3356" s="115" t="str">
        <f ca="1">IF(Proc[[#This Row],[DaysAgeing]]&gt;5,"yep","on track")</f>
        <v>on track</v>
      </c>
      <c r="Q3356" s="3">
        <f ca="1">IF(Proc[[#This Row],[DateClosed]]="",ABS(NETWORKDAYS(Proc[[#This Row],[DateOpened]],TODAY()))-1,ABS(NETWORKDAYS(Proc[[#This Row],[DateOpened]],Proc[[#This Row],[DateClosed]]))-1)</f>
        <v>1</v>
      </c>
      <c r="R3356" s="115" t="s">
        <v>1459</v>
      </c>
      <c r="S3356" s="125"/>
    </row>
    <row r="3357" spans="1:19" hidden="1">
      <c r="A3357" s="124" t="s">
        <v>5520</v>
      </c>
      <c r="B3357" s="125" t="str">
        <f>IFERROR(VLOOKUP(Proc[[#This Row],[App]],Table2[],3,0),"open")</f>
        <v>open</v>
      </c>
      <c r="C3357" s="124" t="s">
        <v>370</v>
      </c>
      <c r="D3357" t="s">
        <v>5423</v>
      </c>
      <c r="E3357" t="s">
        <v>5495</v>
      </c>
      <c r="F3357" s="125" t="s">
        <v>2570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0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4897</v>
      </c>
      <c r="M3357" s="113">
        <v>45874</v>
      </c>
      <c r="N3357" s="113"/>
      <c r="O3357" s="113"/>
      <c r="P3357" s="115" t="str">
        <f ca="1">IF(Proc[[#This Row],[DaysAgeing]]&gt;5,"yep","on track")</f>
        <v>on track</v>
      </c>
      <c r="Q3357" s="3">
        <f ca="1">IF(Proc[[#This Row],[DateClosed]]="",ABS(NETWORKDAYS(Proc[[#This Row],[DateOpened]],TODAY()))-1,ABS(NETWORKDAYS(Proc[[#This Row],[DateOpened]],Proc[[#This Row],[DateClosed]]))-1)</f>
        <v>1</v>
      </c>
      <c r="R3357" s="115" t="s">
        <v>1459</v>
      </c>
      <c r="S3357" s="125"/>
    </row>
    <row r="3358" spans="1:19" hidden="1">
      <c r="A3358" s="124" t="s">
        <v>5520</v>
      </c>
      <c r="B3358" s="125" t="str">
        <f>IFERROR(VLOOKUP(Proc[[#This Row],[App]],Table2[],3,0),"open")</f>
        <v>open</v>
      </c>
      <c r="C3358" s="124" t="s">
        <v>370</v>
      </c>
      <c r="D3358" t="s">
        <v>5424</v>
      </c>
      <c r="E3358" t="s">
        <v>5490</v>
      </c>
      <c r="F3358" s="125" t="s">
        <v>5535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0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4897</v>
      </c>
      <c r="M3358" s="113">
        <v>45874</v>
      </c>
      <c r="N3358" s="113"/>
      <c r="O3358" s="113"/>
      <c r="P3358" s="115" t="str">
        <f ca="1">IF(Proc[[#This Row],[DaysAgeing]]&gt;5,"yep","on track")</f>
        <v>on track</v>
      </c>
      <c r="Q3358" s="3">
        <f ca="1">IF(Proc[[#This Row],[DateClosed]]="",ABS(NETWORKDAYS(Proc[[#This Row],[DateOpened]],TODAY()))-1,ABS(NETWORKDAYS(Proc[[#This Row],[DateOpened]],Proc[[#This Row],[DateClosed]]))-1)</f>
        <v>1</v>
      </c>
      <c r="R3358" s="115" t="s">
        <v>1459</v>
      </c>
      <c r="S3358" s="125"/>
    </row>
    <row r="3359" spans="1:19">
      <c r="A3359" s="124" t="s">
        <v>5520</v>
      </c>
      <c r="B3359" s="125" t="str">
        <f>IFERROR(VLOOKUP(Proc[[#This Row],[App]],Table2[],3,0),"open")</f>
        <v>open</v>
      </c>
      <c r="C3359" s="124" t="s">
        <v>375</v>
      </c>
      <c r="D3359" t="s">
        <v>5425</v>
      </c>
      <c r="E3359" t="s">
        <v>5497</v>
      </c>
      <c r="F3359" s="125" t="s">
        <v>5559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0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4897</v>
      </c>
      <c r="M3359" s="113">
        <v>45874</v>
      </c>
      <c r="N3359" s="113"/>
      <c r="O3359" s="113"/>
      <c r="P3359" s="115" t="str">
        <f ca="1">IF(Proc[[#This Row],[DaysAgeing]]&gt;5,"yep","on track")</f>
        <v>on track</v>
      </c>
      <c r="Q3359" s="3">
        <f ca="1">IF(Proc[[#This Row],[DateClosed]]="",ABS(NETWORKDAYS(Proc[[#This Row],[DateOpened]],TODAY()))-1,ABS(NETWORKDAYS(Proc[[#This Row],[DateOpened]],Proc[[#This Row],[DateClosed]]))-1)</f>
        <v>1</v>
      </c>
      <c r="R3359" s="115" t="s">
        <v>1459</v>
      </c>
      <c r="S3359" s="125"/>
    </row>
    <row r="3360" spans="1:19">
      <c r="A3360" s="124" t="s">
        <v>5520</v>
      </c>
      <c r="B3360" s="125" t="str">
        <f>IFERROR(VLOOKUP(Proc[[#This Row],[App]],Table2[],3,0),"open")</f>
        <v>open</v>
      </c>
      <c r="C3360" s="124" t="s">
        <v>375</v>
      </c>
      <c r="D3360" t="s">
        <v>5426</v>
      </c>
      <c r="E3360" t="s">
        <v>5487</v>
      </c>
      <c r="F3360" s="125" t="s">
        <v>5535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0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4897</v>
      </c>
      <c r="M3360" s="113">
        <v>45874</v>
      </c>
      <c r="N3360" s="113"/>
      <c r="O3360" s="113"/>
      <c r="P3360" s="115" t="str">
        <f ca="1">IF(Proc[[#This Row],[DaysAgeing]]&gt;5,"yep","on track")</f>
        <v>on track</v>
      </c>
      <c r="Q3360" s="3">
        <f ca="1">IF(Proc[[#This Row],[DateClosed]]="",ABS(NETWORKDAYS(Proc[[#This Row],[DateOpened]],TODAY()))-1,ABS(NETWORKDAYS(Proc[[#This Row],[DateOpened]],Proc[[#This Row],[DateClosed]]))-1)</f>
        <v>1</v>
      </c>
      <c r="R3360" s="115" t="s">
        <v>1459</v>
      </c>
      <c r="S3360" s="125"/>
    </row>
    <row r="3361" spans="1:19" hidden="1">
      <c r="A3361" s="124" t="s">
        <v>5520</v>
      </c>
      <c r="B3361" s="125" t="str">
        <f>IFERROR(VLOOKUP(Proc[[#This Row],[App]],Table2[],3,0),"open")</f>
        <v>open</v>
      </c>
      <c r="C3361" s="124" t="s">
        <v>370</v>
      </c>
      <c r="D3361" t="s">
        <v>5427</v>
      </c>
      <c r="E3361" t="s">
        <v>661</v>
      </c>
      <c r="F3361" s="125" t="s">
        <v>5560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0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4897</v>
      </c>
      <c r="M3361" s="113">
        <v>45874</v>
      </c>
      <c r="N3361" s="113"/>
      <c r="O3361" s="113"/>
      <c r="P3361" s="115" t="str">
        <f ca="1">IF(Proc[[#This Row],[DaysAgeing]]&gt;5,"yep","on track")</f>
        <v>on track</v>
      </c>
      <c r="Q3361" s="3">
        <f ca="1">IF(Proc[[#This Row],[DateClosed]]="",ABS(NETWORKDAYS(Proc[[#This Row],[DateOpened]],TODAY()))-1,ABS(NETWORKDAYS(Proc[[#This Row],[DateOpened]],Proc[[#This Row],[DateClosed]]))-1)</f>
        <v>1</v>
      </c>
      <c r="R3361" s="115" t="s">
        <v>1459</v>
      </c>
      <c r="S3361" s="125"/>
    </row>
    <row r="3362" spans="1:19" hidden="1">
      <c r="A3362" s="124" t="s">
        <v>5520</v>
      </c>
      <c r="B3362" s="125" t="str">
        <f>IFERROR(VLOOKUP(Proc[[#This Row],[App]],Table2[],3,0),"open")</f>
        <v>open</v>
      </c>
      <c r="C3362" s="124" t="s">
        <v>370</v>
      </c>
      <c r="D3362" t="s">
        <v>5428</v>
      </c>
      <c r="E3362" t="s">
        <v>5487</v>
      </c>
      <c r="F3362" s="125" t="s">
        <v>5535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0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4897</v>
      </c>
      <c r="M3362" s="113">
        <v>45874</v>
      </c>
      <c r="N3362" s="113"/>
      <c r="O3362" s="113"/>
      <c r="P3362" s="115" t="str">
        <f ca="1">IF(Proc[[#This Row],[DaysAgeing]]&gt;5,"yep","on track")</f>
        <v>on track</v>
      </c>
      <c r="Q3362" s="3">
        <f ca="1">IF(Proc[[#This Row],[DateClosed]]="",ABS(NETWORKDAYS(Proc[[#This Row],[DateOpened]],TODAY()))-1,ABS(NETWORKDAYS(Proc[[#This Row],[DateOpened]],Proc[[#This Row],[DateClosed]]))-1)</f>
        <v>1</v>
      </c>
      <c r="R3362" s="115" t="s">
        <v>1459</v>
      </c>
      <c r="S3362" s="125"/>
    </row>
    <row r="3363" spans="1:19" hidden="1">
      <c r="A3363" s="124" t="s">
        <v>5520</v>
      </c>
      <c r="B3363" s="125" t="str">
        <f>IFERROR(VLOOKUP(Proc[[#This Row],[App]],Table2[],3,0),"open")</f>
        <v>open</v>
      </c>
      <c r="C3363" s="124" t="s">
        <v>370</v>
      </c>
      <c r="D3363" t="s">
        <v>5429</v>
      </c>
      <c r="E3363" t="s">
        <v>5513</v>
      </c>
      <c r="F3363" s="125" t="s">
        <v>5540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0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4897</v>
      </c>
      <c r="M3363" s="113">
        <v>45874</v>
      </c>
      <c r="N3363" s="113"/>
      <c r="O3363" s="113"/>
      <c r="P3363" s="115" t="str">
        <f ca="1">IF(Proc[[#This Row],[DaysAgeing]]&gt;5,"yep","on track")</f>
        <v>on track</v>
      </c>
      <c r="Q3363" s="3">
        <f ca="1">IF(Proc[[#This Row],[DateClosed]]="",ABS(NETWORKDAYS(Proc[[#This Row],[DateOpened]],TODAY()))-1,ABS(NETWORKDAYS(Proc[[#This Row],[DateOpened]],Proc[[#This Row],[DateClosed]]))-1)</f>
        <v>1</v>
      </c>
      <c r="R3363" s="115" t="s">
        <v>1459</v>
      </c>
      <c r="S3363" s="125"/>
    </row>
    <row r="3364" spans="1:19" hidden="1">
      <c r="A3364" s="124" t="s">
        <v>5520</v>
      </c>
      <c r="B3364" s="125" t="str">
        <f>IFERROR(VLOOKUP(Proc[[#This Row],[App]],Table2[],3,0),"open")</f>
        <v>open</v>
      </c>
      <c r="C3364" s="124" t="s">
        <v>370</v>
      </c>
      <c r="D3364" t="s">
        <v>5430</v>
      </c>
      <c r="E3364" t="s">
        <v>5514</v>
      </c>
      <c r="F3364" s="125" t="s">
        <v>5540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0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4897</v>
      </c>
      <c r="M3364" s="113">
        <v>45874</v>
      </c>
      <c r="N3364" s="113"/>
      <c r="O3364" s="113"/>
      <c r="P3364" s="115" t="str">
        <f ca="1">IF(Proc[[#This Row],[DaysAgeing]]&gt;5,"yep","on track")</f>
        <v>on track</v>
      </c>
      <c r="Q3364" s="3">
        <f ca="1">IF(Proc[[#This Row],[DateClosed]]="",ABS(NETWORKDAYS(Proc[[#This Row],[DateOpened]],TODAY()))-1,ABS(NETWORKDAYS(Proc[[#This Row],[DateOpened]],Proc[[#This Row],[DateClosed]]))-1)</f>
        <v>1</v>
      </c>
      <c r="R3364" s="115" t="s">
        <v>1459</v>
      </c>
      <c r="S3364" s="125"/>
    </row>
    <row r="3365" spans="1:19" hidden="1">
      <c r="A3365" s="124" t="s">
        <v>5520</v>
      </c>
      <c r="B3365" s="125" t="str">
        <f>IFERROR(VLOOKUP(Proc[[#This Row],[App]],Table2[],3,0),"open")</f>
        <v>open</v>
      </c>
      <c r="C3365" s="124" t="s">
        <v>370</v>
      </c>
      <c r="D3365" t="s">
        <v>5431</v>
      </c>
      <c r="E3365" t="s">
        <v>5495</v>
      </c>
      <c r="F3365" s="125" t="s">
        <v>2570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0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4897</v>
      </c>
      <c r="M3365" s="113">
        <v>45874</v>
      </c>
      <c r="N3365" s="113"/>
      <c r="O3365" s="113"/>
      <c r="P3365" s="115" t="str">
        <f ca="1">IF(Proc[[#This Row],[DaysAgeing]]&gt;5,"yep","on track")</f>
        <v>on track</v>
      </c>
      <c r="Q3365" s="3">
        <f ca="1">IF(Proc[[#This Row],[DateClosed]]="",ABS(NETWORKDAYS(Proc[[#This Row],[DateOpened]],TODAY()))-1,ABS(NETWORKDAYS(Proc[[#This Row],[DateOpened]],Proc[[#This Row],[DateClosed]]))-1)</f>
        <v>1</v>
      </c>
      <c r="R3365" s="115" t="s">
        <v>1459</v>
      </c>
      <c r="S3365" s="125"/>
    </row>
    <row r="3366" spans="1:19" hidden="1">
      <c r="A3366" s="124" t="s">
        <v>5520</v>
      </c>
      <c r="B3366" s="125" t="str">
        <f>IFERROR(VLOOKUP(Proc[[#This Row],[App]],Table2[],3,0),"open")</f>
        <v>open</v>
      </c>
      <c r="C3366" s="124" t="s">
        <v>370</v>
      </c>
      <c r="D3366" t="s">
        <v>5432</v>
      </c>
      <c r="E3366" t="s">
        <v>5488</v>
      </c>
      <c r="F3366" s="125" t="s">
        <v>5536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0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4897</v>
      </c>
      <c r="M3366" s="113">
        <v>45874</v>
      </c>
      <c r="N3366" s="113"/>
      <c r="O3366" s="113"/>
      <c r="P3366" s="115" t="str">
        <f ca="1">IF(Proc[[#This Row],[DaysAgeing]]&gt;5,"yep","on track")</f>
        <v>on track</v>
      </c>
      <c r="Q3366" s="3">
        <f ca="1">IF(Proc[[#This Row],[DateClosed]]="",ABS(NETWORKDAYS(Proc[[#This Row],[DateOpened]],TODAY()))-1,ABS(NETWORKDAYS(Proc[[#This Row],[DateOpened]],Proc[[#This Row],[DateClosed]]))-1)</f>
        <v>1</v>
      </c>
      <c r="R3366" s="115" t="s">
        <v>1459</v>
      </c>
      <c r="S3366" s="125"/>
    </row>
    <row r="3367" spans="1:19" hidden="1">
      <c r="A3367" s="124" t="s">
        <v>5520</v>
      </c>
      <c r="B3367" s="125" t="str">
        <f>IFERROR(VLOOKUP(Proc[[#This Row],[App]],Table2[],3,0),"open")</f>
        <v>open</v>
      </c>
      <c r="C3367" s="124" t="s">
        <v>370</v>
      </c>
      <c r="D3367" t="s">
        <v>5433</v>
      </c>
      <c r="E3367" t="s">
        <v>5497</v>
      </c>
      <c r="F3367" s="125" t="s">
        <v>5535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0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4897</v>
      </c>
      <c r="M3367" s="113">
        <v>45874</v>
      </c>
      <c r="N3367" s="113"/>
      <c r="O3367" s="113"/>
      <c r="P3367" s="115" t="str">
        <f ca="1">IF(Proc[[#This Row],[DaysAgeing]]&gt;5,"yep","on track")</f>
        <v>on track</v>
      </c>
      <c r="Q3367" s="3">
        <f ca="1">IF(Proc[[#This Row],[DateClosed]]="",ABS(NETWORKDAYS(Proc[[#This Row],[DateOpened]],TODAY()))-1,ABS(NETWORKDAYS(Proc[[#This Row],[DateOpened]],Proc[[#This Row],[DateClosed]]))-1)</f>
        <v>1</v>
      </c>
      <c r="R3367" s="115" t="s">
        <v>1459</v>
      </c>
      <c r="S3367" s="125"/>
    </row>
    <row r="3368" spans="1:19" hidden="1">
      <c r="A3368" s="124" t="s">
        <v>5520</v>
      </c>
      <c r="B3368" s="125" t="str">
        <f>IFERROR(VLOOKUP(Proc[[#This Row],[App]],Table2[],3,0),"open")</f>
        <v>open</v>
      </c>
      <c r="C3368" s="124" t="s">
        <v>370</v>
      </c>
      <c r="D3368" t="s">
        <v>5434</v>
      </c>
      <c r="E3368" t="s">
        <v>5495</v>
      </c>
      <c r="F3368" s="125" t="s">
        <v>2570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0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4897</v>
      </c>
      <c r="M3368" s="113">
        <v>45874</v>
      </c>
      <c r="N3368" s="113"/>
      <c r="O3368" s="113"/>
      <c r="P3368" s="115" t="str">
        <f ca="1">IF(Proc[[#This Row],[DaysAgeing]]&gt;5,"yep","on track")</f>
        <v>on track</v>
      </c>
      <c r="Q3368" s="3">
        <f ca="1">IF(Proc[[#This Row],[DateClosed]]="",ABS(NETWORKDAYS(Proc[[#This Row],[DateOpened]],TODAY()))-1,ABS(NETWORKDAYS(Proc[[#This Row],[DateOpened]],Proc[[#This Row],[DateClosed]]))-1)</f>
        <v>1</v>
      </c>
      <c r="R3368" s="115" t="s">
        <v>1459</v>
      </c>
      <c r="S3368" s="125"/>
    </row>
    <row r="3369" spans="1:19" hidden="1">
      <c r="A3369" s="124" t="s">
        <v>5520</v>
      </c>
      <c r="B3369" s="125" t="str">
        <f>IFERROR(VLOOKUP(Proc[[#This Row],[App]],Table2[],3,0),"open")</f>
        <v>open</v>
      </c>
      <c r="C3369" s="124" t="s">
        <v>370</v>
      </c>
      <c r="D3369" t="s">
        <v>5435</v>
      </c>
      <c r="E3369" t="s">
        <v>5487</v>
      </c>
      <c r="F3369" s="125" t="s">
        <v>5535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0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4897</v>
      </c>
      <c r="M3369" s="113">
        <v>45874</v>
      </c>
      <c r="N3369" s="113"/>
      <c r="O3369" s="113"/>
      <c r="P3369" s="115" t="str">
        <f ca="1">IF(Proc[[#This Row],[DaysAgeing]]&gt;5,"yep","on track")</f>
        <v>on track</v>
      </c>
      <c r="Q3369" s="3">
        <f ca="1">IF(Proc[[#This Row],[DateClosed]]="",ABS(NETWORKDAYS(Proc[[#This Row],[DateOpened]],TODAY()))-1,ABS(NETWORKDAYS(Proc[[#This Row],[DateOpened]],Proc[[#This Row],[DateClosed]]))-1)</f>
        <v>1</v>
      </c>
      <c r="R3369" s="115" t="s">
        <v>1459</v>
      </c>
      <c r="S3369" s="125"/>
    </row>
    <row r="3370" spans="1:19" hidden="1">
      <c r="A3370" s="124" t="s">
        <v>5520</v>
      </c>
      <c r="B3370" s="125" t="str">
        <f>IFERROR(VLOOKUP(Proc[[#This Row],[App]],Table2[],3,0),"open")</f>
        <v>open</v>
      </c>
      <c r="C3370" s="124" t="s">
        <v>370</v>
      </c>
      <c r="D3370" t="s">
        <v>5436</v>
      </c>
      <c r="E3370" t="s">
        <v>5494</v>
      </c>
      <c r="F3370" s="125" t="s">
        <v>2570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0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4897</v>
      </c>
      <c r="M3370" s="113">
        <v>45874</v>
      </c>
      <c r="N3370" s="113"/>
      <c r="O3370" s="113"/>
      <c r="P3370" s="115" t="str">
        <f ca="1">IF(Proc[[#This Row],[DaysAgeing]]&gt;5,"yep","on track")</f>
        <v>on track</v>
      </c>
      <c r="Q3370" s="3">
        <f ca="1">IF(Proc[[#This Row],[DateClosed]]="",ABS(NETWORKDAYS(Proc[[#This Row],[DateOpened]],TODAY()))-1,ABS(NETWORKDAYS(Proc[[#This Row],[DateOpened]],Proc[[#This Row],[DateClosed]]))-1)</f>
        <v>1</v>
      </c>
      <c r="R3370" s="115" t="s">
        <v>1459</v>
      </c>
      <c r="S3370" s="125"/>
    </row>
    <row r="3371" spans="1:19" hidden="1">
      <c r="A3371" s="124" t="s">
        <v>5520</v>
      </c>
      <c r="B3371" s="125" t="str">
        <f>IFERROR(VLOOKUP(Proc[[#This Row],[App]],Table2[],3,0),"open")</f>
        <v>open</v>
      </c>
      <c r="C3371" s="124" t="s">
        <v>370</v>
      </c>
      <c r="D3371" t="s">
        <v>5437</v>
      </c>
      <c r="E3371" t="s">
        <v>5488</v>
      </c>
      <c r="F3371" s="125" t="s">
        <v>5536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0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4897</v>
      </c>
      <c r="M3371" s="113">
        <v>45874</v>
      </c>
      <c r="N3371" s="113"/>
      <c r="O3371" s="113"/>
      <c r="P3371" s="115" t="str">
        <f ca="1">IF(Proc[[#This Row],[DaysAgeing]]&gt;5,"yep","on track")</f>
        <v>on track</v>
      </c>
      <c r="Q3371" s="3">
        <f ca="1">IF(Proc[[#This Row],[DateClosed]]="",ABS(NETWORKDAYS(Proc[[#This Row],[DateOpened]],TODAY()))-1,ABS(NETWORKDAYS(Proc[[#This Row],[DateOpened]],Proc[[#This Row],[DateClosed]]))-1)</f>
        <v>1</v>
      </c>
      <c r="R3371" s="115" t="s">
        <v>1459</v>
      </c>
      <c r="S3371" s="125"/>
    </row>
    <row r="3372" spans="1:19" hidden="1">
      <c r="A3372" s="124" t="s">
        <v>5520</v>
      </c>
      <c r="B3372" s="125" t="str">
        <f>IFERROR(VLOOKUP(Proc[[#This Row],[App]],Table2[],3,0),"open")</f>
        <v>open</v>
      </c>
      <c r="C3372" s="124" t="s">
        <v>370</v>
      </c>
      <c r="D3372" t="s">
        <v>5438</v>
      </c>
      <c r="E3372" t="s">
        <v>5487</v>
      </c>
      <c r="F3372" s="125" t="s">
        <v>5535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0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4897</v>
      </c>
      <c r="M3372" s="113">
        <v>45874</v>
      </c>
      <c r="N3372" s="113"/>
      <c r="O3372" s="113"/>
      <c r="P3372" s="115" t="str">
        <f ca="1">IF(Proc[[#This Row],[DaysAgeing]]&gt;5,"yep","on track")</f>
        <v>on track</v>
      </c>
      <c r="Q3372" s="3">
        <f ca="1">IF(Proc[[#This Row],[DateClosed]]="",ABS(NETWORKDAYS(Proc[[#This Row],[DateOpened]],TODAY()))-1,ABS(NETWORKDAYS(Proc[[#This Row],[DateOpened]],Proc[[#This Row],[DateClosed]]))-1)</f>
        <v>1</v>
      </c>
      <c r="R3372" s="115" t="s">
        <v>1459</v>
      </c>
      <c r="S3372" s="125"/>
    </row>
    <row r="3373" spans="1:19" hidden="1">
      <c r="A3373" s="124" t="s">
        <v>5520</v>
      </c>
      <c r="B3373" s="125" t="str">
        <f>IFERROR(VLOOKUP(Proc[[#This Row],[App]],Table2[],3,0),"open")</f>
        <v>open</v>
      </c>
      <c r="C3373" s="124" t="s">
        <v>370</v>
      </c>
      <c r="D3373" t="s">
        <v>5439</v>
      </c>
      <c r="E3373" t="s">
        <v>5487</v>
      </c>
      <c r="F3373" s="125" t="s">
        <v>5535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0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4897</v>
      </c>
      <c r="M3373" s="113">
        <v>45874</v>
      </c>
      <c r="N3373" s="113"/>
      <c r="O3373" s="113"/>
      <c r="P3373" s="115" t="str">
        <f ca="1">IF(Proc[[#This Row],[DaysAgeing]]&gt;5,"yep","on track")</f>
        <v>on track</v>
      </c>
      <c r="Q3373" s="3">
        <f ca="1">IF(Proc[[#This Row],[DateClosed]]="",ABS(NETWORKDAYS(Proc[[#This Row],[DateOpened]],TODAY()))-1,ABS(NETWORKDAYS(Proc[[#This Row],[DateOpened]],Proc[[#This Row],[DateClosed]]))-1)</f>
        <v>1</v>
      </c>
      <c r="R3373" s="115" t="s">
        <v>1459</v>
      </c>
      <c r="S3373" s="125"/>
    </row>
    <row r="3374" spans="1:19" hidden="1">
      <c r="A3374" s="124" t="s">
        <v>5520</v>
      </c>
      <c r="B3374" s="125" t="str">
        <f>IFERROR(VLOOKUP(Proc[[#This Row],[App]],Table2[],3,0),"open")</f>
        <v>open</v>
      </c>
      <c r="C3374" s="124" t="s">
        <v>370</v>
      </c>
      <c r="D3374" t="s">
        <v>5440</v>
      </c>
      <c r="E3374" t="s">
        <v>5490</v>
      </c>
      <c r="F3374" s="125" t="s">
        <v>5537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0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4897</v>
      </c>
      <c r="M3374" s="113">
        <v>45874</v>
      </c>
      <c r="N3374" s="113"/>
      <c r="O3374" s="113"/>
      <c r="P3374" s="115" t="str">
        <f ca="1">IF(Proc[[#This Row],[DaysAgeing]]&gt;5,"yep","on track")</f>
        <v>on track</v>
      </c>
      <c r="Q3374" s="3">
        <f ca="1">IF(Proc[[#This Row],[DateClosed]]="",ABS(NETWORKDAYS(Proc[[#This Row],[DateOpened]],TODAY()))-1,ABS(NETWORKDAYS(Proc[[#This Row],[DateOpened]],Proc[[#This Row],[DateClosed]]))-1)</f>
        <v>1</v>
      </c>
      <c r="R3374" s="115" t="s">
        <v>1459</v>
      </c>
      <c r="S3374" s="125"/>
    </row>
    <row r="3375" spans="1:19" hidden="1">
      <c r="A3375" s="124" t="s">
        <v>5520</v>
      </c>
      <c r="B3375" s="125" t="str">
        <f>IFERROR(VLOOKUP(Proc[[#This Row],[App]],Table2[],3,0),"open")</f>
        <v>open</v>
      </c>
      <c r="C3375" s="124" t="s">
        <v>370</v>
      </c>
      <c r="D3375" t="s">
        <v>5441</v>
      </c>
      <c r="E3375" t="s">
        <v>5490</v>
      </c>
      <c r="F3375" s="125" t="s">
        <v>5561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0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4897</v>
      </c>
      <c r="M3375" s="113">
        <v>45874</v>
      </c>
      <c r="N3375" s="113"/>
      <c r="O3375" s="113"/>
      <c r="P3375" s="115" t="str">
        <f ca="1">IF(Proc[[#This Row],[DaysAgeing]]&gt;5,"yep","on track")</f>
        <v>on track</v>
      </c>
      <c r="Q3375" s="3">
        <f ca="1">IF(Proc[[#This Row],[DateClosed]]="",ABS(NETWORKDAYS(Proc[[#This Row],[DateOpened]],TODAY()))-1,ABS(NETWORKDAYS(Proc[[#This Row],[DateOpened]],Proc[[#This Row],[DateClosed]]))-1)</f>
        <v>1</v>
      </c>
      <c r="R3375" s="115" t="s">
        <v>1459</v>
      </c>
      <c r="S3375" s="125"/>
    </row>
    <row r="3376" spans="1:19">
      <c r="A3376" s="124" t="s">
        <v>5520</v>
      </c>
      <c r="B3376" s="125" t="str">
        <f>IFERROR(VLOOKUP(Proc[[#This Row],[App]],Table2[],3,0),"open")</f>
        <v>open</v>
      </c>
      <c r="C3376" s="124" t="s">
        <v>375</v>
      </c>
      <c r="D3376" t="s">
        <v>5442</v>
      </c>
      <c r="E3376" t="s">
        <v>5498</v>
      </c>
      <c r="F3376" s="125" t="s">
        <v>1965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0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4897</v>
      </c>
      <c r="M3376" s="113">
        <v>45874</v>
      </c>
      <c r="N3376" s="113"/>
      <c r="O3376" s="113"/>
      <c r="P3376" s="115" t="str">
        <f ca="1">IF(Proc[[#This Row],[DaysAgeing]]&gt;5,"yep","on track")</f>
        <v>on track</v>
      </c>
      <c r="Q3376" s="3">
        <f ca="1">IF(Proc[[#This Row],[DateClosed]]="",ABS(NETWORKDAYS(Proc[[#This Row],[DateOpened]],TODAY()))-1,ABS(NETWORKDAYS(Proc[[#This Row],[DateOpened]],Proc[[#This Row],[DateClosed]]))-1)</f>
        <v>1</v>
      </c>
      <c r="R3376" s="115" t="s">
        <v>1459</v>
      </c>
      <c r="S3376" s="125"/>
    </row>
    <row r="3377" spans="1:19">
      <c r="A3377" s="124" t="s">
        <v>5520</v>
      </c>
      <c r="B3377" s="125" t="str">
        <f>IFERROR(VLOOKUP(Proc[[#This Row],[App]],Table2[],3,0),"open")</f>
        <v>open</v>
      </c>
      <c r="C3377" s="124" t="s">
        <v>375</v>
      </c>
      <c r="D3377" t="s">
        <v>5443</v>
      </c>
      <c r="E3377" t="s">
        <v>5506</v>
      </c>
      <c r="F3377" s="125" t="s">
        <v>2570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0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4897</v>
      </c>
      <c r="M3377" s="113">
        <v>45874</v>
      </c>
      <c r="N3377" s="113"/>
      <c r="O3377" s="113"/>
      <c r="P3377" s="115" t="str">
        <f ca="1">IF(Proc[[#This Row],[DaysAgeing]]&gt;5,"yep","on track")</f>
        <v>on track</v>
      </c>
      <c r="Q3377" s="3">
        <f ca="1">IF(Proc[[#This Row],[DateClosed]]="",ABS(NETWORKDAYS(Proc[[#This Row],[DateOpened]],TODAY()))-1,ABS(NETWORKDAYS(Proc[[#This Row],[DateOpened]],Proc[[#This Row],[DateClosed]]))-1)</f>
        <v>1</v>
      </c>
      <c r="R3377" s="115" t="s">
        <v>1459</v>
      </c>
      <c r="S3377" s="125"/>
    </row>
    <row r="3378" spans="1:19">
      <c r="A3378" s="124" t="s">
        <v>5520</v>
      </c>
      <c r="B3378" s="125" t="str">
        <f>IFERROR(VLOOKUP(Proc[[#This Row],[App]],Table2[],3,0),"open")</f>
        <v>open</v>
      </c>
      <c r="C3378" s="124" t="s">
        <v>375</v>
      </c>
      <c r="D3378" t="s">
        <v>5444</v>
      </c>
      <c r="E3378" t="s">
        <v>5498</v>
      </c>
      <c r="F3378" s="125" t="s">
        <v>5507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0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4897</v>
      </c>
      <c r="M3378" s="113">
        <v>45874</v>
      </c>
      <c r="N3378" s="113"/>
      <c r="O3378" s="113"/>
      <c r="P3378" s="115" t="str">
        <f ca="1">IF(Proc[[#This Row],[DaysAgeing]]&gt;5,"yep","on track")</f>
        <v>on track</v>
      </c>
      <c r="Q3378" s="3">
        <f ca="1">IF(Proc[[#This Row],[DateClosed]]="",ABS(NETWORKDAYS(Proc[[#This Row],[DateOpened]],TODAY()))-1,ABS(NETWORKDAYS(Proc[[#This Row],[DateOpened]],Proc[[#This Row],[DateClosed]]))-1)</f>
        <v>1</v>
      </c>
      <c r="R3378" s="115" t="s">
        <v>1459</v>
      </c>
      <c r="S3378" s="125"/>
    </row>
    <row r="3379" spans="1:19">
      <c r="A3379" s="124" t="s">
        <v>5520</v>
      </c>
      <c r="B3379" s="125" t="str">
        <f>IFERROR(VLOOKUP(Proc[[#This Row],[App]],Table2[],3,0),"open")</f>
        <v>open</v>
      </c>
      <c r="C3379" s="124" t="s">
        <v>375</v>
      </c>
      <c r="D3379" t="s">
        <v>4831</v>
      </c>
      <c r="E3379" t="s">
        <v>5515</v>
      </c>
      <c r="F3379" s="125" t="s">
        <v>5494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0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4897</v>
      </c>
      <c r="M3379" s="113">
        <v>45874</v>
      </c>
      <c r="N3379" s="113"/>
      <c r="O3379" s="113"/>
      <c r="P3379" s="115" t="str">
        <f ca="1">IF(Proc[[#This Row],[DaysAgeing]]&gt;5,"yep","on track")</f>
        <v>on track</v>
      </c>
      <c r="Q3379" s="3">
        <f ca="1">IF(Proc[[#This Row],[DateClosed]]="",ABS(NETWORKDAYS(Proc[[#This Row],[DateOpened]],TODAY()))-1,ABS(NETWORKDAYS(Proc[[#This Row],[DateOpened]],Proc[[#This Row],[DateClosed]]))-1)</f>
        <v>1</v>
      </c>
      <c r="R3379" s="115" t="s">
        <v>1459</v>
      </c>
      <c r="S3379" s="125"/>
    </row>
    <row r="3380" spans="1:19">
      <c r="A3380" s="124" t="s">
        <v>5520</v>
      </c>
      <c r="B3380" s="125" t="str">
        <f>IFERROR(VLOOKUP(Proc[[#This Row],[App]],Table2[],3,0),"open")</f>
        <v>open</v>
      </c>
      <c r="C3380" s="124" t="s">
        <v>375</v>
      </c>
      <c r="D3380" t="s">
        <v>5445</v>
      </c>
      <c r="E3380" t="s">
        <v>5515</v>
      </c>
      <c r="F3380" s="125" t="s">
        <v>5494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0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4897</v>
      </c>
      <c r="M3380" s="113">
        <v>45874</v>
      </c>
      <c r="N3380" s="113"/>
      <c r="O3380" s="113"/>
      <c r="P3380" s="115" t="str">
        <f ca="1">IF(Proc[[#This Row],[DaysAgeing]]&gt;5,"yep","on track")</f>
        <v>on track</v>
      </c>
      <c r="Q3380" s="3">
        <f ca="1">IF(Proc[[#This Row],[DateClosed]]="",ABS(NETWORKDAYS(Proc[[#This Row],[DateOpened]],TODAY()))-1,ABS(NETWORKDAYS(Proc[[#This Row],[DateOpened]],Proc[[#This Row],[DateClosed]]))-1)</f>
        <v>1</v>
      </c>
      <c r="R3380" s="115" t="s">
        <v>1459</v>
      </c>
      <c r="S3380" s="125"/>
    </row>
    <row r="3381" spans="1:19">
      <c r="A3381" s="124" t="s">
        <v>5520</v>
      </c>
      <c r="B3381" s="125" t="str">
        <f>IFERROR(VLOOKUP(Proc[[#This Row],[App]],Table2[],3,0),"open")</f>
        <v>open</v>
      </c>
      <c r="C3381" s="124" t="s">
        <v>375</v>
      </c>
      <c r="D3381" t="s">
        <v>5446</v>
      </c>
      <c r="E3381" t="s">
        <v>5491</v>
      </c>
      <c r="F3381" s="125" t="s">
        <v>5544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0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4897</v>
      </c>
      <c r="M3381" s="113">
        <v>45874</v>
      </c>
      <c r="N3381" s="113"/>
      <c r="O3381" s="113"/>
      <c r="P3381" s="115" t="str">
        <f ca="1">IF(Proc[[#This Row],[DaysAgeing]]&gt;5,"yep","on track")</f>
        <v>on track</v>
      </c>
      <c r="Q3381" s="3">
        <f ca="1">IF(Proc[[#This Row],[DateClosed]]="",ABS(NETWORKDAYS(Proc[[#This Row],[DateOpened]],TODAY()))-1,ABS(NETWORKDAYS(Proc[[#This Row],[DateOpened]],Proc[[#This Row],[DateClosed]]))-1)</f>
        <v>1</v>
      </c>
      <c r="R3381" s="115" t="s">
        <v>1459</v>
      </c>
      <c r="S3381" s="125"/>
    </row>
    <row r="3382" spans="1:19">
      <c r="A3382" s="124" t="s">
        <v>5520</v>
      </c>
      <c r="B3382" s="125" t="str">
        <f>IFERROR(VLOOKUP(Proc[[#This Row],[App]],Table2[],3,0),"open")</f>
        <v>open</v>
      </c>
      <c r="C3382" s="124" t="s">
        <v>375</v>
      </c>
      <c r="D3382" t="s">
        <v>5447</v>
      </c>
      <c r="E3382" t="s">
        <v>5499</v>
      </c>
      <c r="F3382" s="125" t="s">
        <v>5504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0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4897</v>
      </c>
      <c r="M3382" s="113">
        <v>45874</v>
      </c>
      <c r="N3382" s="113"/>
      <c r="O3382" s="113"/>
      <c r="P3382" s="115" t="str">
        <f ca="1">IF(Proc[[#This Row],[DaysAgeing]]&gt;5,"yep","on track")</f>
        <v>on track</v>
      </c>
      <c r="Q3382" s="3">
        <f ca="1">IF(Proc[[#This Row],[DateClosed]]="",ABS(NETWORKDAYS(Proc[[#This Row],[DateOpened]],TODAY()))-1,ABS(NETWORKDAYS(Proc[[#This Row],[DateOpened]],Proc[[#This Row],[DateClosed]]))-1)</f>
        <v>1</v>
      </c>
      <c r="R3382" s="115" t="s">
        <v>1459</v>
      </c>
      <c r="S3382" s="125"/>
    </row>
    <row r="3383" spans="1:19">
      <c r="A3383" s="124" t="s">
        <v>5520</v>
      </c>
      <c r="B3383" s="125" t="str">
        <f>IFERROR(VLOOKUP(Proc[[#This Row],[App]],Table2[],3,0),"open")</f>
        <v>open</v>
      </c>
      <c r="C3383" s="124" t="s">
        <v>375</v>
      </c>
      <c r="D3383" t="s">
        <v>5448</v>
      </c>
      <c r="E3383" t="s">
        <v>5515</v>
      </c>
      <c r="F3383" s="125" t="s">
        <v>5494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0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4897</v>
      </c>
      <c r="M3383" s="113">
        <v>45874</v>
      </c>
      <c r="N3383" s="113"/>
      <c r="O3383" s="113"/>
      <c r="P3383" s="115" t="str">
        <f ca="1">IF(Proc[[#This Row],[DaysAgeing]]&gt;5,"yep","on track")</f>
        <v>on track</v>
      </c>
      <c r="Q3383" s="3">
        <f ca="1">IF(Proc[[#This Row],[DateClosed]]="",ABS(NETWORKDAYS(Proc[[#This Row],[DateOpened]],TODAY()))-1,ABS(NETWORKDAYS(Proc[[#This Row],[DateOpened]],Proc[[#This Row],[DateClosed]]))-1)</f>
        <v>1</v>
      </c>
      <c r="R3383" s="115" t="s">
        <v>1459</v>
      </c>
      <c r="S3383" s="125"/>
    </row>
    <row r="3384" spans="1:19">
      <c r="A3384" s="124" t="s">
        <v>5520</v>
      </c>
      <c r="B3384" s="125" t="str">
        <f>IFERROR(VLOOKUP(Proc[[#This Row],[App]],Table2[],3,0),"open")</f>
        <v>open</v>
      </c>
      <c r="C3384" s="124" t="s">
        <v>375</v>
      </c>
      <c r="D3384" t="s">
        <v>5449</v>
      </c>
      <c r="E3384" t="s">
        <v>5497</v>
      </c>
      <c r="F3384" s="125" t="s">
        <v>5535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0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4897</v>
      </c>
      <c r="M3384" s="113">
        <v>45874</v>
      </c>
      <c r="N3384" s="113"/>
      <c r="O3384" s="113"/>
      <c r="P3384" s="115" t="str">
        <f ca="1">IF(Proc[[#This Row],[DaysAgeing]]&gt;5,"yep","on track")</f>
        <v>on track</v>
      </c>
      <c r="Q3384" s="3">
        <f ca="1">IF(Proc[[#This Row],[DateClosed]]="",ABS(NETWORKDAYS(Proc[[#This Row],[DateOpened]],TODAY()))-1,ABS(NETWORKDAYS(Proc[[#This Row],[DateOpened]],Proc[[#This Row],[DateClosed]]))-1)</f>
        <v>1</v>
      </c>
      <c r="R3384" s="115" t="s">
        <v>1459</v>
      </c>
      <c r="S3384" s="125"/>
    </row>
    <row r="3385" spans="1:19">
      <c r="A3385" s="124" t="s">
        <v>5520</v>
      </c>
      <c r="B3385" s="125" t="str">
        <f>IFERROR(VLOOKUP(Proc[[#This Row],[App]],Table2[],3,0),"open")</f>
        <v>open</v>
      </c>
      <c r="C3385" s="124" t="s">
        <v>375</v>
      </c>
      <c r="D3385" t="s">
        <v>5450</v>
      </c>
      <c r="E3385" t="s">
        <v>5492</v>
      </c>
      <c r="F3385" s="125" t="s">
        <v>5504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0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4897</v>
      </c>
      <c r="M3385" s="113">
        <v>45874</v>
      </c>
      <c r="N3385" s="113"/>
      <c r="O3385" s="113"/>
      <c r="P3385" s="115" t="str">
        <f ca="1">IF(Proc[[#This Row],[DaysAgeing]]&gt;5,"yep","on track")</f>
        <v>on track</v>
      </c>
      <c r="Q3385" s="3">
        <f ca="1">IF(Proc[[#This Row],[DateClosed]]="",ABS(NETWORKDAYS(Proc[[#This Row],[DateOpened]],TODAY()))-1,ABS(NETWORKDAYS(Proc[[#This Row],[DateOpened]],Proc[[#This Row],[DateClosed]]))-1)</f>
        <v>1</v>
      </c>
      <c r="R3385" s="115" t="s">
        <v>1459</v>
      </c>
      <c r="S3385" s="125"/>
    </row>
    <row r="3386" spans="1:19">
      <c r="A3386" s="124" t="s">
        <v>5520</v>
      </c>
      <c r="B3386" s="125" t="str">
        <f>IFERROR(VLOOKUP(Proc[[#This Row],[App]],Table2[],3,0),"open")</f>
        <v>open</v>
      </c>
      <c r="C3386" s="124" t="s">
        <v>375</v>
      </c>
      <c r="D3386" t="s">
        <v>5451</v>
      </c>
      <c r="E3386" t="s">
        <v>5498</v>
      </c>
      <c r="F3386" s="125" t="s">
        <v>5507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0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4897</v>
      </c>
      <c r="M3386" s="113">
        <v>45874</v>
      </c>
      <c r="N3386" s="113"/>
      <c r="O3386" s="113"/>
      <c r="P3386" s="115" t="str">
        <f ca="1">IF(Proc[[#This Row],[DaysAgeing]]&gt;5,"yep","on track")</f>
        <v>on track</v>
      </c>
      <c r="Q3386" s="3">
        <f ca="1">IF(Proc[[#This Row],[DateClosed]]="",ABS(NETWORKDAYS(Proc[[#This Row],[DateOpened]],TODAY()))-1,ABS(NETWORKDAYS(Proc[[#This Row],[DateOpened]],Proc[[#This Row],[DateClosed]]))-1)</f>
        <v>1</v>
      </c>
      <c r="R3386" s="115" t="s">
        <v>1459</v>
      </c>
      <c r="S3386" s="125"/>
    </row>
    <row r="3387" spans="1:19">
      <c r="A3387" s="124" t="s">
        <v>5520</v>
      </c>
      <c r="B3387" s="125" t="str">
        <f>IFERROR(VLOOKUP(Proc[[#This Row],[App]],Table2[],3,0),"open")</f>
        <v>open</v>
      </c>
      <c r="C3387" s="124" t="s">
        <v>375</v>
      </c>
      <c r="D3387" t="s">
        <v>5452</v>
      </c>
      <c r="E3387" t="s">
        <v>5498</v>
      </c>
      <c r="F3387" s="125" t="s">
        <v>5507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0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4897</v>
      </c>
      <c r="M3387" s="113">
        <v>45874</v>
      </c>
      <c r="N3387" s="113"/>
      <c r="O3387" s="113"/>
      <c r="P3387" s="115" t="str">
        <f ca="1">IF(Proc[[#This Row],[DaysAgeing]]&gt;5,"yep","on track")</f>
        <v>on track</v>
      </c>
      <c r="Q3387" s="3">
        <f ca="1">IF(Proc[[#This Row],[DateClosed]]="",ABS(NETWORKDAYS(Proc[[#This Row],[DateOpened]],TODAY()))-1,ABS(NETWORKDAYS(Proc[[#This Row],[DateOpened]],Proc[[#This Row],[DateClosed]]))-1)</f>
        <v>1</v>
      </c>
      <c r="R3387" s="115" t="s">
        <v>1459</v>
      </c>
      <c r="S3387" s="125"/>
    </row>
    <row r="3388" spans="1:19">
      <c r="A3388" s="124" t="s">
        <v>5520</v>
      </c>
      <c r="B3388" s="125" t="str">
        <f>IFERROR(VLOOKUP(Proc[[#This Row],[App]],Table2[],3,0),"open")</f>
        <v>open</v>
      </c>
      <c r="C3388" s="124" t="s">
        <v>375</v>
      </c>
      <c r="D3388" t="s">
        <v>5453</v>
      </c>
      <c r="E3388" t="s">
        <v>5516</v>
      </c>
      <c r="F3388" s="125" t="s">
        <v>5494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0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4897</v>
      </c>
      <c r="M3388" s="113">
        <v>45874</v>
      </c>
      <c r="N3388" s="113"/>
      <c r="O3388" s="113"/>
      <c r="P3388" s="115" t="str">
        <f ca="1">IF(Proc[[#This Row],[DaysAgeing]]&gt;5,"yep","on track")</f>
        <v>on track</v>
      </c>
      <c r="Q3388" s="3">
        <f ca="1">IF(Proc[[#This Row],[DateClosed]]="",ABS(NETWORKDAYS(Proc[[#This Row],[DateOpened]],TODAY()))-1,ABS(NETWORKDAYS(Proc[[#This Row],[DateOpened]],Proc[[#This Row],[DateClosed]]))-1)</f>
        <v>1</v>
      </c>
      <c r="R3388" s="115" t="s">
        <v>1459</v>
      </c>
      <c r="S3388" s="125"/>
    </row>
    <row r="3389" spans="1:19">
      <c r="A3389" s="124" t="s">
        <v>5520</v>
      </c>
      <c r="B3389" s="125" t="str">
        <f>IFERROR(VLOOKUP(Proc[[#This Row],[App]],Table2[],3,0),"open")</f>
        <v>open</v>
      </c>
      <c r="C3389" s="124" t="s">
        <v>375</v>
      </c>
      <c r="D3389" t="s">
        <v>5454</v>
      </c>
      <c r="E3389" t="s">
        <v>5498</v>
      </c>
      <c r="F3389" s="125" t="s">
        <v>5507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0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4897</v>
      </c>
      <c r="M3389" s="113">
        <v>45874</v>
      </c>
      <c r="N3389" s="113"/>
      <c r="O3389" s="113"/>
      <c r="P3389" s="115" t="str">
        <f ca="1">IF(Proc[[#This Row],[DaysAgeing]]&gt;5,"yep","on track")</f>
        <v>on track</v>
      </c>
      <c r="Q3389" s="3">
        <f ca="1">IF(Proc[[#This Row],[DateClosed]]="",ABS(NETWORKDAYS(Proc[[#This Row],[DateOpened]],TODAY()))-1,ABS(NETWORKDAYS(Proc[[#This Row],[DateOpened]],Proc[[#This Row],[DateClosed]]))-1)</f>
        <v>1</v>
      </c>
      <c r="R3389" s="115" t="s">
        <v>1459</v>
      </c>
      <c r="S3389" s="125"/>
    </row>
    <row r="3390" spans="1:19">
      <c r="A3390" s="124" t="s">
        <v>5520</v>
      </c>
      <c r="B3390" s="125" t="str">
        <f>IFERROR(VLOOKUP(Proc[[#This Row],[App]],Table2[],3,0),"open")</f>
        <v>open</v>
      </c>
      <c r="C3390" s="124" t="s">
        <v>375</v>
      </c>
      <c r="D3390" t="s">
        <v>5455</v>
      </c>
      <c r="E3390" t="s">
        <v>5498</v>
      </c>
      <c r="F3390" s="125" t="s">
        <v>5562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0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4897</v>
      </c>
      <c r="M3390" s="113">
        <v>45874</v>
      </c>
      <c r="N3390" s="113"/>
      <c r="O3390" s="113"/>
      <c r="P3390" s="115" t="str">
        <f ca="1">IF(Proc[[#This Row],[DaysAgeing]]&gt;5,"yep","on track")</f>
        <v>on track</v>
      </c>
      <c r="Q3390" s="3">
        <f ca="1">IF(Proc[[#This Row],[DateClosed]]="",ABS(NETWORKDAYS(Proc[[#This Row],[DateOpened]],TODAY()))-1,ABS(NETWORKDAYS(Proc[[#This Row],[DateOpened]],Proc[[#This Row],[DateClosed]]))-1)</f>
        <v>1</v>
      </c>
      <c r="R3390" s="115" t="s">
        <v>1459</v>
      </c>
      <c r="S3390" s="125"/>
    </row>
    <row r="3391" spans="1:19">
      <c r="A3391" s="124" t="s">
        <v>5520</v>
      </c>
      <c r="B3391" s="125" t="str">
        <f>IFERROR(VLOOKUP(Proc[[#This Row],[App]],Table2[],3,0),"open")</f>
        <v>open</v>
      </c>
      <c r="C3391" s="124" t="s">
        <v>375</v>
      </c>
      <c r="D3391" t="s">
        <v>5456</v>
      </c>
      <c r="E3391" t="s">
        <v>5498</v>
      </c>
      <c r="F3391" s="125" t="s">
        <v>5562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0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4897</v>
      </c>
      <c r="M3391" s="113">
        <v>45874</v>
      </c>
      <c r="N3391" s="113"/>
      <c r="O3391" s="113"/>
      <c r="P3391" s="115" t="str">
        <f ca="1">IF(Proc[[#This Row],[DaysAgeing]]&gt;5,"yep","on track")</f>
        <v>on track</v>
      </c>
      <c r="Q3391" s="3">
        <f ca="1">IF(Proc[[#This Row],[DateClosed]]="",ABS(NETWORKDAYS(Proc[[#This Row],[DateOpened]],TODAY()))-1,ABS(NETWORKDAYS(Proc[[#This Row],[DateOpened]],Proc[[#This Row],[DateClosed]]))-1)</f>
        <v>1</v>
      </c>
      <c r="R3391" s="115" t="s">
        <v>1459</v>
      </c>
      <c r="S3391" s="125"/>
    </row>
    <row r="3392" spans="1:19">
      <c r="A3392" s="124" t="s">
        <v>5520</v>
      </c>
      <c r="B3392" s="125" t="str">
        <f>IFERROR(VLOOKUP(Proc[[#This Row],[App]],Table2[],3,0),"open")</f>
        <v>open</v>
      </c>
      <c r="C3392" s="124" t="s">
        <v>375</v>
      </c>
      <c r="D3392" t="s">
        <v>5457</v>
      </c>
      <c r="E3392" t="s">
        <v>5517</v>
      </c>
      <c r="F3392" s="125" t="s">
        <v>5494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0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4897</v>
      </c>
      <c r="M3392" s="113">
        <v>45874</v>
      </c>
      <c r="N3392" s="113"/>
      <c r="O3392" s="113"/>
      <c r="P3392" s="115" t="str">
        <f ca="1">IF(Proc[[#This Row],[DaysAgeing]]&gt;5,"yep","on track")</f>
        <v>on track</v>
      </c>
      <c r="Q3392" s="3">
        <f ca="1">IF(Proc[[#This Row],[DateClosed]]="",ABS(NETWORKDAYS(Proc[[#This Row],[DateOpened]],TODAY()))-1,ABS(NETWORKDAYS(Proc[[#This Row],[DateOpened]],Proc[[#This Row],[DateClosed]]))-1)</f>
        <v>1</v>
      </c>
      <c r="R3392" s="115" t="s">
        <v>1459</v>
      </c>
      <c r="S3392" s="125"/>
    </row>
    <row r="3393" spans="1:19">
      <c r="A3393" s="124" t="s">
        <v>5520</v>
      </c>
      <c r="B3393" s="125" t="str">
        <f>IFERROR(VLOOKUP(Proc[[#This Row],[App]],Table2[],3,0),"open")</f>
        <v>open</v>
      </c>
      <c r="C3393" s="124" t="s">
        <v>375</v>
      </c>
      <c r="D3393" t="s">
        <v>5458</v>
      </c>
      <c r="E3393" t="s">
        <v>5498</v>
      </c>
      <c r="F3393" s="125" t="s">
        <v>1963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0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4897</v>
      </c>
      <c r="M3393" s="113">
        <v>45874</v>
      </c>
      <c r="N3393" s="113"/>
      <c r="O3393" s="113"/>
      <c r="P3393" s="115" t="str">
        <f ca="1">IF(Proc[[#This Row],[DaysAgeing]]&gt;5,"yep","on track")</f>
        <v>on track</v>
      </c>
      <c r="Q3393" s="3">
        <f ca="1">IF(Proc[[#This Row],[DateClosed]]="",ABS(NETWORKDAYS(Proc[[#This Row],[DateOpened]],TODAY()))-1,ABS(NETWORKDAYS(Proc[[#This Row],[DateOpened]],Proc[[#This Row],[DateClosed]]))-1)</f>
        <v>1</v>
      </c>
      <c r="R3393" s="115" t="s">
        <v>1459</v>
      </c>
      <c r="S3393" s="125"/>
    </row>
    <row r="3394" spans="1:19">
      <c r="A3394" s="124" t="s">
        <v>5520</v>
      </c>
      <c r="B3394" s="125" t="str">
        <f>IFERROR(VLOOKUP(Proc[[#This Row],[App]],Table2[],3,0),"open")</f>
        <v>open</v>
      </c>
      <c r="C3394" s="124" t="s">
        <v>375</v>
      </c>
      <c r="D3394" t="s">
        <v>5459</v>
      </c>
      <c r="E3394" t="s">
        <v>5498</v>
      </c>
      <c r="F3394" s="125" t="s">
        <v>5507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0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4897</v>
      </c>
      <c r="M3394" s="113">
        <v>45874</v>
      </c>
      <c r="N3394" s="113"/>
      <c r="O3394" s="113"/>
      <c r="P3394" s="115" t="str">
        <f ca="1">IF(Proc[[#This Row],[DaysAgeing]]&gt;5,"yep","on track")</f>
        <v>on track</v>
      </c>
      <c r="Q3394" s="3">
        <f ca="1">IF(Proc[[#This Row],[DateClosed]]="",ABS(NETWORKDAYS(Proc[[#This Row],[DateOpened]],TODAY()))-1,ABS(NETWORKDAYS(Proc[[#This Row],[DateOpened]],Proc[[#This Row],[DateClosed]]))-1)</f>
        <v>1</v>
      </c>
      <c r="R3394" s="115" t="s">
        <v>1459</v>
      </c>
      <c r="S3394" s="125"/>
    </row>
    <row r="3395" spans="1:19">
      <c r="A3395" s="124" t="s">
        <v>5520</v>
      </c>
      <c r="B3395" s="125" t="str">
        <f>IFERROR(VLOOKUP(Proc[[#This Row],[App]],Table2[],3,0),"open")</f>
        <v>open</v>
      </c>
      <c r="C3395" s="124" t="s">
        <v>375</v>
      </c>
      <c r="D3395" t="s">
        <v>5460</v>
      </c>
      <c r="E3395" t="s">
        <v>5490</v>
      </c>
      <c r="F3395" s="125" t="s">
        <v>5537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0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4897</v>
      </c>
      <c r="M3395" s="113">
        <v>45874</v>
      </c>
      <c r="N3395" s="113"/>
      <c r="O3395" s="113"/>
      <c r="P3395" s="115" t="str">
        <f ca="1">IF(Proc[[#This Row],[DaysAgeing]]&gt;5,"yep","on track")</f>
        <v>on track</v>
      </c>
      <c r="Q3395" s="3">
        <f ca="1">IF(Proc[[#This Row],[DateClosed]]="",ABS(NETWORKDAYS(Proc[[#This Row],[DateOpened]],TODAY()))-1,ABS(NETWORKDAYS(Proc[[#This Row],[DateOpened]],Proc[[#This Row],[DateClosed]]))-1)</f>
        <v>1</v>
      </c>
      <c r="R3395" s="115" t="s">
        <v>1459</v>
      </c>
      <c r="S3395" s="125"/>
    </row>
    <row r="3396" spans="1:19">
      <c r="A3396" s="124" t="s">
        <v>5520</v>
      </c>
      <c r="B3396" s="125" t="str">
        <f>IFERROR(VLOOKUP(Proc[[#This Row],[App]],Table2[],3,0),"open")</f>
        <v>open</v>
      </c>
      <c r="C3396" s="124" t="s">
        <v>375</v>
      </c>
      <c r="D3396" t="s">
        <v>5461</v>
      </c>
      <c r="E3396" t="s">
        <v>5506</v>
      </c>
      <c r="F3396" s="125" t="s">
        <v>2570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0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4897</v>
      </c>
      <c r="M3396" s="113">
        <v>45874</v>
      </c>
      <c r="N3396" s="113"/>
      <c r="O3396" s="113"/>
      <c r="P3396" s="115" t="str">
        <f ca="1">IF(Proc[[#This Row],[DaysAgeing]]&gt;5,"yep","on track")</f>
        <v>on track</v>
      </c>
      <c r="Q3396" s="3">
        <f ca="1">IF(Proc[[#This Row],[DateClosed]]="",ABS(NETWORKDAYS(Proc[[#This Row],[DateOpened]],TODAY()))-1,ABS(NETWORKDAYS(Proc[[#This Row],[DateOpened]],Proc[[#This Row],[DateClosed]]))-1)</f>
        <v>1</v>
      </c>
      <c r="R3396" s="115" t="s">
        <v>1459</v>
      </c>
      <c r="S3396" s="125"/>
    </row>
    <row r="3397" spans="1:19">
      <c r="A3397" s="124" t="s">
        <v>5520</v>
      </c>
      <c r="B3397" s="125" t="str">
        <f>IFERROR(VLOOKUP(Proc[[#This Row],[App]],Table2[],3,0),"open")</f>
        <v>open</v>
      </c>
      <c r="C3397" s="124" t="s">
        <v>375</v>
      </c>
      <c r="D3397" t="s">
        <v>5462</v>
      </c>
      <c r="E3397" t="s">
        <v>5489</v>
      </c>
      <c r="F3397" s="125" t="s">
        <v>2570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0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4897</v>
      </c>
      <c r="M3397" s="113">
        <v>45874</v>
      </c>
      <c r="N3397" s="113"/>
      <c r="O3397" s="113"/>
      <c r="P3397" s="115" t="str">
        <f ca="1">IF(Proc[[#This Row],[DaysAgeing]]&gt;5,"yep","on track")</f>
        <v>on track</v>
      </c>
      <c r="Q3397" s="3">
        <f ca="1">IF(Proc[[#This Row],[DateClosed]]="",ABS(NETWORKDAYS(Proc[[#This Row],[DateOpened]],TODAY()))-1,ABS(NETWORKDAYS(Proc[[#This Row],[DateOpened]],Proc[[#This Row],[DateClosed]]))-1)</f>
        <v>1</v>
      </c>
      <c r="R3397" s="115" t="s">
        <v>1459</v>
      </c>
      <c r="S3397" s="125"/>
    </row>
    <row r="3398" spans="1:19">
      <c r="A3398" s="124" t="s">
        <v>5520</v>
      </c>
      <c r="B3398" s="125" t="str">
        <f>IFERROR(VLOOKUP(Proc[[#This Row],[App]],Table2[],3,0),"open")</f>
        <v>open</v>
      </c>
      <c r="C3398" s="124" t="s">
        <v>375</v>
      </c>
      <c r="D3398" t="s">
        <v>5463</v>
      </c>
      <c r="E3398" t="s">
        <v>5506</v>
      </c>
      <c r="F3398" s="125" t="s">
        <v>2570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0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4897</v>
      </c>
      <c r="M3398" s="113">
        <v>45874</v>
      </c>
      <c r="N3398" s="113"/>
      <c r="O3398" s="113"/>
      <c r="P3398" s="115" t="str">
        <f ca="1">IF(Proc[[#This Row],[DaysAgeing]]&gt;5,"yep","on track")</f>
        <v>on track</v>
      </c>
      <c r="Q3398" s="3">
        <f ca="1">IF(Proc[[#This Row],[DateClosed]]="",ABS(NETWORKDAYS(Proc[[#This Row],[DateOpened]],TODAY()))-1,ABS(NETWORKDAYS(Proc[[#This Row],[DateOpened]],Proc[[#This Row],[DateClosed]]))-1)</f>
        <v>1</v>
      </c>
      <c r="R3398" s="115" t="s">
        <v>1459</v>
      </c>
      <c r="S3398" s="125"/>
    </row>
    <row r="3399" spans="1:19">
      <c r="A3399" s="124" t="s">
        <v>5520</v>
      </c>
      <c r="B3399" s="125" t="str">
        <f>IFERROR(VLOOKUP(Proc[[#This Row],[App]],Table2[],3,0),"open")</f>
        <v>open</v>
      </c>
      <c r="C3399" s="124" t="s">
        <v>375</v>
      </c>
      <c r="D3399" t="s">
        <v>5464</v>
      </c>
      <c r="E3399" t="s">
        <v>5488</v>
      </c>
      <c r="F3399" s="125" t="s">
        <v>5536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0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4897</v>
      </c>
      <c r="M3399" s="113">
        <v>45874</v>
      </c>
      <c r="N3399" s="113"/>
      <c r="O3399" s="113"/>
      <c r="P3399" s="115" t="str">
        <f ca="1">IF(Proc[[#This Row],[DaysAgeing]]&gt;5,"yep","on track")</f>
        <v>on track</v>
      </c>
      <c r="Q3399" s="3">
        <f ca="1">IF(Proc[[#This Row],[DateClosed]]="",ABS(NETWORKDAYS(Proc[[#This Row],[DateOpened]],TODAY()))-1,ABS(NETWORKDAYS(Proc[[#This Row],[DateOpened]],Proc[[#This Row],[DateClosed]]))-1)</f>
        <v>1</v>
      </c>
      <c r="R3399" s="115" t="s">
        <v>1459</v>
      </c>
      <c r="S3399" s="125"/>
    </row>
    <row r="3400" spans="1:19">
      <c r="A3400" s="124" t="s">
        <v>5520</v>
      </c>
      <c r="B3400" s="125" t="str">
        <f>IFERROR(VLOOKUP(Proc[[#This Row],[App]],Table2[],3,0),"open")</f>
        <v>open</v>
      </c>
      <c r="C3400" s="124" t="s">
        <v>375</v>
      </c>
      <c r="D3400" t="s">
        <v>5465</v>
      </c>
      <c r="E3400" t="s">
        <v>5509</v>
      </c>
      <c r="F3400" s="125" t="s">
        <v>5540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0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4897</v>
      </c>
      <c r="M3400" s="113">
        <v>45874</v>
      </c>
      <c r="N3400" s="113"/>
      <c r="O3400" s="113"/>
      <c r="P3400" s="115" t="str">
        <f ca="1">IF(Proc[[#This Row],[DaysAgeing]]&gt;5,"yep","on track")</f>
        <v>on track</v>
      </c>
      <c r="Q3400" s="3">
        <f ca="1">IF(Proc[[#This Row],[DateClosed]]="",ABS(NETWORKDAYS(Proc[[#This Row],[DateOpened]],TODAY()))-1,ABS(NETWORKDAYS(Proc[[#This Row],[DateOpened]],Proc[[#This Row],[DateClosed]]))-1)</f>
        <v>1</v>
      </c>
      <c r="R3400" s="115" t="s">
        <v>1459</v>
      </c>
      <c r="S3400" s="125"/>
    </row>
    <row r="3401" spans="1:19">
      <c r="A3401" s="124" t="s">
        <v>5520</v>
      </c>
      <c r="B3401" s="125" t="str">
        <f>IFERROR(VLOOKUP(Proc[[#This Row],[App]],Table2[],3,0),"open")</f>
        <v>open</v>
      </c>
      <c r="C3401" s="124" t="s">
        <v>375</v>
      </c>
      <c r="D3401" t="s">
        <v>5466</v>
      </c>
      <c r="E3401" t="s">
        <v>5487</v>
      </c>
      <c r="F3401" s="125" t="s">
        <v>5535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0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4897</v>
      </c>
      <c r="M3401" s="113">
        <v>45874</v>
      </c>
      <c r="N3401" s="113"/>
      <c r="O3401" s="113"/>
      <c r="P3401" s="115" t="str">
        <f ca="1">IF(Proc[[#This Row],[DaysAgeing]]&gt;5,"yep","on track")</f>
        <v>on track</v>
      </c>
      <c r="Q3401" s="3">
        <f ca="1">IF(Proc[[#This Row],[DateClosed]]="",ABS(NETWORKDAYS(Proc[[#This Row],[DateOpened]],TODAY()))-1,ABS(NETWORKDAYS(Proc[[#This Row],[DateOpened]],Proc[[#This Row],[DateClosed]]))-1)</f>
        <v>1</v>
      </c>
      <c r="R3401" s="115" t="s">
        <v>1459</v>
      </c>
      <c r="S3401" s="125"/>
    </row>
    <row r="3402" spans="1:19">
      <c r="A3402" s="124" t="s">
        <v>5520</v>
      </c>
      <c r="B3402" s="125" t="str">
        <f>IFERROR(VLOOKUP(Proc[[#This Row],[App]],Table2[],3,0),"open")</f>
        <v>open</v>
      </c>
      <c r="C3402" s="124" t="s">
        <v>375</v>
      </c>
      <c r="D3402" t="s">
        <v>5467</v>
      </c>
      <c r="E3402" t="s">
        <v>5506</v>
      </c>
      <c r="F3402" s="125" t="s">
        <v>2570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0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4897</v>
      </c>
      <c r="M3402" s="113">
        <v>45874</v>
      </c>
      <c r="N3402" s="113"/>
      <c r="O3402" s="113"/>
      <c r="P3402" s="115" t="str">
        <f ca="1">IF(Proc[[#This Row],[DaysAgeing]]&gt;5,"yep","on track")</f>
        <v>on track</v>
      </c>
      <c r="Q3402" s="3">
        <f ca="1">IF(Proc[[#This Row],[DateClosed]]="",ABS(NETWORKDAYS(Proc[[#This Row],[DateOpened]],TODAY()))-1,ABS(NETWORKDAYS(Proc[[#This Row],[DateOpened]],Proc[[#This Row],[DateClosed]]))-1)</f>
        <v>1</v>
      </c>
      <c r="R3402" s="115" t="s">
        <v>1459</v>
      </c>
      <c r="S3402" s="125"/>
    </row>
    <row r="3403" spans="1:19">
      <c r="A3403" s="124" t="s">
        <v>5520</v>
      </c>
      <c r="B3403" s="125" t="str">
        <f>IFERROR(VLOOKUP(Proc[[#This Row],[App]],Table2[],3,0),"open")</f>
        <v>open</v>
      </c>
      <c r="C3403" s="124" t="s">
        <v>375</v>
      </c>
      <c r="D3403" t="s">
        <v>5468</v>
      </c>
      <c r="E3403" t="s">
        <v>5515</v>
      </c>
      <c r="F3403" s="125" t="s">
        <v>5494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0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4897</v>
      </c>
      <c r="M3403" s="113">
        <v>45874</v>
      </c>
      <c r="N3403" s="113"/>
      <c r="O3403" s="113"/>
      <c r="P3403" s="115" t="str">
        <f ca="1">IF(Proc[[#This Row],[DaysAgeing]]&gt;5,"yep","on track")</f>
        <v>on track</v>
      </c>
      <c r="Q3403" s="3">
        <f ca="1">IF(Proc[[#This Row],[DateClosed]]="",ABS(NETWORKDAYS(Proc[[#This Row],[DateOpened]],TODAY()))-1,ABS(NETWORKDAYS(Proc[[#This Row],[DateOpened]],Proc[[#This Row],[DateClosed]]))-1)</f>
        <v>1</v>
      </c>
      <c r="R3403" s="115" t="s">
        <v>1459</v>
      </c>
      <c r="S3403" s="125"/>
    </row>
    <row r="3404" spans="1:19">
      <c r="A3404" s="124" t="s">
        <v>5520</v>
      </c>
      <c r="B3404" s="125" t="str">
        <f>IFERROR(VLOOKUP(Proc[[#This Row],[App]],Table2[],3,0),"open")</f>
        <v>open</v>
      </c>
      <c r="C3404" s="124" t="s">
        <v>375</v>
      </c>
      <c r="D3404" t="s">
        <v>5469</v>
      </c>
      <c r="E3404" t="s">
        <v>5488</v>
      </c>
      <c r="F3404" s="125" t="s">
        <v>5536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0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4897</v>
      </c>
      <c r="M3404" s="113">
        <v>45874</v>
      </c>
      <c r="N3404" s="113"/>
      <c r="O3404" s="113"/>
      <c r="P3404" s="115" t="str">
        <f ca="1">IF(Proc[[#This Row],[DaysAgeing]]&gt;5,"yep","on track")</f>
        <v>on track</v>
      </c>
      <c r="Q3404" s="3">
        <f ca="1">IF(Proc[[#This Row],[DateClosed]]="",ABS(NETWORKDAYS(Proc[[#This Row],[DateOpened]],TODAY()))-1,ABS(NETWORKDAYS(Proc[[#This Row],[DateOpened]],Proc[[#This Row],[DateClosed]]))-1)</f>
        <v>1</v>
      </c>
      <c r="R3404" s="115" t="s">
        <v>1459</v>
      </c>
      <c r="S3404" s="125"/>
    </row>
    <row r="3405" spans="1:19">
      <c r="A3405" s="124" t="s">
        <v>5520</v>
      </c>
      <c r="B3405" s="125" t="str">
        <f>IFERROR(VLOOKUP(Proc[[#This Row],[App]],Table2[],3,0),"open")</f>
        <v>open</v>
      </c>
      <c r="C3405" s="124" t="s">
        <v>375</v>
      </c>
      <c r="D3405" t="s">
        <v>5470</v>
      </c>
      <c r="E3405" t="s">
        <v>5495</v>
      </c>
      <c r="F3405" s="125" t="s">
        <v>2570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0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4897</v>
      </c>
      <c r="M3405" s="113">
        <v>45874</v>
      </c>
      <c r="N3405" s="113"/>
      <c r="O3405" s="113"/>
      <c r="P3405" s="115" t="str">
        <f ca="1">IF(Proc[[#This Row],[DaysAgeing]]&gt;5,"yep","on track")</f>
        <v>on track</v>
      </c>
      <c r="Q3405" s="3">
        <f ca="1">IF(Proc[[#This Row],[DateClosed]]="",ABS(NETWORKDAYS(Proc[[#This Row],[DateOpened]],TODAY()))-1,ABS(NETWORKDAYS(Proc[[#This Row],[DateOpened]],Proc[[#This Row],[DateClosed]]))-1)</f>
        <v>1</v>
      </c>
      <c r="R3405" s="115" t="s">
        <v>1459</v>
      </c>
      <c r="S3405" s="125"/>
    </row>
    <row r="3406" spans="1:19">
      <c r="A3406" s="124" t="s">
        <v>5520</v>
      </c>
      <c r="B3406" s="125" t="str">
        <f>IFERROR(VLOOKUP(Proc[[#This Row],[App]],Table2[],3,0),"open")</f>
        <v>open</v>
      </c>
      <c r="C3406" s="124" t="s">
        <v>375</v>
      </c>
      <c r="D3406" t="s">
        <v>5471</v>
      </c>
      <c r="E3406" t="s">
        <v>5495</v>
      </c>
      <c r="F3406" s="125" t="s">
        <v>2570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0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4897</v>
      </c>
      <c r="M3406" s="113">
        <v>45874</v>
      </c>
      <c r="N3406" s="113"/>
      <c r="O3406" s="113"/>
      <c r="P3406" s="115" t="str">
        <f ca="1">IF(Proc[[#This Row],[DaysAgeing]]&gt;5,"yep","on track")</f>
        <v>on track</v>
      </c>
      <c r="Q3406" s="3">
        <f ca="1">IF(Proc[[#This Row],[DateClosed]]="",ABS(NETWORKDAYS(Proc[[#This Row],[DateOpened]],TODAY()))-1,ABS(NETWORKDAYS(Proc[[#This Row],[DateOpened]],Proc[[#This Row],[DateClosed]]))-1)</f>
        <v>1</v>
      </c>
      <c r="R3406" s="115" t="s">
        <v>1459</v>
      </c>
      <c r="S3406" s="125"/>
    </row>
    <row r="3407" spans="1:19">
      <c r="A3407" s="124" t="s">
        <v>5520</v>
      </c>
      <c r="B3407" s="125" t="str">
        <f>IFERROR(VLOOKUP(Proc[[#This Row],[App]],Table2[],3,0),"open")</f>
        <v>open</v>
      </c>
      <c r="C3407" s="124" t="s">
        <v>375</v>
      </c>
      <c r="D3407" t="s">
        <v>5472</v>
      </c>
      <c r="E3407" t="s">
        <v>5506</v>
      </c>
      <c r="F3407" s="125" t="s">
        <v>2570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0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4897</v>
      </c>
      <c r="M3407" s="113">
        <v>45874</v>
      </c>
      <c r="N3407" s="113"/>
      <c r="O3407" s="113"/>
      <c r="P3407" s="115" t="str">
        <f ca="1">IF(Proc[[#This Row],[DaysAgeing]]&gt;5,"yep","on track")</f>
        <v>on track</v>
      </c>
      <c r="Q3407" s="3">
        <f ca="1">IF(Proc[[#This Row],[DateClosed]]="",ABS(NETWORKDAYS(Proc[[#This Row],[DateOpened]],TODAY()))-1,ABS(NETWORKDAYS(Proc[[#This Row],[DateOpened]],Proc[[#This Row],[DateClosed]]))-1)</f>
        <v>1</v>
      </c>
      <c r="R3407" s="115" t="s">
        <v>1459</v>
      </c>
      <c r="S3407" s="125"/>
    </row>
    <row r="3408" spans="1:19">
      <c r="A3408" s="124" t="s">
        <v>5520</v>
      </c>
      <c r="B3408" s="125" t="str">
        <f>IFERROR(VLOOKUP(Proc[[#This Row],[App]],Table2[],3,0),"open")</f>
        <v>open</v>
      </c>
      <c r="C3408" s="124" t="s">
        <v>375</v>
      </c>
      <c r="D3408" t="s">
        <v>5473</v>
      </c>
      <c r="E3408" t="s">
        <v>5495</v>
      </c>
      <c r="F3408" s="125" t="s">
        <v>2570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0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4897</v>
      </c>
      <c r="M3408" s="113">
        <v>45874</v>
      </c>
      <c r="N3408" s="113"/>
      <c r="O3408" s="113"/>
      <c r="P3408" s="115" t="str">
        <f ca="1">IF(Proc[[#This Row],[DaysAgeing]]&gt;5,"yep","on track")</f>
        <v>on track</v>
      </c>
      <c r="Q3408" s="3">
        <f ca="1">IF(Proc[[#This Row],[DateClosed]]="",ABS(NETWORKDAYS(Proc[[#This Row],[DateOpened]],TODAY()))-1,ABS(NETWORKDAYS(Proc[[#This Row],[DateOpened]],Proc[[#This Row],[DateClosed]]))-1)</f>
        <v>1</v>
      </c>
      <c r="R3408" s="115" t="s">
        <v>1459</v>
      </c>
      <c r="S3408" s="125"/>
    </row>
    <row r="3409" spans="1:19">
      <c r="A3409" s="124" t="s">
        <v>5520</v>
      </c>
      <c r="B3409" s="125" t="str">
        <f>IFERROR(VLOOKUP(Proc[[#This Row],[App]],Table2[],3,0),"open")</f>
        <v>open</v>
      </c>
      <c r="C3409" s="124" t="s">
        <v>375</v>
      </c>
      <c r="D3409" t="s">
        <v>5474</v>
      </c>
      <c r="E3409" t="s">
        <v>5489</v>
      </c>
      <c r="F3409" s="125" t="s">
        <v>2570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0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4897</v>
      </c>
      <c r="M3409" s="113">
        <v>45874</v>
      </c>
      <c r="N3409" s="113"/>
      <c r="O3409" s="113"/>
      <c r="P3409" s="115" t="str">
        <f ca="1">IF(Proc[[#This Row],[DaysAgeing]]&gt;5,"yep","on track")</f>
        <v>on track</v>
      </c>
      <c r="Q3409" s="3">
        <f ca="1">IF(Proc[[#This Row],[DateClosed]]="",ABS(NETWORKDAYS(Proc[[#This Row],[DateOpened]],TODAY()))-1,ABS(NETWORKDAYS(Proc[[#This Row],[DateOpened]],Proc[[#This Row],[DateClosed]]))-1)</f>
        <v>1</v>
      </c>
      <c r="R3409" s="115" t="s">
        <v>1459</v>
      </c>
      <c r="S3409" s="125"/>
    </row>
    <row r="3410" spans="1:19">
      <c r="A3410" s="124" t="s">
        <v>5520</v>
      </c>
      <c r="B3410" s="125" t="str">
        <f>IFERROR(VLOOKUP(Proc[[#This Row],[App]],Table2[],3,0),"open")</f>
        <v>open</v>
      </c>
      <c r="C3410" s="124" t="s">
        <v>375</v>
      </c>
      <c r="D3410" t="s">
        <v>5475</v>
      </c>
      <c r="E3410" t="s">
        <v>5489</v>
      </c>
      <c r="F3410" s="125" t="s">
        <v>2570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0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4897</v>
      </c>
      <c r="M3410" s="113">
        <v>45874</v>
      </c>
      <c r="N3410" s="113"/>
      <c r="O3410" s="113"/>
      <c r="P3410" s="115" t="str">
        <f ca="1">IF(Proc[[#This Row],[DaysAgeing]]&gt;5,"yep","on track")</f>
        <v>on track</v>
      </c>
      <c r="Q3410" s="3">
        <f ca="1">IF(Proc[[#This Row],[DateClosed]]="",ABS(NETWORKDAYS(Proc[[#This Row],[DateOpened]],TODAY()))-1,ABS(NETWORKDAYS(Proc[[#This Row],[DateOpened]],Proc[[#This Row],[DateClosed]]))-1)</f>
        <v>1</v>
      </c>
      <c r="R3410" s="115" t="s">
        <v>1459</v>
      </c>
      <c r="S3410" s="125"/>
    </row>
    <row r="3411" spans="1:19" hidden="1">
      <c r="A3411" s="124" t="s">
        <v>5520</v>
      </c>
      <c r="B3411" s="125" t="str">
        <f>IFERROR(VLOOKUP(Proc[[#This Row],[App]],Table2[],3,0),"open")</f>
        <v>open</v>
      </c>
      <c r="C3411" s="124" t="s">
        <v>370</v>
      </c>
      <c r="D3411" t="s">
        <v>5476</v>
      </c>
      <c r="E3411" t="s">
        <v>427</v>
      </c>
      <c r="F3411" s="125" t="s">
        <v>662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0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4897</v>
      </c>
      <c r="M3411" s="113">
        <v>45874</v>
      </c>
      <c r="N3411" s="113"/>
      <c r="O3411" s="113"/>
      <c r="P3411" s="115" t="str">
        <f ca="1">IF(Proc[[#This Row],[DaysAgeing]]&gt;5,"yep","on track")</f>
        <v>on track</v>
      </c>
      <c r="Q3411" s="3">
        <f ca="1">IF(Proc[[#This Row],[DateClosed]]="",ABS(NETWORKDAYS(Proc[[#This Row],[DateOpened]],TODAY()))-1,ABS(NETWORKDAYS(Proc[[#This Row],[DateOpened]],Proc[[#This Row],[DateClosed]]))-1)</f>
        <v>1</v>
      </c>
      <c r="R3411" s="115" t="s">
        <v>1459</v>
      </c>
      <c r="S3411" s="125"/>
    </row>
    <row r="3412" spans="1:19" hidden="1">
      <c r="A3412" s="124" t="s">
        <v>5520</v>
      </c>
      <c r="B3412" s="125" t="str">
        <f>IFERROR(VLOOKUP(Proc[[#This Row],[App]],Table2[],3,0),"open")</f>
        <v>open</v>
      </c>
      <c r="C3412" s="124" t="s">
        <v>370</v>
      </c>
      <c r="D3412" t="s">
        <v>5477</v>
      </c>
      <c r="E3412" t="s">
        <v>5488</v>
      </c>
      <c r="F3412" s="125" t="s">
        <v>5536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0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4897</v>
      </c>
      <c r="M3412" s="113">
        <v>45874</v>
      </c>
      <c r="N3412" s="113"/>
      <c r="O3412" s="113"/>
      <c r="P3412" s="115" t="str">
        <f ca="1">IF(Proc[[#This Row],[DaysAgeing]]&gt;5,"yep","on track")</f>
        <v>on track</v>
      </c>
      <c r="Q3412" s="3">
        <f ca="1">IF(Proc[[#This Row],[DateClosed]]="",ABS(NETWORKDAYS(Proc[[#This Row],[DateOpened]],TODAY()))-1,ABS(NETWORKDAYS(Proc[[#This Row],[DateOpened]],Proc[[#This Row],[DateClosed]]))-1)</f>
        <v>1</v>
      </c>
      <c r="R3412" s="115" t="s">
        <v>1459</v>
      </c>
      <c r="S3412" s="125"/>
    </row>
    <row r="3413" spans="1:19">
      <c r="A3413" s="124" t="s">
        <v>5520</v>
      </c>
      <c r="B3413" s="125" t="str">
        <f>IFERROR(VLOOKUP(Proc[[#This Row],[App]],Table2[],3,0),"open")</f>
        <v>open</v>
      </c>
      <c r="C3413" s="124" t="s">
        <v>375</v>
      </c>
      <c r="D3413" t="s">
        <v>5478</v>
      </c>
      <c r="E3413" t="s">
        <v>5518</v>
      </c>
      <c r="F3413" s="125" t="s">
        <v>5504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0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4897</v>
      </c>
      <c r="M3413" s="113">
        <v>45874</v>
      </c>
      <c r="N3413" s="113"/>
      <c r="O3413" s="113"/>
      <c r="P3413" s="115" t="str">
        <f ca="1">IF(Proc[[#This Row],[DaysAgeing]]&gt;5,"yep","on track")</f>
        <v>on track</v>
      </c>
      <c r="Q3413" s="3">
        <f ca="1">IF(Proc[[#This Row],[DateClosed]]="",ABS(NETWORKDAYS(Proc[[#This Row],[DateOpened]],TODAY()))-1,ABS(NETWORKDAYS(Proc[[#This Row],[DateOpened]],Proc[[#This Row],[DateClosed]]))-1)</f>
        <v>1</v>
      </c>
      <c r="R3413" s="115" t="s">
        <v>1459</v>
      </c>
      <c r="S3413" s="125"/>
    </row>
    <row r="3414" spans="1:19">
      <c r="A3414" s="124" t="s">
        <v>5520</v>
      </c>
      <c r="B3414" s="125" t="str">
        <f>IFERROR(VLOOKUP(Proc[[#This Row],[App]],Table2[],3,0),"open")</f>
        <v>open</v>
      </c>
      <c r="C3414" s="124" t="s">
        <v>375</v>
      </c>
      <c r="D3414" t="s">
        <v>5479</v>
      </c>
      <c r="E3414" t="s">
        <v>5519</v>
      </c>
      <c r="F3414" s="125" t="s">
        <v>5494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0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4897</v>
      </c>
      <c r="M3414" s="113">
        <v>45874</v>
      </c>
      <c r="N3414" s="113"/>
      <c r="O3414" s="113"/>
      <c r="P3414" s="115" t="str">
        <f ca="1">IF(Proc[[#This Row],[DaysAgeing]]&gt;5,"yep","on track")</f>
        <v>on track</v>
      </c>
      <c r="Q3414" s="3">
        <f ca="1">IF(Proc[[#This Row],[DateClosed]]="",ABS(NETWORKDAYS(Proc[[#This Row],[DateOpened]],TODAY()))-1,ABS(NETWORKDAYS(Proc[[#This Row],[DateOpened]],Proc[[#This Row],[DateClosed]]))-1)</f>
        <v>1</v>
      </c>
      <c r="R3414" s="115" t="s">
        <v>1459</v>
      </c>
      <c r="S3414" s="125"/>
    </row>
    <row r="3415" spans="1:19">
      <c r="A3415" s="124" t="s">
        <v>5520</v>
      </c>
      <c r="B3415" s="125" t="str">
        <f>IFERROR(VLOOKUP(Proc[[#This Row],[App]],Table2[],3,0),"open")</f>
        <v>open</v>
      </c>
      <c r="C3415" s="124" t="s">
        <v>375</v>
      </c>
      <c r="D3415" t="s">
        <v>5480</v>
      </c>
      <c r="E3415" t="s">
        <v>5518</v>
      </c>
      <c r="F3415" s="125" t="s">
        <v>5504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0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4897</v>
      </c>
      <c r="M3415" s="113">
        <v>45874</v>
      </c>
      <c r="N3415" s="113"/>
      <c r="O3415" s="113"/>
      <c r="P3415" s="115" t="str">
        <f ca="1">IF(Proc[[#This Row],[DaysAgeing]]&gt;5,"yep","on track")</f>
        <v>on track</v>
      </c>
      <c r="Q3415" s="3">
        <f ca="1">IF(Proc[[#This Row],[DateClosed]]="",ABS(NETWORKDAYS(Proc[[#This Row],[DateOpened]],TODAY()))-1,ABS(NETWORKDAYS(Proc[[#This Row],[DateOpened]],Proc[[#This Row],[DateClosed]]))-1)</f>
        <v>1</v>
      </c>
      <c r="R3415" s="115" t="s">
        <v>1459</v>
      </c>
      <c r="S3415" s="125"/>
    </row>
    <row r="3416" spans="1:19" hidden="1">
      <c r="A3416" s="124" t="s">
        <v>5520</v>
      </c>
      <c r="B3416" s="125" t="str">
        <f>IFERROR(VLOOKUP(Proc[[#This Row],[App]],Table2[],3,0),"open")</f>
        <v>open</v>
      </c>
      <c r="C3416" s="124" t="s">
        <v>370</v>
      </c>
      <c r="D3416" t="s">
        <v>5481</v>
      </c>
      <c r="E3416" t="s">
        <v>5518</v>
      </c>
      <c r="F3416" s="125" t="s">
        <v>5563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0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4897</v>
      </c>
      <c r="M3416" s="113">
        <v>45874</v>
      </c>
      <c r="N3416" s="113"/>
      <c r="O3416" s="113"/>
      <c r="P3416" s="115" t="str">
        <f ca="1">IF(Proc[[#This Row],[DaysAgeing]]&gt;5,"yep","on track")</f>
        <v>on track</v>
      </c>
      <c r="Q3416" s="3">
        <f ca="1">IF(Proc[[#This Row],[DateClosed]]="",ABS(NETWORKDAYS(Proc[[#This Row],[DateOpened]],TODAY()))-1,ABS(NETWORKDAYS(Proc[[#This Row],[DateOpened]],Proc[[#This Row],[DateClosed]]))-1)</f>
        <v>1</v>
      </c>
      <c r="R3416" s="115" t="s">
        <v>1459</v>
      </c>
      <c r="S3416" s="125"/>
    </row>
    <row r="3417" spans="1:19" hidden="1">
      <c r="A3417" s="124" t="s">
        <v>5520</v>
      </c>
      <c r="B3417" s="125" t="str">
        <f>IFERROR(VLOOKUP(Proc[[#This Row],[App]],Table2[],3,0),"open")</f>
        <v>open</v>
      </c>
      <c r="C3417" s="124" t="s">
        <v>370</v>
      </c>
      <c r="D3417" t="s">
        <v>5482</v>
      </c>
      <c r="E3417" t="s">
        <v>5518</v>
      </c>
      <c r="F3417" s="125" t="s">
        <v>5564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0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4897</v>
      </c>
      <c r="M3417" s="113">
        <v>45874</v>
      </c>
      <c r="N3417" s="113"/>
      <c r="O3417" s="113"/>
      <c r="P3417" s="115" t="str">
        <f ca="1">IF(Proc[[#This Row],[DaysAgeing]]&gt;5,"yep","on track")</f>
        <v>on track</v>
      </c>
      <c r="Q3417" s="3">
        <f ca="1">IF(Proc[[#This Row],[DateClosed]]="",ABS(NETWORKDAYS(Proc[[#This Row],[DateOpened]],TODAY()))-1,ABS(NETWORKDAYS(Proc[[#This Row],[DateOpened]],Proc[[#This Row],[DateClosed]]))-1)</f>
        <v>1</v>
      </c>
      <c r="R3417" s="115" t="s">
        <v>1459</v>
      </c>
      <c r="S3417" s="125"/>
    </row>
    <row r="3418" spans="1:19" hidden="1">
      <c r="A3418" s="124" t="s">
        <v>5520</v>
      </c>
      <c r="B3418" s="125" t="str">
        <f>IFERROR(VLOOKUP(Proc[[#This Row],[App]],Table2[],3,0),"open")</f>
        <v>open</v>
      </c>
      <c r="C3418" s="124" t="s">
        <v>370</v>
      </c>
      <c r="D3418" t="s">
        <v>5483</v>
      </c>
      <c r="E3418" t="s">
        <v>5518</v>
      </c>
      <c r="F3418" s="125" t="s">
        <v>5563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0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4897</v>
      </c>
      <c r="M3418" s="113">
        <v>45874</v>
      </c>
      <c r="N3418" s="113"/>
      <c r="O3418" s="113"/>
      <c r="P3418" s="115" t="str">
        <f ca="1">IF(Proc[[#This Row],[DaysAgeing]]&gt;5,"yep","on track")</f>
        <v>on track</v>
      </c>
      <c r="Q3418" s="3">
        <f ca="1">IF(Proc[[#This Row],[DateClosed]]="",ABS(NETWORKDAYS(Proc[[#This Row],[DateOpened]],TODAY()))-1,ABS(NETWORKDAYS(Proc[[#This Row],[DateOpened]],Proc[[#This Row],[DateClosed]]))-1)</f>
        <v>1</v>
      </c>
      <c r="R3418" s="115" t="s">
        <v>1459</v>
      </c>
      <c r="S3418" s="125"/>
    </row>
    <row r="3419" spans="1:19">
      <c r="A3419" s="124" t="s">
        <v>5520</v>
      </c>
      <c r="B3419" s="125" t="str">
        <f>IFERROR(VLOOKUP(Proc[[#This Row],[App]],Table2[],3,0),"open")</f>
        <v>open</v>
      </c>
      <c r="C3419" s="124" t="s">
        <v>375</v>
      </c>
      <c r="D3419" t="s">
        <v>5484</v>
      </c>
      <c r="E3419" t="s">
        <v>5518</v>
      </c>
      <c r="F3419" s="125" t="s">
        <v>5504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0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4897</v>
      </c>
      <c r="M3419" s="113">
        <v>45874</v>
      </c>
      <c r="N3419" s="113"/>
      <c r="O3419" s="113"/>
      <c r="P3419" s="115" t="str">
        <f ca="1">IF(Proc[[#This Row],[DaysAgeing]]&gt;5,"yep","on track")</f>
        <v>on track</v>
      </c>
      <c r="Q3419" s="3">
        <f ca="1">IF(Proc[[#This Row],[DateClosed]]="",ABS(NETWORKDAYS(Proc[[#This Row],[DateOpened]],TODAY()))-1,ABS(NETWORKDAYS(Proc[[#This Row],[DateOpened]],Proc[[#This Row],[DateClosed]]))-1)</f>
        <v>1</v>
      </c>
      <c r="R3419" s="115" t="s">
        <v>1459</v>
      </c>
      <c r="S3419" s="125"/>
    </row>
    <row r="3420" spans="1:19">
      <c r="A3420" s="124" t="s">
        <v>5520</v>
      </c>
      <c r="B3420" s="125" t="str">
        <f>IFERROR(VLOOKUP(Proc[[#This Row],[App]],Table2[],3,0),"open")</f>
        <v>open</v>
      </c>
      <c r="C3420" s="124" t="s">
        <v>375</v>
      </c>
      <c r="D3420" t="s">
        <v>5485</v>
      </c>
      <c r="E3420" t="s">
        <v>5518</v>
      </c>
      <c r="F3420" s="125" t="s">
        <v>5565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0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4897</v>
      </c>
      <c r="M3420" s="113">
        <v>45874</v>
      </c>
      <c r="N3420" s="113"/>
      <c r="O3420" s="113"/>
      <c r="P3420" s="115" t="str">
        <f ca="1">IF(Proc[[#This Row],[DaysAgeing]]&gt;5,"yep","on track")</f>
        <v>on track</v>
      </c>
      <c r="Q3420" s="3">
        <f ca="1">IF(Proc[[#This Row],[DateClosed]]="",ABS(NETWORKDAYS(Proc[[#This Row],[DateOpened]],TODAY()))-1,ABS(NETWORKDAYS(Proc[[#This Row],[DateOpened]],Proc[[#This Row],[DateClosed]]))-1)</f>
        <v>1</v>
      </c>
      <c r="R3420" s="115" t="s">
        <v>1459</v>
      </c>
      <c r="S3420" s="125"/>
    </row>
    <row r="3421" spans="1:19" hidden="1">
      <c r="A3421" t="s">
        <v>5581</v>
      </c>
      <c r="B3421" s="125" t="str">
        <f>IFERROR(VLOOKUP(Proc[[#This Row],[App]],Table2[],3,0),"open")</f>
        <v>open</v>
      </c>
      <c r="C3421" s="124" t="s">
        <v>370</v>
      </c>
      <c r="D3421" t="s">
        <v>5568</v>
      </c>
      <c r="E3421" t="s">
        <v>5582</v>
      </c>
      <c r="F3421" s="125"/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0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4897</v>
      </c>
      <c r="M3421" s="113">
        <v>45874</v>
      </c>
      <c r="N3421" s="113"/>
      <c r="O3421" s="113"/>
      <c r="P3421" s="115" t="str">
        <f ca="1">IF(Proc[[#This Row],[DaysAgeing]]&gt;5,"yep","on track")</f>
        <v>on track</v>
      </c>
      <c r="Q3421" s="3">
        <f ca="1">IF(Proc[[#This Row],[DateClosed]]="",ABS(NETWORKDAYS(Proc[[#This Row],[DateOpened]],TODAY()))-1,ABS(NETWORKDAYS(Proc[[#This Row],[DateOpened]],Proc[[#This Row],[DateClosed]]))-1)</f>
        <v>1</v>
      </c>
      <c r="R3421" s="115" t="s">
        <v>1013</v>
      </c>
      <c r="S3421" s="125"/>
    </row>
    <row r="3422" spans="1:19" hidden="1">
      <c r="A3422" s="124" t="s">
        <v>5581</v>
      </c>
      <c r="B3422" s="125" t="str">
        <f>IFERROR(VLOOKUP(Proc[[#This Row],[App]],Table2[],3,0),"open")</f>
        <v>open</v>
      </c>
      <c r="C3422" s="124" t="s">
        <v>370</v>
      </c>
      <c r="D3422" t="s">
        <v>5569</v>
      </c>
      <c r="E3422" t="s">
        <v>5583</v>
      </c>
      <c r="F3422" s="125"/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0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4897</v>
      </c>
      <c r="M3422" s="113">
        <v>45874</v>
      </c>
      <c r="N3422" s="113"/>
      <c r="O3422" s="113"/>
      <c r="P3422" s="115" t="str">
        <f ca="1">IF(Proc[[#This Row],[DaysAgeing]]&gt;5,"yep","on track")</f>
        <v>on track</v>
      </c>
      <c r="Q3422" s="3">
        <f ca="1">IF(Proc[[#This Row],[DateClosed]]="",ABS(NETWORKDAYS(Proc[[#This Row],[DateOpened]],TODAY()))-1,ABS(NETWORKDAYS(Proc[[#This Row],[DateOpened]],Proc[[#This Row],[DateClosed]]))-1)</f>
        <v>1</v>
      </c>
      <c r="R3422" s="115" t="s">
        <v>1013</v>
      </c>
      <c r="S3422" s="125"/>
    </row>
    <row r="3423" spans="1:19" hidden="1">
      <c r="A3423" s="124" t="s">
        <v>5581</v>
      </c>
      <c r="B3423" s="125" t="str">
        <f>IFERROR(VLOOKUP(Proc[[#This Row],[App]],Table2[],3,0),"open")</f>
        <v>open</v>
      </c>
      <c r="C3423" s="124" t="s">
        <v>370</v>
      </c>
      <c r="D3423" t="s">
        <v>5570</v>
      </c>
      <c r="E3423" t="s">
        <v>5584</v>
      </c>
      <c r="F3423" s="125"/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0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4897</v>
      </c>
      <c r="M3423" s="113">
        <v>45874</v>
      </c>
      <c r="N3423" s="113"/>
      <c r="O3423" s="113"/>
      <c r="P3423" s="115" t="str">
        <f ca="1">IF(Proc[[#This Row],[DaysAgeing]]&gt;5,"yep","on track")</f>
        <v>on track</v>
      </c>
      <c r="Q3423" s="3">
        <f ca="1">IF(Proc[[#This Row],[DateClosed]]="",ABS(NETWORKDAYS(Proc[[#This Row],[DateOpened]],TODAY()))-1,ABS(NETWORKDAYS(Proc[[#This Row],[DateOpened]],Proc[[#This Row],[DateClosed]]))-1)</f>
        <v>1</v>
      </c>
      <c r="R3423" s="115" t="s">
        <v>1013</v>
      </c>
      <c r="S3423" s="125"/>
    </row>
    <row r="3424" spans="1:19" hidden="1">
      <c r="A3424" s="124" t="s">
        <v>5581</v>
      </c>
      <c r="B3424" s="125" t="str">
        <f>IFERROR(VLOOKUP(Proc[[#This Row],[App]],Table2[],3,0),"open")</f>
        <v>open</v>
      </c>
      <c r="C3424" s="124" t="s">
        <v>370</v>
      </c>
      <c r="D3424" t="s">
        <v>5571</v>
      </c>
      <c r="E3424" t="s">
        <v>5585</v>
      </c>
      <c r="F3424" s="125"/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0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4897</v>
      </c>
      <c r="M3424" s="113">
        <v>45874</v>
      </c>
      <c r="N3424" s="113"/>
      <c r="O3424" s="113"/>
      <c r="P3424" s="115" t="str">
        <f ca="1">IF(Proc[[#This Row],[DaysAgeing]]&gt;5,"yep","on track")</f>
        <v>on track</v>
      </c>
      <c r="Q3424" s="3">
        <f ca="1">IF(Proc[[#This Row],[DateClosed]]="",ABS(NETWORKDAYS(Proc[[#This Row],[DateOpened]],TODAY()))-1,ABS(NETWORKDAYS(Proc[[#This Row],[DateOpened]],Proc[[#This Row],[DateClosed]]))-1)</f>
        <v>1</v>
      </c>
      <c r="R3424" s="115" t="s">
        <v>1013</v>
      </c>
      <c r="S3424" s="125"/>
    </row>
    <row r="3425" spans="1:19" hidden="1">
      <c r="A3425" s="124" t="s">
        <v>5581</v>
      </c>
      <c r="B3425" s="125" t="str">
        <f>IFERROR(VLOOKUP(Proc[[#This Row],[App]],Table2[],3,0),"open")</f>
        <v>open</v>
      </c>
      <c r="C3425" s="124" t="s">
        <v>370</v>
      </c>
      <c r="D3425" t="s">
        <v>5572</v>
      </c>
      <c r="E3425" t="s">
        <v>5585</v>
      </c>
      <c r="F3425" s="125"/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0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4897</v>
      </c>
      <c r="M3425" s="113">
        <v>45874</v>
      </c>
      <c r="N3425" s="113"/>
      <c r="O3425" s="113"/>
      <c r="P3425" s="115" t="str">
        <f ca="1">IF(Proc[[#This Row],[DaysAgeing]]&gt;5,"yep","on track")</f>
        <v>on track</v>
      </c>
      <c r="Q3425" s="3">
        <f ca="1">IF(Proc[[#This Row],[DateClosed]]="",ABS(NETWORKDAYS(Proc[[#This Row],[DateOpened]],TODAY()))-1,ABS(NETWORKDAYS(Proc[[#This Row],[DateOpened]],Proc[[#This Row],[DateClosed]]))-1)</f>
        <v>1</v>
      </c>
      <c r="R3425" s="115" t="s">
        <v>1013</v>
      </c>
      <c r="S3425" s="125"/>
    </row>
    <row r="3426" spans="1:19" hidden="1">
      <c r="A3426" s="124" t="s">
        <v>5581</v>
      </c>
      <c r="B3426" s="125" t="str">
        <f>IFERROR(VLOOKUP(Proc[[#This Row],[App]],Table2[],3,0),"open")</f>
        <v>open</v>
      </c>
      <c r="C3426" s="124" t="s">
        <v>370</v>
      </c>
      <c r="D3426" t="s">
        <v>5573</v>
      </c>
      <c r="E3426" t="s">
        <v>5582</v>
      </c>
      <c r="F3426" s="125"/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0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4897</v>
      </c>
      <c r="M3426" s="113">
        <v>45874</v>
      </c>
      <c r="N3426" s="113"/>
      <c r="O3426" s="113"/>
      <c r="P3426" s="115" t="str">
        <f ca="1">IF(Proc[[#This Row],[DaysAgeing]]&gt;5,"yep","on track")</f>
        <v>on track</v>
      </c>
      <c r="Q3426" s="3">
        <f ca="1">IF(Proc[[#This Row],[DateClosed]]="",ABS(NETWORKDAYS(Proc[[#This Row],[DateOpened]],TODAY()))-1,ABS(NETWORKDAYS(Proc[[#This Row],[DateOpened]],Proc[[#This Row],[DateClosed]]))-1)</f>
        <v>1</v>
      </c>
      <c r="R3426" s="115" t="s">
        <v>1013</v>
      </c>
      <c r="S3426" s="125"/>
    </row>
    <row r="3427" spans="1:19" hidden="1">
      <c r="A3427" s="124" t="s">
        <v>5581</v>
      </c>
      <c r="B3427" s="125" t="str">
        <f>IFERROR(VLOOKUP(Proc[[#This Row],[App]],Table2[],3,0),"open")</f>
        <v>open</v>
      </c>
      <c r="C3427" s="124" t="s">
        <v>370</v>
      </c>
      <c r="D3427" t="s">
        <v>5574</v>
      </c>
      <c r="E3427" t="s">
        <v>5583</v>
      </c>
      <c r="F3427" s="125"/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0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4897</v>
      </c>
      <c r="M3427" s="113">
        <v>45874</v>
      </c>
      <c r="N3427" s="113"/>
      <c r="O3427" s="113"/>
      <c r="P3427" s="115" t="str">
        <f ca="1">IF(Proc[[#This Row],[DaysAgeing]]&gt;5,"yep","on track")</f>
        <v>on track</v>
      </c>
      <c r="Q3427" s="3">
        <f ca="1">IF(Proc[[#This Row],[DateClosed]]="",ABS(NETWORKDAYS(Proc[[#This Row],[DateOpened]],TODAY()))-1,ABS(NETWORKDAYS(Proc[[#This Row],[DateOpened]],Proc[[#This Row],[DateClosed]]))-1)</f>
        <v>1</v>
      </c>
      <c r="R3427" s="115" t="s">
        <v>1013</v>
      </c>
      <c r="S3427" s="125"/>
    </row>
    <row r="3428" spans="1:19" hidden="1">
      <c r="A3428" s="124" t="s">
        <v>5581</v>
      </c>
      <c r="B3428" s="125" t="str">
        <f>IFERROR(VLOOKUP(Proc[[#This Row],[App]],Table2[],3,0),"open")</f>
        <v>open</v>
      </c>
      <c r="C3428" s="124" t="s">
        <v>370</v>
      </c>
      <c r="D3428" t="s">
        <v>5575</v>
      </c>
      <c r="E3428" t="s">
        <v>2222</v>
      </c>
      <c r="F3428" s="125"/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0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4897</v>
      </c>
      <c r="M3428" s="113">
        <v>45874</v>
      </c>
      <c r="N3428" s="113"/>
      <c r="O3428" s="113"/>
      <c r="P3428" s="115" t="str">
        <f ca="1">IF(Proc[[#This Row],[DaysAgeing]]&gt;5,"yep","on track")</f>
        <v>on track</v>
      </c>
      <c r="Q3428" s="3">
        <f ca="1">IF(Proc[[#This Row],[DateClosed]]="",ABS(NETWORKDAYS(Proc[[#This Row],[DateOpened]],TODAY()))-1,ABS(NETWORKDAYS(Proc[[#This Row],[DateOpened]],Proc[[#This Row],[DateClosed]]))-1)</f>
        <v>1</v>
      </c>
      <c r="R3428" s="115" t="s">
        <v>1013</v>
      </c>
      <c r="S3428" s="125"/>
    </row>
    <row r="3429" spans="1:19" hidden="1">
      <c r="A3429" s="124" t="s">
        <v>5581</v>
      </c>
      <c r="B3429" s="125" t="str">
        <f>IFERROR(VLOOKUP(Proc[[#This Row],[App]],Table2[],3,0),"open")</f>
        <v>open</v>
      </c>
      <c r="C3429" s="124" t="s">
        <v>370</v>
      </c>
      <c r="D3429" t="s">
        <v>5576</v>
      </c>
      <c r="E3429" t="s">
        <v>2222</v>
      </c>
      <c r="F3429" s="125"/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0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4897</v>
      </c>
      <c r="M3429" s="113">
        <v>45874</v>
      </c>
      <c r="N3429" s="113"/>
      <c r="O3429" s="113"/>
      <c r="P3429" s="115" t="str">
        <f ca="1">IF(Proc[[#This Row],[DaysAgeing]]&gt;5,"yep","on track")</f>
        <v>on track</v>
      </c>
      <c r="Q3429" s="3">
        <f ca="1">IF(Proc[[#This Row],[DateClosed]]="",ABS(NETWORKDAYS(Proc[[#This Row],[DateOpened]],TODAY()))-1,ABS(NETWORKDAYS(Proc[[#This Row],[DateOpened]],Proc[[#This Row],[DateClosed]]))-1)</f>
        <v>1</v>
      </c>
      <c r="R3429" s="115" t="s">
        <v>1013</v>
      </c>
      <c r="S3429" s="125"/>
    </row>
    <row r="3430" spans="1:19" hidden="1">
      <c r="A3430" s="124" t="s">
        <v>5581</v>
      </c>
      <c r="B3430" s="125" t="str">
        <f>IFERROR(VLOOKUP(Proc[[#This Row],[App]],Table2[],3,0),"open")</f>
        <v>open</v>
      </c>
      <c r="C3430" s="124" t="s">
        <v>370</v>
      </c>
      <c r="D3430" t="s">
        <v>5577</v>
      </c>
      <c r="E3430" t="s">
        <v>2224</v>
      </c>
      <c r="F3430" s="125"/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0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4897</v>
      </c>
      <c r="M3430" s="113">
        <v>45874</v>
      </c>
      <c r="N3430" s="113"/>
      <c r="O3430" s="113"/>
      <c r="P3430" s="115" t="str">
        <f ca="1">IF(Proc[[#This Row],[DaysAgeing]]&gt;5,"yep","on track")</f>
        <v>on track</v>
      </c>
      <c r="Q3430" s="3">
        <f ca="1">IF(Proc[[#This Row],[DateClosed]]="",ABS(NETWORKDAYS(Proc[[#This Row],[DateOpened]],TODAY()))-1,ABS(NETWORKDAYS(Proc[[#This Row],[DateOpened]],Proc[[#This Row],[DateClosed]]))-1)</f>
        <v>1</v>
      </c>
      <c r="R3430" s="115" t="s">
        <v>1013</v>
      </c>
      <c r="S3430" s="125"/>
    </row>
    <row r="3431" spans="1:19" hidden="1">
      <c r="A3431" s="124" t="s">
        <v>5581</v>
      </c>
      <c r="B3431" s="125" t="str">
        <f>IFERROR(VLOOKUP(Proc[[#This Row],[App]],Table2[],3,0),"open")</f>
        <v>open</v>
      </c>
      <c r="C3431" s="124" t="s">
        <v>370</v>
      </c>
      <c r="D3431" t="s">
        <v>5578</v>
      </c>
      <c r="E3431" t="s">
        <v>5585</v>
      </c>
      <c r="F3431" s="125"/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0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4897</v>
      </c>
      <c r="M3431" s="113">
        <v>45874</v>
      </c>
      <c r="N3431" s="113"/>
      <c r="O3431" s="113"/>
      <c r="P3431" s="115" t="str">
        <f ca="1">IF(Proc[[#This Row],[DaysAgeing]]&gt;5,"yep","on track")</f>
        <v>on track</v>
      </c>
      <c r="Q3431" s="3">
        <f ca="1">IF(Proc[[#This Row],[DateClosed]]="",ABS(NETWORKDAYS(Proc[[#This Row],[DateOpened]],TODAY()))-1,ABS(NETWORKDAYS(Proc[[#This Row],[DateOpened]],Proc[[#This Row],[DateClosed]]))-1)</f>
        <v>1</v>
      </c>
      <c r="R3431" s="115" t="s">
        <v>1013</v>
      </c>
      <c r="S3431" s="125"/>
    </row>
    <row r="3432" spans="1:19">
      <c r="A3432" s="124" t="s">
        <v>5581</v>
      </c>
      <c r="B3432" s="125" t="str">
        <f>IFERROR(VLOOKUP(Proc[[#This Row],[App]],Table2[],3,0),"open")</f>
        <v>open</v>
      </c>
      <c r="C3432" s="124" t="s">
        <v>375</v>
      </c>
      <c r="D3432" t="s">
        <v>5579</v>
      </c>
      <c r="E3432" t="s">
        <v>5585</v>
      </c>
      <c r="F3432" s="125"/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0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4897</v>
      </c>
      <c r="M3432" s="113">
        <v>45874</v>
      </c>
      <c r="N3432" s="113"/>
      <c r="O3432" s="113"/>
      <c r="P3432" s="115" t="str">
        <f ca="1">IF(Proc[[#This Row],[DaysAgeing]]&gt;5,"yep","on track")</f>
        <v>on track</v>
      </c>
      <c r="Q3432" s="3">
        <f ca="1">IF(Proc[[#This Row],[DateClosed]]="",ABS(NETWORKDAYS(Proc[[#This Row],[DateOpened]],TODAY()))-1,ABS(NETWORKDAYS(Proc[[#This Row],[DateOpened]],Proc[[#This Row],[DateClosed]]))-1)</f>
        <v>1</v>
      </c>
      <c r="R3432" s="115" t="s">
        <v>1013</v>
      </c>
      <c r="S3432" s="125"/>
    </row>
    <row r="3433" spans="1:19" hidden="1">
      <c r="A3433" s="124" t="s">
        <v>5581</v>
      </c>
      <c r="B3433" s="125" t="str">
        <f>IFERROR(VLOOKUP(Proc[[#This Row],[App]],Table2[],3,0),"open")</f>
        <v>open</v>
      </c>
      <c r="C3433" s="124" t="s">
        <v>370</v>
      </c>
      <c r="D3433" t="s">
        <v>5580</v>
      </c>
      <c r="E3433" t="s">
        <v>5586</v>
      </c>
      <c r="F3433" s="125"/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0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4897</v>
      </c>
      <c r="M3433" s="113">
        <v>45874</v>
      </c>
      <c r="N3433" s="113"/>
      <c r="O3433" s="113"/>
      <c r="P3433" s="115" t="str">
        <f ca="1">IF(Proc[[#This Row],[DaysAgeing]]&gt;5,"yep","on track")</f>
        <v>on track</v>
      </c>
      <c r="Q3433" s="3">
        <f ca="1">IF(Proc[[#This Row],[DateClosed]]="",ABS(NETWORKDAYS(Proc[[#This Row],[DateOpened]],TODAY()))-1,ABS(NETWORKDAYS(Proc[[#This Row],[DateOpened]],Proc[[#This Row],[DateClosed]]))-1)</f>
        <v>1</v>
      </c>
      <c r="R3433" s="115" t="s">
        <v>1013</v>
      </c>
      <c r="S3433" s="125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G2:G3433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3EE7-0E48-4D9C-9A03-F4C374098B1B}">
  <dimension ref="A1:B486"/>
  <sheetViews>
    <sheetView workbookViewId="0">
      <selection activeCell="B5" sqref="B5"/>
    </sheetView>
  </sheetViews>
  <sheetFormatPr defaultRowHeight="15"/>
  <sheetData>
    <row r="1" spans="1:2">
      <c r="A1" t="s">
        <v>2319</v>
      </c>
      <c r="B1" t="s">
        <v>4414</v>
      </c>
    </row>
    <row r="2" spans="1:2">
      <c r="A2" t="s">
        <v>4969</v>
      </c>
      <c r="B2" t="s">
        <v>4948</v>
      </c>
    </row>
    <row r="3" spans="1:2">
      <c r="A3" t="s">
        <v>4974</v>
      </c>
      <c r="B3" t="s">
        <v>5522</v>
      </c>
    </row>
    <row r="4" spans="1:2">
      <c r="A4" t="s">
        <v>4975</v>
      </c>
      <c r="B4" t="s">
        <v>2521</v>
      </c>
    </row>
    <row r="5" spans="1:2">
      <c r="A5" t="s">
        <v>4976</v>
      </c>
      <c r="B5" t="s">
        <v>5269</v>
      </c>
    </row>
    <row r="6" spans="1:2">
      <c r="A6" t="s">
        <v>4977</v>
      </c>
      <c r="B6" t="s">
        <v>5269</v>
      </c>
    </row>
    <row r="7" spans="1:2">
      <c r="A7" t="s">
        <v>4978</v>
      </c>
      <c r="B7" t="s">
        <v>5269</v>
      </c>
    </row>
    <row r="8" spans="1:2">
      <c r="A8" t="s">
        <v>4979</v>
      </c>
      <c r="B8" t="s">
        <v>3003</v>
      </c>
    </row>
    <row r="9" spans="1:2">
      <c r="A9" t="s">
        <v>4980</v>
      </c>
      <c r="B9" t="s">
        <v>3003</v>
      </c>
    </row>
    <row r="10" spans="1:2">
      <c r="A10" t="s">
        <v>4981</v>
      </c>
      <c r="B10" t="s">
        <v>3003</v>
      </c>
    </row>
    <row r="11" spans="1:2">
      <c r="A11" t="s">
        <v>4982</v>
      </c>
      <c r="B11" t="s">
        <v>3008</v>
      </c>
    </row>
    <row r="12" spans="1:2">
      <c r="A12" t="s">
        <v>4983</v>
      </c>
      <c r="B12" t="s">
        <v>3003</v>
      </c>
    </row>
    <row r="13" spans="1:2">
      <c r="A13" t="s">
        <v>4984</v>
      </c>
      <c r="B13" t="s">
        <v>3003</v>
      </c>
    </row>
    <row r="14" spans="1:2">
      <c r="A14" t="s">
        <v>4985</v>
      </c>
      <c r="B14" t="s">
        <v>3003</v>
      </c>
    </row>
    <row r="15" spans="1:2">
      <c r="A15" t="s">
        <v>4986</v>
      </c>
      <c r="B15" t="s">
        <v>3003</v>
      </c>
    </row>
    <row r="16" spans="1:2">
      <c r="A16" t="s">
        <v>4987</v>
      </c>
      <c r="B16" t="s">
        <v>3003</v>
      </c>
    </row>
    <row r="17" spans="1:2">
      <c r="A17" t="s">
        <v>4988</v>
      </c>
      <c r="B17" t="s">
        <v>5269</v>
      </c>
    </row>
    <row r="18" spans="1:2">
      <c r="A18" t="s">
        <v>4989</v>
      </c>
      <c r="B18" t="s">
        <v>3007</v>
      </c>
    </row>
    <row r="19" spans="1:2">
      <c r="A19" t="s">
        <v>4990</v>
      </c>
      <c r="B19" t="s">
        <v>3009</v>
      </c>
    </row>
    <row r="20" spans="1:2">
      <c r="A20" t="s">
        <v>4991</v>
      </c>
      <c r="B20" t="s">
        <v>3003</v>
      </c>
    </row>
    <row r="21" spans="1:2">
      <c r="A21" t="s">
        <v>4992</v>
      </c>
      <c r="B21" t="s">
        <v>3003</v>
      </c>
    </row>
    <row r="22" spans="1:2">
      <c r="A22" t="s">
        <v>4993</v>
      </c>
      <c r="B22" t="s">
        <v>3003</v>
      </c>
    </row>
    <row r="23" spans="1:2">
      <c r="A23" t="s">
        <v>4994</v>
      </c>
      <c r="B23" t="s">
        <v>3009</v>
      </c>
    </row>
    <row r="24" spans="1:2">
      <c r="A24" t="s">
        <v>4995</v>
      </c>
      <c r="B24" t="s">
        <v>3003</v>
      </c>
    </row>
    <row r="25" spans="1:2">
      <c r="A25" t="s">
        <v>4996</v>
      </c>
      <c r="B25" t="s">
        <v>3003</v>
      </c>
    </row>
    <row r="26" spans="1:2">
      <c r="A26" t="s">
        <v>4997</v>
      </c>
      <c r="B26" t="s">
        <v>3009</v>
      </c>
    </row>
    <row r="27" spans="1:2">
      <c r="A27" t="s">
        <v>4998</v>
      </c>
      <c r="B27" t="s">
        <v>3003</v>
      </c>
    </row>
    <row r="28" spans="1:2">
      <c r="A28" t="s">
        <v>4999</v>
      </c>
      <c r="B28" t="s">
        <v>3003</v>
      </c>
    </row>
    <row r="29" spans="1:2">
      <c r="A29" t="s">
        <v>5000</v>
      </c>
      <c r="B29" t="s">
        <v>3004</v>
      </c>
    </row>
    <row r="30" spans="1:2">
      <c r="A30" t="s">
        <v>5001</v>
      </c>
      <c r="B30" t="s">
        <v>3003</v>
      </c>
    </row>
    <row r="31" spans="1:2">
      <c r="A31" t="s">
        <v>5002</v>
      </c>
      <c r="B31" t="s">
        <v>3005</v>
      </c>
    </row>
    <row r="32" spans="1:2">
      <c r="A32" t="s">
        <v>5003</v>
      </c>
      <c r="B32" t="s">
        <v>3004</v>
      </c>
    </row>
    <row r="33" spans="1:2">
      <c r="A33" t="s">
        <v>5004</v>
      </c>
      <c r="B33" t="s">
        <v>3004</v>
      </c>
    </row>
    <row r="34" spans="1:2">
      <c r="A34" t="s">
        <v>5005</v>
      </c>
      <c r="B34" t="s">
        <v>3006</v>
      </c>
    </row>
    <row r="35" spans="1:2">
      <c r="A35" t="s">
        <v>5006</v>
      </c>
      <c r="B35" t="s">
        <v>3004</v>
      </c>
    </row>
    <row r="36" spans="1:2">
      <c r="A36" t="s">
        <v>5007</v>
      </c>
      <c r="B36" t="s">
        <v>3004</v>
      </c>
    </row>
    <row r="37" spans="1:2">
      <c r="A37" t="s">
        <v>5008</v>
      </c>
      <c r="B37" t="s">
        <v>5269</v>
      </c>
    </row>
    <row r="38" spans="1:2">
      <c r="A38" t="s">
        <v>5009</v>
      </c>
      <c r="B38" t="s">
        <v>5523</v>
      </c>
    </row>
    <row r="39" spans="1:2">
      <c r="A39" t="s">
        <v>5010</v>
      </c>
      <c r="B39" t="s">
        <v>3008</v>
      </c>
    </row>
    <row r="40" spans="1:2">
      <c r="A40" t="s">
        <v>5011</v>
      </c>
      <c r="B40" t="s">
        <v>3008</v>
      </c>
    </row>
    <row r="41" spans="1:2">
      <c r="A41" t="s">
        <v>5012</v>
      </c>
      <c r="B41" t="s">
        <v>3007</v>
      </c>
    </row>
    <row r="42" spans="1:2">
      <c r="A42" t="s">
        <v>5013</v>
      </c>
      <c r="B42" t="s">
        <v>3008</v>
      </c>
    </row>
    <row r="43" spans="1:2">
      <c r="A43" t="s">
        <v>5014</v>
      </c>
      <c r="B43" t="s">
        <v>3003</v>
      </c>
    </row>
    <row r="44" spans="1:2">
      <c r="A44" t="s">
        <v>5015</v>
      </c>
      <c r="B44" t="s">
        <v>3005</v>
      </c>
    </row>
    <row r="45" spans="1:2">
      <c r="A45" t="s">
        <v>5016</v>
      </c>
      <c r="B45" t="s">
        <v>5269</v>
      </c>
    </row>
    <row r="46" spans="1:2">
      <c r="A46" t="s">
        <v>5017</v>
      </c>
      <c r="B46" t="s">
        <v>3007</v>
      </c>
    </row>
    <row r="47" spans="1:2">
      <c r="A47" t="s">
        <v>5018</v>
      </c>
      <c r="B47" t="s">
        <v>3004</v>
      </c>
    </row>
    <row r="48" spans="1:2">
      <c r="A48" t="s">
        <v>5019</v>
      </c>
      <c r="B48" t="s">
        <v>4069</v>
      </c>
    </row>
    <row r="49" spans="1:2">
      <c r="A49" t="s">
        <v>5020</v>
      </c>
      <c r="B49" t="s">
        <v>4069</v>
      </c>
    </row>
    <row r="50" spans="1:2">
      <c r="A50" t="s">
        <v>5021</v>
      </c>
      <c r="B50" t="s">
        <v>4069</v>
      </c>
    </row>
    <row r="51" spans="1:2">
      <c r="A51" t="s">
        <v>5022</v>
      </c>
      <c r="B51" t="s">
        <v>4069</v>
      </c>
    </row>
    <row r="52" spans="1:2">
      <c r="A52" t="s">
        <v>5023</v>
      </c>
      <c r="B52" t="s">
        <v>4069</v>
      </c>
    </row>
    <row r="53" spans="1:2">
      <c r="A53" t="s">
        <v>5024</v>
      </c>
      <c r="B53" t="s">
        <v>4069</v>
      </c>
    </row>
    <row r="54" spans="1:2">
      <c r="A54" t="s">
        <v>5025</v>
      </c>
      <c r="B54" t="s">
        <v>4069</v>
      </c>
    </row>
    <row r="55" spans="1:2">
      <c r="A55" t="s">
        <v>5026</v>
      </c>
      <c r="B55" t="s">
        <v>4069</v>
      </c>
    </row>
    <row r="56" spans="1:2">
      <c r="A56" t="s">
        <v>5027</v>
      </c>
      <c r="B56" t="s">
        <v>4069</v>
      </c>
    </row>
    <row r="57" spans="1:2">
      <c r="A57" t="s">
        <v>5028</v>
      </c>
      <c r="B57" t="s">
        <v>4069</v>
      </c>
    </row>
    <row r="58" spans="1:2">
      <c r="A58" t="s">
        <v>5029</v>
      </c>
      <c r="B58" t="s">
        <v>4069</v>
      </c>
    </row>
    <row r="59" spans="1:2">
      <c r="A59" t="s">
        <v>5030</v>
      </c>
      <c r="B59" t="s">
        <v>4069</v>
      </c>
    </row>
    <row r="60" spans="1:2">
      <c r="A60" t="s">
        <v>5031</v>
      </c>
      <c r="B60" t="s">
        <v>4069</v>
      </c>
    </row>
    <row r="61" spans="1:2">
      <c r="A61" t="s">
        <v>5032</v>
      </c>
      <c r="B61" t="s">
        <v>4069</v>
      </c>
    </row>
    <row r="62" spans="1:2">
      <c r="A62" t="s">
        <v>5033</v>
      </c>
      <c r="B62" t="s">
        <v>4069</v>
      </c>
    </row>
    <row r="63" spans="1:2">
      <c r="A63" t="s">
        <v>5034</v>
      </c>
      <c r="B63" t="s">
        <v>4069</v>
      </c>
    </row>
    <row r="64" spans="1:2">
      <c r="A64" t="s">
        <v>5035</v>
      </c>
      <c r="B64" t="s">
        <v>4069</v>
      </c>
    </row>
    <row r="65" spans="1:2">
      <c r="A65" t="s">
        <v>5036</v>
      </c>
      <c r="B65" t="s">
        <v>4069</v>
      </c>
    </row>
    <row r="66" spans="1:2">
      <c r="A66" t="s">
        <v>5037</v>
      </c>
      <c r="B66" t="s">
        <v>4069</v>
      </c>
    </row>
    <row r="67" spans="1:2">
      <c r="A67" t="s">
        <v>5038</v>
      </c>
      <c r="B67" t="s">
        <v>4069</v>
      </c>
    </row>
    <row r="68" spans="1:2">
      <c r="A68" t="s">
        <v>5039</v>
      </c>
      <c r="B68" t="s">
        <v>4069</v>
      </c>
    </row>
    <row r="69" spans="1:2">
      <c r="A69" t="s">
        <v>5040</v>
      </c>
      <c r="B69" t="s">
        <v>4069</v>
      </c>
    </row>
    <row r="70" spans="1:2">
      <c r="A70" t="s">
        <v>5041</v>
      </c>
      <c r="B70" t="s">
        <v>4069</v>
      </c>
    </row>
    <row r="71" spans="1:2">
      <c r="A71" t="s">
        <v>5042</v>
      </c>
      <c r="B71" t="s">
        <v>4069</v>
      </c>
    </row>
    <row r="72" spans="1:2">
      <c r="A72" t="s">
        <v>5043</v>
      </c>
      <c r="B72" t="s">
        <v>4069</v>
      </c>
    </row>
    <row r="73" spans="1:2">
      <c r="A73" t="s">
        <v>5044</v>
      </c>
      <c r="B73" t="s">
        <v>4069</v>
      </c>
    </row>
    <row r="74" spans="1:2">
      <c r="A74" t="s">
        <v>5045</v>
      </c>
      <c r="B74" t="s">
        <v>4069</v>
      </c>
    </row>
    <row r="75" spans="1:2">
      <c r="A75" t="s">
        <v>5046</v>
      </c>
      <c r="B75" t="s">
        <v>4069</v>
      </c>
    </row>
    <row r="76" spans="1:2">
      <c r="A76" t="s">
        <v>5047</v>
      </c>
      <c r="B76" t="s">
        <v>4069</v>
      </c>
    </row>
    <row r="77" spans="1:2">
      <c r="A77" t="s">
        <v>5048</v>
      </c>
      <c r="B77" t="s">
        <v>4069</v>
      </c>
    </row>
    <row r="78" spans="1:2">
      <c r="A78" t="s">
        <v>5049</v>
      </c>
      <c r="B78" t="s">
        <v>4069</v>
      </c>
    </row>
    <row r="79" spans="1:2">
      <c r="A79" t="s">
        <v>5050</v>
      </c>
      <c r="B79" t="s">
        <v>4069</v>
      </c>
    </row>
    <row r="80" spans="1:2">
      <c r="A80" t="s">
        <v>5051</v>
      </c>
      <c r="B80" t="s">
        <v>4069</v>
      </c>
    </row>
    <row r="81" spans="1:2">
      <c r="A81" t="s">
        <v>5052</v>
      </c>
      <c r="B81" t="s">
        <v>4069</v>
      </c>
    </row>
    <row r="82" spans="1:2">
      <c r="A82" t="s">
        <v>5053</v>
      </c>
      <c r="B82" t="s">
        <v>4069</v>
      </c>
    </row>
    <row r="83" spans="1:2">
      <c r="A83" t="s">
        <v>5054</v>
      </c>
      <c r="B83" t="s">
        <v>4069</v>
      </c>
    </row>
    <row r="84" spans="1:2">
      <c r="A84" t="s">
        <v>5055</v>
      </c>
      <c r="B84" t="s">
        <v>4069</v>
      </c>
    </row>
    <row r="85" spans="1:2">
      <c r="A85" t="s">
        <v>5056</v>
      </c>
      <c r="B85" t="s">
        <v>4069</v>
      </c>
    </row>
    <row r="86" spans="1:2">
      <c r="A86" t="s">
        <v>5057</v>
      </c>
      <c r="B86" t="s">
        <v>4069</v>
      </c>
    </row>
    <row r="87" spans="1:2">
      <c r="A87" t="s">
        <v>5058</v>
      </c>
      <c r="B87" t="s">
        <v>4069</v>
      </c>
    </row>
    <row r="88" spans="1:2">
      <c r="A88" t="s">
        <v>5059</v>
      </c>
      <c r="B88" t="s">
        <v>4069</v>
      </c>
    </row>
    <row r="89" spans="1:2">
      <c r="A89" t="s">
        <v>5060</v>
      </c>
      <c r="B89" t="s">
        <v>4069</v>
      </c>
    </row>
    <row r="90" spans="1:2">
      <c r="A90" t="s">
        <v>5061</v>
      </c>
      <c r="B90" t="s">
        <v>4069</v>
      </c>
    </row>
    <row r="91" spans="1:2">
      <c r="A91" t="s">
        <v>5062</v>
      </c>
      <c r="B91" t="s">
        <v>4069</v>
      </c>
    </row>
    <row r="92" spans="1:2">
      <c r="A92" t="s">
        <v>5063</v>
      </c>
      <c r="B92" t="s">
        <v>4069</v>
      </c>
    </row>
    <row r="93" spans="1:2">
      <c r="A93" t="s">
        <v>5064</v>
      </c>
      <c r="B93" t="s">
        <v>4069</v>
      </c>
    </row>
    <row r="94" spans="1:2">
      <c r="A94" t="s">
        <v>5065</v>
      </c>
      <c r="B94" t="s">
        <v>4069</v>
      </c>
    </row>
    <row r="95" spans="1:2">
      <c r="A95" t="s">
        <v>5066</v>
      </c>
      <c r="B95" t="s">
        <v>4069</v>
      </c>
    </row>
    <row r="96" spans="1:2">
      <c r="A96" t="s">
        <v>5067</v>
      </c>
      <c r="B96" t="s">
        <v>4069</v>
      </c>
    </row>
    <row r="97" spans="1:2">
      <c r="A97" t="s">
        <v>5068</v>
      </c>
      <c r="B97" t="s">
        <v>4069</v>
      </c>
    </row>
    <row r="98" spans="1:2">
      <c r="A98" t="s">
        <v>5069</v>
      </c>
      <c r="B98" t="s">
        <v>4069</v>
      </c>
    </row>
    <row r="99" spans="1:2">
      <c r="A99" t="s">
        <v>5070</v>
      </c>
      <c r="B99" t="s">
        <v>4069</v>
      </c>
    </row>
    <row r="100" spans="1:2">
      <c r="A100" t="s">
        <v>5071</v>
      </c>
      <c r="B100" t="s">
        <v>4069</v>
      </c>
    </row>
    <row r="101" spans="1:2">
      <c r="A101" t="s">
        <v>5072</v>
      </c>
      <c r="B101" t="s">
        <v>4069</v>
      </c>
    </row>
    <row r="102" spans="1:2">
      <c r="A102" t="s">
        <v>5073</v>
      </c>
      <c r="B102" t="s">
        <v>4069</v>
      </c>
    </row>
    <row r="103" spans="1:2">
      <c r="A103" t="s">
        <v>5074</v>
      </c>
      <c r="B103" t="s">
        <v>4069</v>
      </c>
    </row>
    <row r="104" spans="1:2">
      <c r="A104" t="s">
        <v>5075</v>
      </c>
      <c r="B104" t="s">
        <v>4069</v>
      </c>
    </row>
    <row r="105" spans="1:2">
      <c r="A105" t="s">
        <v>5076</v>
      </c>
      <c r="B105" t="s">
        <v>4069</v>
      </c>
    </row>
    <row r="106" spans="1:2">
      <c r="A106" t="s">
        <v>5077</v>
      </c>
      <c r="B106" t="s">
        <v>4069</v>
      </c>
    </row>
    <row r="107" spans="1:2">
      <c r="A107" t="s">
        <v>5078</v>
      </c>
      <c r="B107" t="s">
        <v>4069</v>
      </c>
    </row>
    <row r="108" spans="1:2">
      <c r="A108" t="s">
        <v>5079</v>
      </c>
      <c r="B108" t="s">
        <v>4069</v>
      </c>
    </row>
    <row r="109" spans="1:2">
      <c r="A109" t="s">
        <v>5080</v>
      </c>
      <c r="B109" t="s">
        <v>4069</v>
      </c>
    </row>
    <row r="110" spans="1:2">
      <c r="A110" t="s">
        <v>5081</v>
      </c>
      <c r="B110" t="s">
        <v>4069</v>
      </c>
    </row>
    <row r="111" spans="1:2">
      <c r="A111" t="s">
        <v>5082</v>
      </c>
      <c r="B111" t="s">
        <v>4069</v>
      </c>
    </row>
    <row r="112" spans="1:2">
      <c r="A112" t="s">
        <v>5083</v>
      </c>
      <c r="B112" t="s">
        <v>4069</v>
      </c>
    </row>
    <row r="113" spans="1:2">
      <c r="A113" t="s">
        <v>5084</v>
      </c>
      <c r="B113" t="s">
        <v>4069</v>
      </c>
    </row>
    <row r="114" spans="1:2">
      <c r="A114" t="s">
        <v>5085</v>
      </c>
      <c r="B114" t="s">
        <v>4069</v>
      </c>
    </row>
    <row r="115" spans="1:2">
      <c r="A115" t="s">
        <v>5086</v>
      </c>
      <c r="B115" t="s">
        <v>4069</v>
      </c>
    </row>
    <row r="116" spans="1:2">
      <c r="A116" t="s">
        <v>5087</v>
      </c>
      <c r="B116" t="s">
        <v>4069</v>
      </c>
    </row>
    <row r="117" spans="1:2">
      <c r="A117" t="s">
        <v>5088</v>
      </c>
      <c r="B117" t="s">
        <v>4069</v>
      </c>
    </row>
    <row r="118" spans="1:2">
      <c r="A118" t="s">
        <v>5089</v>
      </c>
      <c r="B118" t="s">
        <v>4069</v>
      </c>
    </row>
    <row r="119" spans="1:2">
      <c r="A119" t="s">
        <v>5090</v>
      </c>
      <c r="B119" t="s">
        <v>4069</v>
      </c>
    </row>
    <row r="120" spans="1:2">
      <c r="A120" t="s">
        <v>5091</v>
      </c>
      <c r="B120" t="s">
        <v>4069</v>
      </c>
    </row>
    <row r="121" spans="1:2">
      <c r="A121" t="s">
        <v>5092</v>
      </c>
      <c r="B121" t="s">
        <v>4069</v>
      </c>
    </row>
    <row r="122" spans="1:2">
      <c r="A122" t="s">
        <v>5093</v>
      </c>
      <c r="B122" t="s">
        <v>4069</v>
      </c>
    </row>
    <row r="123" spans="1:2">
      <c r="A123" t="s">
        <v>5094</v>
      </c>
      <c r="B123" t="s">
        <v>4069</v>
      </c>
    </row>
    <row r="124" spans="1:2">
      <c r="A124" t="s">
        <v>5095</v>
      </c>
      <c r="B124" t="s">
        <v>4069</v>
      </c>
    </row>
    <row r="125" spans="1:2">
      <c r="A125" t="s">
        <v>5096</v>
      </c>
      <c r="B125" t="s">
        <v>4069</v>
      </c>
    </row>
    <row r="126" spans="1:2">
      <c r="A126" t="s">
        <v>5097</v>
      </c>
      <c r="B126" t="s">
        <v>4069</v>
      </c>
    </row>
    <row r="127" spans="1:2">
      <c r="A127" t="s">
        <v>5098</v>
      </c>
      <c r="B127" t="s">
        <v>4069</v>
      </c>
    </row>
    <row r="128" spans="1:2">
      <c r="A128" t="s">
        <v>5099</v>
      </c>
      <c r="B128" t="s">
        <v>4069</v>
      </c>
    </row>
    <row r="129" spans="1:2">
      <c r="A129" t="s">
        <v>5100</v>
      </c>
      <c r="B129" t="s">
        <v>4069</v>
      </c>
    </row>
    <row r="130" spans="1:2">
      <c r="A130" t="s">
        <v>5101</v>
      </c>
      <c r="B130" t="s">
        <v>4069</v>
      </c>
    </row>
    <row r="131" spans="1:2">
      <c r="A131" t="s">
        <v>5102</v>
      </c>
      <c r="B131" t="s">
        <v>4069</v>
      </c>
    </row>
    <row r="132" spans="1:2">
      <c r="A132" t="s">
        <v>5103</v>
      </c>
      <c r="B132" t="s">
        <v>4069</v>
      </c>
    </row>
    <row r="133" spans="1:2">
      <c r="A133" t="s">
        <v>5104</v>
      </c>
      <c r="B133" t="s">
        <v>4069</v>
      </c>
    </row>
    <row r="134" spans="1:2">
      <c r="A134" t="s">
        <v>5105</v>
      </c>
      <c r="B134" t="s">
        <v>4069</v>
      </c>
    </row>
    <row r="135" spans="1:2">
      <c r="A135" t="s">
        <v>5106</v>
      </c>
      <c r="B135" t="s">
        <v>4069</v>
      </c>
    </row>
    <row r="136" spans="1:2">
      <c r="A136" t="s">
        <v>5107</v>
      </c>
      <c r="B136" t="s">
        <v>4069</v>
      </c>
    </row>
    <row r="137" spans="1:2">
      <c r="A137" t="s">
        <v>5108</v>
      </c>
      <c r="B137" t="s">
        <v>4069</v>
      </c>
    </row>
    <row r="138" spans="1:2">
      <c r="A138" t="s">
        <v>5109</v>
      </c>
      <c r="B138" t="s">
        <v>4069</v>
      </c>
    </row>
    <row r="139" spans="1:2">
      <c r="A139" t="s">
        <v>5110</v>
      </c>
      <c r="B139" t="s">
        <v>4069</v>
      </c>
    </row>
    <row r="140" spans="1:2">
      <c r="A140" t="s">
        <v>5111</v>
      </c>
      <c r="B140" t="s">
        <v>4069</v>
      </c>
    </row>
    <row r="141" spans="1:2">
      <c r="A141" t="s">
        <v>5112</v>
      </c>
      <c r="B141" t="s">
        <v>4069</v>
      </c>
    </row>
    <row r="142" spans="1:2">
      <c r="A142" t="s">
        <v>5113</v>
      </c>
      <c r="B142" t="s">
        <v>4069</v>
      </c>
    </row>
    <row r="143" spans="1:2">
      <c r="A143" t="s">
        <v>5114</v>
      </c>
      <c r="B143" t="s">
        <v>4069</v>
      </c>
    </row>
    <row r="144" spans="1:2">
      <c r="A144" t="s">
        <v>5115</v>
      </c>
      <c r="B144" t="s">
        <v>4069</v>
      </c>
    </row>
    <row r="145" spans="1:2">
      <c r="A145" t="s">
        <v>5116</v>
      </c>
      <c r="B145" t="s">
        <v>4069</v>
      </c>
    </row>
    <row r="146" spans="1:2">
      <c r="A146" t="s">
        <v>5117</v>
      </c>
      <c r="B146" t="s">
        <v>4069</v>
      </c>
    </row>
    <row r="147" spans="1:2">
      <c r="A147" t="s">
        <v>5118</v>
      </c>
      <c r="B147" t="s">
        <v>4069</v>
      </c>
    </row>
    <row r="148" spans="1:2">
      <c r="A148" t="s">
        <v>5119</v>
      </c>
      <c r="B148" t="s">
        <v>4069</v>
      </c>
    </row>
    <row r="149" spans="1:2">
      <c r="A149" t="s">
        <v>5120</v>
      </c>
      <c r="B149" t="s">
        <v>4069</v>
      </c>
    </row>
    <row r="150" spans="1:2">
      <c r="A150" t="s">
        <v>5121</v>
      </c>
      <c r="B150" t="s">
        <v>4069</v>
      </c>
    </row>
    <row r="151" spans="1:2">
      <c r="A151" t="s">
        <v>5122</v>
      </c>
      <c r="B151" t="s">
        <v>4069</v>
      </c>
    </row>
    <row r="152" spans="1:2">
      <c r="A152" t="s">
        <v>5123</v>
      </c>
      <c r="B152" t="s">
        <v>4069</v>
      </c>
    </row>
    <row r="153" spans="1:2">
      <c r="A153" t="s">
        <v>5124</v>
      </c>
      <c r="B153" t="s">
        <v>4069</v>
      </c>
    </row>
    <row r="154" spans="1:2">
      <c r="A154" t="s">
        <v>5125</v>
      </c>
      <c r="B154" t="s">
        <v>4069</v>
      </c>
    </row>
    <row r="155" spans="1:2">
      <c r="A155" t="s">
        <v>5126</v>
      </c>
      <c r="B155" t="s">
        <v>4069</v>
      </c>
    </row>
    <row r="156" spans="1:2">
      <c r="A156" t="s">
        <v>5127</v>
      </c>
      <c r="B156" t="s">
        <v>4069</v>
      </c>
    </row>
    <row r="157" spans="1:2">
      <c r="A157" t="s">
        <v>5128</v>
      </c>
      <c r="B157" t="s">
        <v>4069</v>
      </c>
    </row>
    <row r="158" spans="1:2">
      <c r="A158" t="s">
        <v>5129</v>
      </c>
      <c r="B158" t="s">
        <v>4069</v>
      </c>
    </row>
    <row r="159" spans="1:2">
      <c r="A159" t="s">
        <v>5130</v>
      </c>
      <c r="B159" t="s">
        <v>4069</v>
      </c>
    </row>
    <row r="160" spans="1:2">
      <c r="A160" t="s">
        <v>5131</v>
      </c>
      <c r="B160" t="s">
        <v>4069</v>
      </c>
    </row>
    <row r="161" spans="1:2">
      <c r="A161" t="s">
        <v>5132</v>
      </c>
      <c r="B161" t="s">
        <v>4069</v>
      </c>
    </row>
    <row r="162" spans="1:2">
      <c r="A162" t="s">
        <v>5133</v>
      </c>
      <c r="B162" t="s">
        <v>4069</v>
      </c>
    </row>
    <row r="163" spans="1:2">
      <c r="A163" t="s">
        <v>5134</v>
      </c>
      <c r="B163" t="s">
        <v>4069</v>
      </c>
    </row>
    <row r="164" spans="1:2">
      <c r="A164" t="s">
        <v>5135</v>
      </c>
      <c r="B164" t="s">
        <v>4069</v>
      </c>
    </row>
    <row r="165" spans="1:2">
      <c r="A165" t="s">
        <v>5136</v>
      </c>
      <c r="B165" t="s">
        <v>4069</v>
      </c>
    </row>
    <row r="166" spans="1:2">
      <c r="A166" t="s">
        <v>5137</v>
      </c>
      <c r="B166" t="s">
        <v>4069</v>
      </c>
    </row>
    <row r="167" spans="1:2">
      <c r="A167" t="s">
        <v>5138</v>
      </c>
      <c r="B167" t="s">
        <v>4069</v>
      </c>
    </row>
    <row r="168" spans="1:2">
      <c r="A168" t="s">
        <v>5139</v>
      </c>
      <c r="B168" t="s">
        <v>4069</v>
      </c>
    </row>
    <row r="169" spans="1:2">
      <c r="A169" t="s">
        <v>5140</v>
      </c>
      <c r="B169" t="s">
        <v>4069</v>
      </c>
    </row>
    <row r="170" spans="1:2">
      <c r="A170" t="s">
        <v>5141</v>
      </c>
      <c r="B170" t="s">
        <v>4069</v>
      </c>
    </row>
    <row r="171" spans="1:2">
      <c r="A171" t="s">
        <v>5142</v>
      </c>
      <c r="B171" t="s">
        <v>4069</v>
      </c>
    </row>
    <row r="172" spans="1:2">
      <c r="A172" t="s">
        <v>5143</v>
      </c>
      <c r="B172" t="s">
        <v>4069</v>
      </c>
    </row>
    <row r="173" spans="1:2">
      <c r="A173" t="s">
        <v>5144</v>
      </c>
      <c r="B173" t="s">
        <v>4069</v>
      </c>
    </row>
    <row r="174" spans="1:2">
      <c r="A174" t="s">
        <v>5145</v>
      </c>
      <c r="B174" t="s">
        <v>4069</v>
      </c>
    </row>
    <row r="175" spans="1:2">
      <c r="A175" t="s">
        <v>5146</v>
      </c>
      <c r="B175" t="s">
        <v>4069</v>
      </c>
    </row>
    <row r="176" spans="1:2">
      <c r="A176" t="s">
        <v>5147</v>
      </c>
      <c r="B176" t="s">
        <v>4069</v>
      </c>
    </row>
    <row r="177" spans="1:2">
      <c r="A177" t="s">
        <v>5148</v>
      </c>
      <c r="B177" t="s">
        <v>4069</v>
      </c>
    </row>
    <row r="178" spans="1:2">
      <c r="A178" t="s">
        <v>5149</v>
      </c>
      <c r="B178" t="s">
        <v>4069</v>
      </c>
    </row>
    <row r="179" spans="1:2">
      <c r="A179" t="s">
        <v>5150</v>
      </c>
      <c r="B179" t="s">
        <v>4069</v>
      </c>
    </row>
    <row r="180" spans="1:2">
      <c r="A180" t="s">
        <v>5151</v>
      </c>
      <c r="B180" t="s">
        <v>4069</v>
      </c>
    </row>
    <row r="181" spans="1:2">
      <c r="A181" t="s">
        <v>5152</v>
      </c>
      <c r="B181" t="s">
        <v>4069</v>
      </c>
    </row>
    <row r="182" spans="1:2">
      <c r="A182" t="s">
        <v>5153</v>
      </c>
      <c r="B182" t="s">
        <v>4069</v>
      </c>
    </row>
    <row r="183" spans="1:2">
      <c r="A183" t="s">
        <v>5154</v>
      </c>
      <c r="B183" t="s">
        <v>4069</v>
      </c>
    </row>
    <row r="184" spans="1:2">
      <c r="A184" t="s">
        <v>5155</v>
      </c>
      <c r="B184" t="s">
        <v>4069</v>
      </c>
    </row>
    <row r="185" spans="1:2">
      <c r="A185" t="s">
        <v>5156</v>
      </c>
      <c r="B185" t="s">
        <v>4069</v>
      </c>
    </row>
    <row r="186" spans="1:2">
      <c r="A186" t="s">
        <v>5157</v>
      </c>
      <c r="B186" t="s">
        <v>4069</v>
      </c>
    </row>
    <row r="187" spans="1:2">
      <c r="A187" t="s">
        <v>5158</v>
      </c>
      <c r="B187" t="s">
        <v>4069</v>
      </c>
    </row>
    <row r="188" spans="1:2">
      <c r="A188" t="s">
        <v>5159</v>
      </c>
      <c r="B188" t="s">
        <v>4069</v>
      </c>
    </row>
    <row r="189" spans="1:2">
      <c r="A189" t="s">
        <v>5160</v>
      </c>
      <c r="B189" t="s">
        <v>4069</v>
      </c>
    </row>
    <row r="190" spans="1:2">
      <c r="A190" t="s">
        <v>5161</v>
      </c>
      <c r="B190" t="s">
        <v>4069</v>
      </c>
    </row>
    <row r="191" spans="1:2">
      <c r="A191" t="s">
        <v>5162</v>
      </c>
      <c r="B191" t="s">
        <v>4069</v>
      </c>
    </row>
    <row r="192" spans="1:2">
      <c r="A192" t="s">
        <v>5163</v>
      </c>
      <c r="B192" t="s">
        <v>4069</v>
      </c>
    </row>
    <row r="193" spans="1:2">
      <c r="A193" t="s">
        <v>5164</v>
      </c>
      <c r="B193" t="s">
        <v>4069</v>
      </c>
    </row>
    <row r="194" spans="1:2">
      <c r="A194" t="s">
        <v>5165</v>
      </c>
      <c r="B194" t="s">
        <v>4069</v>
      </c>
    </row>
    <row r="195" spans="1:2">
      <c r="A195" t="s">
        <v>5166</v>
      </c>
      <c r="B195" t="s">
        <v>4069</v>
      </c>
    </row>
    <row r="196" spans="1:2">
      <c r="A196" t="s">
        <v>5167</v>
      </c>
      <c r="B196" t="s">
        <v>4069</v>
      </c>
    </row>
    <row r="197" spans="1:2">
      <c r="A197" t="s">
        <v>5168</v>
      </c>
      <c r="B197" t="s">
        <v>4069</v>
      </c>
    </row>
    <row r="198" spans="1:2">
      <c r="A198" t="s">
        <v>5169</v>
      </c>
      <c r="B198" t="s">
        <v>4069</v>
      </c>
    </row>
    <row r="199" spans="1:2">
      <c r="A199" t="s">
        <v>5170</v>
      </c>
      <c r="B199" t="s">
        <v>4069</v>
      </c>
    </row>
    <row r="200" spans="1:2">
      <c r="A200" t="s">
        <v>5171</v>
      </c>
      <c r="B200" t="s">
        <v>4069</v>
      </c>
    </row>
    <row r="201" spans="1:2">
      <c r="A201" t="s">
        <v>5172</v>
      </c>
      <c r="B201" t="s">
        <v>4069</v>
      </c>
    </row>
    <row r="202" spans="1:2">
      <c r="A202" t="s">
        <v>5173</v>
      </c>
      <c r="B202" t="s">
        <v>4069</v>
      </c>
    </row>
    <row r="203" spans="1:2">
      <c r="A203" t="s">
        <v>5174</v>
      </c>
      <c r="B203" t="s">
        <v>4069</v>
      </c>
    </row>
    <row r="204" spans="1:2">
      <c r="A204" t="s">
        <v>5175</v>
      </c>
      <c r="B204" t="s">
        <v>4069</v>
      </c>
    </row>
    <row r="205" spans="1:2">
      <c r="A205" t="s">
        <v>5176</v>
      </c>
      <c r="B205" t="s">
        <v>4069</v>
      </c>
    </row>
    <row r="206" spans="1:2">
      <c r="A206" t="s">
        <v>5177</v>
      </c>
      <c r="B206" t="s">
        <v>4069</v>
      </c>
    </row>
    <row r="207" spans="1:2">
      <c r="A207" t="s">
        <v>5178</v>
      </c>
      <c r="B207" t="s">
        <v>4069</v>
      </c>
    </row>
    <row r="208" spans="1:2">
      <c r="A208" t="s">
        <v>5179</v>
      </c>
      <c r="B208" t="s">
        <v>4069</v>
      </c>
    </row>
    <row r="209" spans="1:2">
      <c r="A209" t="s">
        <v>5180</v>
      </c>
      <c r="B209" t="s">
        <v>4069</v>
      </c>
    </row>
    <row r="210" spans="1:2">
      <c r="A210" t="s">
        <v>5181</v>
      </c>
      <c r="B210" t="s">
        <v>4069</v>
      </c>
    </row>
    <row r="211" spans="1:2">
      <c r="A211" t="s">
        <v>5182</v>
      </c>
      <c r="B211" t="s">
        <v>4069</v>
      </c>
    </row>
    <row r="212" spans="1:2">
      <c r="A212" t="s">
        <v>5183</v>
      </c>
      <c r="B212" t="s">
        <v>4069</v>
      </c>
    </row>
    <row r="213" spans="1:2">
      <c r="A213" t="s">
        <v>5184</v>
      </c>
      <c r="B213" t="s">
        <v>4069</v>
      </c>
    </row>
    <row r="214" spans="1:2">
      <c r="A214" t="s">
        <v>5185</v>
      </c>
      <c r="B214" t="s">
        <v>4069</v>
      </c>
    </row>
    <row r="215" spans="1:2">
      <c r="A215" t="s">
        <v>5186</v>
      </c>
      <c r="B215" t="s">
        <v>4069</v>
      </c>
    </row>
    <row r="216" spans="1:2">
      <c r="A216" t="s">
        <v>5187</v>
      </c>
      <c r="B216" t="s">
        <v>4069</v>
      </c>
    </row>
    <row r="217" spans="1:2">
      <c r="A217" t="s">
        <v>5188</v>
      </c>
      <c r="B217" t="s">
        <v>4069</v>
      </c>
    </row>
    <row r="218" spans="1:2">
      <c r="A218" t="s">
        <v>5189</v>
      </c>
      <c r="B218" t="s">
        <v>4069</v>
      </c>
    </row>
    <row r="219" spans="1:2">
      <c r="A219" t="s">
        <v>5190</v>
      </c>
      <c r="B219" t="s">
        <v>4069</v>
      </c>
    </row>
    <row r="220" spans="1:2">
      <c r="A220" t="s">
        <v>5191</v>
      </c>
      <c r="B220" t="s">
        <v>4069</v>
      </c>
    </row>
    <row r="221" spans="1:2">
      <c r="A221" t="s">
        <v>5192</v>
      </c>
      <c r="B221" t="s">
        <v>4069</v>
      </c>
    </row>
    <row r="222" spans="1:2">
      <c r="A222" t="s">
        <v>5193</v>
      </c>
      <c r="B222" t="s">
        <v>4069</v>
      </c>
    </row>
    <row r="223" spans="1:2">
      <c r="A223" t="s">
        <v>5194</v>
      </c>
      <c r="B223" t="s">
        <v>4069</v>
      </c>
    </row>
    <row r="224" spans="1:2">
      <c r="A224" t="s">
        <v>5195</v>
      </c>
      <c r="B224" t="s">
        <v>4069</v>
      </c>
    </row>
    <row r="225" spans="1:2">
      <c r="A225" t="s">
        <v>5196</v>
      </c>
      <c r="B225" t="s">
        <v>4069</v>
      </c>
    </row>
    <row r="226" spans="1:2">
      <c r="A226" t="s">
        <v>5197</v>
      </c>
      <c r="B226" t="s">
        <v>4069</v>
      </c>
    </row>
    <row r="227" spans="1:2">
      <c r="A227" t="s">
        <v>5198</v>
      </c>
      <c r="B227" t="s">
        <v>4069</v>
      </c>
    </row>
    <row r="228" spans="1:2">
      <c r="A228" t="s">
        <v>5199</v>
      </c>
      <c r="B228" t="s">
        <v>4069</v>
      </c>
    </row>
    <row r="229" spans="1:2">
      <c r="A229" t="s">
        <v>5200</v>
      </c>
      <c r="B229" t="s">
        <v>4069</v>
      </c>
    </row>
    <row r="230" spans="1:2">
      <c r="A230" t="s">
        <v>5201</v>
      </c>
      <c r="B230" t="s">
        <v>4069</v>
      </c>
    </row>
    <row r="231" spans="1:2">
      <c r="A231" t="s">
        <v>5202</v>
      </c>
      <c r="B231" t="s">
        <v>4069</v>
      </c>
    </row>
    <row r="232" spans="1:2">
      <c r="A232" t="s">
        <v>5203</v>
      </c>
      <c r="B232" t="s">
        <v>4069</v>
      </c>
    </row>
    <row r="233" spans="1:2">
      <c r="A233" t="s">
        <v>5204</v>
      </c>
      <c r="B233" t="s">
        <v>4069</v>
      </c>
    </row>
    <row r="234" spans="1:2">
      <c r="A234" t="s">
        <v>5205</v>
      </c>
      <c r="B234" t="s">
        <v>4069</v>
      </c>
    </row>
    <row r="235" spans="1:2">
      <c r="A235" t="s">
        <v>5206</v>
      </c>
      <c r="B235" t="s">
        <v>4069</v>
      </c>
    </row>
    <row r="236" spans="1:2">
      <c r="A236" t="s">
        <v>5207</v>
      </c>
      <c r="B236" t="s">
        <v>4069</v>
      </c>
    </row>
    <row r="237" spans="1:2">
      <c r="A237" t="s">
        <v>5208</v>
      </c>
      <c r="B237" t="s">
        <v>4069</v>
      </c>
    </row>
    <row r="238" spans="1:2">
      <c r="A238" t="s">
        <v>5209</v>
      </c>
      <c r="B238" t="s">
        <v>4069</v>
      </c>
    </row>
    <row r="239" spans="1:2">
      <c r="A239" t="s">
        <v>5210</v>
      </c>
      <c r="B239" t="s">
        <v>4069</v>
      </c>
    </row>
    <row r="240" spans="1:2">
      <c r="A240" t="s">
        <v>5211</v>
      </c>
      <c r="B240" t="s">
        <v>4069</v>
      </c>
    </row>
    <row r="241" spans="1:2">
      <c r="A241" t="s">
        <v>5212</v>
      </c>
      <c r="B241" t="s">
        <v>4069</v>
      </c>
    </row>
    <row r="242" spans="1:2">
      <c r="A242" t="s">
        <v>5213</v>
      </c>
      <c r="B242" t="s">
        <v>4069</v>
      </c>
    </row>
    <row r="243" spans="1:2">
      <c r="A243" t="s">
        <v>5214</v>
      </c>
      <c r="B243" t="s">
        <v>4069</v>
      </c>
    </row>
    <row r="244" spans="1:2">
      <c r="A244" t="s">
        <v>5215</v>
      </c>
      <c r="B244" t="s">
        <v>4069</v>
      </c>
    </row>
    <row r="245" spans="1:2">
      <c r="A245" t="s">
        <v>5216</v>
      </c>
      <c r="B245" t="s">
        <v>4069</v>
      </c>
    </row>
    <row r="246" spans="1:2">
      <c r="A246" t="s">
        <v>5217</v>
      </c>
      <c r="B246" t="s">
        <v>4069</v>
      </c>
    </row>
    <row r="247" spans="1:2">
      <c r="A247" t="s">
        <v>5218</v>
      </c>
      <c r="B247" t="s">
        <v>4069</v>
      </c>
    </row>
    <row r="248" spans="1:2">
      <c r="A248" t="s">
        <v>5219</v>
      </c>
      <c r="B248" t="s">
        <v>4069</v>
      </c>
    </row>
    <row r="249" spans="1:2">
      <c r="A249" t="s">
        <v>5220</v>
      </c>
      <c r="B249" t="s">
        <v>4069</v>
      </c>
    </row>
    <row r="250" spans="1:2">
      <c r="A250" t="s">
        <v>5221</v>
      </c>
      <c r="B250" t="s">
        <v>4069</v>
      </c>
    </row>
    <row r="251" spans="1:2">
      <c r="A251" t="s">
        <v>5222</v>
      </c>
      <c r="B251" t="s">
        <v>4069</v>
      </c>
    </row>
    <row r="252" spans="1:2">
      <c r="A252" t="s">
        <v>5223</v>
      </c>
      <c r="B252" t="s">
        <v>4069</v>
      </c>
    </row>
    <row r="253" spans="1:2">
      <c r="A253" t="s">
        <v>5224</v>
      </c>
      <c r="B253" t="s">
        <v>4069</v>
      </c>
    </row>
    <row r="254" spans="1:2">
      <c r="A254" t="s">
        <v>5225</v>
      </c>
      <c r="B254" t="s">
        <v>4069</v>
      </c>
    </row>
    <row r="255" spans="1:2">
      <c r="A255" t="s">
        <v>5226</v>
      </c>
      <c r="B255" t="s">
        <v>4069</v>
      </c>
    </row>
    <row r="256" spans="1:2">
      <c r="A256" t="s">
        <v>5227</v>
      </c>
      <c r="B256" t="s">
        <v>4069</v>
      </c>
    </row>
    <row r="257" spans="1:2">
      <c r="A257" t="s">
        <v>5228</v>
      </c>
      <c r="B257" t="s">
        <v>4069</v>
      </c>
    </row>
    <row r="258" spans="1:2">
      <c r="A258" t="s">
        <v>5229</v>
      </c>
      <c r="B258" t="s">
        <v>4069</v>
      </c>
    </row>
    <row r="259" spans="1:2">
      <c r="A259" t="s">
        <v>5230</v>
      </c>
      <c r="B259" t="s">
        <v>4069</v>
      </c>
    </row>
    <row r="260" spans="1:2">
      <c r="A260" t="s">
        <v>5231</v>
      </c>
      <c r="B260" t="s">
        <v>4069</v>
      </c>
    </row>
    <row r="261" spans="1:2">
      <c r="A261" t="s">
        <v>5232</v>
      </c>
      <c r="B261" t="s">
        <v>4069</v>
      </c>
    </row>
    <row r="262" spans="1:2">
      <c r="A262" t="s">
        <v>5233</v>
      </c>
      <c r="B262" t="s">
        <v>4069</v>
      </c>
    </row>
    <row r="263" spans="1:2">
      <c r="A263" t="s">
        <v>5234</v>
      </c>
      <c r="B263" t="s">
        <v>4069</v>
      </c>
    </row>
    <row r="264" spans="1:2">
      <c r="A264" t="s">
        <v>5235</v>
      </c>
      <c r="B264" t="s">
        <v>4069</v>
      </c>
    </row>
    <row r="265" spans="1:2">
      <c r="A265" t="s">
        <v>5236</v>
      </c>
      <c r="B265" t="s">
        <v>4069</v>
      </c>
    </row>
    <row r="266" spans="1:2">
      <c r="A266" t="s">
        <v>5237</v>
      </c>
      <c r="B266" t="s">
        <v>4069</v>
      </c>
    </row>
    <row r="267" spans="1:2">
      <c r="A267" t="s">
        <v>5238</v>
      </c>
      <c r="B267" t="s">
        <v>4069</v>
      </c>
    </row>
    <row r="268" spans="1:2">
      <c r="A268" t="s">
        <v>5239</v>
      </c>
      <c r="B268" t="s">
        <v>4069</v>
      </c>
    </row>
    <row r="269" spans="1:2">
      <c r="A269" t="s">
        <v>5240</v>
      </c>
      <c r="B269" t="s">
        <v>4069</v>
      </c>
    </row>
    <row r="270" spans="1:2">
      <c r="A270" t="s">
        <v>5241</v>
      </c>
      <c r="B270" t="s">
        <v>4069</v>
      </c>
    </row>
    <row r="271" spans="1:2">
      <c r="A271" t="s">
        <v>5242</v>
      </c>
      <c r="B271" t="s">
        <v>4069</v>
      </c>
    </row>
    <row r="272" spans="1:2">
      <c r="A272" t="s">
        <v>5243</v>
      </c>
      <c r="B272" t="s">
        <v>4069</v>
      </c>
    </row>
    <row r="273" spans="1:2">
      <c r="A273" t="s">
        <v>5244</v>
      </c>
      <c r="B273" t="s">
        <v>4069</v>
      </c>
    </row>
    <row r="274" spans="1:2">
      <c r="A274" t="s">
        <v>5245</v>
      </c>
      <c r="B274" t="s">
        <v>5271</v>
      </c>
    </row>
    <row r="275" spans="1:2">
      <c r="A275" t="s">
        <v>5246</v>
      </c>
      <c r="B275" t="s">
        <v>5271</v>
      </c>
    </row>
    <row r="276" spans="1:2">
      <c r="A276" t="s">
        <v>5247</v>
      </c>
      <c r="B276" t="s">
        <v>5271</v>
      </c>
    </row>
    <row r="277" spans="1:2">
      <c r="A277" t="s">
        <v>5248</v>
      </c>
      <c r="B277" t="s">
        <v>3741</v>
      </c>
    </row>
    <row r="278" spans="1:2">
      <c r="A278" t="s">
        <v>5249</v>
      </c>
      <c r="B278" t="s">
        <v>5271</v>
      </c>
    </row>
    <row r="279" spans="1:2">
      <c r="A279" t="s">
        <v>5250</v>
      </c>
      <c r="B279" t="s">
        <v>5272</v>
      </c>
    </row>
    <row r="280" spans="1:2">
      <c r="A280" t="s">
        <v>5251</v>
      </c>
      <c r="B280" t="s">
        <v>5273</v>
      </c>
    </row>
    <row r="281" spans="1:2">
      <c r="A281" t="s">
        <v>5252</v>
      </c>
      <c r="B281" t="s">
        <v>5273</v>
      </c>
    </row>
    <row r="282" spans="1:2">
      <c r="A282" t="s">
        <v>5253</v>
      </c>
      <c r="B282" t="s">
        <v>5273</v>
      </c>
    </row>
    <row r="283" spans="1:2">
      <c r="A283" t="s">
        <v>5254</v>
      </c>
      <c r="B283" t="s">
        <v>5274</v>
      </c>
    </row>
    <row r="284" spans="1:2">
      <c r="A284" t="s">
        <v>5255</v>
      </c>
      <c r="B284" t="s">
        <v>5274</v>
      </c>
    </row>
    <row r="285" spans="1:2">
      <c r="A285" t="s">
        <v>5256</v>
      </c>
      <c r="B285" t="s">
        <v>5275</v>
      </c>
    </row>
    <row r="286" spans="1:2">
      <c r="A286" t="s">
        <v>5257</v>
      </c>
      <c r="B286" t="s">
        <v>5275</v>
      </c>
    </row>
    <row r="287" spans="1:2">
      <c r="A287" t="s">
        <v>5258</v>
      </c>
      <c r="B287" t="s">
        <v>5275</v>
      </c>
    </row>
    <row r="288" spans="1:2">
      <c r="A288" t="s">
        <v>5259</v>
      </c>
      <c r="B288" t="s">
        <v>5275</v>
      </c>
    </row>
    <row r="289" spans="1:2">
      <c r="A289" t="s">
        <v>5260</v>
      </c>
      <c r="B289" t="s">
        <v>3402</v>
      </c>
    </row>
    <row r="290" spans="1:2">
      <c r="A290" t="s">
        <v>5261</v>
      </c>
      <c r="B290" t="s">
        <v>3402</v>
      </c>
    </row>
    <row r="291" spans="1:2">
      <c r="A291" t="s">
        <v>5262</v>
      </c>
      <c r="B291" t="s">
        <v>3402</v>
      </c>
    </row>
    <row r="292" spans="1:2">
      <c r="A292" t="s">
        <v>5263</v>
      </c>
      <c r="B292" t="s">
        <v>3746</v>
      </c>
    </row>
    <row r="293" spans="1:2">
      <c r="A293" t="s">
        <v>5264</v>
      </c>
      <c r="B293" t="s">
        <v>3402</v>
      </c>
    </row>
    <row r="294" spans="1:2">
      <c r="A294" t="s">
        <v>5265</v>
      </c>
      <c r="B294" t="s">
        <v>3746</v>
      </c>
    </row>
    <row r="295" spans="1:2">
      <c r="A295" t="s">
        <v>5266</v>
      </c>
      <c r="B295" t="s">
        <v>3402</v>
      </c>
    </row>
    <row r="296" spans="1:2">
      <c r="A296" t="s">
        <v>5267</v>
      </c>
      <c r="B296" t="s">
        <v>3402</v>
      </c>
    </row>
    <row r="297" spans="1:2">
      <c r="A297" t="s">
        <v>5268</v>
      </c>
      <c r="B297" t="s">
        <v>3402</v>
      </c>
    </row>
    <row r="298" spans="1:2">
      <c r="A298" t="s">
        <v>5301</v>
      </c>
      <c r="B298" t="s">
        <v>5524</v>
      </c>
    </row>
    <row r="299" spans="1:2">
      <c r="A299" t="s">
        <v>5302</v>
      </c>
      <c r="B299" t="s">
        <v>5524</v>
      </c>
    </row>
    <row r="300" spans="1:2">
      <c r="A300" t="s">
        <v>5303</v>
      </c>
      <c r="B300" t="s">
        <v>5525</v>
      </c>
    </row>
    <row r="301" spans="1:2">
      <c r="A301" t="s">
        <v>5304</v>
      </c>
      <c r="B301" t="s">
        <v>5526</v>
      </c>
    </row>
    <row r="302" spans="1:2">
      <c r="A302" t="s">
        <v>5305</v>
      </c>
      <c r="B302" t="s">
        <v>5527</v>
      </c>
    </row>
    <row r="303" spans="1:2">
      <c r="A303" t="s">
        <v>5306</v>
      </c>
      <c r="B303" t="s">
        <v>5528</v>
      </c>
    </row>
    <row r="304" spans="1:2">
      <c r="A304" t="s">
        <v>5307</v>
      </c>
      <c r="B304" t="s">
        <v>5529</v>
      </c>
    </row>
    <row r="305" spans="1:2">
      <c r="A305" t="s">
        <v>5308</v>
      </c>
      <c r="B305" t="s">
        <v>5530</v>
      </c>
    </row>
    <row r="306" spans="1:2">
      <c r="A306" t="s">
        <v>5309</v>
      </c>
      <c r="B306" t="s">
        <v>5531</v>
      </c>
    </row>
    <row r="307" spans="1:2">
      <c r="A307" t="s">
        <v>5310</v>
      </c>
      <c r="B307" t="s">
        <v>5532</v>
      </c>
    </row>
    <row r="308" spans="1:2">
      <c r="A308" t="s">
        <v>5311</v>
      </c>
      <c r="B308" t="s">
        <v>5533</v>
      </c>
    </row>
    <row r="309" spans="1:2">
      <c r="A309" t="s">
        <v>5314</v>
      </c>
      <c r="B309" t="s">
        <v>5534</v>
      </c>
    </row>
    <row r="310" spans="1:2">
      <c r="A310" t="s">
        <v>5315</v>
      </c>
      <c r="B310" t="s">
        <v>5535</v>
      </c>
    </row>
    <row r="311" spans="1:2">
      <c r="A311" t="s">
        <v>5316</v>
      </c>
      <c r="B311" t="s">
        <v>859</v>
      </c>
    </row>
    <row r="312" spans="1:2">
      <c r="A312" t="s">
        <v>5317</v>
      </c>
      <c r="B312" t="s">
        <v>5536</v>
      </c>
    </row>
    <row r="313" spans="1:2">
      <c r="A313" t="s">
        <v>5318</v>
      </c>
      <c r="B313" t="s">
        <v>2570</v>
      </c>
    </row>
    <row r="314" spans="1:2">
      <c r="A314" t="s">
        <v>5319</v>
      </c>
      <c r="B314" t="s">
        <v>5537</v>
      </c>
    </row>
    <row r="315" spans="1:2">
      <c r="A315" t="s">
        <v>5320</v>
      </c>
      <c r="B315" t="s">
        <v>5504</v>
      </c>
    </row>
    <row r="316" spans="1:2">
      <c r="A316" t="s">
        <v>5321</v>
      </c>
      <c r="B316" t="s">
        <v>5538</v>
      </c>
    </row>
    <row r="317" spans="1:2">
      <c r="A317" t="s">
        <v>5322</v>
      </c>
      <c r="B317" t="s">
        <v>5538</v>
      </c>
    </row>
    <row r="318" spans="1:2">
      <c r="A318" t="s">
        <v>5323</v>
      </c>
      <c r="B318" t="s">
        <v>5539</v>
      </c>
    </row>
    <row r="319" spans="1:2">
      <c r="A319" t="s">
        <v>5324</v>
      </c>
      <c r="B319" t="s">
        <v>2570</v>
      </c>
    </row>
    <row r="320" spans="1:2">
      <c r="A320" t="s">
        <v>5325</v>
      </c>
      <c r="B320" t="s">
        <v>5540</v>
      </c>
    </row>
    <row r="321" spans="1:2">
      <c r="A321" t="s">
        <v>5326</v>
      </c>
      <c r="B321" t="s">
        <v>2570</v>
      </c>
    </row>
    <row r="322" spans="1:2">
      <c r="A322" t="s">
        <v>5327</v>
      </c>
      <c r="B322" t="s">
        <v>2570</v>
      </c>
    </row>
    <row r="323" spans="1:2">
      <c r="A323" t="s">
        <v>5328</v>
      </c>
      <c r="B323" t="s">
        <v>2570</v>
      </c>
    </row>
    <row r="324" spans="1:2">
      <c r="A324" t="s">
        <v>5329</v>
      </c>
      <c r="B324" t="s">
        <v>5540</v>
      </c>
    </row>
    <row r="325" spans="1:2">
      <c r="A325" t="s">
        <v>5330</v>
      </c>
      <c r="B325" t="s">
        <v>5539</v>
      </c>
    </row>
    <row r="326" spans="1:2">
      <c r="A326" t="s">
        <v>5331</v>
      </c>
      <c r="B326" t="s">
        <v>5535</v>
      </c>
    </row>
    <row r="327" spans="1:2">
      <c r="A327" t="s">
        <v>5332</v>
      </c>
      <c r="B327" t="s">
        <v>5535</v>
      </c>
    </row>
    <row r="328" spans="1:2">
      <c r="A328" t="s">
        <v>5333</v>
      </c>
      <c r="B328" t="s">
        <v>2570</v>
      </c>
    </row>
    <row r="329" spans="1:2">
      <c r="A329" t="s">
        <v>5334</v>
      </c>
      <c r="B329" t="s">
        <v>3187</v>
      </c>
    </row>
    <row r="330" spans="1:2">
      <c r="A330" t="s">
        <v>5335</v>
      </c>
      <c r="B330" t="s">
        <v>5541</v>
      </c>
    </row>
    <row r="331" spans="1:2">
      <c r="A331" t="s">
        <v>5336</v>
      </c>
      <c r="B331" t="s">
        <v>5542</v>
      </c>
    </row>
    <row r="332" spans="1:2">
      <c r="A332" t="s">
        <v>5337</v>
      </c>
      <c r="B332" t="s">
        <v>5543</v>
      </c>
    </row>
    <row r="333" spans="1:2">
      <c r="A333" t="s">
        <v>5338</v>
      </c>
      <c r="B333" t="s">
        <v>5544</v>
      </c>
    </row>
    <row r="334" spans="1:2">
      <c r="A334" t="s">
        <v>4810</v>
      </c>
      <c r="B334" t="s">
        <v>4790</v>
      </c>
    </row>
    <row r="335" spans="1:2">
      <c r="A335" t="s">
        <v>5339</v>
      </c>
      <c r="B335" t="s">
        <v>5544</v>
      </c>
    </row>
    <row r="336" spans="1:2">
      <c r="A336" t="s">
        <v>5340</v>
      </c>
      <c r="B336" t="s">
        <v>5545</v>
      </c>
    </row>
    <row r="337" spans="1:2">
      <c r="A337" t="s">
        <v>5341</v>
      </c>
      <c r="B337" t="s">
        <v>5546</v>
      </c>
    </row>
    <row r="338" spans="1:2">
      <c r="A338" t="s">
        <v>5342</v>
      </c>
      <c r="B338" t="s">
        <v>5546</v>
      </c>
    </row>
    <row r="339" spans="1:2">
      <c r="A339" t="s">
        <v>3371</v>
      </c>
      <c r="B339" t="s">
        <v>5547</v>
      </c>
    </row>
    <row r="340" spans="1:2">
      <c r="A340" t="s">
        <v>5343</v>
      </c>
      <c r="B340" t="s">
        <v>5548</v>
      </c>
    </row>
    <row r="341" spans="1:2">
      <c r="A341" t="s">
        <v>5344</v>
      </c>
      <c r="B341" t="s">
        <v>5544</v>
      </c>
    </row>
    <row r="342" spans="1:2">
      <c r="A342" t="s">
        <v>5345</v>
      </c>
      <c r="B342" t="s">
        <v>5548</v>
      </c>
    </row>
    <row r="343" spans="1:2">
      <c r="A343" t="s">
        <v>5346</v>
      </c>
      <c r="B343" t="s">
        <v>413</v>
      </c>
    </row>
    <row r="344" spans="1:2">
      <c r="A344" t="s">
        <v>5347</v>
      </c>
      <c r="B344" t="s">
        <v>5544</v>
      </c>
    </row>
    <row r="345" spans="1:2">
      <c r="A345" t="s">
        <v>5348</v>
      </c>
      <c r="B345" t="s">
        <v>5542</v>
      </c>
    </row>
    <row r="346" spans="1:2">
      <c r="A346" t="s">
        <v>5349</v>
      </c>
      <c r="B346" t="s">
        <v>3187</v>
      </c>
    </row>
    <row r="347" spans="1:2">
      <c r="A347" t="s">
        <v>5350</v>
      </c>
      <c r="B347" t="s">
        <v>2570</v>
      </c>
    </row>
    <row r="348" spans="1:2">
      <c r="A348" t="s">
        <v>5351</v>
      </c>
      <c r="B348" t="s">
        <v>5546</v>
      </c>
    </row>
    <row r="349" spans="1:2">
      <c r="A349" t="s">
        <v>2319</v>
      </c>
      <c r="B349" t="s">
        <v>4414</v>
      </c>
    </row>
    <row r="350" spans="1:2">
      <c r="A350" t="s">
        <v>5352</v>
      </c>
      <c r="B350" t="s">
        <v>2570</v>
      </c>
    </row>
    <row r="351" spans="1:2">
      <c r="A351" t="s">
        <v>5353</v>
      </c>
      <c r="B351" t="s">
        <v>1963</v>
      </c>
    </row>
    <row r="352" spans="1:2">
      <c r="A352" t="s">
        <v>5354</v>
      </c>
      <c r="B352" t="s">
        <v>2570</v>
      </c>
    </row>
    <row r="353" spans="1:2">
      <c r="A353" t="s">
        <v>5355</v>
      </c>
      <c r="B353" t="s">
        <v>5507</v>
      </c>
    </row>
    <row r="354" spans="1:2">
      <c r="A354" t="s">
        <v>5356</v>
      </c>
      <c r="B354" t="s">
        <v>2570</v>
      </c>
    </row>
    <row r="355" spans="1:2">
      <c r="A355" t="s">
        <v>5357</v>
      </c>
      <c r="B355" t="s">
        <v>5538</v>
      </c>
    </row>
    <row r="356" spans="1:2">
      <c r="A356" t="s">
        <v>5358</v>
      </c>
      <c r="B356" t="s">
        <v>2570</v>
      </c>
    </row>
    <row r="357" spans="1:2">
      <c r="A357" t="s">
        <v>5359</v>
      </c>
      <c r="B357" t="s">
        <v>2570</v>
      </c>
    </row>
    <row r="358" spans="1:2">
      <c r="A358" t="s">
        <v>5360</v>
      </c>
      <c r="B358" t="s">
        <v>859</v>
      </c>
    </row>
    <row r="359" spans="1:2">
      <c r="A359" t="s">
        <v>5361</v>
      </c>
      <c r="B359" t="s">
        <v>5535</v>
      </c>
    </row>
    <row r="360" spans="1:2">
      <c r="A360" t="s">
        <v>5362</v>
      </c>
      <c r="B360" t="s">
        <v>2570</v>
      </c>
    </row>
    <row r="361" spans="1:2">
      <c r="A361" t="s">
        <v>5363</v>
      </c>
      <c r="B361" t="s">
        <v>5536</v>
      </c>
    </row>
    <row r="362" spans="1:2">
      <c r="A362" t="s">
        <v>5364</v>
      </c>
      <c r="B362" t="s">
        <v>2570</v>
      </c>
    </row>
    <row r="363" spans="1:2">
      <c r="A363" t="s">
        <v>5365</v>
      </c>
      <c r="B363" t="s">
        <v>2570</v>
      </c>
    </row>
    <row r="364" spans="1:2">
      <c r="A364" t="s">
        <v>5366</v>
      </c>
      <c r="B364" t="s">
        <v>859</v>
      </c>
    </row>
    <row r="365" spans="1:2">
      <c r="A365" t="s">
        <v>5367</v>
      </c>
      <c r="B365" t="s">
        <v>2570</v>
      </c>
    </row>
    <row r="366" spans="1:2">
      <c r="A366" t="s">
        <v>5368</v>
      </c>
      <c r="B366" t="s">
        <v>5549</v>
      </c>
    </row>
    <row r="367" spans="1:2">
      <c r="A367" t="s">
        <v>5369</v>
      </c>
      <c r="B367" t="s">
        <v>859</v>
      </c>
    </row>
    <row r="368" spans="1:2">
      <c r="A368" t="s">
        <v>5370</v>
      </c>
      <c r="B368" t="s">
        <v>5507</v>
      </c>
    </row>
    <row r="369" spans="1:2">
      <c r="A369" t="s">
        <v>5371</v>
      </c>
      <c r="B369" t="s">
        <v>5550</v>
      </c>
    </row>
    <row r="370" spans="1:2">
      <c r="A370" t="s">
        <v>5372</v>
      </c>
      <c r="B370" t="s">
        <v>5540</v>
      </c>
    </row>
    <row r="371" spans="1:2">
      <c r="A371" t="s">
        <v>5373</v>
      </c>
      <c r="B371" t="s">
        <v>5535</v>
      </c>
    </row>
    <row r="372" spans="1:2">
      <c r="A372" t="s">
        <v>5374</v>
      </c>
      <c r="B372" t="s">
        <v>5504</v>
      </c>
    </row>
    <row r="373" spans="1:2">
      <c r="A373" t="s">
        <v>5375</v>
      </c>
      <c r="B373" t="s">
        <v>859</v>
      </c>
    </row>
    <row r="374" spans="1:2">
      <c r="A374" t="s">
        <v>1457</v>
      </c>
      <c r="B374" t="s">
        <v>859</v>
      </c>
    </row>
    <row r="375" spans="1:2">
      <c r="A375" t="s">
        <v>5376</v>
      </c>
      <c r="B375" t="s">
        <v>5551</v>
      </c>
    </row>
    <row r="376" spans="1:2">
      <c r="A376" t="s">
        <v>5377</v>
      </c>
      <c r="B376" t="s">
        <v>5551</v>
      </c>
    </row>
    <row r="377" spans="1:2">
      <c r="A377" t="s">
        <v>5378</v>
      </c>
      <c r="B377" t="s">
        <v>5551</v>
      </c>
    </row>
    <row r="378" spans="1:2">
      <c r="A378" t="s">
        <v>5379</v>
      </c>
      <c r="B378" t="s">
        <v>5551</v>
      </c>
    </row>
    <row r="379" spans="1:2">
      <c r="A379" t="s">
        <v>5380</v>
      </c>
      <c r="B379" t="s">
        <v>5504</v>
      </c>
    </row>
    <row r="380" spans="1:2">
      <c r="A380" t="s">
        <v>5381</v>
      </c>
      <c r="B380" t="s">
        <v>5552</v>
      </c>
    </row>
    <row r="381" spans="1:2">
      <c r="A381" t="s">
        <v>5382</v>
      </c>
      <c r="B381" t="s">
        <v>5494</v>
      </c>
    </row>
    <row r="382" spans="1:2">
      <c r="A382" t="s">
        <v>5383</v>
      </c>
      <c r="B382" t="s">
        <v>5494</v>
      </c>
    </row>
    <row r="383" spans="1:2">
      <c r="A383" t="s">
        <v>5384</v>
      </c>
      <c r="B383" t="s">
        <v>2570</v>
      </c>
    </row>
    <row r="384" spans="1:2">
      <c r="A384" t="s">
        <v>5385</v>
      </c>
      <c r="B384" t="s">
        <v>2570</v>
      </c>
    </row>
    <row r="385" spans="1:2">
      <c r="A385" t="s">
        <v>5386</v>
      </c>
      <c r="B385" t="s">
        <v>2570</v>
      </c>
    </row>
    <row r="386" spans="1:2">
      <c r="A386" t="s">
        <v>5387</v>
      </c>
      <c r="B386" t="s">
        <v>2570</v>
      </c>
    </row>
    <row r="387" spans="1:2">
      <c r="A387" t="s">
        <v>5388</v>
      </c>
      <c r="B387" t="s">
        <v>2570</v>
      </c>
    </row>
    <row r="388" spans="1:2">
      <c r="A388" t="s">
        <v>5389</v>
      </c>
      <c r="B388" t="s">
        <v>2570</v>
      </c>
    </row>
    <row r="389" spans="1:2">
      <c r="A389" t="s">
        <v>5390</v>
      </c>
      <c r="B389" t="s">
        <v>2570</v>
      </c>
    </row>
    <row r="390" spans="1:2">
      <c r="A390" t="s">
        <v>5391</v>
      </c>
      <c r="B390" t="s">
        <v>5504</v>
      </c>
    </row>
    <row r="391" spans="1:2">
      <c r="A391" t="s">
        <v>5392</v>
      </c>
      <c r="B391" t="s">
        <v>5504</v>
      </c>
    </row>
    <row r="392" spans="1:2">
      <c r="A392" t="s">
        <v>5393</v>
      </c>
      <c r="B392" t="s">
        <v>5539</v>
      </c>
    </row>
    <row r="393" spans="1:2">
      <c r="A393" t="s">
        <v>5394</v>
      </c>
      <c r="B393" t="s">
        <v>5553</v>
      </c>
    </row>
    <row r="394" spans="1:2">
      <c r="A394" t="s">
        <v>5395</v>
      </c>
      <c r="B394" t="s">
        <v>5554</v>
      </c>
    </row>
    <row r="395" spans="1:2">
      <c r="A395" t="s">
        <v>5396</v>
      </c>
      <c r="B395" t="s">
        <v>5555</v>
      </c>
    </row>
    <row r="396" spans="1:2">
      <c r="A396" t="s">
        <v>5397</v>
      </c>
      <c r="B396" t="s">
        <v>5536</v>
      </c>
    </row>
    <row r="397" spans="1:2">
      <c r="A397" t="s">
        <v>5398</v>
      </c>
      <c r="B397" t="s">
        <v>5536</v>
      </c>
    </row>
    <row r="398" spans="1:2">
      <c r="A398" t="s">
        <v>5399</v>
      </c>
      <c r="B398" t="s">
        <v>5556</v>
      </c>
    </row>
    <row r="399" spans="1:2">
      <c r="A399" t="s">
        <v>5400</v>
      </c>
      <c r="B399" t="s">
        <v>2570</v>
      </c>
    </row>
    <row r="400" spans="1:2">
      <c r="A400" t="s">
        <v>5401</v>
      </c>
      <c r="B400" t="s">
        <v>2570</v>
      </c>
    </row>
    <row r="401" spans="1:2">
      <c r="A401" t="s">
        <v>5402</v>
      </c>
      <c r="B401" t="s">
        <v>5557</v>
      </c>
    </row>
    <row r="402" spans="1:2">
      <c r="A402" t="s">
        <v>5403</v>
      </c>
      <c r="B402" t="s">
        <v>5544</v>
      </c>
    </row>
    <row r="403" spans="1:2">
      <c r="A403" t="s">
        <v>5404</v>
      </c>
      <c r="B403" t="s">
        <v>5544</v>
      </c>
    </row>
    <row r="404" spans="1:2">
      <c r="A404" t="s">
        <v>5405</v>
      </c>
      <c r="B404" t="s">
        <v>5558</v>
      </c>
    </row>
    <row r="405" spans="1:2">
      <c r="A405" t="s">
        <v>5406</v>
      </c>
      <c r="B405" t="s">
        <v>5536</v>
      </c>
    </row>
    <row r="406" spans="1:2">
      <c r="A406" t="s">
        <v>5407</v>
      </c>
      <c r="B406" t="s">
        <v>2570</v>
      </c>
    </row>
    <row r="407" spans="1:2">
      <c r="A407" t="s">
        <v>5408</v>
      </c>
      <c r="B407" t="s">
        <v>3187</v>
      </c>
    </row>
    <row r="408" spans="1:2">
      <c r="A408" t="s">
        <v>5409</v>
      </c>
      <c r="B408" t="s">
        <v>5540</v>
      </c>
    </row>
    <row r="409" spans="1:2">
      <c r="A409" t="s">
        <v>5410</v>
      </c>
      <c r="B409" t="s">
        <v>5551</v>
      </c>
    </row>
    <row r="410" spans="1:2">
      <c r="A410" t="s">
        <v>5411</v>
      </c>
      <c r="B410" t="s">
        <v>859</v>
      </c>
    </row>
    <row r="411" spans="1:2">
      <c r="A411" t="s">
        <v>5412</v>
      </c>
      <c r="B411" t="s">
        <v>5535</v>
      </c>
    </row>
    <row r="412" spans="1:2">
      <c r="A412" t="s">
        <v>5413</v>
      </c>
      <c r="B412" t="s">
        <v>5536</v>
      </c>
    </row>
    <row r="413" spans="1:2">
      <c r="A413" t="s">
        <v>2569</v>
      </c>
      <c r="B413" t="s">
        <v>2570</v>
      </c>
    </row>
    <row r="414" spans="1:2">
      <c r="A414" t="s">
        <v>5414</v>
      </c>
      <c r="B414" t="s">
        <v>5538</v>
      </c>
    </row>
    <row r="415" spans="1:2">
      <c r="A415" t="s">
        <v>5415</v>
      </c>
      <c r="B415" t="s">
        <v>5536</v>
      </c>
    </row>
    <row r="416" spans="1:2">
      <c r="A416" t="s">
        <v>5416</v>
      </c>
      <c r="B416" t="s">
        <v>5535</v>
      </c>
    </row>
    <row r="417" spans="1:2">
      <c r="A417" t="s">
        <v>5417</v>
      </c>
      <c r="B417" t="s">
        <v>2570</v>
      </c>
    </row>
    <row r="418" spans="1:2">
      <c r="A418" t="s">
        <v>5418</v>
      </c>
      <c r="B418" t="s">
        <v>859</v>
      </c>
    </row>
    <row r="419" spans="1:2">
      <c r="A419" t="s">
        <v>5419</v>
      </c>
      <c r="B419" t="s">
        <v>2570</v>
      </c>
    </row>
    <row r="420" spans="1:2">
      <c r="A420" t="s">
        <v>5420</v>
      </c>
      <c r="B420" t="s">
        <v>5536</v>
      </c>
    </row>
    <row r="421" spans="1:2">
      <c r="A421" t="s">
        <v>5421</v>
      </c>
      <c r="B421" t="s">
        <v>5535</v>
      </c>
    </row>
    <row r="422" spans="1:2">
      <c r="A422" t="s">
        <v>5422</v>
      </c>
      <c r="B422" t="s">
        <v>5535</v>
      </c>
    </row>
    <row r="423" spans="1:2">
      <c r="A423" t="s">
        <v>5423</v>
      </c>
      <c r="B423" t="s">
        <v>2570</v>
      </c>
    </row>
    <row r="424" spans="1:2">
      <c r="A424" t="s">
        <v>5424</v>
      </c>
      <c r="B424" t="s">
        <v>5535</v>
      </c>
    </row>
    <row r="425" spans="1:2">
      <c r="A425" t="s">
        <v>5425</v>
      </c>
      <c r="B425" t="s">
        <v>5559</v>
      </c>
    </row>
    <row r="426" spans="1:2">
      <c r="A426" t="s">
        <v>5426</v>
      </c>
      <c r="B426" t="s">
        <v>5535</v>
      </c>
    </row>
    <row r="427" spans="1:2">
      <c r="A427" t="s">
        <v>5427</v>
      </c>
      <c r="B427" t="s">
        <v>5560</v>
      </c>
    </row>
    <row r="428" spans="1:2">
      <c r="A428" t="s">
        <v>5428</v>
      </c>
      <c r="B428" t="s">
        <v>5535</v>
      </c>
    </row>
    <row r="429" spans="1:2">
      <c r="A429" t="s">
        <v>5429</v>
      </c>
      <c r="B429" t="s">
        <v>5540</v>
      </c>
    </row>
    <row r="430" spans="1:2">
      <c r="A430" t="s">
        <v>5430</v>
      </c>
      <c r="B430" t="s">
        <v>5540</v>
      </c>
    </row>
    <row r="431" spans="1:2">
      <c r="A431" t="s">
        <v>5431</v>
      </c>
      <c r="B431" t="s">
        <v>2570</v>
      </c>
    </row>
    <row r="432" spans="1:2">
      <c r="A432" t="s">
        <v>5432</v>
      </c>
      <c r="B432" t="s">
        <v>5536</v>
      </c>
    </row>
    <row r="433" spans="1:2">
      <c r="A433" t="s">
        <v>5433</v>
      </c>
      <c r="B433" t="s">
        <v>5535</v>
      </c>
    </row>
    <row r="434" spans="1:2">
      <c r="A434" t="s">
        <v>5434</v>
      </c>
      <c r="B434" t="s">
        <v>2570</v>
      </c>
    </row>
    <row r="435" spans="1:2">
      <c r="A435" t="s">
        <v>5435</v>
      </c>
      <c r="B435" t="s">
        <v>5535</v>
      </c>
    </row>
    <row r="436" spans="1:2">
      <c r="A436" t="s">
        <v>5436</v>
      </c>
      <c r="B436" t="s">
        <v>2570</v>
      </c>
    </row>
    <row r="437" spans="1:2">
      <c r="A437" t="s">
        <v>5437</v>
      </c>
      <c r="B437" t="s">
        <v>5536</v>
      </c>
    </row>
    <row r="438" spans="1:2">
      <c r="A438" t="s">
        <v>5438</v>
      </c>
      <c r="B438" t="s">
        <v>5535</v>
      </c>
    </row>
    <row r="439" spans="1:2">
      <c r="A439" t="s">
        <v>5439</v>
      </c>
      <c r="B439" t="s">
        <v>5535</v>
      </c>
    </row>
    <row r="440" spans="1:2">
      <c r="A440" t="s">
        <v>5440</v>
      </c>
      <c r="B440" t="s">
        <v>5537</v>
      </c>
    </row>
    <row r="441" spans="1:2">
      <c r="A441" t="s">
        <v>5441</v>
      </c>
      <c r="B441" t="s">
        <v>5561</v>
      </c>
    </row>
    <row r="442" spans="1:2">
      <c r="A442" t="s">
        <v>5442</v>
      </c>
      <c r="B442" t="s">
        <v>1965</v>
      </c>
    </row>
    <row r="443" spans="1:2">
      <c r="A443" t="s">
        <v>5443</v>
      </c>
      <c r="B443" t="s">
        <v>2570</v>
      </c>
    </row>
    <row r="444" spans="1:2">
      <c r="A444" t="s">
        <v>5444</v>
      </c>
      <c r="B444" t="s">
        <v>5507</v>
      </c>
    </row>
    <row r="445" spans="1:2">
      <c r="A445" t="s">
        <v>4831</v>
      </c>
      <c r="B445" t="s">
        <v>5494</v>
      </c>
    </row>
    <row r="446" spans="1:2">
      <c r="A446" t="s">
        <v>5445</v>
      </c>
      <c r="B446" t="s">
        <v>5494</v>
      </c>
    </row>
    <row r="447" spans="1:2">
      <c r="A447" t="s">
        <v>5446</v>
      </c>
      <c r="B447" t="s">
        <v>5544</v>
      </c>
    </row>
    <row r="448" spans="1:2">
      <c r="A448" t="s">
        <v>5447</v>
      </c>
      <c r="B448" t="s">
        <v>5504</v>
      </c>
    </row>
    <row r="449" spans="1:2">
      <c r="A449" t="s">
        <v>5448</v>
      </c>
      <c r="B449" t="s">
        <v>5494</v>
      </c>
    </row>
    <row r="450" spans="1:2">
      <c r="A450" t="s">
        <v>5449</v>
      </c>
      <c r="B450" t="s">
        <v>5535</v>
      </c>
    </row>
    <row r="451" spans="1:2">
      <c r="A451" t="s">
        <v>5450</v>
      </c>
      <c r="B451" t="s">
        <v>5504</v>
      </c>
    </row>
    <row r="452" spans="1:2">
      <c r="A452" t="s">
        <v>5451</v>
      </c>
      <c r="B452" t="s">
        <v>5507</v>
      </c>
    </row>
    <row r="453" spans="1:2">
      <c r="A453" t="s">
        <v>5452</v>
      </c>
      <c r="B453" t="s">
        <v>5507</v>
      </c>
    </row>
    <row r="454" spans="1:2">
      <c r="A454" t="s">
        <v>5453</v>
      </c>
      <c r="B454" t="s">
        <v>5494</v>
      </c>
    </row>
    <row r="455" spans="1:2">
      <c r="A455" t="s">
        <v>5454</v>
      </c>
      <c r="B455" t="s">
        <v>5507</v>
      </c>
    </row>
    <row r="456" spans="1:2">
      <c r="A456" t="s">
        <v>5455</v>
      </c>
      <c r="B456" t="s">
        <v>5562</v>
      </c>
    </row>
    <row r="457" spans="1:2">
      <c r="A457" t="s">
        <v>5456</v>
      </c>
      <c r="B457" t="s">
        <v>5562</v>
      </c>
    </row>
    <row r="458" spans="1:2">
      <c r="A458" t="s">
        <v>5457</v>
      </c>
      <c r="B458" t="s">
        <v>5494</v>
      </c>
    </row>
    <row r="459" spans="1:2">
      <c r="A459" t="s">
        <v>5458</v>
      </c>
      <c r="B459" t="s">
        <v>1963</v>
      </c>
    </row>
    <row r="460" spans="1:2">
      <c r="A460" t="s">
        <v>5459</v>
      </c>
      <c r="B460" t="s">
        <v>5507</v>
      </c>
    </row>
    <row r="461" spans="1:2">
      <c r="A461" t="s">
        <v>5460</v>
      </c>
      <c r="B461" t="s">
        <v>5537</v>
      </c>
    </row>
    <row r="462" spans="1:2">
      <c r="A462" t="s">
        <v>5461</v>
      </c>
      <c r="B462" t="s">
        <v>2570</v>
      </c>
    </row>
    <row r="463" spans="1:2">
      <c r="A463" t="s">
        <v>5462</v>
      </c>
      <c r="B463" t="s">
        <v>2570</v>
      </c>
    </row>
    <row r="464" spans="1:2">
      <c r="A464" t="s">
        <v>5463</v>
      </c>
      <c r="B464" t="s">
        <v>2570</v>
      </c>
    </row>
    <row r="465" spans="1:2">
      <c r="A465" t="s">
        <v>5464</v>
      </c>
      <c r="B465" t="s">
        <v>5536</v>
      </c>
    </row>
    <row r="466" spans="1:2">
      <c r="A466" t="s">
        <v>5465</v>
      </c>
      <c r="B466" t="s">
        <v>5540</v>
      </c>
    </row>
    <row r="467" spans="1:2">
      <c r="A467" t="s">
        <v>5466</v>
      </c>
      <c r="B467" t="s">
        <v>5535</v>
      </c>
    </row>
    <row r="468" spans="1:2">
      <c r="A468" t="s">
        <v>5467</v>
      </c>
      <c r="B468" t="s">
        <v>2570</v>
      </c>
    </row>
    <row r="469" spans="1:2">
      <c r="A469" t="s">
        <v>5468</v>
      </c>
      <c r="B469" t="s">
        <v>5494</v>
      </c>
    </row>
    <row r="470" spans="1:2">
      <c r="A470" t="s">
        <v>5469</v>
      </c>
      <c r="B470" t="s">
        <v>5536</v>
      </c>
    </row>
    <row r="471" spans="1:2">
      <c r="A471" t="s">
        <v>5470</v>
      </c>
      <c r="B471" t="s">
        <v>2570</v>
      </c>
    </row>
    <row r="472" spans="1:2">
      <c r="A472" t="s">
        <v>5471</v>
      </c>
      <c r="B472" t="s">
        <v>2570</v>
      </c>
    </row>
    <row r="473" spans="1:2">
      <c r="A473" t="s">
        <v>5472</v>
      </c>
      <c r="B473" t="s">
        <v>2570</v>
      </c>
    </row>
    <row r="474" spans="1:2">
      <c r="A474" t="s">
        <v>5473</v>
      </c>
      <c r="B474" t="s">
        <v>2570</v>
      </c>
    </row>
    <row r="475" spans="1:2">
      <c r="A475" t="s">
        <v>5474</v>
      </c>
      <c r="B475" t="s">
        <v>2570</v>
      </c>
    </row>
    <row r="476" spans="1:2">
      <c r="A476" t="s">
        <v>5475</v>
      </c>
      <c r="B476" t="s">
        <v>2570</v>
      </c>
    </row>
    <row r="477" spans="1:2">
      <c r="A477" t="s">
        <v>5476</v>
      </c>
      <c r="B477" t="s">
        <v>662</v>
      </c>
    </row>
    <row r="478" spans="1:2">
      <c r="A478" t="s">
        <v>5477</v>
      </c>
      <c r="B478" t="s">
        <v>5536</v>
      </c>
    </row>
    <row r="479" spans="1:2">
      <c r="A479" t="s">
        <v>5478</v>
      </c>
      <c r="B479" t="s">
        <v>5504</v>
      </c>
    </row>
    <row r="480" spans="1:2">
      <c r="A480" t="s">
        <v>5479</v>
      </c>
      <c r="B480" t="s">
        <v>5494</v>
      </c>
    </row>
    <row r="481" spans="1:2">
      <c r="A481" t="s">
        <v>5480</v>
      </c>
      <c r="B481" t="s">
        <v>5504</v>
      </c>
    </row>
    <row r="482" spans="1:2">
      <c r="A482" t="s">
        <v>5481</v>
      </c>
      <c r="B482" t="s">
        <v>5563</v>
      </c>
    </row>
    <row r="483" spans="1:2">
      <c r="A483" t="s">
        <v>5482</v>
      </c>
      <c r="B483" t="s">
        <v>5564</v>
      </c>
    </row>
    <row r="484" spans="1:2">
      <c r="A484" t="s">
        <v>5483</v>
      </c>
      <c r="B484" t="s">
        <v>5563</v>
      </c>
    </row>
    <row r="485" spans="1:2">
      <c r="A485" t="s">
        <v>5484</v>
      </c>
      <c r="B485" t="s">
        <v>5504</v>
      </c>
    </row>
    <row r="486" spans="1:2">
      <c r="A486" t="s">
        <v>5485</v>
      </c>
      <c r="B486" t="s">
        <v>5565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952CD-5A0D-4C11-BBBE-5CBF4F505ADC}">
  <dimension ref="A1:B23"/>
  <sheetViews>
    <sheetView workbookViewId="0"/>
  </sheetViews>
  <sheetFormatPr defaultRowHeight="15"/>
  <sheetData>
    <row r="1" spans="1:2">
      <c r="A1" t="s">
        <v>4969</v>
      </c>
      <c r="B1" t="s">
        <v>4968</v>
      </c>
    </row>
    <row r="2" spans="1:2">
      <c r="A2" t="s">
        <v>5137</v>
      </c>
      <c r="B2" t="s">
        <v>2338</v>
      </c>
    </row>
    <row r="3" spans="1:2">
      <c r="A3" t="s">
        <v>5138</v>
      </c>
      <c r="B3" t="s">
        <v>2338</v>
      </c>
    </row>
    <row r="4" spans="1:2">
      <c r="A4" t="s">
        <v>5139</v>
      </c>
      <c r="B4" t="s">
        <v>2338</v>
      </c>
    </row>
    <row r="5" spans="1:2">
      <c r="A5" t="s">
        <v>5249</v>
      </c>
      <c r="B5" t="s">
        <v>2338</v>
      </c>
    </row>
    <row r="6" spans="1:2">
      <c r="A6" t="s">
        <v>4975</v>
      </c>
      <c r="B6" t="s">
        <v>5299</v>
      </c>
    </row>
    <row r="7" spans="1:2">
      <c r="A7" t="s">
        <v>4954</v>
      </c>
      <c r="B7" t="s">
        <v>4949</v>
      </c>
    </row>
    <row r="8" spans="1:2">
      <c r="A8" t="s">
        <v>4955</v>
      </c>
      <c r="B8" t="s">
        <v>4949</v>
      </c>
    </row>
    <row r="9" spans="1:2">
      <c r="A9" t="s">
        <v>4956</v>
      </c>
      <c r="B9" t="s">
        <v>4950</v>
      </c>
    </row>
    <row r="10" spans="1:2">
      <c r="A10" t="s">
        <v>4957</v>
      </c>
      <c r="B10" t="s">
        <v>4950</v>
      </c>
    </row>
    <row r="11" spans="1:2">
      <c r="A11" t="s">
        <v>4958</v>
      </c>
      <c r="B11" t="s">
        <v>4950</v>
      </c>
    </row>
    <row r="12" spans="1:2">
      <c r="A12" t="s">
        <v>4959</v>
      </c>
      <c r="B12" t="s">
        <v>4950</v>
      </c>
    </row>
    <row r="13" spans="1:2">
      <c r="A13" t="s">
        <v>4960</v>
      </c>
      <c r="B13" t="s">
        <v>4950</v>
      </c>
    </row>
    <row r="14" spans="1:2">
      <c r="A14" t="s">
        <v>4961</v>
      </c>
      <c r="B14" t="s">
        <v>4950</v>
      </c>
    </row>
    <row r="15" spans="1:2">
      <c r="A15" t="s">
        <v>4962</v>
      </c>
      <c r="B15" t="s">
        <v>4950</v>
      </c>
    </row>
    <row r="16" spans="1:2">
      <c r="A16" t="s">
        <v>4965</v>
      </c>
      <c r="B16" t="s">
        <v>4950</v>
      </c>
    </row>
    <row r="17" spans="1:2">
      <c r="A17" t="s">
        <v>2823</v>
      </c>
      <c r="B17" t="s">
        <v>4951</v>
      </c>
    </row>
    <row r="18" spans="1:2">
      <c r="A18" t="s">
        <v>2824</v>
      </c>
      <c r="B18" t="s">
        <v>4951</v>
      </c>
    </row>
    <row r="19" spans="1:2">
      <c r="A19" t="s">
        <v>2822</v>
      </c>
      <c r="B19" t="s">
        <v>4951</v>
      </c>
    </row>
    <row r="20" spans="1:2">
      <c r="A20" t="s">
        <v>4963</v>
      </c>
      <c r="B20" t="s">
        <v>4952</v>
      </c>
    </row>
    <row r="21" spans="1:2">
      <c r="A21" t="s">
        <v>4964</v>
      </c>
      <c r="B21" t="s">
        <v>4952</v>
      </c>
    </row>
    <row r="22" spans="1:2">
      <c r="A22" t="s">
        <v>4966</v>
      </c>
      <c r="B22" t="s">
        <v>4953</v>
      </c>
    </row>
    <row r="23" spans="1:2">
      <c r="A23" t="s">
        <v>4967</v>
      </c>
      <c r="B23" t="s">
        <v>4953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8376C-DCE7-4B19-918E-ED1397E2035E}">
  <sheetPr filterMode="1"/>
  <dimension ref="A1:E259"/>
  <sheetViews>
    <sheetView workbookViewId="0">
      <selection activeCell="A237" sqref="A237:B259"/>
    </sheetView>
  </sheetViews>
  <sheetFormatPr defaultRowHeight="15"/>
  <cols>
    <col min="2" max="2" width="30.28515625" bestFit="1" customWidth="1"/>
  </cols>
  <sheetData>
    <row r="1" spans="1:5">
      <c r="A1" t="s">
        <v>2319</v>
      </c>
      <c r="B1" t="s">
        <v>4414</v>
      </c>
      <c r="C1" t="s">
        <v>5277</v>
      </c>
    </row>
    <row r="2" spans="1:5" hidden="1">
      <c r="A2" t="s">
        <v>4977</v>
      </c>
      <c r="B2" t="s">
        <v>5278</v>
      </c>
      <c r="E2" t="s">
        <v>5300</v>
      </c>
    </row>
    <row r="3" spans="1:5" hidden="1">
      <c r="A3" t="s">
        <v>5008</v>
      </c>
      <c r="B3" t="s">
        <v>5278</v>
      </c>
      <c r="E3" s="124" t="s">
        <v>5300</v>
      </c>
    </row>
    <row r="4" spans="1:5" hidden="1">
      <c r="A4" t="s">
        <v>5142</v>
      </c>
      <c r="B4" t="s">
        <v>5279</v>
      </c>
      <c r="E4" s="124" t="s">
        <v>5300</v>
      </c>
    </row>
    <row r="5" spans="1:5" hidden="1">
      <c r="A5" t="s">
        <v>5143</v>
      </c>
      <c r="B5" t="s">
        <v>5279</v>
      </c>
      <c r="E5" s="124" t="s">
        <v>5300</v>
      </c>
    </row>
    <row r="6" spans="1:5" hidden="1">
      <c r="A6" t="s">
        <v>5144</v>
      </c>
      <c r="B6" t="s">
        <v>5279</v>
      </c>
      <c r="E6" s="124" t="s">
        <v>5300</v>
      </c>
    </row>
    <row r="7" spans="1:5" hidden="1">
      <c r="A7" t="s">
        <v>5145</v>
      </c>
      <c r="B7" t="s">
        <v>5279</v>
      </c>
      <c r="E7" s="124" t="s">
        <v>5300</v>
      </c>
    </row>
    <row r="8" spans="1:5" hidden="1">
      <c r="A8" t="s">
        <v>5265</v>
      </c>
      <c r="B8" t="s">
        <v>5280</v>
      </c>
      <c r="E8" s="124" t="s">
        <v>5300</v>
      </c>
    </row>
    <row r="9" spans="1:5" hidden="1">
      <c r="A9" t="s">
        <v>5236</v>
      </c>
      <c r="B9" t="s">
        <v>5281</v>
      </c>
      <c r="E9" s="124" t="s">
        <v>5300</v>
      </c>
    </row>
    <row r="10" spans="1:5" hidden="1">
      <c r="A10" t="s">
        <v>5237</v>
      </c>
      <c r="B10" t="s">
        <v>5281</v>
      </c>
      <c r="E10" s="124" t="s">
        <v>5300</v>
      </c>
    </row>
    <row r="11" spans="1:5" hidden="1">
      <c r="A11" t="s">
        <v>5238</v>
      </c>
      <c r="B11" t="s">
        <v>5281</v>
      </c>
      <c r="E11" s="124" t="s">
        <v>5300</v>
      </c>
    </row>
    <row r="12" spans="1:5" hidden="1">
      <c r="A12" t="s">
        <v>5119</v>
      </c>
      <c r="B12" t="s">
        <v>5282</v>
      </c>
      <c r="E12" s="124" t="s">
        <v>5300</v>
      </c>
    </row>
    <row r="13" spans="1:5" hidden="1">
      <c r="A13" t="s">
        <v>5120</v>
      </c>
      <c r="B13" t="s">
        <v>5282</v>
      </c>
      <c r="E13" s="124" t="s">
        <v>5300</v>
      </c>
    </row>
    <row r="14" spans="1:5" hidden="1">
      <c r="A14" t="s">
        <v>5121</v>
      </c>
      <c r="B14" t="s">
        <v>5282</v>
      </c>
      <c r="E14" s="124" t="s">
        <v>5300</v>
      </c>
    </row>
    <row r="15" spans="1:5" hidden="1">
      <c r="A15" t="s">
        <v>5122</v>
      </c>
      <c r="B15" t="s">
        <v>5282</v>
      </c>
      <c r="E15" s="124" t="s">
        <v>5300</v>
      </c>
    </row>
    <row r="16" spans="1:5" hidden="1">
      <c r="A16" t="s">
        <v>5228</v>
      </c>
      <c r="B16" t="s">
        <v>5282</v>
      </c>
      <c r="E16" s="124" t="s">
        <v>5300</v>
      </c>
    </row>
    <row r="17" spans="1:5" hidden="1">
      <c r="A17" t="s">
        <v>5229</v>
      </c>
      <c r="B17" t="s">
        <v>5282</v>
      </c>
      <c r="E17" s="124" t="s">
        <v>5300</v>
      </c>
    </row>
    <row r="18" spans="1:5" hidden="1">
      <c r="A18" t="s">
        <v>5230</v>
      </c>
      <c r="B18" t="s">
        <v>5282</v>
      </c>
      <c r="E18" s="124" t="s">
        <v>5300</v>
      </c>
    </row>
    <row r="19" spans="1:5" hidden="1">
      <c r="A19" t="s">
        <v>5231</v>
      </c>
      <c r="B19" t="s">
        <v>5282</v>
      </c>
      <c r="E19" s="124" t="s">
        <v>5300</v>
      </c>
    </row>
    <row r="20" spans="1:5" hidden="1">
      <c r="A20" t="s">
        <v>5232</v>
      </c>
      <c r="B20" t="s">
        <v>5282</v>
      </c>
      <c r="E20" s="124" t="s">
        <v>5300</v>
      </c>
    </row>
    <row r="21" spans="1:5" hidden="1">
      <c r="A21" t="s">
        <v>5233</v>
      </c>
      <c r="B21" t="s">
        <v>5282</v>
      </c>
      <c r="E21" s="124" t="s">
        <v>5300</v>
      </c>
    </row>
    <row r="22" spans="1:5" hidden="1">
      <c r="A22" t="s">
        <v>5234</v>
      </c>
      <c r="B22" t="s">
        <v>5282</v>
      </c>
      <c r="E22" s="124" t="s">
        <v>5300</v>
      </c>
    </row>
    <row r="23" spans="1:5" hidden="1">
      <c r="A23" t="s">
        <v>5123</v>
      </c>
      <c r="B23" t="s">
        <v>5283</v>
      </c>
      <c r="E23" s="124" t="s">
        <v>5300</v>
      </c>
    </row>
    <row r="24" spans="1:5" hidden="1">
      <c r="A24" t="s">
        <v>5241</v>
      </c>
      <c r="B24" t="s">
        <v>5284</v>
      </c>
      <c r="E24" s="124" t="s">
        <v>5300</v>
      </c>
    </row>
    <row r="25" spans="1:5" hidden="1">
      <c r="A25" t="s">
        <v>5242</v>
      </c>
      <c r="B25" t="s">
        <v>5284</v>
      </c>
      <c r="E25" s="124" t="s">
        <v>5300</v>
      </c>
    </row>
    <row r="26" spans="1:5" hidden="1">
      <c r="A26" t="s">
        <v>5243</v>
      </c>
      <c r="B26" t="s">
        <v>5284</v>
      </c>
      <c r="E26" s="124" t="s">
        <v>5300</v>
      </c>
    </row>
    <row r="27" spans="1:5" hidden="1">
      <c r="A27" t="s">
        <v>5244</v>
      </c>
      <c r="B27" t="s">
        <v>5284</v>
      </c>
      <c r="E27" s="124" t="s">
        <v>5300</v>
      </c>
    </row>
    <row r="28" spans="1:5" hidden="1">
      <c r="A28" t="s">
        <v>5245</v>
      </c>
      <c r="B28" t="s">
        <v>5284</v>
      </c>
      <c r="E28" s="124" t="s">
        <v>5300</v>
      </c>
    </row>
    <row r="29" spans="1:5" hidden="1">
      <c r="A29" t="s">
        <v>5246</v>
      </c>
      <c r="B29" t="s">
        <v>5284</v>
      </c>
      <c r="E29" s="124" t="s">
        <v>5300</v>
      </c>
    </row>
    <row r="30" spans="1:5" hidden="1">
      <c r="A30" t="s">
        <v>5247</v>
      </c>
      <c r="B30" t="s">
        <v>5284</v>
      </c>
      <c r="E30" s="124" t="s">
        <v>5300</v>
      </c>
    </row>
    <row r="31" spans="1:5" hidden="1">
      <c r="A31" t="s">
        <v>5248</v>
      </c>
      <c r="B31" t="s">
        <v>5285</v>
      </c>
      <c r="E31" s="124" t="s">
        <v>5300</v>
      </c>
    </row>
    <row r="32" spans="1:5" hidden="1">
      <c r="A32" t="s">
        <v>5124</v>
      </c>
      <c r="B32" t="s">
        <v>5286</v>
      </c>
      <c r="E32" s="124" t="s">
        <v>5300</v>
      </c>
    </row>
    <row r="33" spans="1:5" hidden="1">
      <c r="A33" t="s">
        <v>5125</v>
      </c>
      <c r="B33" t="s">
        <v>5286</v>
      </c>
      <c r="E33" s="124" t="s">
        <v>5300</v>
      </c>
    </row>
    <row r="34" spans="1:5" hidden="1">
      <c r="A34" t="s">
        <v>5126</v>
      </c>
      <c r="B34" t="s">
        <v>5286</v>
      </c>
      <c r="E34" s="124" t="s">
        <v>5300</v>
      </c>
    </row>
    <row r="35" spans="1:5" hidden="1">
      <c r="A35" t="s">
        <v>5127</v>
      </c>
      <c r="B35" t="s">
        <v>5286</v>
      </c>
      <c r="E35" s="124" t="s">
        <v>5300</v>
      </c>
    </row>
    <row r="36" spans="1:5" hidden="1">
      <c r="A36" t="s">
        <v>5128</v>
      </c>
      <c r="B36" t="s">
        <v>5286</v>
      </c>
      <c r="E36" s="124" t="s">
        <v>5300</v>
      </c>
    </row>
    <row r="37" spans="1:5" hidden="1">
      <c r="A37" t="s">
        <v>5235</v>
      </c>
      <c r="B37" t="s">
        <v>5286</v>
      </c>
      <c r="E37" s="124" t="s">
        <v>5300</v>
      </c>
    </row>
    <row r="38" spans="1:5" hidden="1">
      <c r="A38" t="s">
        <v>5263</v>
      </c>
      <c r="B38" t="s">
        <v>5287</v>
      </c>
      <c r="E38" s="124" t="s">
        <v>5300</v>
      </c>
    </row>
    <row r="39" spans="1:5" hidden="1">
      <c r="A39" t="s">
        <v>5022</v>
      </c>
      <c r="B39" t="s">
        <v>5288</v>
      </c>
      <c r="E39" s="124" t="s">
        <v>5300</v>
      </c>
    </row>
    <row r="40" spans="1:5" hidden="1">
      <c r="A40" t="s">
        <v>5009</v>
      </c>
      <c r="B40" t="s">
        <v>5289</v>
      </c>
      <c r="E40" s="124" t="s">
        <v>5300</v>
      </c>
    </row>
    <row r="41" spans="1:5" hidden="1">
      <c r="A41" t="s">
        <v>4988</v>
      </c>
      <c r="B41" t="s">
        <v>5290</v>
      </c>
      <c r="E41" s="124" t="s">
        <v>5300</v>
      </c>
    </row>
    <row r="42" spans="1:5" hidden="1">
      <c r="A42" t="s">
        <v>5019</v>
      </c>
      <c r="B42" t="s">
        <v>5291</v>
      </c>
      <c r="E42" s="124" t="s">
        <v>5300</v>
      </c>
    </row>
    <row r="43" spans="1:5" hidden="1">
      <c r="A43" t="s">
        <v>5133</v>
      </c>
      <c r="B43" t="s">
        <v>5292</v>
      </c>
      <c r="E43" s="124" t="s">
        <v>5300</v>
      </c>
    </row>
    <row r="44" spans="1:5" hidden="1">
      <c r="A44" t="s">
        <v>4974</v>
      </c>
      <c r="B44" t="s">
        <v>5293</v>
      </c>
      <c r="E44" s="124" t="s">
        <v>5300</v>
      </c>
    </row>
    <row r="45" spans="1:5" hidden="1">
      <c r="A45" t="s">
        <v>5020</v>
      </c>
      <c r="B45" t="s">
        <v>5294</v>
      </c>
      <c r="E45" s="124" t="s">
        <v>5300</v>
      </c>
    </row>
    <row r="46" spans="1:5" hidden="1">
      <c r="A46" t="s">
        <v>5021</v>
      </c>
      <c r="B46" t="s">
        <v>5294</v>
      </c>
      <c r="E46" s="124" t="s">
        <v>5300</v>
      </c>
    </row>
    <row r="47" spans="1:5" hidden="1">
      <c r="A47" t="s">
        <v>5023</v>
      </c>
      <c r="B47" t="s">
        <v>5294</v>
      </c>
      <c r="E47" s="124" t="s">
        <v>5300</v>
      </c>
    </row>
    <row r="48" spans="1:5" hidden="1">
      <c r="A48" t="s">
        <v>5024</v>
      </c>
      <c r="B48" t="s">
        <v>5294</v>
      </c>
      <c r="E48" s="124" t="s">
        <v>5300</v>
      </c>
    </row>
    <row r="49" spans="1:5" hidden="1">
      <c r="A49" t="s">
        <v>5025</v>
      </c>
      <c r="B49" t="s">
        <v>5294</v>
      </c>
      <c r="E49" s="124" t="s">
        <v>5300</v>
      </c>
    </row>
    <row r="50" spans="1:5" hidden="1">
      <c r="A50" t="s">
        <v>5026</v>
      </c>
      <c r="B50" t="s">
        <v>5294</v>
      </c>
      <c r="E50" s="124" t="s">
        <v>5300</v>
      </c>
    </row>
    <row r="51" spans="1:5" hidden="1">
      <c r="A51" t="s">
        <v>5027</v>
      </c>
      <c r="B51" t="s">
        <v>5294</v>
      </c>
      <c r="E51" s="124" t="s">
        <v>5300</v>
      </c>
    </row>
    <row r="52" spans="1:5" hidden="1">
      <c r="A52" t="s">
        <v>5028</v>
      </c>
      <c r="B52" t="s">
        <v>5294</v>
      </c>
      <c r="E52" s="124" t="s">
        <v>5300</v>
      </c>
    </row>
    <row r="53" spans="1:5" hidden="1">
      <c r="A53" t="s">
        <v>5029</v>
      </c>
      <c r="B53" t="s">
        <v>5294</v>
      </c>
      <c r="E53" s="124" t="s">
        <v>5300</v>
      </c>
    </row>
    <row r="54" spans="1:5" hidden="1">
      <c r="A54" t="s">
        <v>5030</v>
      </c>
      <c r="B54" t="s">
        <v>5294</v>
      </c>
      <c r="E54" s="124" t="s">
        <v>5300</v>
      </c>
    </row>
    <row r="55" spans="1:5" hidden="1">
      <c r="A55" t="s">
        <v>5031</v>
      </c>
      <c r="B55" t="s">
        <v>5294</v>
      </c>
      <c r="E55" s="124" t="s">
        <v>5300</v>
      </c>
    </row>
    <row r="56" spans="1:5" hidden="1">
      <c r="A56" t="s">
        <v>5032</v>
      </c>
      <c r="B56" t="s">
        <v>5294</v>
      </c>
      <c r="E56" s="124" t="s">
        <v>5300</v>
      </c>
    </row>
    <row r="57" spans="1:5" hidden="1">
      <c r="A57" t="s">
        <v>5033</v>
      </c>
      <c r="B57" t="s">
        <v>5294</v>
      </c>
      <c r="E57" s="124" t="s">
        <v>5300</v>
      </c>
    </row>
    <row r="58" spans="1:5" hidden="1">
      <c r="A58" t="s">
        <v>5034</v>
      </c>
      <c r="B58" t="s">
        <v>5294</v>
      </c>
      <c r="E58" s="124" t="s">
        <v>5300</v>
      </c>
    </row>
    <row r="59" spans="1:5" hidden="1">
      <c r="A59" t="s">
        <v>5035</v>
      </c>
      <c r="B59" t="s">
        <v>5294</v>
      </c>
      <c r="E59" s="124" t="s">
        <v>5300</v>
      </c>
    </row>
    <row r="60" spans="1:5" hidden="1">
      <c r="A60" t="s">
        <v>5036</v>
      </c>
      <c r="B60" t="s">
        <v>5294</v>
      </c>
      <c r="E60" s="124" t="s">
        <v>5300</v>
      </c>
    </row>
    <row r="61" spans="1:5" hidden="1">
      <c r="A61" t="s">
        <v>5037</v>
      </c>
      <c r="B61" t="s">
        <v>5294</v>
      </c>
      <c r="E61" s="124" t="s">
        <v>5300</v>
      </c>
    </row>
    <row r="62" spans="1:5" hidden="1">
      <c r="A62" t="s">
        <v>5038</v>
      </c>
      <c r="B62" t="s">
        <v>5294</v>
      </c>
      <c r="E62" s="124" t="s">
        <v>5300</v>
      </c>
    </row>
    <row r="63" spans="1:5" hidden="1">
      <c r="A63" t="s">
        <v>5039</v>
      </c>
      <c r="B63" t="s">
        <v>5294</v>
      </c>
      <c r="E63" s="124" t="s">
        <v>5300</v>
      </c>
    </row>
    <row r="64" spans="1:5" hidden="1">
      <c r="A64" t="s">
        <v>5040</v>
      </c>
      <c r="B64" t="s">
        <v>5294</v>
      </c>
      <c r="E64" s="124" t="s">
        <v>5300</v>
      </c>
    </row>
    <row r="65" spans="1:5" hidden="1">
      <c r="A65" t="s">
        <v>5041</v>
      </c>
      <c r="B65" t="s">
        <v>5294</v>
      </c>
      <c r="E65" s="124" t="s">
        <v>5300</v>
      </c>
    </row>
    <row r="66" spans="1:5" hidden="1">
      <c r="A66" t="s">
        <v>5042</v>
      </c>
      <c r="B66" t="s">
        <v>5294</v>
      </c>
      <c r="E66" s="124" t="s">
        <v>5300</v>
      </c>
    </row>
    <row r="67" spans="1:5" hidden="1">
      <c r="A67" t="s">
        <v>5043</v>
      </c>
      <c r="B67" t="s">
        <v>5294</v>
      </c>
      <c r="E67" s="124" t="s">
        <v>5300</v>
      </c>
    </row>
    <row r="68" spans="1:5" hidden="1">
      <c r="A68" t="s">
        <v>5044</v>
      </c>
      <c r="B68" t="s">
        <v>5294</v>
      </c>
      <c r="E68" s="124" t="s">
        <v>5300</v>
      </c>
    </row>
    <row r="69" spans="1:5" hidden="1">
      <c r="A69" t="s">
        <v>5045</v>
      </c>
      <c r="B69" t="s">
        <v>5294</v>
      </c>
      <c r="E69" s="124" t="s">
        <v>5300</v>
      </c>
    </row>
    <row r="70" spans="1:5" hidden="1">
      <c r="A70" t="s">
        <v>5046</v>
      </c>
      <c r="B70" t="s">
        <v>5294</v>
      </c>
      <c r="E70" s="124" t="s">
        <v>5300</v>
      </c>
    </row>
    <row r="71" spans="1:5" hidden="1">
      <c r="A71" t="s">
        <v>5047</v>
      </c>
      <c r="B71" t="s">
        <v>5294</v>
      </c>
      <c r="E71" s="124" t="s">
        <v>5300</v>
      </c>
    </row>
    <row r="72" spans="1:5" hidden="1">
      <c r="A72" t="s">
        <v>5048</v>
      </c>
      <c r="B72" t="s">
        <v>5294</v>
      </c>
      <c r="E72" s="124" t="s">
        <v>5300</v>
      </c>
    </row>
    <row r="73" spans="1:5" hidden="1">
      <c r="A73" t="s">
        <v>5049</v>
      </c>
      <c r="B73" t="s">
        <v>5294</v>
      </c>
      <c r="E73" s="124" t="s">
        <v>5300</v>
      </c>
    </row>
    <row r="74" spans="1:5" hidden="1">
      <c r="A74" t="s">
        <v>5050</v>
      </c>
      <c r="B74" t="s">
        <v>5294</v>
      </c>
      <c r="E74" s="124" t="s">
        <v>5300</v>
      </c>
    </row>
    <row r="75" spans="1:5" hidden="1">
      <c r="A75" t="s">
        <v>5051</v>
      </c>
      <c r="B75" t="s">
        <v>5294</v>
      </c>
      <c r="E75" s="124" t="s">
        <v>5300</v>
      </c>
    </row>
    <row r="76" spans="1:5" hidden="1">
      <c r="A76" t="s">
        <v>5052</v>
      </c>
      <c r="B76" t="s">
        <v>5294</v>
      </c>
      <c r="E76" s="124" t="s">
        <v>5300</v>
      </c>
    </row>
    <row r="77" spans="1:5" hidden="1">
      <c r="A77" t="s">
        <v>5053</v>
      </c>
      <c r="B77" t="s">
        <v>5294</v>
      </c>
      <c r="E77" s="124" t="s">
        <v>5300</v>
      </c>
    </row>
    <row r="78" spans="1:5" hidden="1">
      <c r="A78" t="s">
        <v>5054</v>
      </c>
      <c r="B78" t="s">
        <v>5294</v>
      </c>
      <c r="E78" s="124" t="s">
        <v>5300</v>
      </c>
    </row>
    <row r="79" spans="1:5" hidden="1">
      <c r="A79" t="s">
        <v>5055</v>
      </c>
      <c r="B79" t="s">
        <v>5294</v>
      </c>
      <c r="E79" s="124" t="s">
        <v>5300</v>
      </c>
    </row>
    <row r="80" spans="1:5" hidden="1">
      <c r="A80" t="s">
        <v>5056</v>
      </c>
      <c r="B80" t="s">
        <v>5294</v>
      </c>
      <c r="E80" s="124" t="s">
        <v>5300</v>
      </c>
    </row>
    <row r="81" spans="1:5" hidden="1">
      <c r="A81" t="s">
        <v>5057</v>
      </c>
      <c r="B81" t="s">
        <v>5294</v>
      </c>
      <c r="E81" s="124" t="s">
        <v>5300</v>
      </c>
    </row>
    <row r="82" spans="1:5" hidden="1">
      <c r="A82" t="s">
        <v>5058</v>
      </c>
      <c r="B82" t="s">
        <v>5294</v>
      </c>
      <c r="E82" s="124" t="s">
        <v>5300</v>
      </c>
    </row>
    <row r="83" spans="1:5" hidden="1">
      <c r="A83" t="s">
        <v>5059</v>
      </c>
      <c r="B83" t="s">
        <v>5294</v>
      </c>
      <c r="E83" s="124" t="s">
        <v>5300</v>
      </c>
    </row>
    <row r="84" spans="1:5" hidden="1">
      <c r="A84" t="s">
        <v>5060</v>
      </c>
      <c r="B84" t="s">
        <v>5294</v>
      </c>
      <c r="E84" s="124" t="s">
        <v>5300</v>
      </c>
    </row>
    <row r="85" spans="1:5" hidden="1">
      <c r="A85" t="s">
        <v>5061</v>
      </c>
      <c r="B85" t="s">
        <v>5294</v>
      </c>
      <c r="E85" s="124" t="s">
        <v>5300</v>
      </c>
    </row>
    <row r="86" spans="1:5" hidden="1">
      <c r="A86" t="s">
        <v>5062</v>
      </c>
      <c r="B86" t="s">
        <v>5294</v>
      </c>
      <c r="E86" s="124" t="s">
        <v>5300</v>
      </c>
    </row>
    <row r="87" spans="1:5" hidden="1">
      <c r="A87" t="s">
        <v>5063</v>
      </c>
      <c r="B87" t="s">
        <v>5294</v>
      </c>
      <c r="E87" s="124" t="s">
        <v>5300</v>
      </c>
    </row>
    <row r="88" spans="1:5" hidden="1">
      <c r="A88" t="s">
        <v>5064</v>
      </c>
      <c r="B88" t="s">
        <v>5294</v>
      </c>
      <c r="E88" s="124" t="s">
        <v>5300</v>
      </c>
    </row>
    <row r="89" spans="1:5" hidden="1">
      <c r="A89" t="s">
        <v>5065</v>
      </c>
      <c r="B89" t="s">
        <v>5294</v>
      </c>
      <c r="E89" s="124" t="s">
        <v>5300</v>
      </c>
    </row>
    <row r="90" spans="1:5" hidden="1">
      <c r="A90" t="s">
        <v>5066</v>
      </c>
      <c r="B90" t="s">
        <v>5294</v>
      </c>
      <c r="E90" s="124" t="s">
        <v>5300</v>
      </c>
    </row>
    <row r="91" spans="1:5" hidden="1">
      <c r="A91" t="s">
        <v>5067</v>
      </c>
      <c r="B91" t="s">
        <v>5294</v>
      </c>
      <c r="E91" s="124" t="s">
        <v>5300</v>
      </c>
    </row>
    <row r="92" spans="1:5" hidden="1">
      <c r="A92" t="s">
        <v>5068</v>
      </c>
      <c r="B92" t="s">
        <v>5294</v>
      </c>
      <c r="E92" s="124" t="s">
        <v>5300</v>
      </c>
    </row>
    <row r="93" spans="1:5" hidden="1">
      <c r="A93" t="s">
        <v>5069</v>
      </c>
      <c r="B93" t="s">
        <v>5294</v>
      </c>
      <c r="E93" s="124" t="s">
        <v>5300</v>
      </c>
    </row>
    <row r="94" spans="1:5" hidden="1">
      <c r="A94" t="s">
        <v>5070</v>
      </c>
      <c r="B94" t="s">
        <v>5294</v>
      </c>
      <c r="E94" s="124" t="s">
        <v>5300</v>
      </c>
    </row>
    <row r="95" spans="1:5" hidden="1">
      <c r="A95" t="s">
        <v>5071</v>
      </c>
      <c r="B95" t="s">
        <v>5294</v>
      </c>
      <c r="E95" s="124" t="s">
        <v>5300</v>
      </c>
    </row>
    <row r="96" spans="1:5" hidden="1">
      <c r="A96" t="s">
        <v>5072</v>
      </c>
      <c r="B96" t="s">
        <v>5294</v>
      </c>
      <c r="E96" s="124" t="s">
        <v>5300</v>
      </c>
    </row>
    <row r="97" spans="1:5" hidden="1">
      <c r="A97" t="s">
        <v>5073</v>
      </c>
      <c r="B97" t="s">
        <v>5294</v>
      </c>
      <c r="E97" s="124" t="s">
        <v>5300</v>
      </c>
    </row>
    <row r="98" spans="1:5" hidden="1">
      <c r="A98" t="s">
        <v>5074</v>
      </c>
      <c r="B98" t="s">
        <v>5294</v>
      </c>
      <c r="E98" s="124" t="s">
        <v>5300</v>
      </c>
    </row>
    <row r="99" spans="1:5" hidden="1">
      <c r="A99" t="s">
        <v>5075</v>
      </c>
      <c r="B99" t="s">
        <v>5294</v>
      </c>
      <c r="E99" s="124" t="s">
        <v>5300</v>
      </c>
    </row>
    <row r="100" spans="1:5" hidden="1">
      <c r="A100" t="s">
        <v>5076</v>
      </c>
      <c r="B100" t="s">
        <v>5294</v>
      </c>
      <c r="E100" s="124" t="s">
        <v>5300</v>
      </c>
    </row>
    <row r="101" spans="1:5" hidden="1">
      <c r="A101" t="s">
        <v>5077</v>
      </c>
      <c r="B101" t="s">
        <v>5294</v>
      </c>
      <c r="E101" s="124" t="s">
        <v>5300</v>
      </c>
    </row>
    <row r="102" spans="1:5" hidden="1">
      <c r="A102" t="s">
        <v>5078</v>
      </c>
      <c r="B102" t="s">
        <v>5294</v>
      </c>
      <c r="E102" s="124" t="s">
        <v>5300</v>
      </c>
    </row>
    <row r="103" spans="1:5" hidden="1">
      <c r="A103" t="s">
        <v>5079</v>
      </c>
      <c r="B103" t="s">
        <v>5294</v>
      </c>
      <c r="E103" s="124" t="s">
        <v>5300</v>
      </c>
    </row>
    <row r="104" spans="1:5" hidden="1">
      <c r="A104" t="s">
        <v>5080</v>
      </c>
      <c r="B104" t="s">
        <v>5294</v>
      </c>
      <c r="E104" s="124" t="s">
        <v>5300</v>
      </c>
    </row>
    <row r="105" spans="1:5" hidden="1">
      <c r="A105" t="s">
        <v>5081</v>
      </c>
      <c r="B105" t="s">
        <v>5294</v>
      </c>
      <c r="E105" s="124" t="s">
        <v>5300</v>
      </c>
    </row>
    <row r="106" spans="1:5" hidden="1">
      <c r="A106" t="s">
        <v>5082</v>
      </c>
      <c r="B106" t="s">
        <v>5294</v>
      </c>
      <c r="E106" s="124" t="s">
        <v>5300</v>
      </c>
    </row>
    <row r="107" spans="1:5" hidden="1">
      <c r="A107" t="s">
        <v>5083</v>
      </c>
      <c r="B107" t="s">
        <v>5294</v>
      </c>
      <c r="E107" s="124" t="s">
        <v>5300</v>
      </c>
    </row>
    <row r="108" spans="1:5" hidden="1">
      <c r="A108" t="s">
        <v>5084</v>
      </c>
      <c r="B108" t="s">
        <v>5294</v>
      </c>
      <c r="E108" s="124" t="s">
        <v>5300</v>
      </c>
    </row>
    <row r="109" spans="1:5" hidden="1">
      <c r="A109" t="s">
        <v>5085</v>
      </c>
      <c r="B109" t="s">
        <v>5294</v>
      </c>
      <c r="E109" s="124" t="s">
        <v>5300</v>
      </c>
    </row>
    <row r="110" spans="1:5" hidden="1">
      <c r="A110" t="s">
        <v>5086</v>
      </c>
      <c r="B110" t="s">
        <v>5294</v>
      </c>
      <c r="E110" s="124" t="s">
        <v>5300</v>
      </c>
    </row>
    <row r="111" spans="1:5" hidden="1">
      <c r="A111" t="s">
        <v>5087</v>
      </c>
      <c r="B111" t="s">
        <v>5294</v>
      </c>
      <c r="E111" s="124" t="s">
        <v>5300</v>
      </c>
    </row>
    <row r="112" spans="1:5" hidden="1">
      <c r="A112" t="s">
        <v>5088</v>
      </c>
      <c r="B112" t="s">
        <v>5294</v>
      </c>
      <c r="E112" s="124" t="s">
        <v>5300</v>
      </c>
    </row>
    <row r="113" spans="1:5" hidden="1">
      <c r="A113" t="s">
        <v>5089</v>
      </c>
      <c r="B113" t="s">
        <v>5294</v>
      </c>
      <c r="E113" s="124" t="s">
        <v>5300</v>
      </c>
    </row>
    <row r="114" spans="1:5" hidden="1">
      <c r="A114" t="s">
        <v>5090</v>
      </c>
      <c r="B114" t="s">
        <v>5294</v>
      </c>
      <c r="E114" s="124" t="s">
        <v>5300</v>
      </c>
    </row>
    <row r="115" spans="1:5" hidden="1">
      <c r="A115" t="s">
        <v>5091</v>
      </c>
      <c r="B115" t="s">
        <v>5294</v>
      </c>
      <c r="E115" s="124" t="s">
        <v>5300</v>
      </c>
    </row>
    <row r="116" spans="1:5" hidden="1">
      <c r="A116" t="s">
        <v>5092</v>
      </c>
      <c r="B116" t="s">
        <v>5294</v>
      </c>
      <c r="E116" s="124" t="s">
        <v>5300</v>
      </c>
    </row>
    <row r="117" spans="1:5" hidden="1">
      <c r="A117" t="s">
        <v>5093</v>
      </c>
      <c r="B117" t="s">
        <v>5294</v>
      </c>
      <c r="E117" s="124" t="s">
        <v>5300</v>
      </c>
    </row>
    <row r="118" spans="1:5" hidden="1">
      <c r="A118" t="s">
        <v>5094</v>
      </c>
      <c r="B118" t="s">
        <v>5294</v>
      </c>
      <c r="E118" s="124" t="s">
        <v>5300</v>
      </c>
    </row>
    <row r="119" spans="1:5" hidden="1">
      <c r="A119" t="s">
        <v>5095</v>
      </c>
      <c r="B119" t="s">
        <v>5294</v>
      </c>
      <c r="E119" s="124" t="s">
        <v>5300</v>
      </c>
    </row>
    <row r="120" spans="1:5" hidden="1">
      <c r="A120" t="s">
        <v>5096</v>
      </c>
      <c r="B120" t="s">
        <v>5294</v>
      </c>
      <c r="E120" s="124" t="s">
        <v>5300</v>
      </c>
    </row>
    <row r="121" spans="1:5" hidden="1">
      <c r="A121" t="s">
        <v>5097</v>
      </c>
      <c r="B121" t="s">
        <v>5294</v>
      </c>
      <c r="E121" s="124" t="s">
        <v>5300</v>
      </c>
    </row>
    <row r="122" spans="1:5" hidden="1">
      <c r="A122" t="s">
        <v>5098</v>
      </c>
      <c r="B122" t="s">
        <v>5294</v>
      </c>
      <c r="E122" s="124" t="s">
        <v>5300</v>
      </c>
    </row>
    <row r="123" spans="1:5" hidden="1">
      <c r="A123" t="s">
        <v>5099</v>
      </c>
      <c r="B123" t="s">
        <v>5294</v>
      </c>
      <c r="E123" s="124" t="s">
        <v>5300</v>
      </c>
    </row>
    <row r="124" spans="1:5" hidden="1">
      <c r="A124" t="s">
        <v>5100</v>
      </c>
      <c r="B124" t="s">
        <v>5294</v>
      </c>
      <c r="E124" s="124" t="s">
        <v>5300</v>
      </c>
    </row>
    <row r="125" spans="1:5" hidden="1">
      <c r="A125" t="s">
        <v>5101</v>
      </c>
      <c r="B125" t="s">
        <v>5294</v>
      </c>
      <c r="E125" s="124" t="s">
        <v>5300</v>
      </c>
    </row>
    <row r="126" spans="1:5" hidden="1">
      <c r="A126" t="s">
        <v>5102</v>
      </c>
      <c r="B126" t="s">
        <v>5294</v>
      </c>
      <c r="E126" s="124" t="s">
        <v>5300</v>
      </c>
    </row>
    <row r="127" spans="1:5" hidden="1">
      <c r="A127" t="s">
        <v>5103</v>
      </c>
      <c r="B127" t="s">
        <v>5294</v>
      </c>
      <c r="E127" s="124" t="s">
        <v>5300</v>
      </c>
    </row>
    <row r="128" spans="1:5" hidden="1">
      <c r="A128" t="s">
        <v>5104</v>
      </c>
      <c r="B128" t="s">
        <v>5294</v>
      </c>
      <c r="E128" s="124" t="s">
        <v>5300</v>
      </c>
    </row>
    <row r="129" spans="1:5" hidden="1">
      <c r="A129" t="s">
        <v>5105</v>
      </c>
      <c r="B129" t="s">
        <v>5294</v>
      </c>
      <c r="E129" s="124" t="s">
        <v>5300</v>
      </c>
    </row>
    <row r="130" spans="1:5" hidden="1">
      <c r="A130" t="s">
        <v>5106</v>
      </c>
      <c r="B130" t="s">
        <v>5294</v>
      </c>
      <c r="E130" s="124" t="s">
        <v>5300</v>
      </c>
    </row>
    <row r="131" spans="1:5" hidden="1">
      <c r="A131" t="s">
        <v>5107</v>
      </c>
      <c r="B131" t="s">
        <v>5294</v>
      </c>
      <c r="E131" s="124" t="s">
        <v>5300</v>
      </c>
    </row>
    <row r="132" spans="1:5" hidden="1">
      <c r="A132" t="s">
        <v>5108</v>
      </c>
      <c r="B132" t="s">
        <v>5294</v>
      </c>
      <c r="E132" s="124" t="s">
        <v>5300</v>
      </c>
    </row>
    <row r="133" spans="1:5" hidden="1">
      <c r="A133" t="s">
        <v>5109</v>
      </c>
      <c r="B133" t="s">
        <v>5294</v>
      </c>
      <c r="E133" s="124" t="s">
        <v>5300</v>
      </c>
    </row>
    <row r="134" spans="1:5" hidden="1">
      <c r="A134" t="s">
        <v>5110</v>
      </c>
      <c r="B134" t="s">
        <v>5294</v>
      </c>
      <c r="E134" s="124" t="s">
        <v>5300</v>
      </c>
    </row>
    <row r="135" spans="1:5" hidden="1">
      <c r="A135" t="s">
        <v>5111</v>
      </c>
      <c r="B135" t="s">
        <v>5294</v>
      </c>
      <c r="E135" s="124" t="s">
        <v>5300</v>
      </c>
    </row>
    <row r="136" spans="1:5" hidden="1">
      <c r="A136" t="s">
        <v>5112</v>
      </c>
      <c r="B136" t="s">
        <v>5294</v>
      </c>
      <c r="E136" s="124" t="s">
        <v>5300</v>
      </c>
    </row>
    <row r="137" spans="1:5" hidden="1">
      <c r="A137" t="s">
        <v>5113</v>
      </c>
      <c r="B137" t="s">
        <v>5294</v>
      </c>
      <c r="E137" s="124" t="s">
        <v>5300</v>
      </c>
    </row>
    <row r="138" spans="1:5" hidden="1">
      <c r="A138" t="s">
        <v>5114</v>
      </c>
      <c r="B138" t="s">
        <v>5294</v>
      </c>
      <c r="E138" s="124" t="s">
        <v>5300</v>
      </c>
    </row>
    <row r="139" spans="1:5" hidden="1">
      <c r="A139" t="s">
        <v>5115</v>
      </c>
      <c r="B139" t="s">
        <v>5294</v>
      </c>
      <c r="E139" s="124" t="s">
        <v>5300</v>
      </c>
    </row>
    <row r="140" spans="1:5" hidden="1">
      <c r="A140" t="s">
        <v>5116</v>
      </c>
      <c r="B140" t="s">
        <v>5294</v>
      </c>
      <c r="E140" s="124" t="s">
        <v>5300</v>
      </c>
    </row>
    <row r="141" spans="1:5" hidden="1">
      <c r="A141" t="s">
        <v>5117</v>
      </c>
      <c r="B141" t="s">
        <v>5294</v>
      </c>
      <c r="E141" s="124" t="s">
        <v>5300</v>
      </c>
    </row>
    <row r="142" spans="1:5" hidden="1">
      <c r="A142" t="s">
        <v>5118</v>
      </c>
      <c r="B142" t="s">
        <v>5294</v>
      </c>
      <c r="E142" s="124" t="s">
        <v>5300</v>
      </c>
    </row>
    <row r="143" spans="1:5" hidden="1">
      <c r="A143" t="s">
        <v>5146</v>
      </c>
      <c r="B143" t="s">
        <v>5294</v>
      </c>
      <c r="E143" s="124" t="s">
        <v>5300</v>
      </c>
    </row>
    <row r="144" spans="1:5" hidden="1">
      <c r="A144" t="s">
        <v>5147</v>
      </c>
      <c r="B144" t="s">
        <v>5294</v>
      </c>
      <c r="E144" s="124" t="s">
        <v>5300</v>
      </c>
    </row>
    <row r="145" spans="1:5" hidden="1">
      <c r="A145" t="s">
        <v>5148</v>
      </c>
      <c r="B145" t="s">
        <v>5294</v>
      </c>
      <c r="E145" s="124" t="s">
        <v>5300</v>
      </c>
    </row>
    <row r="146" spans="1:5" hidden="1">
      <c r="A146" t="s">
        <v>5149</v>
      </c>
      <c r="B146" t="s">
        <v>5294</v>
      </c>
      <c r="E146" s="124" t="s">
        <v>5300</v>
      </c>
    </row>
    <row r="147" spans="1:5" hidden="1">
      <c r="A147" t="s">
        <v>5150</v>
      </c>
      <c r="B147" t="s">
        <v>5294</v>
      </c>
      <c r="E147" s="124" t="s">
        <v>5300</v>
      </c>
    </row>
    <row r="148" spans="1:5" hidden="1">
      <c r="A148" t="s">
        <v>5151</v>
      </c>
      <c r="B148" t="s">
        <v>5294</v>
      </c>
      <c r="E148" s="124" t="s">
        <v>5300</v>
      </c>
    </row>
    <row r="149" spans="1:5" hidden="1">
      <c r="A149" t="s">
        <v>5152</v>
      </c>
      <c r="B149" t="s">
        <v>5294</v>
      </c>
      <c r="E149" s="124" t="s">
        <v>5300</v>
      </c>
    </row>
    <row r="150" spans="1:5" hidden="1">
      <c r="A150" t="s">
        <v>5153</v>
      </c>
      <c r="B150" t="s">
        <v>5294</v>
      </c>
      <c r="E150" s="124" t="s">
        <v>5300</v>
      </c>
    </row>
    <row r="151" spans="1:5" hidden="1">
      <c r="A151" t="s">
        <v>5154</v>
      </c>
      <c r="B151" t="s">
        <v>5294</v>
      </c>
      <c r="E151" s="124" t="s">
        <v>5300</v>
      </c>
    </row>
    <row r="152" spans="1:5" hidden="1">
      <c r="A152" t="s">
        <v>5155</v>
      </c>
      <c r="B152" t="s">
        <v>5294</v>
      </c>
      <c r="E152" s="124" t="s">
        <v>5300</v>
      </c>
    </row>
    <row r="153" spans="1:5" hidden="1">
      <c r="A153" t="s">
        <v>5156</v>
      </c>
      <c r="B153" t="s">
        <v>5294</v>
      </c>
      <c r="E153" s="124" t="s">
        <v>5300</v>
      </c>
    </row>
    <row r="154" spans="1:5" hidden="1">
      <c r="A154" t="s">
        <v>5157</v>
      </c>
      <c r="B154" t="s">
        <v>5294</v>
      </c>
      <c r="E154" s="124" t="s">
        <v>5300</v>
      </c>
    </row>
    <row r="155" spans="1:5" hidden="1">
      <c r="A155" t="s">
        <v>5158</v>
      </c>
      <c r="B155" t="s">
        <v>5294</v>
      </c>
      <c r="E155" s="124" t="s">
        <v>5300</v>
      </c>
    </row>
    <row r="156" spans="1:5" hidden="1">
      <c r="A156" t="s">
        <v>5159</v>
      </c>
      <c r="B156" t="s">
        <v>5294</v>
      </c>
      <c r="E156" s="124" t="s">
        <v>5300</v>
      </c>
    </row>
    <row r="157" spans="1:5" hidden="1">
      <c r="A157" t="s">
        <v>5160</v>
      </c>
      <c r="B157" t="s">
        <v>5294</v>
      </c>
      <c r="E157" s="124" t="s">
        <v>5300</v>
      </c>
    </row>
    <row r="158" spans="1:5" hidden="1">
      <c r="A158" t="s">
        <v>5161</v>
      </c>
      <c r="B158" t="s">
        <v>5294</v>
      </c>
      <c r="E158" s="124" t="s">
        <v>5300</v>
      </c>
    </row>
    <row r="159" spans="1:5" hidden="1">
      <c r="A159" t="s">
        <v>5162</v>
      </c>
      <c r="B159" t="s">
        <v>5294</v>
      </c>
      <c r="E159" s="124" t="s">
        <v>5300</v>
      </c>
    </row>
    <row r="160" spans="1:5" hidden="1">
      <c r="A160" t="s">
        <v>5163</v>
      </c>
      <c r="B160" t="s">
        <v>5294</v>
      </c>
      <c r="E160" s="124" t="s">
        <v>5300</v>
      </c>
    </row>
    <row r="161" spans="1:5" hidden="1">
      <c r="A161" t="s">
        <v>5164</v>
      </c>
      <c r="B161" t="s">
        <v>5294</v>
      </c>
      <c r="E161" s="124" t="s">
        <v>5300</v>
      </c>
    </row>
    <row r="162" spans="1:5" hidden="1">
      <c r="A162" t="s">
        <v>5165</v>
      </c>
      <c r="B162" t="s">
        <v>5294</v>
      </c>
      <c r="E162" s="124" t="s">
        <v>5300</v>
      </c>
    </row>
    <row r="163" spans="1:5" hidden="1">
      <c r="A163" t="s">
        <v>5166</v>
      </c>
      <c r="B163" t="s">
        <v>5294</v>
      </c>
      <c r="E163" s="124" t="s">
        <v>5300</v>
      </c>
    </row>
    <row r="164" spans="1:5" hidden="1">
      <c r="A164" t="s">
        <v>5167</v>
      </c>
      <c r="B164" t="s">
        <v>5294</v>
      </c>
      <c r="E164" s="124" t="s">
        <v>5300</v>
      </c>
    </row>
    <row r="165" spans="1:5" hidden="1">
      <c r="A165" t="s">
        <v>5168</v>
      </c>
      <c r="B165" t="s">
        <v>5294</v>
      </c>
      <c r="E165" s="124" t="s">
        <v>5300</v>
      </c>
    </row>
    <row r="166" spans="1:5" hidden="1">
      <c r="A166" t="s">
        <v>5169</v>
      </c>
      <c r="B166" t="s">
        <v>5294</v>
      </c>
      <c r="E166" s="124" t="s">
        <v>5300</v>
      </c>
    </row>
    <row r="167" spans="1:5" hidden="1">
      <c r="A167" t="s">
        <v>5170</v>
      </c>
      <c r="B167" t="s">
        <v>5294</v>
      </c>
      <c r="E167" s="124" t="s">
        <v>5300</v>
      </c>
    </row>
    <row r="168" spans="1:5" hidden="1">
      <c r="A168" t="s">
        <v>5171</v>
      </c>
      <c r="B168" t="s">
        <v>5294</v>
      </c>
      <c r="E168" s="124" t="s">
        <v>5300</v>
      </c>
    </row>
    <row r="169" spans="1:5" hidden="1">
      <c r="A169" t="s">
        <v>5172</v>
      </c>
      <c r="B169" t="s">
        <v>5294</v>
      </c>
      <c r="E169" s="124" t="s">
        <v>5300</v>
      </c>
    </row>
    <row r="170" spans="1:5" hidden="1">
      <c r="A170" t="s">
        <v>5173</v>
      </c>
      <c r="B170" t="s">
        <v>5294</v>
      </c>
      <c r="E170" s="124" t="s">
        <v>5300</v>
      </c>
    </row>
    <row r="171" spans="1:5" hidden="1">
      <c r="A171" t="s">
        <v>5174</v>
      </c>
      <c r="B171" t="s">
        <v>5294</v>
      </c>
      <c r="E171" s="124" t="s">
        <v>5300</v>
      </c>
    </row>
    <row r="172" spans="1:5" hidden="1">
      <c r="A172" t="s">
        <v>5175</v>
      </c>
      <c r="B172" t="s">
        <v>5294</v>
      </c>
      <c r="E172" s="124" t="s">
        <v>5300</v>
      </c>
    </row>
    <row r="173" spans="1:5" hidden="1">
      <c r="A173" t="s">
        <v>5176</v>
      </c>
      <c r="B173" t="s">
        <v>5294</v>
      </c>
      <c r="E173" s="124" t="s">
        <v>5300</v>
      </c>
    </row>
    <row r="174" spans="1:5" hidden="1">
      <c r="A174" t="s">
        <v>5177</v>
      </c>
      <c r="B174" t="s">
        <v>5294</v>
      </c>
      <c r="E174" s="124" t="s">
        <v>5300</v>
      </c>
    </row>
    <row r="175" spans="1:5" hidden="1">
      <c r="A175" t="s">
        <v>5178</v>
      </c>
      <c r="B175" t="s">
        <v>5294</v>
      </c>
      <c r="E175" s="124" t="s">
        <v>5300</v>
      </c>
    </row>
    <row r="176" spans="1:5" hidden="1">
      <c r="A176" t="s">
        <v>5179</v>
      </c>
      <c r="B176" t="s">
        <v>5294</v>
      </c>
      <c r="E176" s="124" t="s">
        <v>5300</v>
      </c>
    </row>
    <row r="177" spans="1:5" hidden="1">
      <c r="A177" t="s">
        <v>5180</v>
      </c>
      <c r="B177" t="s">
        <v>5294</v>
      </c>
      <c r="E177" s="124" t="s">
        <v>5300</v>
      </c>
    </row>
    <row r="178" spans="1:5" hidden="1">
      <c r="A178" t="s">
        <v>5181</v>
      </c>
      <c r="B178" t="s">
        <v>5294</v>
      </c>
      <c r="E178" s="124" t="s">
        <v>5300</v>
      </c>
    </row>
    <row r="179" spans="1:5" hidden="1">
      <c r="A179" t="s">
        <v>5182</v>
      </c>
      <c r="B179" t="s">
        <v>5294</v>
      </c>
      <c r="E179" s="124" t="s">
        <v>5300</v>
      </c>
    </row>
    <row r="180" spans="1:5" hidden="1">
      <c r="A180" t="s">
        <v>5183</v>
      </c>
      <c r="B180" t="s">
        <v>5294</v>
      </c>
      <c r="E180" s="124" t="s">
        <v>5300</v>
      </c>
    </row>
    <row r="181" spans="1:5" hidden="1">
      <c r="A181" t="s">
        <v>5184</v>
      </c>
      <c r="B181" t="s">
        <v>5294</v>
      </c>
      <c r="E181" s="124" t="s">
        <v>5300</v>
      </c>
    </row>
    <row r="182" spans="1:5" hidden="1">
      <c r="A182" t="s">
        <v>5185</v>
      </c>
      <c r="B182" t="s">
        <v>5294</v>
      </c>
      <c r="E182" s="124" t="s">
        <v>5300</v>
      </c>
    </row>
    <row r="183" spans="1:5" hidden="1">
      <c r="A183" t="s">
        <v>5186</v>
      </c>
      <c r="B183" t="s">
        <v>5294</v>
      </c>
      <c r="E183" s="124" t="s">
        <v>5300</v>
      </c>
    </row>
    <row r="184" spans="1:5" hidden="1">
      <c r="A184" t="s">
        <v>5187</v>
      </c>
      <c r="B184" t="s">
        <v>5294</v>
      </c>
      <c r="E184" s="124" t="s">
        <v>5300</v>
      </c>
    </row>
    <row r="185" spans="1:5" hidden="1">
      <c r="A185" t="s">
        <v>5188</v>
      </c>
      <c r="B185" t="s">
        <v>5294</v>
      </c>
      <c r="E185" s="124" t="s">
        <v>5300</v>
      </c>
    </row>
    <row r="186" spans="1:5" hidden="1">
      <c r="A186" t="s">
        <v>5189</v>
      </c>
      <c r="B186" t="s">
        <v>5294</v>
      </c>
      <c r="E186" s="124" t="s">
        <v>5300</v>
      </c>
    </row>
    <row r="187" spans="1:5" hidden="1">
      <c r="A187" t="s">
        <v>5190</v>
      </c>
      <c r="B187" t="s">
        <v>5294</v>
      </c>
      <c r="E187" s="124" t="s">
        <v>5300</v>
      </c>
    </row>
    <row r="188" spans="1:5" hidden="1">
      <c r="A188" t="s">
        <v>5191</v>
      </c>
      <c r="B188" t="s">
        <v>5294</v>
      </c>
      <c r="E188" s="124" t="s">
        <v>5300</v>
      </c>
    </row>
    <row r="189" spans="1:5" hidden="1">
      <c r="A189" t="s">
        <v>5192</v>
      </c>
      <c r="B189" t="s">
        <v>5294</v>
      </c>
      <c r="E189" s="124" t="s">
        <v>5300</v>
      </c>
    </row>
    <row r="190" spans="1:5" hidden="1">
      <c r="A190" t="s">
        <v>5193</v>
      </c>
      <c r="B190" t="s">
        <v>5294</v>
      </c>
      <c r="E190" s="124" t="s">
        <v>5300</v>
      </c>
    </row>
    <row r="191" spans="1:5" hidden="1">
      <c r="A191" t="s">
        <v>5194</v>
      </c>
      <c r="B191" t="s">
        <v>5294</v>
      </c>
      <c r="E191" s="124" t="s">
        <v>5300</v>
      </c>
    </row>
    <row r="192" spans="1:5" hidden="1">
      <c r="A192" t="s">
        <v>5195</v>
      </c>
      <c r="B192" t="s">
        <v>5294</v>
      </c>
      <c r="E192" s="124" t="s">
        <v>5300</v>
      </c>
    </row>
    <row r="193" spans="1:5" hidden="1">
      <c r="A193" t="s">
        <v>5196</v>
      </c>
      <c r="B193" t="s">
        <v>5294</v>
      </c>
      <c r="E193" s="124" t="s">
        <v>5300</v>
      </c>
    </row>
    <row r="194" spans="1:5" hidden="1">
      <c r="A194" t="s">
        <v>5197</v>
      </c>
      <c r="B194" t="s">
        <v>5294</v>
      </c>
      <c r="E194" s="124" t="s">
        <v>5300</v>
      </c>
    </row>
    <row r="195" spans="1:5" hidden="1">
      <c r="A195" t="s">
        <v>5198</v>
      </c>
      <c r="B195" t="s">
        <v>5294</v>
      </c>
      <c r="E195" s="124" t="s">
        <v>5300</v>
      </c>
    </row>
    <row r="196" spans="1:5" hidden="1">
      <c r="A196" t="s">
        <v>5199</v>
      </c>
      <c r="B196" t="s">
        <v>5294</v>
      </c>
      <c r="E196" s="124" t="s">
        <v>5300</v>
      </c>
    </row>
    <row r="197" spans="1:5" hidden="1">
      <c r="A197" t="s">
        <v>5200</v>
      </c>
      <c r="B197" t="s">
        <v>5294</v>
      </c>
      <c r="E197" s="124" t="s">
        <v>5300</v>
      </c>
    </row>
    <row r="198" spans="1:5" hidden="1">
      <c r="A198" t="s">
        <v>5201</v>
      </c>
      <c r="B198" t="s">
        <v>5294</v>
      </c>
      <c r="E198" s="124" t="s">
        <v>5300</v>
      </c>
    </row>
    <row r="199" spans="1:5" hidden="1">
      <c r="A199" t="s">
        <v>5202</v>
      </c>
      <c r="B199" t="s">
        <v>5294</v>
      </c>
      <c r="E199" s="124" t="s">
        <v>5300</v>
      </c>
    </row>
    <row r="200" spans="1:5" hidden="1">
      <c r="A200" t="s">
        <v>5203</v>
      </c>
      <c r="B200" t="s">
        <v>5294</v>
      </c>
      <c r="E200" s="124" t="s">
        <v>5300</v>
      </c>
    </row>
    <row r="201" spans="1:5" hidden="1">
      <c r="A201" t="s">
        <v>5204</v>
      </c>
      <c r="B201" t="s">
        <v>5294</v>
      </c>
      <c r="E201" s="124" t="s">
        <v>5300</v>
      </c>
    </row>
    <row r="202" spans="1:5" hidden="1">
      <c r="A202" t="s">
        <v>5205</v>
      </c>
      <c r="B202" t="s">
        <v>5294</v>
      </c>
      <c r="E202" s="124" t="s">
        <v>5300</v>
      </c>
    </row>
    <row r="203" spans="1:5" hidden="1">
      <c r="A203" t="s">
        <v>5206</v>
      </c>
      <c r="B203" t="s">
        <v>5294</v>
      </c>
      <c r="E203" s="124" t="s">
        <v>5300</v>
      </c>
    </row>
    <row r="204" spans="1:5" hidden="1">
      <c r="A204" t="s">
        <v>5207</v>
      </c>
      <c r="B204" t="s">
        <v>5294</v>
      </c>
      <c r="E204" s="124" t="s">
        <v>5300</v>
      </c>
    </row>
    <row r="205" spans="1:5" hidden="1">
      <c r="A205" t="s">
        <v>5208</v>
      </c>
      <c r="B205" t="s">
        <v>5294</v>
      </c>
      <c r="E205" s="124" t="s">
        <v>5300</v>
      </c>
    </row>
    <row r="206" spans="1:5" hidden="1">
      <c r="A206" t="s">
        <v>5209</v>
      </c>
      <c r="B206" t="s">
        <v>5294</v>
      </c>
      <c r="E206" s="124" t="s">
        <v>5300</v>
      </c>
    </row>
    <row r="207" spans="1:5" hidden="1">
      <c r="A207" t="s">
        <v>5210</v>
      </c>
      <c r="B207" t="s">
        <v>5294</v>
      </c>
      <c r="E207" s="124" t="s">
        <v>5300</v>
      </c>
    </row>
    <row r="208" spans="1:5" hidden="1">
      <c r="A208" t="s">
        <v>5211</v>
      </c>
      <c r="B208" t="s">
        <v>5294</v>
      </c>
      <c r="E208" s="124" t="s">
        <v>5300</v>
      </c>
    </row>
    <row r="209" spans="1:5" hidden="1">
      <c r="A209" t="s">
        <v>5212</v>
      </c>
      <c r="B209" t="s">
        <v>5294</v>
      </c>
      <c r="E209" s="124" t="s">
        <v>5300</v>
      </c>
    </row>
    <row r="210" spans="1:5" hidden="1">
      <c r="A210" t="s">
        <v>5213</v>
      </c>
      <c r="B210" t="s">
        <v>5294</v>
      </c>
      <c r="E210" s="124" t="s">
        <v>5300</v>
      </c>
    </row>
    <row r="211" spans="1:5" hidden="1">
      <c r="A211" t="s">
        <v>5214</v>
      </c>
      <c r="B211" t="s">
        <v>5294</v>
      </c>
      <c r="E211" s="124" t="s">
        <v>5300</v>
      </c>
    </row>
    <row r="212" spans="1:5" hidden="1">
      <c r="A212" t="s">
        <v>5215</v>
      </c>
      <c r="B212" t="s">
        <v>5294</v>
      </c>
      <c r="E212" s="124" t="s">
        <v>5300</v>
      </c>
    </row>
    <row r="213" spans="1:5" hidden="1">
      <c r="A213" t="s">
        <v>5216</v>
      </c>
      <c r="B213" t="s">
        <v>5294</v>
      </c>
      <c r="E213" s="124" t="s">
        <v>5300</v>
      </c>
    </row>
    <row r="214" spans="1:5" hidden="1">
      <c r="A214" t="s">
        <v>5217</v>
      </c>
      <c r="B214" t="s">
        <v>5294</v>
      </c>
      <c r="E214" s="124" t="s">
        <v>5300</v>
      </c>
    </row>
    <row r="215" spans="1:5" hidden="1">
      <c r="A215" t="s">
        <v>5218</v>
      </c>
      <c r="B215" t="s">
        <v>5294</v>
      </c>
      <c r="E215" s="124" t="s">
        <v>5300</v>
      </c>
    </row>
    <row r="216" spans="1:5" hidden="1">
      <c r="A216" t="s">
        <v>5219</v>
      </c>
      <c r="B216" t="s">
        <v>5294</v>
      </c>
      <c r="E216" s="124" t="s">
        <v>5300</v>
      </c>
    </row>
    <row r="217" spans="1:5" hidden="1">
      <c r="A217" t="s">
        <v>5220</v>
      </c>
      <c r="B217" t="s">
        <v>5294</v>
      </c>
      <c r="E217" s="124" t="s">
        <v>5300</v>
      </c>
    </row>
    <row r="218" spans="1:5" hidden="1">
      <c r="A218" t="s">
        <v>5221</v>
      </c>
      <c r="B218" t="s">
        <v>5294</v>
      </c>
      <c r="E218" s="124" t="s">
        <v>5300</v>
      </c>
    </row>
    <row r="219" spans="1:5" hidden="1">
      <c r="A219" t="s">
        <v>5222</v>
      </c>
      <c r="B219" t="s">
        <v>5294</v>
      </c>
      <c r="E219" s="124" t="s">
        <v>5300</v>
      </c>
    </row>
    <row r="220" spans="1:5" hidden="1">
      <c r="A220" t="s">
        <v>5223</v>
      </c>
      <c r="B220" t="s">
        <v>5294</v>
      </c>
      <c r="E220" s="124" t="s">
        <v>5300</v>
      </c>
    </row>
    <row r="221" spans="1:5" hidden="1">
      <c r="A221" t="s">
        <v>5224</v>
      </c>
      <c r="B221" t="s">
        <v>5294</v>
      </c>
      <c r="E221" s="124" t="s">
        <v>5300</v>
      </c>
    </row>
    <row r="222" spans="1:5" hidden="1">
      <c r="A222" t="s">
        <v>5225</v>
      </c>
      <c r="B222" t="s">
        <v>5294</v>
      </c>
      <c r="E222" s="124" t="s">
        <v>5300</v>
      </c>
    </row>
    <row r="223" spans="1:5" hidden="1">
      <c r="A223" t="s">
        <v>5226</v>
      </c>
      <c r="B223" t="s">
        <v>5294</v>
      </c>
      <c r="E223" s="124" t="s">
        <v>5300</v>
      </c>
    </row>
    <row r="224" spans="1:5" hidden="1">
      <c r="A224" t="s">
        <v>5227</v>
      </c>
      <c r="B224" t="s">
        <v>5294</v>
      </c>
      <c r="E224" s="124" t="s">
        <v>5300</v>
      </c>
    </row>
    <row r="225" spans="1:5" hidden="1">
      <c r="A225" t="s">
        <v>4976</v>
      </c>
      <c r="B225" t="s">
        <v>5295</v>
      </c>
      <c r="E225" s="124" t="s">
        <v>5300</v>
      </c>
    </row>
    <row r="226" spans="1:5" hidden="1">
      <c r="A226" t="s">
        <v>5016</v>
      </c>
      <c r="B226" t="s">
        <v>5295</v>
      </c>
      <c r="E226" s="124" t="s">
        <v>5300</v>
      </c>
    </row>
    <row r="227" spans="1:5" hidden="1">
      <c r="A227" t="s">
        <v>5129</v>
      </c>
      <c r="B227" t="s">
        <v>5296</v>
      </c>
      <c r="E227" s="124" t="s">
        <v>5300</v>
      </c>
    </row>
    <row r="228" spans="1:5" hidden="1">
      <c r="A228" t="s">
        <v>5130</v>
      </c>
      <c r="B228" t="s">
        <v>5296</v>
      </c>
      <c r="E228" s="124" t="s">
        <v>5300</v>
      </c>
    </row>
    <row r="229" spans="1:5" hidden="1">
      <c r="A229" t="s">
        <v>5131</v>
      </c>
      <c r="B229" t="s">
        <v>5296</v>
      </c>
      <c r="E229" s="124" t="s">
        <v>5300</v>
      </c>
    </row>
    <row r="230" spans="1:5" hidden="1">
      <c r="A230" t="s">
        <v>5132</v>
      </c>
      <c r="B230" t="s">
        <v>5296</v>
      </c>
      <c r="E230" s="124" t="s">
        <v>5300</v>
      </c>
    </row>
    <row r="231" spans="1:5" hidden="1">
      <c r="A231" t="s">
        <v>5239</v>
      </c>
      <c r="B231" t="s">
        <v>5296</v>
      </c>
      <c r="E231" s="124" t="s">
        <v>5300</v>
      </c>
    </row>
    <row r="232" spans="1:5" hidden="1">
      <c r="A232" t="s">
        <v>5240</v>
      </c>
      <c r="B232" t="s">
        <v>5296</v>
      </c>
      <c r="E232" s="124" t="s">
        <v>5300</v>
      </c>
    </row>
    <row r="233" spans="1:5" hidden="1">
      <c r="A233" t="s">
        <v>5134</v>
      </c>
      <c r="B233" t="s">
        <v>5297</v>
      </c>
      <c r="E233" s="124" t="s">
        <v>5300</v>
      </c>
    </row>
    <row r="234" spans="1:5" hidden="1">
      <c r="A234" t="s">
        <v>5135</v>
      </c>
      <c r="B234" t="s">
        <v>5297</v>
      </c>
      <c r="E234" s="124" t="s">
        <v>5300</v>
      </c>
    </row>
    <row r="235" spans="1:5" hidden="1">
      <c r="A235" t="s">
        <v>5136</v>
      </c>
      <c r="B235" t="s">
        <v>5297</v>
      </c>
      <c r="E235" s="124" t="s">
        <v>5300</v>
      </c>
    </row>
    <row r="236" spans="1:5" hidden="1">
      <c r="A236" t="s">
        <v>4978</v>
      </c>
      <c r="B236" t="s">
        <v>5298</v>
      </c>
      <c r="E236" s="124" t="s">
        <v>5300</v>
      </c>
    </row>
    <row r="237" spans="1:5">
      <c r="A237" t="s">
        <v>4969</v>
      </c>
      <c r="B237" t="s">
        <v>4968</v>
      </c>
    </row>
    <row r="238" spans="1:5">
      <c r="A238" t="s">
        <v>5137</v>
      </c>
      <c r="B238" t="s">
        <v>2338</v>
      </c>
    </row>
    <row r="239" spans="1:5">
      <c r="A239" t="s">
        <v>5138</v>
      </c>
      <c r="B239" t="s">
        <v>2338</v>
      </c>
    </row>
    <row r="240" spans="1:5">
      <c r="A240" t="s">
        <v>5139</v>
      </c>
      <c r="B240" t="s">
        <v>2338</v>
      </c>
    </row>
    <row r="241" spans="1:2">
      <c r="A241" t="s">
        <v>5249</v>
      </c>
      <c r="B241" t="s">
        <v>2338</v>
      </c>
    </row>
    <row r="242" spans="1:2">
      <c r="A242" t="s">
        <v>4975</v>
      </c>
      <c r="B242" t="s">
        <v>5299</v>
      </c>
    </row>
    <row r="243" spans="1:2">
      <c r="A243" t="s">
        <v>4954</v>
      </c>
      <c r="B243" t="s">
        <v>4949</v>
      </c>
    </row>
    <row r="244" spans="1:2">
      <c r="A244" t="s">
        <v>4955</v>
      </c>
      <c r="B244" t="s">
        <v>4949</v>
      </c>
    </row>
    <row r="245" spans="1:2">
      <c r="A245" t="s">
        <v>4956</v>
      </c>
      <c r="B245" t="s">
        <v>4950</v>
      </c>
    </row>
    <row r="246" spans="1:2">
      <c r="A246" t="s">
        <v>4957</v>
      </c>
      <c r="B246" t="s">
        <v>4950</v>
      </c>
    </row>
    <row r="247" spans="1:2">
      <c r="A247" t="s">
        <v>4958</v>
      </c>
      <c r="B247" t="s">
        <v>4950</v>
      </c>
    </row>
    <row r="248" spans="1:2">
      <c r="A248" t="s">
        <v>4959</v>
      </c>
      <c r="B248" t="s">
        <v>4950</v>
      </c>
    </row>
    <row r="249" spans="1:2">
      <c r="A249" t="s">
        <v>4960</v>
      </c>
      <c r="B249" t="s">
        <v>4950</v>
      </c>
    </row>
    <row r="250" spans="1:2">
      <c r="A250" t="s">
        <v>4961</v>
      </c>
      <c r="B250" t="s">
        <v>4950</v>
      </c>
    </row>
    <row r="251" spans="1:2">
      <c r="A251" t="s">
        <v>4962</v>
      </c>
      <c r="B251" t="s">
        <v>4950</v>
      </c>
    </row>
    <row r="252" spans="1:2">
      <c r="A252" t="s">
        <v>4965</v>
      </c>
      <c r="B252" t="s">
        <v>4950</v>
      </c>
    </row>
    <row r="253" spans="1:2">
      <c r="A253" t="s">
        <v>2823</v>
      </c>
      <c r="B253" t="s">
        <v>4951</v>
      </c>
    </row>
    <row r="254" spans="1:2">
      <c r="A254" t="s">
        <v>2824</v>
      </c>
      <c r="B254" t="s">
        <v>4951</v>
      </c>
    </row>
    <row r="255" spans="1:2">
      <c r="A255" t="s">
        <v>2822</v>
      </c>
      <c r="B255" t="s">
        <v>4951</v>
      </c>
    </row>
    <row r="256" spans="1:2">
      <c r="A256" t="s">
        <v>4963</v>
      </c>
      <c r="B256" t="s">
        <v>4952</v>
      </c>
    </row>
    <row r="257" spans="1:2">
      <c r="A257" t="s">
        <v>4964</v>
      </c>
      <c r="B257" t="s">
        <v>4952</v>
      </c>
    </row>
    <row r="258" spans="1:2">
      <c r="A258" t="s">
        <v>4966</v>
      </c>
      <c r="B258" t="s">
        <v>4953</v>
      </c>
    </row>
    <row r="259" spans="1:2">
      <c r="A259" t="s">
        <v>4967</v>
      </c>
      <c r="B259" t="s">
        <v>4953</v>
      </c>
    </row>
  </sheetData>
  <autoFilter ref="A1:E259" xr:uid="{98F8376C-DCE7-4B19-918E-ED1397E2035E}">
    <filterColumn colId="4">
      <filters blank="1">
        <filter val="DFLTPGCOH_000000"/>
        <filter val="H000000888"/>
      </filters>
    </filterColumn>
    <sortState xmlns:xlrd2="http://schemas.microsoft.com/office/spreadsheetml/2017/richdata2" ref="A2:E259">
      <sortCondition ref="B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DBAE7-7699-4A76-A4C2-7416D63788FE}">
  <dimension ref="A1:B26"/>
  <sheetViews>
    <sheetView workbookViewId="0"/>
  </sheetViews>
  <sheetFormatPr defaultRowHeight="15"/>
  <sheetData>
    <row r="1" spans="1:2">
      <c r="A1" t="s">
        <v>4921</v>
      </c>
      <c r="B1" t="s">
        <v>4970</v>
      </c>
    </row>
    <row r="2" spans="1:2">
      <c r="A2" t="s">
        <v>4926</v>
      </c>
      <c r="B2" t="s">
        <v>4932</v>
      </c>
    </row>
    <row r="3" spans="1:2">
      <c r="A3" t="s">
        <v>4927</v>
      </c>
      <c r="B3" t="s">
        <v>4933</v>
      </c>
    </row>
    <row r="4" spans="1:2">
      <c r="A4" t="s">
        <v>4928</v>
      </c>
      <c r="B4" t="s">
        <v>4934</v>
      </c>
    </row>
    <row r="5" spans="1:2">
      <c r="A5" t="s">
        <v>4929</v>
      </c>
      <c r="B5" t="s">
        <v>4935</v>
      </c>
    </row>
    <row r="6" spans="1:2">
      <c r="A6" t="s">
        <v>4930</v>
      </c>
      <c r="B6" t="s">
        <v>2206</v>
      </c>
    </row>
    <row r="7" spans="1:2">
      <c r="A7" t="s">
        <v>4931</v>
      </c>
      <c r="B7" t="s">
        <v>4936</v>
      </c>
    </row>
    <row r="8" spans="1:2">
      <c r="A8" t="s">
        <v>4937</v>
      </c>
      <c r="B8" t="s">
        <v>2815</v>
      </c>
    </row>
    <row r="9" spans="1:2">
      <c r="A9" t="s">
        <v>4969</v>
      </c>
      <c r="B9" t="s">
        <v>4968</v>
      </c>
    </row>
    <row r="10" spans="1:2">
      <c r="A10" t="s">
        <v>4954</v>
      </c>
      <c r="B10" t="s">
        <v>4971</v>
      </c>
    </row>
    <row r="11" spans="1:2">
      <c r="A11" t="s">
        <v>4955</v>
      </c>
      <c r="B11" t="s">
        <v>4971</v>
      </c>
    </row>
    <row r="12" spans="1:2">
      <c r="A12" t="s">
        <v>4956</v>
      </c>
      <c r="B12" t="s">
        <v>4971</v>
      </c>
    </row>
    <row r="13" spans="1:2">
      <c r="A13" t="s">
        <v>4957</v>
      </c>
      <c r="B13" t="s">
        <v>4971</v>
      </c>
    </row>
    <row r="14" spans="1:2">
      <c r="A14" t="s">
        <v>4958</v>
      </c>
      <c r="B14" t="s">
        <v>4971</v>
      </c>
    </row>
    <row r="15" spans="1:2">
      <c r="A15" t="s">
        <v>4959</v>
      </c>
      <c r="B15" t="s">
        <v>4971</v>
      </c>
    </row>
    <row r="16" spans="1:2">
      <c r="A16" t="s">
        <v>4960</v>
      </c>
      <c r="B16" t="s">
        <v>4971</v>
      </c>
    </row>
    <row r="17" spans="1:2">
      <c r="A17" t="s">
        <v>4961</v>
      </c>
      <c r="B17" t="s">
        <v>4971</v>
      </c>
    </row>
    <row r="18" spans="1:2">
      <c r="A18" t="s">
        <v>4962</v>
      </c>
      <c r="B18" t="s">
        <v>4971</v>
      </c>
    </row>
    <row r="19" spans="1:2">
      <c r="A19" t="s">
        <v>2823</v>
      </c>
      <c r="B19" t="s">
        <v>2826</v>
      </c>
    </row>
    <row r="20" spans="1:2">
      <c r="A20" t="s">
        <v>2824</v>
      </c>
      <c r="B20" t="s">
        <v>2826</v>
      </c>
    </row>
    <row r="21" spans="1:2">
      <c r="A21" t="s">
        <v>2822</v>
      </c>
      <c r="B21" t="s">
        <v>2826</v>
      </c>
    </row>
    <row r="22" spans="1:2">
      <c r="A22" t="s">
        <v>4963</v>
      </c>
      <c r="B22" t="s">
        <v>4972</v>
      </c>
    </row>
    <row r="23" spans="1:2">
      <c r="A23" t="s">
        <v>4964</v>
      </c>
      <c r="B23" t="s">
        <v>4972</v>
      </c>
    </row>
    <row r="24" spans="1:2">
      <c r="A24" t="s">
        <v>4965</v>
      </c>
      <c r="B24" t="s">
        <v>4972</v>
      </c>
    </row>
    <row r="25" spans="1:2">
      <c r="A25" t="s">
        <v>4966</v>
      </c>
      <c r="B25" t="s">
        <v>4973</v>
      </c>
    </row>
    <row r="26" spans="1:2">
      <c r="A26" t="s">
        <v>4967</v>
      </c>
      <c r="B26" t="s">
        <v>4973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2AD7-5D92-4001-9904-BCBC5D639F26}">
  <sheetPr codeName="Sheet11"/>
  <dimension ref="A1:B12"/>
  <sheetViews>
    <sheetView workbookViewId="0">
      <selection activeCell="H21" sqref="H21"/>
    </sheetView>
  </sheetViews>
  <sheetFormatPr defaultRowHeight="15"/>
  <cols>
    <col min="8" max="8" width="21.5703125" bestFit="1" customWidth="1"/>
  </cols>
  <sheetData>
    <row r="1" spans="1:2">
      <c r="A1" t="s">
        <v>2319</v>
      </c>
      <c r="B1" t="e">
        <f ca="1">ELPAR("rc-2025:mCostObject_2025",A1,1)</f>
        <v>#NAME?</v>
      </c>
    </row>
    <row r="2" spans="1:2">
      <c r="A2" t="s">
        <v>4914</v>
      </c>
      <c r="B2" t="s">
        <v>4939</v>
      </c>
    </row>
    <row r="3" spans="1:2">
      <c r="A3" t="s">
        <v>4915</v>
      </c>
      <c r="B3" t="s">
        <v>4940</v>
      </c>
    </row>
    <row r="4" spans="1:2">
      <c r="A4" t="s">
        <v>4916</v>
      </c>
      <c r="B4" t="s">
        <v>4924</v>
      </c>
    </row>
    <row r="5" spans="1:2">
      <c r="A5" t="s">
        <v>4921</v>
      </c>
      <c r="B5" t="s">
        <v>4925</v>
      </c>
    </row>
    <row r="6" spans="1:2">
      <c r="A6" t="s">
        <v>4926</v>
      </c>
      <c r="B6" t="s">
        <v>4941</v>
      </c>
    </row>
    <row r="7" spans="1:2">
      <c r="A7" t="s">
        <v>4927</v>
      </c>
      <c r="B7" t="s">
        <v>4942</v>
      </c>
    </row>
    <row r="8" spans="1:2">
      <c r="A8" t="s">
        <v>4928</v>
      </c>
      <c r="B8" s="124" t="s">
        <v>4943</v>
      </c>
    </row>
    <row r="9" spans="1:2">
      <c r="A9" t="s">
        <v>4929</v>
      </c>
      <c r="B9" s="124" t="s">
        <v>4944</v>
      </c>
    </row>
    <row r="10" spans="1:2">
      <c r="A10" t="s">
        <v>4930</v>
      </c>
      <c r="B10" t="s">
        <v>4945</v>
      </c>
    </row>
    <row r="11" spans="1:2">
      <c r="A11" t="s">
        <v>4931</v>
      </c>
      <c r="B11" t="s">
        <v>4941</v>
      </c>
    </row>
    <row r="12" spans="1:2">
      <c r="A12" t="s">
        <v>4937</v>
      </c>
      <c r="B12" t="s">
        <v>4946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1"/>
  <sheetViews>
    <sheetView topLeftCell="A76" workbookViewId="0">
      <selection activeCell="B89" sqref="B8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4419</v>
      </c>
      <c r="B129" s="103" t="s">
        <v>569</v>
      </c>
    </row>
    <row r="130" spans="1:2">
      <c r="A130" t="s">
        <v>4823</v>
      </c>
      <c r="B130" s="117" t="s">
        <v>568</v>
      </c>
    </row>
    <row r="131" spans="1:2">
      <c r="A131" t="s">
        <v>4822</v>
      </c>
      <c r="B131" s="117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KPI</vt:lpstr>
      <vt:lpstr>Sheet6</vt:lpstr>
      <vt:lpstr>Sheet7</vt:lpstr>
      <vt:lpstr>Report</vt:lpstr>
      <vt:lpstr>OK</vt:lpstr>
      <vt:lpstr>PROC</vt:lpstr>
      <vt:lpstr>Sheet5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2025-08-06T12:38:03Z</dcterms:modified>
  <cp:category/>
  <cp:contentStatus/>
</cp:coreProperties>
</file>