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D2F9DD28-B79B-4DE3-A0FA-D8B7D389E2E4}" xr6:coauthVersionLast="47" xr6:coauthVersionMax="47" xr10:uidLastSave="{00000000-0000-0000-0000-000000000000}"/>
  <bookViews>
    <workbookView xWindow="18120" yWindow="2145" windowWidth="19215" windowHeight="1317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662" i="1" l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2" i="1"/>
  <c r="P3692" i="1" s="1"/>
  <c r="Q3693" i="1"/>
  <c r="P3693" i="1" s="1"/>
  <c r="Q3694" i="1"/>
  <c r="P3694" i="1" s="1"/>
  <c r="Q3695" i="1"/>
  <c r="P3695" i="1" s="1"/>
  <c r="B3661" i="1"/>
  <c r="H3661" i="1"/>
  <c r="J3661" i="1"/>
  <c r="K3661" i="1"/>
  <c r="Q3661" i="1"/>
  <c r="P3661" i="1" s="1"/>
  <c r="B3650" i="1"/>
  <c r="B3651" i="1"/>
  <c r="B3652" i="1"/>
  <c r="B3653" i="1"/>
  <c r="B3654" i="1"/>
  <c r="B3655" i="1"/>
  <c r="B3656" i="1"/>
  <c r="B3657" i="1"/>
  <c r="B3658" i="1"/>
  <c r="B3659" i="1"/>
  <c r="B3660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K3650" i="1"/>
  <c r="K3651" i="1"/>
  <c r="K3652" i="1"/>
  <c r="K3653" i="1"/>
  <c r="K3654" i="1"/>
  <c r="K3655" i="1"/>
  <c r="K3656" i="1"/>
  <c r="K3657" i="1"/>
  <c r="K3658" i="1"/>
  <c r="K3659" i="1"/>
  <c r="K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B3632" i="1"/>
  <c r="H3632" i="1"/>
  <c r="J3632" i="1"/>
  <c r="K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B3631" i="1"/>
  <c r="H3631" i="1"/>
  <c r="J3631" i="1"/>
  <c r="K3631" i="1"/>
  <c r="Q3631" i="1"/>
  <c r="P3631" i="1" s="1"/>
  <c r="J3620" i="1"/>
  <c r="J3615" i="1"/>
  <c r="J3603" i="1"/>
  <c r="J3602" i="1"/>
  <c r="J3538" i="1"/>
  <c r="J3537" i="1"/>
  <c r="J3536" i="1"/>
  <c r="B3630" i="1"/>
  <c r="H3630" i="1"/>
  <c r="J3630" i="1"/>
  <c r="K3630" i="1"/>
  <c r="Q3630" i="1"/>
  <c r="P3630" i="1" s="1"/>
  <c r="B3629" i="1"/>
  <c r="H3629" i="1"/>
  <c r="J3629" i="1"/>
  <c r="K3629" i="1"/>
  <c r="Q3629" i="1"/>
  <c r="P3629" i="1" s="1"/>
  <c r="B3628" i="1"/>
  <c r="H3628" i="1"/>
  <c r="J3628" i="1"/>
  <c r="K3628" i="1"/>
  <c r="Q3628" i="1"/>
  <c r="P3628" i="1" s="1"/>
  <c r="B3622" i="1"/>
  <c r="B3623" i="1"/>
  <c r="B3624" i="1"/>
  <c r="B3625" i="1"/>
  <c r="B3626" i="1"/>
  <c r="B3627" i="1"/>
  <c r="H3622" i="1"/>
  <c r="H3623" i="1"/>
  <c r="H3624" i="1"/>
  <c r="H3625" i="1"/>
  <c r="H3626" i="1"/>
  <c r="H3627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B3621" i="1"/>
  <c r="H3621" i="1"/>
  <c r="K3621" i="1"/>
  <c r="Q3621" i="1"/>
  <c r="P3621" i="1" s="1"/>
  <c r="B3620" i="1"/>
  <c r="H3620" i="1"/>
  <c r="K3620" i="1"/>
  <c r="Q3620" i="1"/>
  <c r="P3620" i="1" s="1"/>
  <c r="B3609" i="1"/>
  <c r="B3610" i="1"/>
  <c r="B3611" i="1"/>
  <c r="B3612" i="1"/>
  <c r="B3613" i="1"/>
  <c r="B3614" i="1"/>
  <c r="B3615" i="1"/>
  <c r="B3616" i="1"/>
  <c r="B3617" i="1"/>
  <c r="B3618" i="1"/>
  <c r="B3619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B3608" i="1"/>
  <c r="H3608" i="1"/>
  <c r="K3608" i="1"/>
  <c r="Q3608" i="1"/>
  <c r="P3608" i="1" s="1"/>
  <c r="B3607" i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B3603" i="1"/>
  <c r="B3604" i="1"/>
  <c r="B3605" i="1"/>
  <c r="B3606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B3602" i="1"/>
  <c r="H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B3601" i="1"/>
  <c r="H3601" i="1"/>
  <c r="K3601" i="1"/>
  <c r="Q3601" i="1"/>
  <c r="P3601" i="1" s="1"/>
  <c r="B3590" i="1"/>
  <c r="B3591" i="1"/>
  <c r="B3592" i="1"/>
  <c r="B3593" i="1"/>
  <c r="B3594" i="1"/>
  <c r="B3595" i="1"/>
  <c r="B3596" i="1"/>
  <c r="B3597" i="1"/>
  <c r="B3598" i="1"/>
  <c r="B3599" i="1"/>
  <c r="B3600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B3589" i="1"/>
  <c r="H3589" i="1"/>
  <c r="K3589" i="1"/>
  <c r="Q3589" i="1"/>
  <c r="P3589" i="1" s="1"/>
  <c r="B3584" i="1"/>
  <c r="B3585" i="1"/>
  <c r="B3586" i="1"/>
  <c r="B3587" i="1"/>
  <c r="B3588" i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B3583" i="1"/>
  <c r="H3583" i="1"/>
  <c r="J3583" i="1"/>
  <c r="K3583" i="1"/>
  <c r="Q3583" i="1"/>
  <c r="P3583" i="1" s="1"/>
  <c r="J3488" i="1"/>
  <c r="J3486" i="1"/>
  <c r="B3582" i="1"/>
  <c r="H3582" i="1"/>
  <c r="J3582" i="1"/>
  <c r="K3582" i="1"/>
  <c r="Q3582" i="1"/>
  <c r="P3582" i="1" s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B3487" i="1"/>
  <c r="B3488" i="1"/>
  <c r="H3487" i="1"/>
  <c r="H3488" i="1"/>
  <c r="K3487" i="1"/>
  <c r="K3488" i="1"/>
  <c r="Q3487" i="1"/>
  <c r="P3487" i="1" s="1"/>
  <c r="Q3488" i="1"/>
  <c r="P3488" i="1" s="1"/>
  <c r="B3486" i="1"/>
  <c r="H3486" i="1"/>
  <c r="K3486" i="1"/>
  <c r="Q3486" i="1"/>
  <c r="P3486" i="1" s="1"/>
  <c r="J3485" i="1"/>
  <c r="J3484" i="1"/>
  <c r="J3483" i="1"/>
  <c r="J3482" i="1"/>
  <c r="J3478" i="1"/>
  <c r="B3480" i="1"/>
  <c r="B3481" i="1"/>
  <c r="B3482" i="1"/>
  <c r="B3483" i="1"/>
  <c r="B3484" i="1"/>
  <c r="B3485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B3479" i="1"/>
  <c r="H3479" i="1"/>
  <c r="K3479" i="1"/>
  <c r="Q3479" i="1"/>
  <c r="P3479" i="1" s="1"/>
  <c r="B3478" i="1"/>
  <c r="H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<sst xmlns="http://schemas.openxmlformats.org/spreadsheetml/2006/main" count="33244" uniqueCount="5821">
  <si>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</si>
  <si>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</si>
  <si>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</si>
  <si>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</si>
  <si>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</si>
  <si>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</si>
  <si>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</si>
  <si>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</si>
  <si>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</si>
  <si>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</si>
  <si>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</si>
  <si>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</si>
  <si>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</si>
  <si>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</si>
  <si>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</si>
  <si>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</si>
  <si>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</si>
  <si>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</si>
  <si>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</si>
  <si>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</si>
  <si>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</si>
  <si>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</si>
  <si>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</si>
  <si>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</si>
  <si>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</si>
  <si>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</si>
  <si>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</si>
  <si>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</si>
  <si>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</si>
  <si>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</si>
  <si>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</si>
  <si>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</si>
  <si>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</si>
  <si>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</si>
  <si>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</si>
  <si>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</si>
  <si>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</si>
  <si>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</si>
  <si>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</si>
  <si>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</si>
  <si>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</si>
  <si>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</si>
  <si>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</si>
  <si>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</si>
  <si>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</si>
  <si>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</si>
  <si>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</si>
  <si>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</si>
  <si>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</si>
  <si>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</si>
  <si>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</si>
  <si>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</si>
  <si>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</si>
  <si>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</si>
  <si>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</si>
  <si>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</si>
  <si>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</si>
  <si>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</si>
  <si>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</si>
  <si>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</si>
  <si>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</si>
  <si>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</si>
  <si>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</si>
  <si>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</si>
  <si>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</si>
  <si>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</si>
  <si>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</si>
  <si>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</si>
  <si>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</si>
  <si>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</si>
  <si>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</si>
  <si>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</si>
  <si>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</si>
  <si>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</si>
  <si>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</si>
  <si>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</si>
  <si>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</si>
  <si>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</si>
  <si>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</si>
  <si>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</si>
  <si>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</si>
  <si>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</si>
  <si>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</si>
  <si>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</si>
  <si>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</si>
  <si>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</si>
  <si>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</si>
  <si>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</si>
  <si>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</si>
  <si>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</si>
  <si>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</si>
  <si>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</si>
  <si>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</si>
  <si>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</si>
  <si>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</si>
  <si>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</si>
  <si>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</si>
  <si>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</si>
  <si>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</si>
  <si>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</si>
  <si>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</si>
  <si>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</si>
  <si>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</si>
  <si>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</si>
  <si>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</si>
  <si>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</si>
  <si>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</si>
  <si>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</si>
  <si>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</si>
  <si>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</si>
  <si>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</si>
  <si>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</si>
  <si>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</si>
  <si>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</si>
  <si>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</si>
  <si>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</si>
  <si>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</si>
  <si>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</si>
  <si>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</si>
  <si>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</si>
  <si>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</si>
  <si>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</si>
  <si>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</si>
  <si>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</si>
  <si>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</si>
  <si>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</si>
  <si>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</si>
  <si>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</si>
  <si>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</si>
  <si>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</si>
  <si>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</si>
  <si>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</si>
  <si>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</si>
  <si>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</si>
  <si>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</si>
  <si>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</si>
  <si>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</si>
  <si>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</si>
  <si>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</si>
  <si>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</si>
  <si>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</si>
  <si>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</si>
  <si>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</si>
  <si>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</si>
  <si>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</si>
  <si>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</si>
  <si>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</si>
  <si>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</si>
  <si>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</si>
  <si>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</si>
  <si>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</si>
  <si>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</si>
  <si>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</si>
  <si>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</si>
  <si>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</si>
  <si>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</si>
  <si>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</si>
  <si>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</si>
  <si>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</si>
  <si>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</si>
  <si>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</si>
  <si>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</si>
  <si>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</si>
  <si>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</si>
  <si>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</si>
  <si>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</si>
  <si>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</si>
  <si>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</si>
  <si>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</si>
  <si>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</si>
  <si>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</si>
  <si>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</si>
  <si>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</si>
  <si>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</si>
  <si>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</si>
  <si>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</si>
  <si>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</si>
  <si>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</si>
  <si>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</si>
  <si>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</si>
  <si>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</si>
  <si>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</si>
  <si>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</si>
  <si>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</si>
  <si>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</si>
  <si>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</si>
  <si>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</si>
  <si>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</si>
  <si>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</si>
  <si>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</si>
  <si>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</si>
  <si>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</si>
  <si>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</si>
  <si>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</si>
  <si>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</si>
  <si>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</si>
  <si>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</si>
  <si>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</si>
  <si>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</si>
  <si>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</si>
  <si>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</si>
  <si>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</si>
  <si>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</si>
  <si>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</si>
  <si>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</si>
  <si>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</si>
  <si>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</si>
  <si>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</si>
  <si>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</si>
  <si>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</si>
  <si>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</si>
  <si>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</si>
  <si>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</si>
  <si>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</si>
  <si>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</si>
  <si>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</si>
  <si>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</si>
  <si>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</si>
  <si>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</si>
  <si>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</si>
  <si>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</si>
  <si>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</si>
  <si>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</si>
  <si>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</si>
  <si>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</si>
  <si>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</si>
  <si>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</si>
  <si>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</si>
  <si>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</si>
  <si>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</si>
  <si>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</si>
  <si>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</si>
  <si>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</si>
  <si>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</si>
  <si>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</si>
  <si>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</si>
  <si>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</si>
  <si>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</si>
  <si>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</si>
  <si>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</si>
  <si>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</si>
  <si>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</si>
  <si>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</si>
  <si>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</si>
  <si>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</si>
  <si>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</si>
  <si>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</si>
  <si>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</si>
  <si>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</si>
  <si>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</si>
  <si>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</si>
  <si>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</si>
  <si>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</si>
  <si>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</si>
  <si>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</si>
  <si>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</si>
  <si>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</si>
  <si>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</si>
  <si>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</si>
  <si>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</si>
  <si>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</si>
  <si>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</si>
  <si>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</si>
  <si>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</si>
  <si>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</si>
  <si>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</si>
  <si>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</si>
  <si>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</si>
  <si>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</si>
  <si>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</si>
  <si>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</si>
  <si>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</si>
  <si>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</si>
  <si>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</si>
  <si>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</si>
  <si>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</si>
  <si>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</si>
  <si>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</si>
  <si>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</si>
  <si>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</si>
  <si>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</si>
  <si>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</si>
  <si>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</si>
  <si>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</si>
  <si>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</si>
  <si>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</si>
  <si>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</si>
  <si>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</si>
  <si>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</si>
  <si>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</si>
  <si>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</si>
  <si>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</si>
  <si>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</si>
  <si>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</si>
  <si>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</si>
  <si>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</si>
  <si>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</si>
  <si>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</si>
  <si>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</si>
  <si>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</si>
  <si>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</si>
  <si>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</si>
  <si>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</si>
  <si>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</si>
  <si>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</si>
  <si>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</si>
  <si>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</si>
  <si>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</si>
  <si>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</si>
  <si>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</si>
  <si>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</si>
  <si>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</si>
  <si>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</si>
  <si>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</si>
  <si>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</si>
  <si>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</si>
  <si>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</si>
  <si>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</si>
  <si>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</si>
  <si>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</si>
  <si>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</si>
  <si>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</si>
  <si>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</si>
  <si>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</si>
  <si>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</si>
  <si>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</si>
  <si>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</si>
  <si>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</si>
  <si>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</si>
  <si>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</si>
  <si>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</si>
  <si>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</si>
  <si>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</si>
  <si>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</si>
  <si>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</si>
  <si>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</si>
  <si>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</si>
  <si>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</si>
  <si>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</si>
  <si>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</si>
  <si>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</si>
  <si>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</si>
  <si>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</si>
  <si>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</si>
  <si>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</si>
  <si>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</si>
  <si>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</si>
  <si>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</si>
  <si>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</si>
  <si>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</si>
  <si>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</si>
  <si>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</si>
  <si>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</si>
  <si>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</si>
  <si>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</si>
  <si>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</si>
  <si>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</si>
  <si>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</si>
  <si>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</si>
  <si>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</si>
  <si>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</si>
  <si>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</si>
  <si>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</si>
  <si>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</si>
  <si>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</si>
  <si>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</si>
  <si>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</si>
  <si>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</si>
  <si>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</si>
  <si>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</si>
  <si>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</si>
  <si>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</si>
  <si>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</si>
  <si>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</si>
  <si>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</si>
  <si>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</si>
  <si>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</si>
  <si>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</si>
  <si>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</si>
  <si>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</si>
  <si>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</si>
  <si>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</si>
  <si>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</si>
  <si>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</si>
  <si>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</si>
  <si>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</si>
  <si>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</si>
  <si>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</si>
  <si>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</si>
  <si>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</si>
  <si>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</si>
  <si>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</si>
  <si>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</si>
  <si>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</si>
  <si>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</si>
  <si>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</si>
  <si>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</si>
  <si>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</si>
  <si>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</si>
  <si>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</si>
  <si>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</si>
  <si>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</si>
  <si>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</si>
  <si>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</si>
  <si>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</si>
  <si>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</si>
  <si>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</si>
  <si>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</si>
  <si>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</si>
  <si>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</si>
  <si>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</si>
  <si>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</si>
  <si>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</si>
  <si>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</si>
  <si>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</si>
  <si>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</si>
  <si>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</si>
  <si>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</si>
  <si>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</si>
  <si>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</si>
  <si>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</si>
  <si>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</si>
  <si>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</si>
  <si>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</si>
  <si>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</si>
  <si>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</si>
  <si>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</si>
  <si>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</si>
  <si>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</si>
  <si>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</si>
  <si>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</si>
  <si>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</si>
  <si>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</si>
  <si>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</si>
  <si>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</si>
  <si>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</si>
  <si>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</si>
  <si>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</si>
  <si>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</si>
  <si>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</si>
  <si>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</si>
  <si>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</si>
  <si>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</si>
  <si>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</si>
  <si>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</si>
  <si>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</si>
  <si>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</si>
  <si>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</si>
  <si>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</si>
  <si>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</si>
  <si>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</si>
  <si>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</si>
  <si>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</si>
  <si>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</si>
  <si>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</si>
  <si>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</si>
  <si>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</si>
  <si>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</si>
  <si>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</si>
  <si>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</si>
  <si>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</si>
  <si>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</si>
  <si>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</si>
  <si>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</si>
  <si>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</si>
  <si>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</si>
  <si>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</si>
  <si>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</si>
  <si>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</si>
  <si>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</si>
  <si>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</si>
  <si>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</si>
  <si>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</si>
  <si>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</si>
  <si>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</si>
  <si>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</si>
  <si>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</si>
  <si>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</si>
  <si>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</si>
  <si>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</si>
  <si>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</si>
  <si>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</si>
  <si>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</si>
  <si>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</si>
  <si>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</si>
  <si>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</si>
  <si>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</si>
  <si>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</si>
  <si>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</si>
  <si>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</si>
  <si>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</si>
  <si>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</si>
  <si>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</si>
  <si>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</si>
  <si>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</si>
  <si>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</si>
  <si>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</si>
  <si>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</si>
  <si>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</si>
  <si>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</si>
  <si>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</si>
  <si>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</si>
  <si>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</si>
  <si>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</si>
  <si>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</si>
  <si>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</si>
  <si>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</si>
  <si>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</si>
  <si>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</si>
  <si>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</si>
  <si>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</si>
  <si>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</si>
  <si>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</si>
  <si>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</si>
  <si>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</si>
  <si>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</si>
  <si>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</si>
  <si>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</si>
  <si>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</si>
  <si>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</si>
  <si>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</si>
  <si>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</si>
  <si>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</si>
  <si>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</si>
  <si>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</si>
  <si>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</si>
  <si>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</si>
  <si>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</si>
  <si>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</si>
  <si>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</si>
  <si>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</si>
  <si>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</si>
  <si>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</si>
  <si>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</si>
  <si>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</si>
  <si>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</si>
  <si>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</si>
  <si>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</si>
  <si>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</si>
  <si>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</si>
  <si>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</si>
  <si>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</si>
  <si>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</si>
  <si>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</si>
  <si>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</si>
  <si>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</si>
  <si>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</si>
  <si>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</si>
  <si>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</si>
  <si>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</si>
  <si>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</si>
  <si>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</si>
  <si>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</si>
  <si>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</si>
  <si>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</si>
  <si>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</si>
  <si>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</si>
  <si>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</si>
  <si>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</si>
  <si>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</si>
  <si>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</si>
  <si>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</si>
  <si>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</si>
  <si>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</si>
  <si>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</si>
  <si>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</si>
  <si>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</si>
  <si>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</si>
  <si>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</si>
  <si>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</si>
  <si>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</si>
  <si>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</si>
  <si>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</si>
  <si>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</si>
  <si>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</si>
  <si>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</si>
  <si>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</si>
  <si>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</si>
  <si>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</si>
  <si>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</si>
  <si>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</si>
  <si>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</si>
  <si>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</si>
  <si>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</si>
  <si>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</si>
  <si>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</si>
  <si>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</si>
  <si>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</si>
  <si>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</si>
  <si>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</si>
  <si>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</si>
  <si>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</si>
  <si>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</si>
  <si>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</si>
  <si>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</si>
  <si>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</si>
  <si>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</si>
  <si>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</si>
  <si>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</si>
  <si>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</si>
  <si>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</si>
  <si>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</si>
  <si>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</si>
  <si>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</si>
  <si>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</si>
  <si>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</si>
  <si>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</si>
  <si>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</si>
  <si>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</si>
  <si>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</si>
  <si>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</si>
  <si>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</si>
  <si>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</si>
  <si>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</si>
  <si>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</si>
  <si>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</si>
  <si>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</si>
  <si>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</si>
  <si>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</si>
  <si>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</si>
  <si>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</si>
  <si>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</si>
  <si>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</si>
  <si>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</si>
  <si>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</si>
  <si>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</si>
  <si>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</si>
  <si>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</si>
  <si>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</si>
  <si>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</si>
  <si>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</si>
  <si>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</si>
  <si>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</si>
  <si>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</si>
  <si>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</si>
  <si>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</si>
  <si>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</si>
  <si>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</si>
  <si>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</si>
  <si>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</si>
  <si>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</si>
  <si>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</si>
  <si>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</si>
  <si>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</si>
  <si>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</si>
  <si>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</si>
  <si>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</si>
  <si>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</si>
  <si>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</si>
  <si>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</si>
  <si>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</si>
  <si>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</si>
  <si>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</si>
  <si>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</si>
  <si>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</si>
  <si>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</si>
  <si>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</si>
  <si>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</si>
  <si>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</si>
  <si>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</si>
  <si>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</si>
  <si>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</si>
  <si>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</si>
  <si>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</si>
  <si>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</si>
  <si>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</si>
  <si>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</si>
  <si>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</si>
  <si>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</si>
  <si>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</si>
  <si>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</si>
  <si>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</si>
  <si>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</si>
  <si>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</si>
  <si>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</si>
  <si>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</si>
  <si>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</si>
  <si>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</si>
  <si>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</si>
  <si>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</si>
  <si>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</si>
  <si>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</si>
  <si>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</si>
  <si>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</si>
  <si>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</si>
  <si>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</si>
  <si>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</si>
  <si>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</si>
  <si>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</si>
  <si>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</si>
  <si>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</si>
  <si>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</si>
  <si>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</si>
  <si>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</si>
  <si>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</si>
  <si>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</si>
  <si>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</si>
  <si>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</si>
  <si>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</si>
  <si>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</si>
  <si>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</si>
  <si>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</si>
  <si>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</si>
  <si>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</si>
  <si>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</si>
  <si>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</si>
  <si>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</si>
  <si>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</si>
  <si>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</si>
  <si>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</si>
  <si>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</si>
  <si>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</si>
  <si>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</si>
  <si>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</si>
  <si>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</si>
  <si>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</si>
  <si>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</si>
  <si>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</si>
  <si>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</si>
  <si>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</si>
  <si>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</si>
  <si>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</si>
  <si>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</si>
  <si>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</si>
  <si>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</si>
  <si>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</si>
  <si>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</si>
  <si>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</si>
  <si>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</si>
  <si>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</si>
  <si>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</si>
  <si>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</si>
  <si>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</si>
  <si>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</si>
  <si>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</si>
  <si>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</si>
  <si>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</si>
  <si>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</si>
  <si>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</si>
  <si>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</si>
  <si>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</si>
  <si>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</si>
  <si>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</si>
  <si>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</si>
  <si>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</si>
  <si>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</si>
  <si>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</si>
  <si>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</si>
  <si>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</si>
  <si>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</si>
  <si>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</si>
  <si>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</si>
  <si>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</si>
  <si>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</si>
  <si>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</si>
  <si>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</si>
  <si>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</si>
  <si>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</si>
  <si>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</si>
  <si>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</si>
  <si>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</si>
  <si>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</si>
  <si>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</si>
  <si>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</si>
  <si>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</si>
  <si>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</si>
  <si>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</si>
  <si>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</si>
  <si>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</si>
  <si>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</si>
  <si>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</si>
  <si>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</si>
  <si>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</si>
  <si>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</si>
  <si>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</si>
  <si>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</si>
  <si>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</si>
  <si>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</si>
  <si>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</si>
  <si>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</si>
  <si>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</si>
  <si>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</si>
  <si>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</si>
  <si>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</si>
  <si>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</si>
  <si>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</si>
  <si>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</si>
  <si>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</si>
  <si>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</si>
  <si>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</si>
  <si>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</si>
  <si>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</si>
  <si>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</si>
  <si>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</si>
  <si>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</si>
  <si>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</si>
  <si>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</si>
  <si>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</si>
  <si>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</si>
  <si>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</si>
  <si>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</si>
  <si>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</si>
  <si>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</si>
  <si>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</si>
  <si>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</si>
  <si>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</si>
  <si>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</si>
  <si>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</si>
  <si>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</si>
  <si>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</si>
  <si>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</si>
  <si>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</si>
  <si>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</si>
  <si>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</si>
  <si>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</si>
  <si>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</si>
  <si>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</si>
  <si>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</si>
  <si>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</si>
  <si>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</si>
  <si>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</si>
  <si>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</si>
  <si>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</si>
  <si>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</si>
  <si>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</si>
  <si>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</si>
  <si>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</si>
  <si>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</si>
  <si>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</si>
  <si>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</si>
  <si>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</si>
  <si>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</si>
  <si>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</si>
  <si>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</si>
  <si>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</si>
  <si>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</si>
  <si>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</si>
  <si>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</si>
  <si>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</si>
  <si>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</si>
  <si>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</si>
  <si>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</si>
  <si>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</si>
  <si>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</si>
  <si>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</si>
  <si>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</si>
  <si>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</si>
  <si>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</si>
  <si>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</si>
  <si>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</si>
  <si>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</si>
  <si>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</si>
  <si>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</si>
  <si>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</si>
  <si>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</si>
  <si>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</si>
  <si>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</si>
  <si>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</si>
  <si>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</si>
  <si>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</si>
  <si>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</si>
  <si>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</si>
  <si>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</si>
  <si>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</si>
  <si>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</si>
  <si>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</si>
  <si>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</si>
  <si>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</si>
  <si>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</si>
  <si>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</si>
  <si>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</si>
  <si>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</si>
  <si>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</si>
  <si>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</si>
  <si>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</si>
  <si>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</si>
  <si>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</si>
  <si>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</si>
  <si>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</si>
  <si>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</si>
  <si>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</si>
  <si>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</si>
  <si>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</si>
  <si>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</si>
  <si>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</si>
  <si>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</si>
  <si>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</si>
  <si>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</si>
  <si>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</si>
  <si>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</si>
  <si>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</si>
  <si>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</si>
  <si>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</si>
  <si>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</si>
  <si>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</si>
  <si>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</si>
  <si>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</si>
  <si>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</si>
  <si>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</si>
  <si>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</si>
  <si>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</si>
  <si>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</si>
  <si>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</si>
  <si>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</si>
  <si>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</si>
  <si>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</si>
  <si>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</si>
  <si>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</si>
  <si>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</si>
  <si>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</si>
  <si>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</si>
  <si>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</si>
  <si>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</si>
  <si>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</si>
  <si>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</si>
  <si>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</si>
  <si>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</si>
  <si>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</si>
  <si>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</si>
  <si>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</si>
  <si>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</si>
  <si>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</si>
  <si>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</si>
  <si>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</si>
  <si>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</si>
  <si>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</si>
  <si>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</si>
  <si>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</si>
  <si>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</si>
  <si>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</si>
  <si>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</si>
  <si>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</si>
  <si>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</si>
  <si>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</si>
  <si>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</si>
  <si>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</si>
  <si>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</si>
  <si>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</si>
  <si>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</si>
  <si>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</si>
  <si>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</si>
  <si>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</si>
  <si>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</si>
  <si>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</si>
  <si>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</si>
  <si>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</si>
  <si>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</si>
  <si>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</si>
  <si>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</si>
  <si>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</si>
  <si>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</si>
  <si>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</si>
  <si>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</si>
  <si>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</si>
  <si>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</si>
  <si>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</si>
  <si>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</si>
  <si>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</si>
  <si>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</si>
  <si>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</si>
  <si>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</si>
  <si>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</si>
  <si>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</si>
  <si>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</si>
  <si>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</si>
  <si>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</si>
  <si>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</si>
  <si>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</si>
  <si>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</si>
  <si>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</si>
  <si>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</si>
  <si>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</si>
  <si>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</si>
  <si>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</si>
  <si>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</si>
  <si>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</si>
  <si>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</si>
  <si>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</si>
  <si>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</si>
  <si>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</si>
  <si>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</si>
  <si>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</si>
  <si>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</si>
  <si>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</si>
  <si>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</si>
  <si>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</si>
  <si>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</si>
  <si>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</si>
  <si>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</si>
  <si>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</si>
  <si>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</si>
  <si>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</si>
  <si>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</si>
  <si>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</si>
  <si>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</si>
  <si>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</si>
  <si>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</si>
  <si>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</si>
  <si>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</si>
  <si>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</si>
  <si>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</si>
  <si>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</si>
  <si>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</si>
  <si>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</si>
  <si>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</si>
  <si>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</si>
  <si>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</si>
  <si>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</si>
  <si>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</si>
  <si>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</si>
  <si>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</si>
  <si>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</si>
  <si>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</si>
  <si>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</si>
  <si>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</si>
  <si>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</si>
  <si>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</si>
  <si>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</si>
  <si>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</si>
  <si>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</si>
  <si>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</si>
  <si>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</si>
  <si>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</si>
  <si>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</si>
  <si>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</si>
  <si>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</si>
  <si>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</si>
  <si>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</si>
  <si>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</si>
  <si>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</si>
  <si>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</si>
  <si>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</si>
  <si>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</si>
  <si>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</si>
  <si>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</si>
  <si>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</si>
  <si>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</si>
  <si>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</si>
  <si>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</si>
  <si>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</si>
  <si>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</si>
  <si>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</si>
  <si>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</si>
  <si>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</si>
  <si>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</si>
  <si>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</si>
  <si>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</si>
  <si>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</si>
  <si>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</si>
  <si>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</si>
  <si>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</si>
  <si>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</si>
  <si>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</si>
  <si>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</si>
  <si>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</si>
  <si>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</si>
  <si>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</si>
  <si>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</si>
  <si>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</si>
  <si>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</si>
  <si>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</si>
  <si>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</si>
  <si>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</si>
  <si>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</si>
  <si>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</si>
  <si>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</si>
  <si>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</si>
  <si>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</si>
  <si>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</si>
  <si>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</si>
  <si>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</si>
  <si>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</si>
  <si>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</si>
  <si>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</si>
  <si>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</si>
  <si>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</si>
  <si>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</si>
  <si>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</si>
  <si>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</si>
  <si>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</si>
  <si>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</si>
  <si>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</si>
  <si>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</si>
  <si>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</si>
  <si>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</si>
  <si>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</si>
  <si>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</si>
  <si>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</si>
  <si>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</si>
  <si>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</si>
  <si>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</si>
  <si>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</si>
  <si>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</si>
  <si>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</si>
  <si>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</si>
  <si>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</si>
  <si>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</si>
  <si>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</si>
  <si>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</si>
  <si>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</si>
  <si>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</si>
  <si>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</si>
  <si>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</si>
  <si>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</si>
  <si>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</si>
  <si>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</si>
  <si>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</si>
  <si>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</si>
  <si>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</si>
  <si>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</si>
  <si>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</si>
  <si>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</si>
  <si>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</si>
  <si>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</si>
  <si>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</si>
  <si>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</si>
  <si>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</si>
  <si>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</si>
  <si>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</si>
  <si>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</si>
  <si>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</si>
  <si>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</si>
  <si>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</si>
  <si>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</si>
  <si>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</si>
  <si>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</si>
  <si>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</si>
  <si>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</si>
  <si>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</si>
  <si>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</si>
  <si>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</si>
  <si>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</si>
  <si>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</si>
  <si>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</si>
  <si>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</si>
  <si>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</si>
  <si>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</si>
  <si>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</si>
  <si>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</si>
  <si>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</si>
  <si>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</si>
  <si>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</si>
  <si>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</si>
  <si>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</si>
  <si>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</si>
  <si>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</si>
  <si>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</si>
  <si>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</si>
  <si>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</si>
  <si>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</si>
  <si>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</si>
  <si>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</si>
  <si>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</si>
  <si>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</si>
  <si>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</si>
  <si>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</si>
  <si>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</si>
  <si>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</si>
  <si>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</si>
  <si>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</si>
  <si>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</si>
  <si>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</si>
  <si>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</si>
  <si>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</si>
  <si>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</si>
  <si>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</si>
  <si>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</si>
  <si>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</si>
  <si>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</si>
  <si>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</si>
  <si>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</si>
  <si>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</si>
  <si>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</si>
  <si>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</si>
  <si>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</si>
  <si>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</si>
  <si>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</si>
  <si>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</si>
  <si>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</si>
  <si>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</si>
  <si>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</si>
  <si>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</si>
  <si>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</si>
  <si>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</si>
  <si>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</si>
  <si>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</si>
  <si>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</si>
  <si>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</si>
  <si>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</si>
  <si>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</si>
  <si>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</si>
  <si>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</si>
  <si>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</si>
  <si>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</si>
  <si>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</si>
  <si>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</si>
  <si>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</si>
  <si>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</si>
  <si>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</si>
  <si>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</si>
  <si>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</si>
  <si>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</si>
  <si>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</si>
  <si>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</si>
  <si>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</si>
  <si>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</si>
  <si>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</si>
  <si>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</si>
  <si>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</si>
  <si>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</si>
  <si>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</si>
  <si>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</si>
  <si>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</si>
  <si>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</si>
  <si>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</si>
  <si>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</si>
  <si>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</si>
  <si>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</si>
  <si>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</si>
  <si>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</si>
  <si>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</si>
  <si>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</si>
  <si>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</si>
  <si>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</si>
  <si>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</si>
  <si>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</si>
  <si>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</si>
  <si>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</si>
  <si>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</si>
  <si>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</si>
  <si>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</si>
  <si>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</si>
  <si>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</si>
  <si>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</si>
  <si>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</si>
  <si>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</si>
  <si>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</si>
  <si>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</si>
  <si>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</si>
  <si>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</si>
  <si>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</si>
  <si>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</si>
  <si>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</si>
  <si>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</si>
  <si>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</si>
  <si>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</si>
  <si>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</si>
  <si>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</si>
  <si>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</si>
  <si>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</si>
  <si>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</si>
  <si>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</si>
  <si>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</si>
  <si>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</si>
  <si>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</si>
  <si>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</si>
  <si>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</si>
  <si>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</si>
  <si>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</si>
  <si>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</si>
  <si>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</si>
  <si>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</si>
  <si>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</si>
  <si>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</si>
  <si>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</si>
  <si>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</si>
  <si>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</si>
  <si>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</si>
  <si>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</si>
  <si>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</si>
  <si>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</si>
  <si>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</si>
  <si>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</si>
  <si>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</si>
  <si>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</si>
  <si>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</si>
  <si>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</si>
  <si>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</si>
  <si>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</si>
  <si>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</si>
  <si>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</si>
  <si>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</si>
  <si>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</si>
  <si>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</si>
  <si>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</si>
  <si>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</si>
  <si>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</si>
  <si>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</si>
  <si>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</si>
  <si>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</si>
  <si>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</si>
  <si>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</si>
  <si>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</si>
  <si>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</si>
  <si>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</si>
  <si>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</si>
  <si>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</si>
  <si>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</si>
  <si>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</si>
  <si>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</si>
  <si>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</si>
  <si>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</si>
  <si>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</si>
  <si>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</si>
  <si>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</si>
  <si>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</si>
  <si>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</si>
  <si>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</si>
  <si>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</si>
  <si>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</si>
  <si>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</si>
  <si>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</si>
  <si>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</si>
  <si>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</si>
  <si>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</si>
  <si>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</si>
  <si>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</si>
  <si>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</si>
  <si>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</si>
  <si>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</si>
  <si>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</si>
  <si>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</si>
  <si>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</si>
  <si>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</si>
  <si>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</si>
  <si>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</si>
  <si>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</si>
  <si>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</si>
  <si>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</si>
  <si>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</si>
  <si>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</si>
  <si>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</si>
  <si>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</si>
  <si>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</si>
  <si>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</si>
  <si>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</si>
  <si>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</si>
  <si>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</si>
  <si>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</si>
  <si>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</si>
  <si>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</si>
  <si>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</si>
  <si>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</si>
  <si>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</si>
  <si>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</si>
  <si>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</si>
  <si>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</si>
  <si>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</si>
  <si>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</si>
  <si>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</si>
  <si>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</si>
  <si>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</si>
  <si>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</si>
  <si>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</si>
  <si>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</si>
  <si>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</si>
  <si>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</si>
  <si>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</si>
  <si>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</si>
  <si>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</si>
  <si>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</si>
  <si>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</si>
  <si>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</si>
  <si>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</si>
  <si>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</si>
  <si>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</si>
  <si>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</si>
  <si>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</si>
  <si>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</si>
  <si>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</si>
  <si>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</si>
  <si>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</si>
  <si>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</si>
  <si>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</si>
  <si>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</si>
  <si>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</si>
  <si>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</si>
  <si>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</si>
  <si>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</si>
  <si>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</si>
  <si>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</si>
  <si>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</si>
  <si>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</si>
  <si>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</si>
  <si>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</si>
  <si>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</si>
  <si>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</si>
  <si>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</si>
  <si>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</si>
  <si>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</si>
  <si>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</si>
  <si>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</si>
  <si>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</si>
  <si>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</si>
  <si>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</si>
  <si>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</si>
  <si>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</si>
  <si>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</si>
  <si>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</si>
  <si>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</si>
  <si>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</si>
  <si>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</si>
  <si>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</si>
  <si>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</si>
  <si>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</si>
  <si>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</si>
  <si>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</si>
  <si>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</si>
  <si>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</si>
  <si>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</si>
  <si>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</si>
  <si>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</si>
  <si>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</si>
  <si>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</si>
  <si>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</si>
  <si>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</si>
  <si>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</si>
  <si>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</si>
  <si>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</si>
  <si>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</si>
  <si>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</si>
  <si>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</si>
  <si>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</si>
  <si>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</si>
  <si>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</si>
  <si>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</si>
  <si>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</si>
  <si>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</si>
  <si>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</si>
  <si>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</si>
  <si>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</si>
  <si>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</si>
  <si>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</si>
  <si>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</si>
  <si>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</si>
  <si>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</si>
  <si>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</si>
  <si>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</si>
  <si>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</si>
  <si>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</si>
  <si>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</si>
  <si>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</si>
  <si>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</si>
  <si>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</si>
  <si>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</si>
  <si>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</si>
  <si>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</si>
  <si>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</si>
  <si>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</si>
  <si>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</si>
  <si>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</si>
  <si>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</si>
  <si>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</si>
  <si>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</si>
  <si>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</si>
  <si>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</si>
  <si>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</si>
  <si>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</si>
  <si>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</si>
  <si>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</si>
  <si>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</si>
  <si>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</si>
  <si>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</si>
  <si>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</si>
  <si>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</si>
  <si>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</si>
  <si>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</si>
  <si>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</si>
  <si>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</si>
  <si>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</si>
  <si>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</si>
  <si>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</si>
  <si>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</si>
  <si>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</si>
  <si>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</si>
  <si>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</si>
  <si>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</si>
  <si>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</si>
  <si>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</si>
  <si>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</si>
  <si>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</si>
  <si>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</si>
  <si>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</si>
  <si>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</si>
  <si>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</si>
  <si>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</si>
  <si>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</si>
  <si>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</si>
  <si>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</si>
  <si>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</si>
  <si>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</si>
  <si>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</si>
  <si>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</si>
  <si>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</si>
  <si>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</si>
  <si>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</si>
  <si>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</si>
  <si>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</si>
  <si>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</si>
  <si>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</si>
  <si>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</si>
  <si>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</si>
  <si>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</si>
  <si>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</si>
  <si>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</si>
  <si>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</si>
  <si>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</si>
  <si>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</si>
  <si>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</si>
  <si>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</si>
  <si>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</si>
  <si>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</si>
  <si>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</si>
  <si>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</si>
  <si>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</si>
  <si>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</si>
  <si>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</si>
  <si>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</si>
  <si>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</si>
  <si>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</si>
  <si>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</si>
  <si>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</si>
  <si>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</si>
  <si>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</si>
  <si>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</si>
  <si>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</si>
  <si>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</si>
  <si>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</si>
  <si>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</si>
  <si>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</si>
  <si>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</si>
  <si>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</si>
  <si>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</si>
  <si>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</si>
  <si>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</si>
  <si>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</si>
  <si>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</si>
  <si>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</si>
  <si>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</si>
  <si>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</si>
  <si>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</si>
  <si>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</si>
  <si>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</si>
  <si>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</si>
  <si>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</si>
  <si>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</si>
  <si>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</si>
  <si>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</si>
  <si>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</si>
  <si>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</si>
  <si>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</si>
  <si>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</si>
  <si>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</si>
  <si>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</si>
  <si>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</si>
  <si>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</si>
  <si>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</si>
  <si>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</si>
  <si>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</si>
  <si>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</si>
  <si>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</si>
  <si>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</si>
  <si>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</si>
  <si>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</si>
  <si>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</si>
  <si>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</si>
  <si>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</si>
  <si>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</si>
  <si>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</si>
  <si>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</si>
  <si>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</si>
  <si>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</si>
  <si>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</si>
  <si>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</si>
  <si>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</si>
  <si>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</si>
  <si>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</si>
  <si>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</si>
  <si>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</si>
  <si>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</si>
  <si>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</si>
  <si>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</si>
  <si>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</si>
  <si>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</si>
  <si>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</si>
  <si>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</si>
  <si>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</si>
  <si>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</si>
  <si>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</si>
  <si>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</si>
  <si>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</si>
  <si>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</si>
  <si>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</si>
  <si>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</si>
  <si>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</si>
  <si>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</si>
  <si>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</si>
  <si>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</si>
  <si>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</si>
  <si>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</si>
  <si>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</si>
  <si>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</si>
  <si>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</si>
  <si>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</si>
  <si>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</si>
  <si>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</si>
  <si>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</si>
  <si>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</si>
  <si>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</si>
  <si>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</si>
  <si>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</si>
  <si>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</si>
  <si>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</si>
  <si>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</si>
  <si>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</si>
  <si>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</si>
  <si>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</si>
  <si>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</si>
  <si>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</si>
  <si>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</si>
  <si>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</si>
  <si>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</si>
  <si>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</si>
  <si>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</si>
  <si>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</si>
  <si>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</si>
  <si>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</si>
  <si>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</si>
  <si>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</si>
  <si>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</si>
  <si>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</si>
  <si>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</si>
  <si>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</si>
  <si>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</si>
  <si>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</si>
  <si>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</si>
  <si>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</si>
  <si>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</si>
  <si>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</si>
  <si>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</si>
  <si>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</si>
  <si>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</si>
  <si>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</si>
  <si>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</si>
  <si>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</si>
  <si>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</si>
  <si>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</si>
  <si>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</si>
  <si>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</si>
  <si>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</si>
  <si>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</si>
  <si>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</si>
  <si>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</si>
  <si>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</si>
  <si>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</si>
  <si>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</si>
  <si>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</si>
  <si>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</si>
  <si>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</si>
  <si>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</si>
  <si>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</si>
  <si>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</si>
  <si>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</si>
  <si>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</si>
  <si>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</si>
  <si>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</si>
  <si>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</si>
  <si>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</si>
  <si>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</si>
  <si>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</si>
  <si>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</si>
  <si>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</si>
  <si>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</si>
  <si>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</si>
  <si>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</si>
  <si>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</si>
  <si>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</si>
  <si>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</si>
  <si>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</si>
  <si>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</si>
  <si>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</si>
  <si>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</si>
  <si>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</si>
  <si>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</si>
  <si>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</si>
  <si>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</si>
  <si>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</si>
  <si>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</si>
  <si>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</si>
  <si>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</si>
  <si>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</si>
  <si>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</si>
  <si>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</si>
  <si>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</si>
  <si>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</si>
  <si>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</si>
  <si>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</si>
  <si>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</si>
  <si>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</si>
  <si>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</si>
  <si>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</si>
  <si>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</si>
  <si>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</si>
  <si>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</si>
  <si>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</si>
  <si>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</si>
  <si>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</si>
  <si>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</si>
  <si>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</si>
  <si>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</si>
  <si>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</si>
  <si>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</si>
  <si>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</si>
  <si>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</si>
  <si>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</si>
  <si>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</si>
  <si>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</si>
  <si>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</si>
  <si>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</si>
  <si>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</si>
  <si>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</si>
  <si>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</si>
  <si>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</si>
  <si>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</si>
  <si>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</si>
  <si>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</si>
  <si>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</si>
  <si>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</si>
  <si>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</si>
  <si>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</si>
  <si>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</si>
  <si>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</si>
  <si>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</si>
  <si>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</si>
  <si>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</si>
  <si>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</si>
  <si>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</si>
  <si>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</si>
  <si>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</si>
  <si>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</si>
  <si>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</si>
  <si>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</si>
  <si>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</si>
  <si>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</si>
  <si>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</si>
  <si>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</si>
  <si>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</si>
  <si>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</si>
  <si>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</si>
  <si>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</si>
  <si>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</si>
  <si>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</si>
  <si>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</si>
  <si>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</si>
  <si>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</si>
  <si>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</si>
  <si>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</si>
  <si>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</si>
  <si>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</si>
  <si>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</si>
  <si>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</si>
  <si>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</si>
  <si>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</si>
  <si>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</si>
  <si>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</si>
  <si>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</si>
  <si>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</si>
  <si>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</si>
  <si>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</si>
  <si>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</si>
  <si>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</si>
  <si>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</si>
  <si>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</si>
  <si>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</si>
  <si>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</si>
  <si>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</si>
  <si>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</si>
  <si>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</si>
  <si>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</si>
  <si>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</si>
  <si>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</si>
  <si>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</si>
  <si>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</si>
  <si>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</si>
  <si>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</si>
  <si>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</si>
  <si>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</si>
  <si>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</si>
  <si>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</si>
  <si>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</si>
  <si>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</si>
  <si>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</si>
  <si>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</si>
  <si>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</si>
  <si>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</si>
  <si>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</si>
  <si>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</si>
  <si>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</si>
  <si>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</si>
  <si>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</si>
  <si>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</si>
  <si>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</si>
  <si>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</si>
  <si>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</si>
  <si>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</si>
  <si>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</si>
  <si>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</si>
  <si>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</si>
  <si>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</si>
  <si>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</si>
  <si>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</si>
  <si>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</si>
  <si>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</si>
  <si>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</si>
  <si>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</si>
  <si>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</si>
  <si>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</si>
  <si>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</si>
  <si>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</si>
  <si>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</si>
  <si>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</si>
  <si>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</si>
  <si>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</si>
  <si>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</si>
  <si>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</si>
  <si>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</si>
  <si>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</si>
  <si>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</si>
  <si>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</si>
  <si>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</si>
  <si>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</si>
  <si>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</si>
  <si>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</si>
  <si>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</si>
  <si>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</si>
  <si>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</si>
  <si>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</si>
  <si>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</si>
  <si>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</si>
  <si>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</si>
  <si>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</si>
  <si>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</si>
  <si>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</si>
  <si>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</si>
  <si>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</si>
  <si>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</si>
  <si>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</si>
  <si>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</si>
  <si>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</si>
  <si>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</si>
  <si>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</si>
  <si>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</si>
  <si>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</si>
  <si>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</si>
  <si>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</si>
  <si>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</si>
  <si>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</si>
  <si>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</si>
  <si>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</si>
  <si>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</si>
  <si>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</si>
  <si>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</si>
  <si>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</si>
  <si>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</si>
  <si>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</si>
  <si>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</si>
  <si>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</si>
  <si>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</si>
  <si>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</si>
  <si>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</si>
  <si>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</si>
  <si>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</si>
  <si>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</si>
  <si>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</si>
  <si>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</si>
  <si>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</si>
  <si>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</si>
  <si>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</si>
  <si>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</si>
  <si>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</si>
  <si>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</si>
  <si>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</si>
  <si>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</si>
  <si>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</si>
  <si>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</si>
  <si>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</si>
  <si>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</si>
  <si>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</si>
  <si>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</si>
  <si>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</si>
  <si>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</si>
  <si>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</si>
  <si>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</si>
  <si>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</si>
  <si>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</si>
  <si>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</si>
  <si>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</si>
  <si>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</si>
  <si>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</si>
  <si>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</si>
  <si>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</si>
  <si>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</si>
  <si>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</si>
  <si>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</si>
  <si>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</si>
  <si>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</si>
  <si>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</si>
  <si>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</si>
  <si>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</si>
  <si>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</si>
  <si>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</si>
  <si>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</si>
  <si>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</si>
  <si>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</si>
  <si>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</si>
  <si>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</si>
  <si>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</si>
  <si>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</si>
  <si>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</si>
  <si>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</si>
  <si>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</si>
  <si>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</si>
  <si>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</si>
  <si>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</si>
  <si>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</si>
  <si>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</si>
  <si>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</si>
  <si>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</si>
  <si>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</si>
  <si>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</si>
  <si>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</si>
  <si>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</si>
  <si>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</si>
  <si>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</si>
  <si>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</si>
  <si>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</si>
  <si>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</si>
  <si>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</si>
  <si>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</si>
  <si>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</si>
  <si>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</si>
  <si>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</si>
  <si>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</si>
  <si>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</si>
  <si>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</si>
  <si>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</si>
  <si>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</si>
  <si>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</si>
  <si>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</si>
  <si>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</si>
  <si>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</si>
  <si>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</si>
  <si>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</si>
  <si>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</si>
  <si>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</si>
  <si>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</si>
  <si>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</si>
  <si>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</si>
  <si>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</si>
  <si>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</si>
  <si>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</si>
  <si>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</si>
  <si>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</si>
  <si>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</si>
  <si>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</si>
  <si>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</si>
  <si>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</si>
  <si>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</si>
  <si>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</si>
  <si>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</si>
  <si>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</si>
  <si>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</si>
  <si>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</si>
  <si>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</si>
  <si>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</si>
  <si>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</si>
  <si>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</si>
  <si>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</si>
  <si>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</si>
  <si>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</si>
  <si>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</si>
  <si>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</si>
  <si>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</si>
  <si>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</si>
  <si>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</si>
  <si>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</si>
  <si>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</si>
  <si>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</si>
  <si>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</si>
  <si>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</si>
  <si>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</si>
  <si>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</si>
  <si>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</si>
  <si>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</si>
  <si>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</si>
  <si>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</si>
  <si>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</si>
  <si>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</si>
  <si>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</si>
  <si>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</si>
  <si>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</si>
  <si>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</si>
  <si>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</si>
  <si>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</si>
  <si>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</si>
  <si>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</si>
  <si>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</si>
  <si>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</si>
  <si>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</si>
  <si>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</si>
  <si>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</si>
  <si>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</si>
  <si>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</si>
  <si>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</si>
  <si>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</si>
  <si>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</si>
  <si>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</si>
  <si>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</si>
  <si>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</si>
  <si>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</si>
  <si>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</si>
  <si>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</si>
  <si>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</si>
  <si>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</si>
  <si>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</si>
  <si>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</si>
  <si>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</si>
  <si>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</si>
  <si>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</si>
  <si>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</si>
  <si>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</si>
  <si>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</si>
  <si>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</si>
  <si>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</si>
  <si>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</si>
  <si>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</si>
  <si>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</si>
  <si>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</si>
  <si>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</si>
  <si>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</si>
  <si>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</si>
  <si>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</si>
  <si>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</si>
  <si>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</si>
  <si>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</si>
  <si>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</si>
  <si>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</si>
  <si>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</si>
  <si>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</si>
  <si>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</si>
  <si>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</si>
  <si>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</si>
  <si>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</si>
  <si>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</si>
  <si>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</si>
  <si>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</si>
  <si>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</si>
  <si>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</si>
  <si>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</si>
  <si>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</si>
  <si>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</si>
  <si>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</si>
  <si>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</si>
  <si>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</si>
  <si>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</si>
  <si>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</si>
  <si>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</si>
  <si>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</si>
  <si>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</si>
  <si>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</si>
  <si>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</si>
  <si>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</si>
  <si>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</si>
  <si>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</si>
  <si>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</si>
  <si>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</si>
  <si>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</si>
  <si>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</si>
  <si>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</si>
  <si>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</si>
  <si>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</si>
  <si>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</si>
  <si>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</si>
  <si>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</si>
  <si>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</si>
  <si>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</si>
  <si>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</si>
  <si>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</si>
  <si>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</si>
  <si>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</si>
  <si>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</si>
  <si>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</si>
  <si>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</si>
  <si>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</si>
  <si>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</si>
  <si>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</si>
  <si>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</si>
  <si>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</si>
  <si>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</si>
  <si>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</si>
  <si>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</si>
  <si>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</si>
  <si>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</si>
  <si>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</si>
  <si>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</si>
  <si>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</si>
  <si>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</si>
  <si>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</si>
  <si>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</si>
  <si>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</si>
  <si>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</si>
  <si>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</si>
  <si>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</si>
  <si>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</si>
  <si>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</si>
  <si>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</si>
  <si>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</si>
  <si>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</si>
  <si>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</si>
  <si>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</si>
  <si>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</si>
  <si>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</si>
  <si>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</si>
  <si>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</si>
  <si>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</si>
  <si>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</si>
  <si>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</si>
  <si>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</si>
  <si>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</si>
  <si>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</si>
  <si>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</si>
  <si>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</si>
  <si>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</si>
  <si>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</si>
  <si>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</si>
  <si>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</si>
  <si>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</si>
  <si>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</si>
  <si>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</si>
  <si>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</si>
  <si>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</si>
  <si>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</si>
  <si>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</si>
  <si>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</si>
  <si>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</si>
  <si>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</si>
  <si>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</si>
  <si>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</si>
  <si>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</si>
  <si>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</si>
  <si>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</si>
  <si>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</si>
  <si>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</si>
  <si>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</si>
  <si>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</si>
  <si>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</si>
  <si>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</si>
  <si>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</si>
  <si>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</si>
  <si>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</si>
  <si>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</si>
  <si>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</si>
  <si>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</si>
  <si>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</si>
  <si>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</si>
  <si>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</si>
  <si>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</si>
  <si>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</si>
  <si>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</si>
  <si>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</si>
  <si>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</si>
  <si>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</si>
  <si>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</si>
  <si>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</si>
  <si>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</si>
  <si>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</si>
  <si>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</si>
  <si>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</si>
  <si>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</si>
  <si>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</si>
  <si>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</si>
  <si>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</si>
  <si>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</si>
  <si>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</si>
  <si>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</si>
  <si>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</si>
  <si>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</si>
  <si>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</si>
  <si>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</si>
  <si>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</si>
  <si>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</si>
  <si>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</si>
  <si>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</si>
  <si>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</si>
  <si>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</si>
  <si>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</si>
  <si>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</si>
  <si>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</si>
  <si>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</si>
  <si>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</si>
  <si>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</si>
  <si>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</si>
  <si>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</si>
  <si>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</si>
  <si>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</si>
  <si>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</si>
  <si>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</si>
  <si>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</si>
  <si>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</si>
  <si>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</si>
  <si>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</si>
  <si>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</si>
  <si>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</si>
  <si>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</si>
  <si>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</si>
  <si>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</si>
  <si>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</si>
  <si>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</si>
  <si>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</si>
  <si>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</si>
  <si>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</si>
  <si>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</si>
  <si>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</si>
  <si>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</si>
  <si>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</si>
  <si>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</si>
  <si>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</si>
  <si>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</si>
  <si>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</si>
  <si>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</si>
  <si>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</si>
  <si>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</si>
  <si>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</si>
  <si>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</si>
  <si>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</si>
  <si>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</si>
  <si>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</si>
  <si>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</si>
  <si>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</si>
  <si>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</si>
  <si>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</si>
  <si>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</si>
  <si>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</si>
  <si>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</si>
  <si>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</si>
  <si>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</si>
  <si>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</si>
  <si>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</si>
  <si>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</si>
  <si>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</si>
  <si>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</si>
  <si>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</si>
  <si>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</si>
  <si>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</si>
  <si>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</si>
  <si>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</si>
  <si>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</si>
  <si>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</si>
  <si>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</si>
  <si>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</si>
  <si>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</si>
  <si>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</si>
  <si>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</si>
  <si>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</si>
  <si>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</si>
  <si>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</si>
  <si>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</si>
  <si>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</si>
  <si>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</si>
  <si>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</si>
  <si>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</si>
  <si>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</si>
  <si>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</si>
  <si>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</si>
  <si>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</si>
  <si>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</si>
  <si>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</si>
  <si>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</si>
  <si>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</si>
  <si>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</si>
  <si>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</si>
  <si>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</si>
  <si>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</si>
  <si>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</si>
  <si>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</si>
  <si>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</si>
  <si>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</si>
  <si>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</si>
  <si>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</si>
  <si>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</si>
  <si>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</si>
  <si>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</si>
  <si>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</si>
  <si>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</si>
  <si>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</si>
  <si>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</si>
  <si>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</si>
  <si>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</si>
  <si>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</si>
  <si>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</si>
  <si>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</si>
  <si>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</si>
  <si>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</si>
  <si>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</si>
  <si>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</si>
  <si>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</si>
  <si>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</si>
  <si>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</si>
  <si>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</si>
  <si>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</si>
  <si>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</si>
  <si>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</si>
  <si>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</si>
  <si>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</si>
  <si>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</si>
  <si>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</si>
  <si>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</si>
  <si>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</si>
  <si>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</si>
  <si>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</si>
  <si>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</si>
  <si>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</si>
  <si>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</si>
  <si>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</si>
  <si>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</si>
  <si>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</si>
  <si>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</si>
  <si>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</si>
  <si>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</si>
  <si>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</si>
  <si>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</si>
  <si>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</si>
  <si>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</si>
  <si>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</si>
  <si>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</si>
  <si>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</si>
  <si>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</si>
  <si>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</si>
  <si>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</si>
  <si>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</si>
  <si>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</si>
  <si>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</si>
  <si>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</si>
  <si>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</si>
  <si>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</si>
  <si>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</si>
  <si>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</si>
  <si>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</si>
  <si>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</si>
  <si>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</si>
  <si>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</si>
  <si>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</si>
  <si>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</si>
  <si>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</si>
  <si>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</si>
  <si>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</si>
  <si>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</si>
  <si>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</si>
  <si>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</si>
  <si>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</si>
  <si>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</si>
  <si>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</si>
  <si>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</si>
  <si>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</si>
  <si>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</si>
  <si>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</si>
  <si>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</si>
  <si>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</si>
  <si>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</si>
  <si>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</si>
  <si>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</si>
  <si>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</si>
  <si>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</si>
  <si>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</si>
  <si>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</si>
  <si>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</si>
  <si>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</si>
  <si>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</si>
  <si>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</si>
  <si>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</si>
  <si>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</si>
  <si>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</si>
  <si>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</si>
  <si>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</si>
  <si>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</si>
  <si>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</si>
  <si>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</si>
  <si>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</si>
  <si>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</si>
  <si>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</si>
  <si>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</si>
  <si>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</si>
  <si>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</si>
  <si>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</si>
  <si>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</si>
  <si>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</si>
  <si>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</si>
  <si>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</si>
  <si>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</si>
  <si>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</si>
  <si>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</si>
  <si>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</si>
  <si>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</si>
  <si>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</si>
  <si>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</si>
  <si>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</si>
  <si>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</si>
  <si>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</si>
  <si>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</si>
  <si>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</si>
  <si>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</si>
  <si>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</si>
  <si>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</si>
  <si>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</si>
  <si>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</si>
  <si>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</si>
  <si>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</si>
  <si>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</si>
  <si>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</si>
  <si>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</si>
  <si>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</si>
  <si>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</si>
  <si>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</si>
  <si>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</si>
  <si>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</si>
  <si>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</si>
  <si>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</si>
  <si>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</si>
  <si>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</si>
  <si>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</si>
  <si>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</si>
  <si>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</si>
  <si>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</si>
  <si>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</si>
  <si>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</si>
  <si>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</si>
  <si>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</si>
  <si>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</si>
  <si>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</si>
  <si>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</si>
  <si>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</si>
  <si>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</si>
  <si>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</si>
  <si>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</si>
  <si>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</si>
  <si>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</si>
  <si>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</si>
  <si>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</si>
  <si>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</si>
  <si>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</si>
  <si>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</si>
  <si>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</si>
  <si>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</si>
  <si>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</si>
  <si>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</si>
  <si>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</si>
  <si>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</si>
  <si>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</si>
  <si>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</si>
  <si>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</si>
  <si>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</si>
  <si>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</si>
  <si>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</si>
  <si>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</si>
  <si>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</si>
  <si>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</si>
  <si>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</si>
  <si>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</si>
  <si>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</si>
  <si>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</si>
  <si>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</si>
  <si>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</si>
  <si>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</si>
  <si>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</si>
  <si>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</si>
  <si>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</si>
  <si>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</si>
  <si>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</si>
  <si>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</si>
  <si>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</si>
  <si>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</si>
  <si>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</si>
  <si>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</si>
  <si>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</si>
  <si>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</si>
  <si>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</si>
  <si>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</si>
  <si>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</si>
  <si>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</si>
  <si>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</si>
  <si>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</si>
  <si>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</si>
  <si>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</si>
  <si>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</si>
  <si>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</si>
  <si>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</si>
  <si>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</si>
  <si>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</si>
  <si>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</si>
  <si>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</si>
  <si>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</si>
  <si>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</si>
  <si>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</si>
  <si>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</si>
  <si>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</si>
  <si>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</si>
  <si>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</si>
  <si>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</si>
  <si>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</si>
  <si>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</si>
  <si>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</si>
  <si>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</si>
  <si>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</si>
  <si>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</si>
  <si>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</si>
  <si>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</si>
  <si>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</si>
  <si>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</si>
  <si>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</si>
  <si>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</si>
  <si>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</si>
  <si>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</si>
  <si>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</si>
  <si>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</si>
  <si>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</si>
  <si>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</si>
  <si>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</si>
  <si>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</si>
  <si>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</si>
  <si>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</si>
  <si>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</si>
  <si>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</si>
  <si>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</si>
  <si>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</si>
  <si>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</si>
  <si>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</si>
  <si>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</si>
  <si>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</si>
  <si>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</si>
  <si>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</si>
  <si>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</si>
  <si>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</si>
  <si>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</si>
  <si>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</si>
  <si>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</si>
  <si>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</si>
  <si>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</si>
  <si>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</si>
  <si>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</si>
  <si>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</si>
  <si>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</si>
  <si>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</si>
  <si>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</si>
  <si>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</si>
  <si>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</si>
  <si>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</si>
  <si>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</si>
  <si>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</si>
  <si>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</si>
  <si>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</si>
  <si>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</si>
  <si>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</si>
  <si>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</si>
  <si>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</si>
  <si>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</si>
  <si>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</si>
  <si>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</si>
  <si>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</si>
  <si>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</si>
  <si>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</si>
  <si>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</si>
  <si>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</si>
  <si>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</si>
  <si>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</si>
  <si>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</si>
  <si>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</si>
  <si>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</si>
  <si>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</si>
  <si>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</si>
  <si>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</si>
  <si>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</si>
  <si>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</si>
  <si>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</si>
  <si>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</si>
  <si>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</si>
  <si>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</si>
  <si>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</si>
  <si>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</si>
  <si>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</si>
  <si>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</si>
  <si>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</si>
  <si>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</si>
  <si>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</si>
  <si>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</si>
  <si>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</si>
  <si>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</si>
  <si>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</si>
  <si>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</si>
  <si>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</si>
  <si>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</si>
  <si>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</si>
  <si>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</si>
  <si>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</si>
  <si>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</si>
  <si>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</si>
  <si>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</si>
  <si>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</si>
  <si>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</si>
  <si>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</si>
  <si>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</si>
  <si>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</si>
  <si>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</si>
  <si>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</si>
  <si>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</si>
  <si>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</si>
  <si>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</si>
  <si>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</si>
  <si>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</si>
  <si>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</si>
  <si>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</si>
  <si>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</si>
  <si>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</si>
  <si>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</si>
  <si>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</si>
  <si>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</si>
  <si>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</si>
  <si>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</si>
  <si>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</si>
  <si>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</si>
  <si>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</si>
  <si>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</si>
  <si>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</si>
  <si>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</si>
  <si>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</si>
  <si>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</si>
  <si>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</si>
  <si>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</si>
  <si>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</si>
  <si>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</si>
  <si>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</si>
  <si>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</si>
  <si>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</si>
  <si>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</si>
  <si>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</si>
  <si>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</si>
  <si>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</si>
  <si>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</si>
  <si>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</si>
  <si>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</si>
  <si>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</si>
  <si>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</si>
  <si>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</si>
  <si>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</si>
  <si>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</si>
  <si>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</si>
  <si>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</si>
  <si>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</si>
  <si>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</si>
  <si>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</si>
  <si>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</si>
  <si>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</si>
  <si>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</si>
  <si>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</si>
  <si>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</si>
  <si>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</si>
  <si>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</si>
  <si>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</si>
  <si>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</si>
  <si>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</si>
  <si>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</si>
  <si>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</si>
  <si>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</si>
  <si>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</si>
  <si>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</si>
  <si>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</si>
  <si>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</si>
  <si>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</si>
  <si>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</si>
  <si>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</si>
  <si>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</si>
  <si>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</si>
  <si>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</si>
  <si>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</si>
  <si>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</si>
  <si>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</si>
  <si>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</si>
  <si>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</si>
  <si>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</si>
  <si>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</si>
  <si>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</si>
  <si>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</si>
  <si>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</si>
  <si>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</si>
  <si>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</si>
  <si>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</si>
  <si>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</si>
  <si>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</si>
  <si>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</si>
  <si>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</si>
  <si>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</si>
  <si>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</si>
  <si>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</si>
  <si>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</si>
  <si>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</si>
  <si>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</si>
  <si>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</si>
  <si>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</si>
  <si>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</si>
  <si>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</si>
  <si>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</si>
  <si>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</si>
  <si>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</si>
  <si>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</si>
  <si>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</si>
  <si>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</si>
  <si>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</si>
  <si>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</si>
  <si>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</si>
  <si>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</si>
  <si>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</si>
  <si>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</si>
  <si>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</si>
  <si>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</si>
  <si>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</si>
  <si>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</si>
  <si>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</si>
  <si>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</si>
  <si>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</si>
  <si>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</si>
  <si>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</si>
  <si>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</si>
  <si>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</si>
  <si>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</si>
  <si>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</si>
  <si>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</si>
  <si>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</si>
  <si>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</si>
  <si>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</si>
  <si>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</si>
  <si>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</si>
  <si>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</si>
  <si>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</si>
  <si>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</si>
  <si>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</si>
  <si>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</si>
  <si>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</si>
  <si>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</si>
  <si>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</si>
  <si>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</si>
  <si>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</si>
  <si>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</si>
  <si>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</si>
  <si>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</si>
  <si>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</si>
  <si>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</si>
  <si>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</si>
  <si>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</si>
  <si>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</si>
  <si>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</si>
  <si>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</si>
  <si>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</si>
  <si>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</si>
  <si>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</si>
  <si>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</si>
  <si>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</si>
  <si>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</si>
  <si>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</si>
  <si>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</si>
  <si>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</si>
  <si>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</si>
  <si>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</si>
  <si>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</si>
  <si>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</si>
  <si>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</si>
  <si>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</si>
  <si>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</si>
  <si>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</si>
  <si>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</si>
  <si>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</si>
  <si>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</si>
  <si>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</si>
  <si>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</si>
  <si>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</si>
  <si>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</si>
  <si>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</si>
  <si>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</si>
  <si>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</si>
  <si>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</si>
  <si>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</si>
  <si>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</si>
  <si>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</si>
  <si>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</si>
  <si>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</si>
  <si>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</si>
  <si>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</si>
  <si>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</si>
  <si>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</si>
  <si>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</si>
  <si>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</si>
  <si>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</si>
  <si>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</si>
  <si>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</si>
  <si>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</si>
  <si>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</si>
  <si>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</si>
  <si>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</si>
  <si>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</si>
  <si>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</si>
  <si>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</si>
  <si>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</si>
  <si>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</si>
  <si>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</si>
  <si>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</si>
  <si>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</si>
  <si>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</si>
  <si>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</si>
  <si>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</si>
  <si>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</si>
  <si>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</si>
  <si>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</si>
  <si>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</si>
  <si>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</si>
  <si>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</si>
  <si>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</si>
  <si>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</si>
  <si>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</si>
  <si>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</si>
  <si>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</si>
  <si>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</si>
  <si>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</si>
  <si>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</si>
  <si>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</si>
  <si>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</si>
  <si>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</si>
  <si>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</si>
  <si>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</si>
  <si>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</si>
  <si>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</si>
  <si>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</si>
  <si>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</si>
  <si>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</si>
  <si>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</si>
  <si>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</si>
  <si>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</si>
  <si>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</si>
  <si>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</si>
  <si>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</si>
  <si>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</si>
  <si>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</si>
  <si>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</si>
  <si>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</si>
  <si>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</si>
  <si>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</si>
  <si>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</si>
  <si>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</si>
  <si>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</si>
  <si>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</si>
  <si>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</si>
  <si>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</si>
  <si>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</si>
  <si>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</si>
  <si>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</si>
  <si>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</si>
  <si>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</si>
  <si>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</si>
  <si>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</si>
  <si>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</si>
  <si>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</si>
  <si>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</si>
  <si>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</si>
  <si>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</si>
  <si>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</si>
  <si>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</si>
  <si>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</si>
  <si>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</si>
  <si>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</si>
  <si>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</si>
  <si>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</si>
  <si>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</si>
  <si>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</si>
  <si>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</si>
  <si>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</si>
  <si>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</si>
  <si>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</si>
  <si>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</si>
  <si>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</si>
  <si>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</si>
  <si>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</si>
  <si>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</si>
  <si>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</si>
  <si>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</si>
  <si>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</si>
  <si>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</si>
  <si>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</si>
  <si>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</si>
  <si>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</si>
  <si>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</si>
  <si>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</si>
  <si>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</si>
  <si>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</si>
  <si>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</si>
  <si>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</si>
  <si>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</si>
  <si>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</si>
  <si>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</si>
  <si>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</si>
  <si>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</si>
  <si>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</si>
  <si>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</si>
  <si>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</si>
  <si>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</si>
  <si>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</si>
  <si>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</si>
  <si>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</si>
  <si>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</si>
  <si>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</si>
  <si>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</si>
  <si>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</si>
  <si>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</si>
  <si>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</si>
  <si>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</si>
  <si>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</si>
  <si>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</si>
  <si>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</si>
  <si>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</si>
  <si>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</si>
  <si>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</si>
  <si>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</si>
  <si>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</si>
  <si>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</si>
  <si>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</si>
  <si>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</si>
  <si>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</si>
  <si>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</si>
  <si>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</si>
  <si>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</si>
  <si>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</si>
  <si>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</si>
  <si>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</si>
  <si>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</si>
  <si>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</si>
  <si>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</si>
  <si>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</si>
  <si>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</si>
  <si>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</si>
  <si>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</si>
  <si>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</si>
  <si>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</si>
  <si>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</si>
  <si>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</si>
  <si>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</si>
  <si>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</si>
  <si>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</si>
  <si>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</si>
  <si>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</si>
  <si>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</si>
  <si>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</si>
  <si>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</si>
  <si>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</si>
  <si>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</si>
  <si>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</si>
  <si>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</si>
  <si>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</si>
  <si>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</si>
  <si>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</si>
  <si>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</si>
  <si>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</si>
  <si>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</si>
  <si>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</si>
  <si>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</si>
  <si>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</si>
  <si>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</si>
  <si>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</si>
  <si>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</si>
  <si>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</si>
  <si>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</si>
  <si>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</si>
  <si>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</si>
  <si>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</si>
  <si>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</si>
  <si>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</si>
  <si>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</si>
  <si>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</si>
  <si>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</si>
  <si>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</si>
  <si>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</si>
  <si>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</si>
  <si>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</si>
  <si>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</si>
  <si>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</si>
  <si>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</si>
  <si>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</si>
  <si>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</si>
  <si>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</si>
  <si>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</si>
  <si>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</si>
  <si>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</si>
  <si>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</si>
  <si>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</si>
  <si>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</si>
  <si>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</si>
  <si>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</si>
  <si>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</si>
  <si>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</si>
  <si>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</si>
  <si>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</si>
  <si>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</si>
  <si>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</si>
  <si>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</si>
  <si>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</si>
  <si>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</si>
  <si>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</si>
  <si>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</si>
  <si>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</si>
  <si>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</si>
  <si>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</si>
  <si>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</si>
  <si>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</si>
  <si>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</si>
  <si>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</si>
  <si>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</si>
  <si>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</si>
  <si>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</si>
  <si>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</si>
  <si>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</si>
  <si>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</si>
  <si>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</si>
  <si>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</si>
  <si>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</si>
  <si>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</si>
  <si>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</si>
  <si>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</si>
  <si>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</si>
  <si>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</si>
  <si>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</si>
  <si>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</si>
  <si>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</si>
  <si>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</si>
  <si>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</si>
  <si>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</si>
  <si>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</si>
  <si>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</si>
  <si>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</si>
  <si>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</si>
  <si>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</si>
  <si>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</si>
  <si>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</si>
  <si>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</si>
  <si>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</si>
  <si>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</si>
  <si>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</si>
  <si>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</si>
  <si>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</si>
  <si>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</si>
  <si>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</si>
  <si>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</si>
  <si>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</si>
  <si>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</si>
  <si>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</si>
  <si>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</si>
  <si>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</si>
  <si>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</si>
  <si>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</si>
  <si>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</si>
  <si>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</si>
  <si>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</si>
  <si>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</si>
  <si>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</si>
  <si>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</si>
  <si>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</si>
  <si>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</si>
  <si>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</si>
  <si>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</si>
  <si>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</si>
  <si>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</si>
  <si>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</si>
  <si>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</si>
  <si>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</si>
  <si>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</si>
  <si>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</si>
  <si>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</si>
  <si>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</si>
  <si>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</si>
  <si>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</si>
  <si>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</si>
  <si>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</si>
  <si>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</si>
  <si>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</si>
  <si>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</si>
  <si>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</si>
  <si>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</si>
  <si>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</si>
  <si>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</si>
  <si>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</si>
  <si>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</si>
  <si>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</si>
  <si>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</si>
  <si>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</si>
  <si>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</si>
  <si>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</si>
  <si>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</si>
  <si>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</si>
  <si>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</si>
  <si>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</si>
  <si>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</si>
  <si>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</si>
  <si>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</si>
  <si>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</si>
  <si>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</si>
  <si>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</si>
  <si>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</si>
  <si>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</si>
  <si>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</si>
  <si>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</si>
  <si>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</si>
  <si>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</si>
  <si>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</si>
  <si>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</si>
  <si>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</si>
  <si>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</si>
  <si>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</si>
  <si>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</si>
  <si>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</si>
  <si>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</si>
  <si>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</si>
  <si>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</si>
  <si>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</si>
  <si>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</si>
  <si>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</si>
  <si>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</si>
  <si>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</si>
  <si>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</si>
  <si>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</si>
  <si>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</si>
  <si>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</si>
  <si>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</si>
  <si>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</si>
  <si>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</si>
  <si>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</si>
  <si>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</si>
  <si>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</si>
  <si>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</si>
  <si>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</si>
  <si>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</si>
  <si>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</si>
  <si>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</si>
  <si>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</si>
  <si>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</si>
  <si>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</si>
  <si>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</si>
  <si>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</si>
  <si>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</si>
  <si>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</si>
  <si>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</si>
  <si>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</si>
  <si>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</si>
  <si>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</si>
  <si>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</si>
  <si>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</si>
  <si>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</si>
  <si>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</si>
  <si>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</si>
  <si>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</si>
  <si>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</si>
  <si>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</si>
  <si>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</si>
  <si>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</si>
  <si>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</si>
  <si>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</si>
  <si>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</si>
  <si>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</si>
  <si>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</si>
  <si>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</si>
  <si>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</si>
  <si>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</si>
  <si>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</si>
  <si>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</si>
  <si>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</si>
  <si>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</si>
  <si>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</si>
  <si>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</si>
  <si>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</si>
  <si>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</si>
  <si>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</si>
  <si>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</si>
  <si>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</si>
  <si>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</si>
  <si>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</si>
  <si>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</si>
  <si>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</si>
  <si>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</si>
  <si>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</si>
  <si>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</si>
  <si>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</si>
  <si>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</si>
  <si>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</si>
  <si>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</si>
  <si>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</si>
  <si>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</si>
  <si>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</si>
  <si>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</si>
  <si>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</si>
  <si>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</si>
  <si>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</si>
  <si>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</si>
  <si>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</si>
  <si>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</si>
  <si>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</si>
  <si>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</si>
  <si>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</si>
  <si>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</si>
  <si>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</si>
  <si>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</si>
  <si>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</si>
  <si>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</si>
  <si>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</si>
  <si>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</si>
  <si>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</si>
  <si>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</si>
  <si>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</si>
  <si>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</si>
  <si>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</si>
  <si>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</si>
  <si>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</si>
  <si>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</si>
  <si>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</si>
  <si>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</si>
  <si>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</si>
  <si>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</si>
  <si>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</si>
  <si>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</si>
  <si>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</si>
  <si>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</si>
  <si>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</si>
  <si>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</si>
  <si>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</si>
  <si>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</si>
  <si>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</si>
  <si>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</si>
  <si>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</si>
  <si>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</si>
  <si>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</si>
  <si>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</si>
  <si>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</si>
  <si>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</si>
  <si>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</si>
  <si>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</si>
  <si>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</si>
  <si>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</si>
  <si>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</si>
  <si>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</si>
  <si>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</si>
  <si>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</si>
  <si>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</si>
  <si>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</si>
  <si>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</si>
  <si>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</si>
  <si>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</si>
  <si>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</si>
  <si>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</si>
  <si>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</si>
  <si>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</si>
  <si>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</si>
  <si>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</si>
  <si>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</si>
  <si>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</si>
  <si>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</si>
  <si>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</si>
  <si>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</si>
  <si>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</si>
  <si>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</si>
  <si>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</si>
  <si>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</si>
  <si>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</si>
  <si>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</si>
  <si>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</si>
  <si>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</si>
  <si>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</si>
  <si>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</si>
  <si>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</si>
  <si>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</si>
  <si>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</si>
  <si>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</si>
  <si>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</si>
  <si>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</si>
  <si>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</si>
  <si>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</si>
  <si>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</si>
  <si>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</si>
  <si>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</si>
  <si>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</si>
  <si>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</si>
  <si>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</si>
  <si>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</si>
  <si>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</si>
  <si>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</si>
  <si>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</si>
  <si>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</si>
  <si>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</si>
  <si>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</si>
  <si>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</si>
  <si>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</si>
  <si>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</si>
  <si>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</si>
  <si>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</si>
  <si>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</si>
  <si>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</si>
  <si>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</si>
  <si>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</si>
  <si>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</si>
  <si>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</si>
  <si>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</si>
  <si>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</si>
  <si>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</si>
  <si>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</si>
  <si>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</si>
  <si>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</si>
  <si>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</si>
  <si>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</si>
  <si>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</si>
  <si>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</si>
  <si>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</si>
  <si>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</si>
  <si>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</si>
  <si>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</si>
  <si>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</si>
  <si>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</si>
  <si>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</si>
  <si>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</si>
  <si>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</si>
  <si>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</si>
  <si>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</si>
  <si>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</si>
  <si>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</si>
  <si>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</si>
  <si>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</si>
  <si>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</si>
  <si>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</si>
  <si>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</si>
  <si>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</si>
  <si>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</si>
  <si>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</si>
  <si>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</si>
  <si>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</si>
  <si>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</si>
  <si>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</si>
  <si>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</si>
  <si>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</si>
  <si>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</si>
  <si>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</si>
  <si>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</si>
  <si>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</si>
  <si>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</si>
  <si>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</si>
  <si>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</si>
  <si>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</si>
  <si>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</si>
  <si>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</si>
  <si>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</si>
  <si>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</si>
  <si>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</si>
  <si>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</si>
  <si>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</si>
  <si>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</si>
  <si>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</si>
  <si>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</si>
  <si>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</si>
  <si>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</si>
  <si>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</si>
  <si>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</si>
  <si>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</si>
  <si>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</si>
  <si>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</si>
  <si>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</si>
  <si>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</si>
  <si>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</si>
  <si>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</si>
  <si>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</si>
  <si>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</si>
  <si>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</si>
  <si>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</si>
  <si>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</si>
  <si>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</si>
  <si>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</si>
  <si>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</si>
  <si>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</si>
  <si>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</si>
  <si>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</si>
  <si>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</si>
  <si>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</si>
  <si>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</si>
  <si>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</si>
  <si>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</si>
  <si>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</si>
  <si>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</si>
  <si>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</si>
  <si>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</si>
  <si>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</si>
  <si>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</si>
  <si>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</si>
  <si>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</si>
  <si>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</si>
  <si>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</si>
  <si>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</si>
  <si>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</si>
  <si>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</si>
  <si>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</si>
  <si>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</si>
  <si>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</si>
  <si>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</si>
  <si>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</si>
  <si>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</si>
  <si>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</si>
  <si>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</si>
  <si>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</si>
  <si>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</si>
  <si>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</si>
  <si>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</si>
  <si>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</si>
  <si>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</si>
  <si>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</si>
  <si>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</si>
  <si>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</si>
  <si>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</si>
  <si>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</si>
  <si>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</si>
  <si>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</si>
  <si>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</si>
  <si>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</si>
  <si>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</si>
  <si>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</si>
  <si>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</si>
  <si>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</si>
  <si>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</si>
  <si>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</si>
  <si>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</si>
  <si>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</si>
  <si>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</si>
  <si>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</si>
  <si>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</si>
  <si>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</si>
  <si>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</si>
  <si>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</si>
  <si>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</si>
  <si>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</si>
  <si>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</si>
  <si>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</si>
  <si>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</si>
  <si>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</si>
  <si>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</si>
  <si>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</si>
  <si>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</si>
  <si>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</si>
  <si>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</si>
  <si>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</si>
  <si>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</si>
  <si>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</si>
  <si>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</si>
  <si>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</si>
  <si>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</si>
  <si>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</si>
  <si>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</si>
  <si>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</si>
  <si>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</si>
  <si>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</si>
  <si>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</si>
  <si>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</si>
  <si>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</si>
  <si>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</si>
  <si>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</si>
  <si>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</si>
  <si>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</si>
  <si>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</si>
  <si>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</si>
  <si>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</si>
  <si>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</si>
  <si>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</si>
  <si>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</si>
  <si>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</si>
  <si>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</si>
  <si>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</si>
  <si>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</si>
  <si>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</si>
  <si>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</si>
  <si>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</si>
  <si>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</si>
  <si>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</si>
  <si>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</si>
  <si>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</si>
  <si>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</si>
  <si>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</si>
  <si>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</si>
  <si>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</si>
  <si>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</si>
  <si>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</si>
  <si>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</si>
  <si>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</si>
  <si>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</si>
  <si>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</si>
  <si>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</si>
  <si>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</si>
  <si>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</si>
  <si>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</si>
  <si>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</si>
  <si>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</si>
  <si>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</si>
  <si>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</si>
  <si>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</si>
  <si>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</si>
  <si>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</si>
  <si>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</si>
  <si>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</si>
  <si>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</si>
  <si>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</si>
  <si>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</si>
  <si>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</si>
  <si>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</si>
  <si>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</si>
  <si>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</si>
  <si>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</si>
  <si>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</si>
  <si>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</si>
  <si>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</si>
  <si>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</si>
  <si>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</si>
  <si>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</si>
  <si>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</si>
  <si>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</si>
  <si>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</si>
  <si>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</si>
  <si>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</si>
  <si>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</si>
  <si>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</si>
  <si>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</si>
  <si>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</si>
  <si>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</si>
  <si>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</si>
  <si>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</si>
  <si>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</si>
  <si>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</si>
  <si>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</si>
  <si>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</si>
  <si>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</si>
  <si>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</si>
  <si>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</si>
  <si>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</si>
  <si>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</si>
  <si>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</si>
  <si>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</si>
  <si>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</si>
  <si>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</si>
  <si>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</si>
  <si>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</si>
  <si>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</si>
  <si>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</si>
  <si>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</si>
  <si>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</si>
  <si>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</si>
  <si>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</si>
  <si>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</si>
  <si>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</si>
  <si>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</si>
  <si>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</si>
  <si>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</si>
  <si>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</si>
  <si>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</si>
  <si>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</si>
  <si>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</si>
  <si>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</si>
  <si>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</si>
  <si>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</si>
  <si>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</si>
  <si>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</si>
  <si>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</si>
  <si>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</si>
  <si>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</si>
  <si>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</si>
  <si>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</si>
  <si>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</si>
  <si>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</si>
  <si>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</si>
  <si>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</si>
  <si>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</si>
  <si>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</si>
  <si>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</si>
  <si>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</si>
  <si>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</si>
  <si>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</si>
  <si>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</si>
  <si>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</si>
  <si>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</si>
  <si>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</si>
  <si>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</si>
  <si>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</si>
  <si>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</si>
  <si>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</si>
  <si>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</si>
  <si>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</si>
  <si>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</si>
  <si>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</si>
  <si>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</si>
  <si>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</si>
  <si>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</si>
  <si>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</si>
  <si>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</si>
  <si>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</si>
  <si>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</si>
  <si>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</si>
  <si>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</si>
  <si>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</si>
  <si>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</si>
  <si>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</si>
  <si>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</si>
  <si>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</si>
  <si>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</si>
  <si>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</si>
  <si>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</si>
  <si>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</si>
  <si>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</si>
  <si>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</si>
  <si>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</si>
  <si>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</si>
  <si>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</si>
  <si>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</si>
  <si>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</si>
  <si>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</si>
  <si>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</si>
  <si>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</si>
  <si>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</si>
  <si>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</si>
  <si>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</si>
  <si>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</si>
  <si>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</si>
  <si>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</si>
  <si>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</si>
  <si>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</si>
  <si>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</si>
  <si>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</si>
  <si>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</si>
  <si>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</si>
  <si>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</si>
  <si>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</si>
  <si>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</si>
  <si>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</si>
  <si>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</si>
  <si>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</si>
  <si>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</si>
  <si>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</si>
  <si>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</si>
  <si>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</si>
  <si>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</si>
  <si>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</si>
  <si>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</si>
  <si>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</si>
  <si>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</si>
  <si>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</si>
  <si>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</si>
  <si>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</si>
  <si>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</si>
  <si>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</si>
  <si>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</si>
  <si>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</si>
  <si>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</si>
  <si>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</si>
  <si>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</si>
  <si>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</si>
  <si>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</si>
  <si>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</si>
  <si>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</si>
  <si>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</si>
  <si>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</si>
  <si>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</si>
  <si>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</si>
  <si>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</si>
  <si>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</si>
  <si>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</si>
  <si>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</si>
  <si>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</si>
  <si>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</si>
  <si>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</si>
  <si>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</si>
  <si>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</si>
  <si>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</si>
  <si>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</si>
  <si>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</si>
  <si>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</si>
  <si>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</si>
  <si>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</si>
  <si>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</si>
  <si>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</si>
  <si>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</si>
  <si>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</si>
  <si>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</si>
  <si>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</si>
  <si>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</si>
  <si>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</si>
  <si>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</si>
  <si>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</si>
  <si>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</si>
  <si>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</si>
  <si>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</si>
  <si>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</si>
  <si>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</si>
  <si>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</si>
  <si>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</si>
  <si>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</si>
  <si>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</si>
  <si>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</si>
  <si>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</si>
  <si>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</si>
  <si>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</si>
  <si>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</si>
  <si>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</si>
  <si>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</si>
  <si>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</si>
  <si>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</si>
  <si>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</si>
  <si>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</si>
  <si>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</si>
  <si>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</si>
  <si>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</si>
  <si>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</si>
  <si>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</si>
  <si>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</si>
  <si>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</si>
  <si>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</si>
  <si>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</si>
  <si>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</si>
  <si>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</si>
  <si>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</si>
  <si>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</si>
  <si>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</si>
  <si>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</si>
  <si>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</si>
  <si>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</si>
  <si>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</si>
  <si>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</si>
  <si>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</si>
  <si>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</si>
  <si>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</si>
  <si>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</si>
  <si>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</si>
  <si>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</si>
  <si>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</si>
  <si>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</si>
  <si>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</si>
  <si>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</si>
  <si>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</si>
  <si>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</si>
  <si>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</si>
  <si>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</si>
  <si>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</si>
  <si>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</si>
  <si>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</si>
  <si>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</si>
  <si>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</si>
  <si>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</si>
  <si>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</si>
  <si>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</si>
  <si>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</si>
  <si>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</si>
  <si>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</si>
  <si>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</si>
  <si>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</si>
  <si>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</si>
  <si>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</si>
  <si>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</si>
  <si>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</si>
  <si>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</si>
  <si>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</si>
  <si>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</si>
  <si>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</si>
  <si>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</si>
  <si>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</si>
  <si>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</si>
  <si>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</si>
  <si>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</si>
  <si>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</si>
  <si>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</si>
  <si>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</si>
  <si>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</si>
  <si>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</si>
  <si>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</si>
  <si>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</si>
  <si>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</si>
  <si>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</si>
  <si>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</si>
  <si>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</si>
  <si>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</si>
  <si>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</si>
  <si>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</si>
  <si>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</si>
  <si>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</si>
  <si>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</si>
  <si>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</si>
  <si>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</si>
  <si>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</si>
  <si>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</si>
  <si>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</si>
  <si>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</si>
  <si>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</si>
  <si>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</si>
  <si>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</si>
  <si>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</si>
  <si>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</si>
  <si>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</si>
  <si>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</si>
  <si>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</si>
  <si>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</si>
  <si>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</si>
  <si>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</si>
  <si>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</si>
  <si>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</si>
  <si>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</si>
  <si>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</si>
  <si>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</si>
  <si>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</si>
  <si>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</si>
  <si>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</si>
  <si>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</si>
  <si>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</si>
  <si>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</si>
  <si>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</si>
  <si>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</si>
  <si>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</si>
  <si>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</si>
  <si>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</si>
  <si>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</si>
  <si>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</si>
  <si>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</si>
  <si>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</si>
  <si>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</si>
  <si>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</si>
  <si>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</si>
  <si>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</si>
  <si>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</si>
  <si>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</si>
  <si>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</si>
  <si>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</si>
  <si>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</si>
  <si>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</si>
  <si>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</si>
  <si>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</si>
  <si>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</si>
  <si>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</si>
  <si>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</si>
  <si>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</si>
  <si>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</si>
  <si>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</si>
  <si>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</si>
  <si>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</si>
  <si>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</si>
  <si>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</si>
  <si>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</si>
  <si>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</si>
  <si>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</si>
  <si>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</si>
  <si>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</si>
  <si>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</si>
  <si>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</si>
  <si>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</si>
  <si>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</si>
  <si>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</si>
  <si>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</si>
  <si>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</si>
  <si>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</si>
  <si>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</si>
  <si>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</si>
  <si>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</si>
  <si>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</si>
  <si>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</si>
  <si>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</si>
  <si>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</si>
  <si>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</si>
  <si>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</si>
  <si>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</si>
  <si>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</si>
  <si>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</si>
  <si>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</si>
  <si>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</si>
  <si>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</si>
  <si>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</si>
  <si>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</si>
  <si>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</si>
  <si>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</si>
  <si>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</si>
  <si>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</si>
  <si>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</si>
  <si>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</si>
  <si>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</si>
  <si>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</si>
  <si>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</si>
  <si>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</si>
  <si>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</si>
  <si>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</si>
  <si>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</si>
  <si>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</si>
  <si>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</si>
  <si>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</si>
  <si>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</si>
  <si>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</si>
  <si>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</si>
  <si>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</si>
  <si>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</si>
  <si>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</si>
  <si>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</si>
  <si>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</si>
  <si>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</si>
  <si>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</si>
  <si>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</si>
  <si>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</si>
  <si>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</si>
  <si>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</si>
  <si>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</si>
  <si>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</si>
  <si>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</si>
  <si>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</si>
  <si>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</si>
  <si>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</si>
  <si>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</si>
  <si>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</si>
  <si>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</si>
  <si>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</si>
  <si>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</si>
  <si>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</si>
  <si>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</si>
  <si>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</si>
  <si>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</si>
  <si>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</si>
  <si>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</si>
  <si>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</si>
  <si>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</si>
  <si>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</si>
  <si>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</si>
  <si>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</si>
  <si>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</si>
  <si>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</si>
  <si>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</si>
  <si>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</si>
  <si>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</si>
  <si>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</si>
  <si>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</si>
  <si>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</si>
  <si>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</si>
  <si>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</si>
  <si>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</si>
  <si>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</si>
  <si>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</si>
  <si>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</si>
  <si>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</si>
  <si>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</si>
  <si>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</si>
  <si>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</si>
  <si>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</si>
  <si>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</si>
  <si>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</si>
  <si>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</si>
  <si>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</si>
  <si>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</si>
  <si>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</si>
  <si>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</si>
  <si>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</si>
  <si>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</si>
  <si>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</si>
  <si>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</si>
  <si>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</si>
  <si>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</si>
  <si>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</si>
  <si>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</si>
  <si>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</si>
  <si>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</si>
  <si>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</si>
  <si>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</si>
  <si>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</si>
  <si>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</si>
  <si>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</si>
  <si>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</si>
  <si>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</si>
  <si>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</si>
  <si>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</si>
  <si>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</si>
  <si>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</si>
  <si>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</si>
  <si>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</si>
  <si>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</si>
  <si>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</si>
  <si>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</si>
  <si>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</si>
  <si>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</si>
  <si>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</si>
  <si>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</si>
  <si>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</si>
  <si>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</si>
  <si>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</si>
  <si>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</si>
  <si>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</si>
  <si>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</si>
  <si>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</si>
  <si>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</si>
  <si>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</si>
  <si>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</si>
  <si>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</si>
  <si>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</si>
  <si>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</si>
  <si>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</si>
  <si>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</si>
  <si>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</si>
  <si>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</si>
  <si>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</si>
  <si>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</si>
  <si>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</si>
  <si>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</si>
  <si>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</si>
  <si>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</si>
  <si>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</si>
  <si>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</si>
  <si>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</si>
  <si>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</si>
  <si>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</si>
  <si>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</si>
  <si>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</si>
  <si>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</si>
  <si>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</si>
  <si>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</si>
  <si>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</si>
  <si>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</si>
  <si>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</si>
  <si>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</si>
  <si>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</si>
  <si>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</si>
  <si>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</si>
  <si>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</si>
  <si>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</si>
  <si>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</si>
  <si>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</si>
  <si>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</si>
  <si>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</si>
  <si>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</si>
  <si>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</si>
  <si>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</si>
  <si>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</si>
  <si>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</si>
  <si>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</si>
  <si>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</si>
  <si>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</si>
  <si>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</si>
  <si>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</si>
  <si>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</si>
  <si>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</si>
  <si>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</si>
  <si>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</si>
  <si>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</si>
  <si>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</si>
  <si>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</si>
  <si>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</si>
  <si>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</si>
  <si>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</si>
  <si>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</si>
  <si>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</si>
  <si>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</si>
  <si>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</si>
  <si>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</si>
  <si>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</si>
  <si>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</si>
  <si>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</si>
  <si>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</si>
  <si>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</si>
  <si>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</si>
  <si>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</si>
  <si>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</si>
  <si>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</si>
  <si>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</si>
  <si>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</si>
  <si>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</si>
  <si>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</si>
  <si>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</si>
  <si>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</si>
  <si>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</si>
  <si>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</si>
  <si>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</si>
  <si>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</si>
  <si>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</si>
  <si>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</si>
  <si>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</si>
  <si>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</si>
  <si>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</si>
  <si>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</si>
  <si>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</si>
  <si>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</si>
  <si>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</si>
  <si>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</si>
  <si>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</si>
  <si>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</si>
  <si>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</si>
  <si>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</si>
  <si>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</si>
  <si>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</si>
  <si>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</si>
  <si>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</si>
  <si>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</si>
  <si>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</si>
  <si>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</si>
  <si>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</si>
  <si>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</si>
  <si>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</si>
  <si>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</si>
  <si>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</si>
  <si>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</si>
  <si>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</si>
  <si>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</si>
  <si>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</si>
  <si>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</si>
  <si>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</si>
  <si>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</si>
  <si>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</si>
  <si>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</si>
  <si>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</si>
  <si>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</si>
  <si>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</si>
  <si>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</si>
  <si>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</si>
  <si>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</si>
  <si>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</si>
  <si>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</si>
  <si>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</si>
  <si>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</si>
  <si>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</si>
  <si>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</si>
  <si>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</si>
  <si>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</si>
  <si>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</si>
  <si>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</si>
  <si>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</si>
  <si>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</si>
  <si>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</si>
  <si>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</si>
  <si>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</si>
  <si>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</si>
  <si>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</si>
  <si>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</si>
  <si>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</si>
  <si>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</si>
  <si>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</si>
  <si>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</si>
  <si>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</si>
  <si>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</si>
  <si>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</si>
  <si>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</si>
  <si>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</si>
  <si>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</si>
  <si>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</si>
  <si>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</si>
  <si>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</si>
  <si>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</si>
  <si>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</si>
  <si>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</si>
  <si>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</si>
  <si>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</si>
  <si>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</si>
  <si>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</si>
  <si>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</si>
  <si>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</si>
  <si>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</si>
  <si>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</si>
  <si>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</si>
  <si>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</si>
  <si>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</si>
  <si>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</si>
  <si>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</si>
  <si>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</si>
  <si>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</si>
  <si>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</si>
  <si>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</si>
  <si>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</si>
  <si>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</si>
  <si>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</si>
  <si>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</si>
  <si>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</si>
  <si>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</si>
  <si>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</si>
  <si>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</si>
  <si>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</si>
  <si>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</si>
  <si>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</si>
  <si>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</si>
  <si>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</si>
  <si>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</si>
  <si>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</si>
  <si>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</si>
  <si>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</si>
  <si>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</si>
  <si>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</si>
  <si>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</si>
  <si>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</si>
  <si>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</si>
  <si>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</si>
  <si>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</si>
  <si>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</si>
  <si>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</si>
  <si>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</si>
  <si>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</si>
  <si>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</si>
  <si>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</si>
  <si>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</si>
  <si>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</si>
  <si>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</si>
  <si>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</si>
  <si>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</si>
  <si>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</si>
  <si>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</si>
  <si>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</si>
  <si>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</si>
  <si>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</si>
  <si>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</si>
  <si>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</si>
  <si>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</si>
  <si>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</si>
  <si>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</si>
  <si>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</si>
  <si>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</si>
  <si>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</si>
  <si>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</si>
  <si>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</si>
  <si>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</si>
  <si>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</si>
  <si>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</si>
  <si>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</si>
  <si>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</si>
  <si>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</si>
  <si>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</si>
  <si>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</si>
  <si>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</si>
  <si>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</si>
  <si>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</si>
  <si>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</si>
  <si>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</si>
  <si>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</si>
  <si>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</si>
  <si>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</si>
  <si>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</si>
  <si>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</si>
  <si>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</si>
  <si>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</si>
  <si>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</si>
  <si>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</si>
  <si>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</si>
  <si>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</si>
  <si>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</si>
  <si>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</si>
  <si>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</si>
  <si>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</si>
  <si>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</si>
  <si>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</si>
  <si>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</si>
  <si>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</si>
  <si>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</si>
  <si>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</si>
  <si>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</si>
  <si>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</si>
  <si>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</si>
  <si>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</si>
  <si>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</si>
  <si>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</si>
  <si>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</si>
  <si>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</si>
  <si>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</si>
  <si>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</si>
  <si>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</si>
  <si>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</si>
  <si>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</si>
  <si>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</si>
  <si>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</si>
  <si>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</si>
  <si>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</si>
  <si>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</si>
  <si>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</si>
  <si>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</si>
  <si>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</si>
  <si>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</si>
  <si>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</si>
  <si>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</si>
  <si>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</si>
  <si>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</si>
  <si>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</si>
  <si>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</si>
  <si>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</si>
  <si>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</si>
  <si>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</si>
  <si>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</si>
  <si>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</si>
  <si>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</si>
  <si>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</si>
  <si>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</si>
  <si>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</si>
  <si>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</si>
  <si>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</si>
  <si>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</si>
  <si>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</si>
  <si>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</si>
  <si>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</si>
  <si>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</si>
  <si>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</si>
  <si>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</si>
  <si>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</si>
  <si>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</si>
  <si>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</si>
  <si>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</si>
  <si>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</si>
  <si>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</si>
  <si>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</si>
  <si>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</si>
  <si>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</si>
  <si>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</si>
  <si>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</si>
  <si>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</si>
  <si>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</si>
  <si>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</si>
  <si>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</si>
  <si>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</si>
  <si>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</si>
  <si>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</si>
  <si>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</si>
  <si>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</si>
  <si>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</si>
  <si>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</si>
  <si>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</si>
  <si>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</si>
  <si>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</si>
  <si>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</si>
  <si>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</si>
  <si>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</si>
  <si>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</si>
  <si>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</si>
  <si>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</si>
  <si>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</si>
  <si>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</si>
  <si>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</si>
  <si>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</si>
  <si>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</si>
  <si>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</si>
  <si>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</si>
  <si>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</si>
  <si>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</si>
  <si>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</si>
  <si>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</si>
  <si>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</si>
  <si>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</si>
  <si>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</si>
  <si>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</si>
  <si>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</si>
  <si>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</si>
  <si>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</si>
  <si>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</si>
  <si>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</si>
  <si>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</si>
  <si>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</si>
  <si>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</si>
  <si>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</si>
  <si>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</si>
  <si>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</si>
  <si>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</si>
  <si>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</si>
  <si>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</si>
  <si>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</si>
  <si>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</si>
  <si>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</si>
  <si>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</si>
  <si>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</si>
  <si>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</si>
  <si>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</si>
  <si>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</si>
  <si>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</si>
  <si>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</si>
  <si>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</si>
  <si>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</si>
  <si>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</si>
  <si>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</si>
  <si>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</si>
  <si>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</si>
  <si>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</si>
  <si>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</si>
  <si>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</si>
  <si>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</si>
  <si>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</si>
  <si>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</si>
  <si>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</si>
  <si>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</si>
  <si>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</si>
  <si>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</si>
  <si>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</si>
  <si>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</si>
  <si>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</si>
  <si>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</si>
  <si>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</si>
  <si>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</si>
  <si>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</si>
  <si>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</si>
  <si>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</si>
  <si>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</si>
  <si>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</si>
  <si>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</si>
  <si>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</si>
  <si>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</si>
  <si>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</si>
  <si>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</si>
  <si>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</si>
  <si>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</si>
  <si>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</si>
  <si>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</si>
  <si>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</si>
  <si>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</si>
  <si>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</si>
  <si>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</si>
  <si>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</si>
  <si>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</si>
  <si>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</si>
  <si>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</si>
  <si>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</si>
  <si>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</si>
  <si>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</si>
  <si>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</si>
  <si>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</si>
  <si>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</si>
  <si>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</si>
  <si>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</si>
  <si>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</si>
  <si>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</si>
  <si>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</si>
  <si>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</si>
  <si>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</si>
  <si>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</si>
  <si>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</si>
  <si>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</si>
  <si>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</si>
  <si>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</si>
  <si>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</si>
  <si>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</si>
  <si>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</si>
  <si>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</si>
  <si>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</si>
  <si>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</si>
  <si>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</si>
  <si>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</si>
  <si>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</si>
  <si>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</si>
  <si>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</si>
  <si>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</si>
  <si>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</si>
  <si>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</si>
  <si>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</si>
  <si>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</si>
  <si>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</si>
  <si>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</si>
  <si>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</si>
  <si>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</si>
  <si>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</si>
  <si>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</si>
  <si>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</si>
  <si>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</si>
  <si>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</si>
  <si>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</si>
  <si>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</si>
  <si>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</si>
  <si>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</si>
  <si>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</si>
  <si>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</si>
  <si>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</si>
  <si>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</si>
  <si>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</si>
  <si>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</si>
  <si>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</si>
  <si>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</si>
  <si>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</si>
  <si>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</si>
  <si>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</si>
  <si>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</si>
  <si>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</si>
  <si>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</si>
  <si>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</si>
  <si>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</si>
  <si>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</si>
  <si>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</si>
  <si>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</si>
  <si>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</si>
  <si>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</si>
  <si>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</si>
  <si>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</si>
  <si>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</si>
  <si>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</si>
  <si>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</si>
  <si>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</si>
  <si>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</si>
  <si>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</si>
  <si>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</si>
  <si>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</si>
  <si>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</si>
  <si>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</si>
  <si>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</si>
  <si>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</si>
  <si>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</si>
  <si>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</si>
  <si>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</si>
  <si>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</si>
  <si>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</si>
  <si>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</si>
  <si>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</si>
  <si>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</si>
  <si>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</si>
  <si>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</si>
  <si>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</si>
  <si>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</si>
  <si>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</si>
  <si>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</si>
  <si>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</si>
  <si>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</si>
  <si>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</si>
  <si>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</si>
  <si>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</si>
  <si>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</si>
  <si>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</si>
  <si>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</si>
  <si>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</si>
  <si>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</si>
  <si>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</si>
  <si>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</si>
  <si>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</si>
  <si>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</si>
  <si>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</si>
  <si>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</si>
  <si>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</si>
  <si>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</si>
  <si>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</si>
  <si>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</si>
  <si>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</si>
  <si>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</si>
  <si>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</si>
  <si>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</si>
  <si>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</si>
  <si>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</si>
  <si>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</si>
  <si>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</si>
  <si>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</si>
  <si>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</si>
  <si>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</si>
  <si>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</si>
  <si>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</si>
  <si>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</si>
  <si>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</si>
  <si>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</si>
  <si>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</si>
  <si>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</si>
  <si>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</si>
  <si>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</si>
  <si>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</si>
  <si>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</si>
  <si>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</si>
  <si>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</si>
  <si>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</si>
  <si>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</si>
  <si>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</si>
  <si>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</si>
  <si>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</si>
  <si>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</si>
  <si>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</si>
  <si>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</si>
  <si>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</si>
  <si>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</si>
  <si>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</si>
  <si>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</si>
  <si>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</si>
  <si>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</si>
  <si>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</si>
  <si>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</si>
  <si>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</si>
  <si>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</si>
  <si>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</si>
  <si>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</si>
  <si>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</si>
  <si>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</si>
  <si>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</si>
  <si>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</si>
  <si>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</si>
  <si>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</si>
  <si>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</si>
  <si>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</si>
  <si>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</si>
  <si>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</si>
  <si>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</si>
  <si>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</si>
  <si>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</si>
  <si>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</si>
  <si>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</si>
  <si>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</si>
  <si>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</si>
  <si>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</si>
  <si>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</si>
  <si>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</si>
  <si>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</si>
  <si>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</si>
  <si>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</si>
  <si>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</si>
  <si>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</si>
  <si>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</si>
  <si>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</si>
  <si>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</si>
  <si>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</si>
  <si>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</si>
  <si>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</si>
  <si>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</si>
  <si>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</si>
  <si>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</si>
  <si>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</si>
  <si>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</si>
  <si>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</si>
  <si>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</si>
  <si>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</si>
  <si>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</si>
  <si>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</si>
  <si>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</si>
  <si>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</si>
  <si>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</si>
  <si>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</si>
  <si>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</si>
  <si>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</si>
  <si>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</si>
  <si>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</si>
  <si>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</si>
  <si>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</si>
  <si>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</si>
  <si>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</si>
  <si>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</si>
  <si>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</si>
  <si>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</si>
  <si>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</si>
  <si>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</si>
  <si>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</si>
  <si>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</si>
  <si>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</si>
  <si>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</si>
  <si>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</si>
  <si>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</si>
  <si>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</si>
  <si>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</si>
  <si>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</si>
  <si>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</si>
  <si>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</si>
  <si>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</si>
  <si>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</si>
  <si>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</si>
  <si>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</si>
  <si>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</si>
  <si>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</si>
  <si>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</si>
  <si>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</si>
  <si>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</si>
  <si>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</si>
  <si>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</si>
  <si>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</si>
  <si>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</si>
  <si>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</si>
  <si>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</si>
  <si>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</si>
  <si>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</si>
  <si>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</si>
  <si>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</si>
  <si>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</si>
  <si>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</si>
  <si>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</si>
  <si>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</si>
  <si>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</si>
  <si>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</si>
  <si>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</si>
  <si>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</si>
  <si>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</si>
  <si>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</si>
  <si>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</si>
  <si>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</si>
  <si>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</si>
  <si>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</si>
  <si>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</si>
  <si>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</si>
  <si>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</si>
  <si>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</si>
  <si>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</si>
  <si>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</si>
  <si>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</si>
  <si>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</si>
  <si>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</si>
  <si>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</si>
  <si>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</si>
  <si>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</si>
  <si>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</si>
  <si>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</si>
  <si>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</si>
  <si>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</si>
  <si>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</si>
  <si>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</si>
  <si>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</si>
  <si>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</si>
  <si>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</si>
  <si>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</si>
  <si>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</si>
  <si>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</si>
  <si>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</si>
  <si>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</si>
  <si>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</si>
  <si>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</si>
  <si>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</si>
  <si>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</si>
  <si>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</si>
  <si>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</si>
  <si>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</si>
  <si>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</si>
  <si>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</si>
  <si>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</si>
  <si>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</si>
  <si>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</si>
  <si>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</si>
  <si>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</si>
  <si>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</si>
  <si>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</si>
  <si>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</si>
  <si>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</si>
  <si>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</si>
  <si>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</si>
  <si>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</si>
  <si>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</si>
  <si>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</si>
  <si>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</si>
  <si>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</si>
  <si>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</si>
  <si>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</si>
  <si>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</si>
  <si>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</si>
  <si>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</si>
  <si>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</si>
  <si>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</si>
  <si>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</si>
  <si>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</si>
  <si>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</si>
  <si>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</si>
  <si>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</si>
  <si>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</si>
  <si>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</si>
  <si>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</si>
  <si>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</si>
  <si>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</si>
  <si>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</si>
  <si>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</si>
  <si>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</si>
  <si>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</si>
  <si>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</si>
  <si>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</si>
  <si>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</si>
  <si>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</si>
  <si>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</si>
  <si>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</si>
  <si>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</si>
  <si>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</si>
  <si>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</si>
  <si>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</si>
  <si>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</si>
  <si>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</si>
  <si>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</si>
  <si>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</si>
  <si>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</si>
  <si>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</si>
  <si>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</si>
  <si>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</si>
  <si>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</si>
  <si>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</si>
  <si>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</si>
  <si>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</si>
  <si>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</si>
  <si>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</si>
  <si>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</si>
  <si>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</si>
  <si>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</si>
  <si>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</si>
  <si>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</si>
  <si>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</si>
  <si>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</si>
  <si>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</si>
  <si>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</si>
  <si>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</si>
  <si>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</si>
  <si>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</si>
  <si>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</si>
  <si>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</si>
  <si>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</si>
  <si>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</si>
  <si>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</si>
  <si>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</si>
  <si>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</si>
  <si>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</si>
  <si>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</si>
  <si>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</si>
  <si>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</si>
  <si>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</si>
  <si>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</si>
  <si>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</si>
  <si>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</si>
  <si>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</si>
  <si>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</si>
  <si>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</si>
  <si>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</si>
  <si>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</si>
  <si>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</si>
  <si>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</si>
  <si>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</si>
  <si>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</si>
  <si>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</si>
  <si>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</si>
  <si>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</si>
  <si>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</si>
  <si>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</si>
  <si>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</si>
  <si>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</si>
  <si>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</si>
  <si>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</si>
  <si>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</si>
  <si>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</si>
  <si>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</si>
  <si>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</si>
  <si>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</si>
  <si>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</si>
  <si>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</si>
  <si>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</si>
  <si>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</si>
  <si>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</si>
  <si>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</si>
  <si>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</si>
  <si>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</si>
  <si>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</si>
  <si>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</si>
  <si>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</si>
  <si>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</si>
  <si>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</si>
  <si>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</si>
  <si>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</si>
  <si>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</si>
  <si>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</si>
  <si>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</si>
  <si>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</si>
  <si>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</si>
  <si>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</si>
  <si>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</si>
  <si>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</si>
  <si>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</si>
  <si>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</si>
  <si>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</si>
  <si>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</si>
  <si>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</si>
  <si>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</si>
  <si>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</si>
  <si>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</si>
  <si>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</si>
  <si>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</si>
  <si>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</si>
  <si>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</si>
  <si>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</si>
  <si>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</si>
  <si>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</si>
  <si>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</si>
  <si>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</si>
  <si>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</si>
  <si>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</si>
  <si>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</si>
  <si>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</si>
  <si>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</si>
  <si>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</si>
  <si>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</si>
  <si>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</si>
  <si>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</si>
  <si>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</si>
  <si>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</si>
  <si>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</si>
  <si>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</si>
  <si>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</si>
  <si>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</si>
  <si>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</si>
  <si>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</si>
  <si>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</si>
  <si>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</si>
  <si>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</si>
  <si>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</si>
  <si>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</si>
  <si>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</si>
  <si>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</si>
  <si>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</si>
  <si>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</si>
  <si>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</si>
  <si>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</si>
  <si>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</si>
  <si>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</si>
  <si>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</si>
  <si>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</si>
  <si>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</si>
  <si>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</si>
  <si>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</si>
  <si>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</si>
  <si>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</si>
  <si>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</si>
  <si>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</si>
  <si>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</si>
  <si>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</si>
  <si>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</si>
  <si>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</si>
  <si>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</si>
  <si>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</si>
  <si>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</si>
  <si>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</si>
  <si>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</si>
  <si>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</si>
  <si>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</si>
  <si>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</si>
  <si>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</si>
  <si>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</si>
  <si>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</si>
  <si>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</si>
  <si>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</si>
  <si>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</si>
  <si>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</si>
  <si>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</si>
  <si>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</si>
  <si>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</si>
  <si>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</si>
  <si>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</si>
  <si>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</si>
  <si>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</si>
  <si>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</si>
  <si>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</si>
  <si>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</si>
  <si>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</si>
  <si>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</si>
  <si>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</si>
  <si>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</si>
  <si>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</si>
  <si>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</si>
  <si>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</si>
  <si>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</si>
  <si>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</si>
  <si>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</si>
  <si>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</si>
  <si>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</si>
  <si>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</si>
  <si>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</si>
  <si>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</si>
  <si>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</si>
  <si>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</si>
  <si>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</si>
  <si>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</si>
  <si>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</si>
  <si>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</si>
  <si>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</si>
  <si>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</si>
  <si>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</si>
  <si>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</si>
  <si>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</si>
  <si>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</si>
  <si>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</si>
  <si>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</si>
  <si>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</si>
  <si>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</si>
  <si>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</si>
  <si>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</si>
  <si>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</si>
  <si>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</si>
  <si>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</si>
  <si>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</si>
  <si>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</si>
  <si>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</si>
  <si>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</si>
  <si>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</si>
  <si>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</si>
  <si>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</si>
  <si>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</si>
  <si>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</si>
  <si>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</si>
  <si>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</si>
  <si>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</si>
  <si>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</si>
  <si>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</si>
  <si>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</si>
  <si>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</si>
  <si>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</si>
  <si>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</si>
  <si>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</si>
  <si>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</si>
  <si>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</si>
  <si>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</si>
  <si>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</si>
  <si>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</si>
  <si>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</si>
  <si>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</si>
  <si>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</si>
  <si>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</si>
  <si>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</si>
  <si>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</si>
  <si>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</si>
  <si>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</si>
  <si>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</si>
  <si>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</si>
  <si>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</si>
  <si>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</si>
  <si>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</si>
  <si>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</si>
  <si>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</si>
  <si>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</si>
  <si>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</si>
  <si>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</si>
  <si>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</si>
  <si>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</si>
  <si>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</si>
  <si>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</si>
  <si>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</si>
  <si>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</si>
  <si>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</si>
  <si>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</si>
  <si>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</si>
  <si>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</si>
  <si>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</si>
  <si>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</si>
  <si>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</si>
  <si>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</si>
  <si>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</si>
  <si>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</si>
  <si>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</si>
  <si>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</si>
  <si>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</si>
  <si>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</si>
  <si>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</si>
  <si>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</si>
  <si>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</si>
  <si>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</si>
  <si>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</si>
  <si>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</si>
  <si>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</si>
  <si>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</si>
  <si>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</si>
  <si>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</si>
  <si>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</si>
  <si>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</si>
  <si>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</si>
  <si>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</si>
  <si>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</si>
  <si>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</si>
  <si>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</si>
  <si>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</si>
  <si>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</si>
  <si>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</si>
  <si>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</si>
  <si>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</si>
  <si>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</si>
  <si>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</si>
  <si>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</si>
  <si>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</si>
  <si>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</si>
  <si>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</si>
  <si>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</si>
  <si>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</si>
  <si>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</si>
  <si>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</si>
  <si>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</si>
  <si>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</si>
  <si>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</si>
  <si>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</si>
  <si>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</si>
  <si>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</si>
  <si>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</si>
  <si>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</si>
  <si>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</si>
  <si>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</si>
  <si>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</si>
  <si>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</si>
  <si>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</si>
  <si>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</si>
  <si>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</si>
  <si>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</si>
  <si>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</si>
  <si>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</si>
  <si>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</si>
  <si>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</si>
  <si>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</si>
  <si>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</si>
  <si>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</si>
  <si>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</si>
  <si>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</si>
  <si>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</si>
  <si>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</si>
  <si>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</si>
  <si>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</si>
  <si>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</si>
  <si>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</si>
  <si>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</si>
  <si>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</si>
  <si>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</si>
  <si>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</si>
  <si>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</si>
  <si>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</si>
  <si>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</si>
  <si>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</si>
  <si>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</si>
  <si>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</si>
  <si>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</si>
  <si>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</si>
  <si>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</si>
  <si>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</si>
  <si>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</si>
  <si>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</si>
  <si>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</si>
  <si>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</si>
  <si>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</si>
  <si>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</si>
  <si>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</si>
  <si>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</si>
  <si>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</si>
  <si>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</si>
  <si>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</si>
  <si>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</si>
  <si>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</si>
  <si>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</si>
  <si>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</si>
  <si>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</si>
  <si>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</si>
  <si>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</si>
  <si>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</si>
  <si>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</si>
  <si>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</si>
  <si>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</si>
  <si>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</si>
  <si>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</si>
  <si>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</si>
  <si>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</si>
  <si>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</si>
  <si>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</si>
  <si>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</si>
  <si>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</si>
  <si>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</si>
  <si>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</si>
  <si>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</si>
  <si>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</si>
  <si>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</si>
  <si>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</si>
  <si>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</si>
  <si>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</si>
  <si>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</si>
  <si>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</si>
  <si>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</si>
  <si>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</si>
  <si>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</si>
  <si>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</si>
  <si>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</si>
  <si>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</si>
  <si>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</si>
  <si>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</si>
  <si>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</si>
  <si>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</si>
  <si>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</si>
  <si>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</si>
  <si>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</si>
  <si>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</si>
  <si>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</si>
  <si>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</si>
  <si>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</si>
  <si>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</si>
  <si>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</si>
  <si>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</si>
  <si>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</si>
  <si>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</si>
  <si>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</si>
  <si>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</si>
  <si>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</si>
  <si>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</si>
  <si>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</si>
  <si>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</si>
  <si>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</si>
  <si>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</si>
  <si>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</si>
  <si>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</si>
  <si>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</si>
  <si>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</si>
  <si>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</si>
  <si>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</si>
  <si>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</si>
  <si>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</si>
  <si>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</si>
  <si>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</si>
  <si>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</si>
  <si>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</si>
  <si>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</si>
  <si>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</si>
  <si>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</si>
  <si>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</si>
  <si>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</si>
  <si>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</si>
  <si>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</si>
  <si>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</si>
  <si>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</si>
  <si>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</si>
  <si>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</si>
  <si>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</si>
  <si>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</si>
  <si>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</si>
  <si>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</si>
  <si>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</si>
  <si>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</si>
  <si>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</si>
  <si>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</si>
  <si>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</si>
  <si>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</si>
  <si>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</si>
  <si>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</si>
  <si>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</si>
  <si>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</si>
  <si>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</si>
  <si>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</si>
  <si>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</si>
  <si>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</si>
  <si>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</si>
  <si>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</si>
  <si>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</si>
  <si>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</si>
  <si>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</si>
  <si>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</si>
  <si>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</si>
  <si>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</si>
  <si>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</si>
  <si>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</si>
  <si>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</si>
  <si>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</si>
  <si>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</si>
  <si>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</si>
  <si>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</si>
  <si>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</si>
  <si>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</si>
  <si>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</si>
  <si>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</si>
  <si>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</si>
  <si>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</si>
  <si>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</si>
  <si>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</si>
  <si>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</si>
  <si>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</si>
  <si>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</si>
  <si>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</si>
  <si>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</si>
  <si>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</si>
  <si>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</si>
  <si>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</si>
  <si>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</si>
  <si>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</si>
  <si>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</si>
  <si>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</si>
  <si>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</si>
  <si>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</si>
  <si>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</si>
  <si>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</si>
  <si>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</si>
  <si>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</si>
  <si>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</si>
  <si>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</si>
  <si>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</si>
  <si>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</si>
  <si>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</si>
  <si>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</si>
  <si>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</si>
  <si>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</si>
  <si>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</si>
  <si>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</si>
  <si>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</si>
  <si>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</si>
  <si>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</si>
  <si>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</si>
  <si>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</si>
  <si>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</si>
  <si>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</si>
  <si>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</si>
  <si>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</si>
  <si>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</si>
  <si>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</si>
  <si>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</si>
  <si>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</si>
  <si>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</si>
  <si>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</si>
  <si>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</si>
  <si>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</si>
  <si>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</si>
  <si>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</si>
  <si>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</si>
  <si>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</si>
  <si>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</si>
  <si>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</si>
  <si>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</si>
  <si>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</si>
  <si>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</si>
  <si>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</si>
  <si>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</si>
  <si>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</si>
  <si>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</si>
  <si>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</si>
  <si>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</si>
  <si>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</si>
  <si>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</si>
  <si>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</si>
  <si>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</si>
  <si>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</si>
  <si>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</si>
  <si>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</si>
  <si>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</si>
  <si>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</si>
  <si>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</si>
  <si>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</si>
  <si>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</si>
  <si>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</si>
  <si>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</si>
  <si>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</si>
  <si>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</si>
  <si>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</si>
  <si>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</si>
  <si>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</si>
  <si>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</si>
  <si>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</si>
  <si>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</si>
  <si>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</si>
  <si>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</si>
  <si>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</si>
  <si>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</si>
  <si>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</si>
  <si>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</si>
  <si>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</si>
  <si>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</si>
  <si>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</si>
  <si>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</si>
  <si>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</si>
  <si>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</si>
  <si>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</si>
  <si>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</si>
  <si>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</si>
  <si>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</si>
  <si>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</si>
  <si>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</si>
  <si>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</si>
  <si>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</si>
  <si>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</si>
  <si>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</si>
  <si>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</si>
  <si>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</si>
  <si>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</si>
  <si>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</si>
  <si>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</si>
  <si>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</si>
  <si>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</si>
  <si>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</si>
  <si>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</si>
  <si>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</si>
  <si>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</si>
  <si>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</si>
  <si>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</si>
  <si>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</si>
  <si>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</si>
  <si>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</si>
  <si>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</si>
  <si>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</si>
  <si>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</si>
  <si>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</si>
  <si>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</si>
  <si>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</si>
  <si>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</si>
  <si>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</si>
  <si>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</si>
  <si>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</si>
  <si>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</si>
  <si>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</si>
  <si>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</si>
  <si>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</si>
  <si>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</si>
  <si>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</si>
  <si>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</si>
  <si>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</si>
  <si>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</si>
  <si>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</si>
  <si>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</si>
  <si>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</si>
  <si>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</si>
  <si>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</si>
  <si>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</si>
  <si>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</si>
  <si>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</si>
  <si>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</si>
  <si>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</si>
  <si>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</si>
  <si>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</si>
  <si>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</si>
  <si>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</si>
  <si>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</si>
  <si>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</si>
  <si>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</si>
  <si>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</si>
  <si>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</si>
  <si>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</si>
  <si>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</si>
  <si>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</si>
  <si>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</si>
  <si>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</si>
  <si>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</si>
  <si>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</si>
  <si>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</si>
  <si>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</si>
  <si>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</si>
  <si>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</si>
  <si>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</si>
  <si>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</si>
  <si>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</si>
  <si>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</si>
  <si>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</si>
  <si>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</si>
  <si>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</si>
  <si>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</si>
  <si>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</si>
  <si>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</si>
  <si>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</si>
  <si>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</si>
  <si>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</si>
  <si>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</si>
  <si>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</si>
  <si>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</si>
  <si>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</si>
  <si>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</si>
  <si>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</si>
  <si>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</si>
  <si>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</si>
  <si>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</si>
  <si>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</si>
  <si>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</si>
  <si>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</si>
  <si>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</si>
  <si>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</si>
  <si>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</si>
  <si>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</si>
  <si>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</si>
  <si>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</si>
  <si>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</si>
  <si>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</si>
  <si>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</si>
  <si>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</si>
  <si>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</si>
  <si>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</si>
  <si>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</si>
  <si>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</si>
  <si>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</si>
  <si>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</si>
  <si>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</si>
  <si>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</si>
  <si>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</si>
  <si>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</si>
  <si>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</si>
  <si>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</si>
  <si>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</si>
  <si>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</si>
  <si>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</si>
  <si>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</si>
  <si>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</si>
  <si>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</si>
  <si>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</si>
  <si>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</si>
  <si>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</si>
  <si>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</si>
  <si>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</si>
  <si>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</si>
  <si>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</si>
  <si>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</si>
  <si>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</si>
  <si>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</si>
  <si>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</si>
  <si>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</si>
  <si>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</si>
  <si>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</si>
  <si>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</si>
  <si>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</si>
  <si>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</si>
  <si>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</si>
  <si>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</si>
  <si>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</si>
  <si>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</si>
  <si>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</si>
  <si>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</si>
  <si>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</si>
  <si>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</si>
  <si>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</si>
  <si>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</si>
  <si>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</si>
  <si>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</si>
  <si>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</si>
  <si>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</si>
  <si>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</si>
  <si>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</si>
  <si>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</si>
  <si>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</si>
  <si>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</si>
  <si>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</si>
  <si>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</si>
  <si>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</si>
  <si>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</si>
  <si>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</si>
  <si>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</si>
  <si>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</si>
  <si>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</si>
  <si>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</si>
  <si>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</si>
  <si>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</si>
  <si>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</si>
  <si>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</si>
  <si>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</si>
  <si>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</si>
  <si>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</si>
  <si>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</si>
  <si>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</si>
  <si>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</si>
  <si>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</si>
  <si>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</si>
  <si>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</si>
  <si>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</si>
  <si>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</si>
  <si>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</si>
  <si>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</si>
  <si>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</si>
  <si>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</si>
  <si>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</si>
  <si>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</si>
  <si>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</si>
  <si>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</si>
  <si>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</si>
  <si>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</si>
  <si>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</si>
  <si>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</si>
  <si>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</si>
  <si>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</si>
  <si>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</si>
  <si>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</si>
  <si>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</si>
  <si>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</si>
  <si>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</si>
  <si>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</si>
  <si>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</si>
  <si>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</si>
  <si>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</si>
  <si>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</si>
  <si>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</si>
  <si>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</si>
  <si>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</si>
  <si>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</si>
  <si>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</si>
  <si>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</si>
  <si>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</si>
  <si>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</si>
  <si>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</si>
  <si>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</si>
  <si>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</si>
  <si>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</si>
  <si>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</si>
  <si>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</si>
  <si>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</si>
  <si>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</si>
  <si>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</si>
  <si>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</si>
  <si>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</si>
  <si>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</si>
  <si>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</si>
  <si>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</si>
  <si>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</si>
  <si>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</si>
  <si>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</si>
  <si>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</si>
  <si>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</si>
  <si>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</si>
  <si>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</si>
  <si>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</si>
  <si>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</si>
  <si>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</si>
  <si>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</si>
  <si>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</si>
  <si>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</si>
  <si>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</si>
  <si>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</si>
  <si>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</si>
  <si>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</si>
  <si>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</si>
  <si>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</si>
  <si>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</si>
  <si>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</si>
  <si>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</si>
  <si>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</si>
  <si>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</si>
  <si>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</si>
  <si>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</si>
  <si>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</si>
  <si>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</si>
  <si>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</si>
  <si>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</si>
  <si>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</si>
  <si>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</si>
  <si>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</si>
  <si>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</si>
  <si>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</si>
  <si>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</si>
  <si>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</si>
  <si>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</si>
  <si>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</si>
  <si>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</si>
  <si>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</si>
  <si>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</si>
  <si>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</si>
  <si>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</si>
  <si>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</si>
  <si>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</si>
  <si>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</si>
  <si>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</si>
  <si>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</si>
  <si>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</si>
  <si>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</si>
  <si>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</si>
  <si>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</si>
  <si>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</si>
  <si>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</si>
  <si>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</si>
  <si>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</si>
  <si>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</si>
  <si>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</si>
  <si>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</si>
  <si>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</si>
  <si>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</si>
  <si>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</si>
  <si>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</si>
  <si>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</si>
  <si>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</si>
  <si>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</si>
  <si>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</si>
  <si>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</si>
  <si>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</si>
  <si>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</si>
  <si>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</si>
  <si>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</si>
  <si>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</si>
  <si>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</si>
  <si>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</si>
  <si>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</si>
  <si>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</si>
  <si>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</si>
  <si>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</si>
  <si>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</si>
  <si>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</si>
  <si>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</si>
  <si>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</si>
  <si>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</si>
  <si>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</si>
  <si>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</si>
  <si>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</si>
  <si>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</si>
  <si>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</si>
  <si>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</si>
  <si>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</si>
  <si>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</si>
  <si>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</si>
  <si>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</si>
  <si>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</si>
  <si>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</si>
  <si>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</si>
  <si>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</si>
  <si>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</si>
  <si>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</si>
  <si>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</si>
  <si>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</si>
  <si>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</si>
  <si>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</si>
  <si>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</si>
  <si>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</si>
  <si>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</si>
  <si>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</si>
  <si>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</si>
  <si>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</si>
  <si>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</si>
  <si>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</si>
  <si>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</si>
  <si>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</si>
  <si>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</si>
  <si>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</si>
  <si>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</si>
  <si>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</si>
  <si>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</si>
  <si>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</si>
  <si>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</si>
  <si>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</si>
  <si>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</si>
  <si>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</si>
  <si>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</si>
  <si>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</si>
  <si>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</si>
  <si>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</si>
  <si>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</si>
  <si>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</si>
  <si>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</si>
  <si>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</si>
  <si>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</si>
  <si>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</si>
  <si>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</si>
  <si>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</si>
  <si>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</si>
  <si>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</si>
  <si>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</si>
  <si>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</si>
  <si>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</si>
  <si>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</si>
  <si>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</si>
  <si>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</si>
  <si>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</si>
  <si>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</si>
  <si>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</si>
  <si>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</si>
  <si>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</si>
  <si>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</si>
  <si>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</si>
  <si>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</si>
  <si>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</si>
  <si>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</si>
  <si>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</si>
  <si>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</si>
  <si>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</si>
  <si>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</si>
  <si>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</si>
  <si>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</si>
  <si>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</si>
  <si>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</si>
  <si>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</si>
  <si>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</si>
  <si>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</si>
  <si>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</si>
  <si>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</si>
  <si>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DFLTPGCOH_002132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</si>
  <si>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</si>
  <si>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</si>
  <si>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</si>
  <si>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</si>
  <si>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</si>
  <si>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</si>
  <si>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DFLTPGCOH_DIV-63_001248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</si>
  <si>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</si>
  <si>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</si>
  <si>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</si>
  <si>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</si>
  <si>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</si>
  <si>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</si>
  <si>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</si>
  <si>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</si>
  <si>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</si>
  <si>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</si>
  <si>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</si>
  <si>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</si>
  <si>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</si>
  <si>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</si>
  <si>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</si>
  <si>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</si>
  <si>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</si>
  <si>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</si>
  <si>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</si>
  <si>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CLFF_VMCA$$$DE10TM4000 DE10 Customs/Duties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</si>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</sst>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3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9.955085185182" createdVersion="7" refreshedVersion="7" minRefreshableVersion="3" recordCount="3630" xr:uid="{11839AE3-6158-4318-87AD-2C711D0BF451}">
  <cacheSource type="worksheet">
    <worksheetSource name="Proc"/>
  </cacheSource>
  <cacheFields count="19">
    <cacheField name="App" numFmtId="0">
      <sharedItems containsBlank="1" count="152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8-2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7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3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7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4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4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4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4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4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4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4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4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4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4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4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4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4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4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4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4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4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4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4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4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4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4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4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4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4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4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4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4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4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4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4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4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4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4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4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4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4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4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4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4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4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4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4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4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4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3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3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3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3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3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3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3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3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2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2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2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2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2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2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2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2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2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1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1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8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7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7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7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7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7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7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7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7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7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7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7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7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7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7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7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7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6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6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5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5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5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5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4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4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4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4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4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4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4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4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4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4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3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3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3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3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3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3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3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3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3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3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3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3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3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3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3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3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3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3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3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3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3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3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2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2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2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2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2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2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2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2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2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2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2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2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2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2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2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2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2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2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2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2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2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2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2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2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2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2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2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2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2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2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2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2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2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1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0"/>
    <n v="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0"/>
    <n v="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0"/>
    <n v="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0"/>
    <n v="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0"/>
    <n v="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0"/>
    <n v="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0"/>
    <n v="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0"/>
    <n v="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0"/>
    <n v="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0"/>
    <n v="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0"/>
    <n v="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0"/>
    <n v="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0"/>
    <n v="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0"/>
    <n v="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0"/>
    <n v="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0"/>
    <n v="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0"/>
    <n v="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0"/>
    <n v="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0"/>
    <n v="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0"/>
    <n v="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0"/>
    <n v="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0"/>
    <n v="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0"/>
    <n v="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0"/>
    <n v="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0"/>
    <n v="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0"/>
    <n v="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0"/>
    <n v="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0"/>
    <n v="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0"/>
    <n v="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0"/>
    <n v="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0"/>
    <n v="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0"/>
    <n v="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0"/>
    <n v="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0"/>
    <n v="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0"/>
    <n v="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0"/>
    <n v="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0"/>
    <n v="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0"/>
    <n v="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0"/>
    <n v="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0"/>
    <n v="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0"/>
    <n v="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0"/>
    <n v="2"/>
    <s v="Roselle Delos Angeles"/>
    <m/>
  </r>
  <r>
    <x v="335"/>
    <x v="1"/>
    <x v="5"/>
    <s v="CLFF_1000$$$TW03TATA02"/>
    <s v="P000000808"/>
    <s v="DFLTPGCOH_002132"/>
    <s v="LFF (MDG-F)"/>
    <s v="TW03TATA02"/>
    <m/>
    <b v="0"/>
    <x v="3"/>
    <x v="3"/>
    <d v="2025-08-18T00:00:00"/>
    <m/>
    <m/>
    <x v="0"/>
    <n v="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0"/>
    <n v="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0"/>
    <n v="1"/>
    <s v="Ruby Grace Garcia"/>
    <m/>
  </r>
  <r>
    <x v="339"/>
    <x v="1"/>
    <x v="5"/>
    <s v="CEMERAL_70007102171436"/>
    <s v="L000012407"/>
    <s v="L000011664"/>
    <s v="Non-LFF"/>
    <s v=""/>
    <m/>
    <b v="0"/>
    <x v="2"/>
    <x v="3"/>
    <d v="2025-08-19T00:00:00"/>
    <m/>
    <m/>
    <x v="0"/>
    <n v="1"/>
    <s v="Lakshmi Shree"/>
    <m/>
  </r>
  <r>
    <x v="340"/>
    <x v="1"/>
    <x v="5"/>
    <s v="CSCALA_1248$PSDO "/>
    <s v="L000013858"/>
    <s v="DFLTPGCOH_DIV-63_001248"/>
    <s v="Non-LFF"/>
    <s v=""/>
    <m/>
    <b v="0"/>
    <x v="2"/>
    <x v="3"/>
    <d v="2025-08-19T00:00:00"/>
    <m/>
    <m/>
    <x v="0"/>
    <n v="1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523">
        <item m="1" x="907"/>
        <item x="0"/>
        <item m="1" x="977"/>
        <item m="1" x="1398"/>
        <item m="1" x="560"/>
        <item m="1" x="1415"/>
        <item m="1" x="937"/>
        <item m="1" x="1027"/>
        <item m="1" x="1448"/>
        <item m="1" x="1242"/>
        <item m="1" x="930"/>
        <item m="1" x="1514"/>
        <item m="1" x="1260"/>
        <item m="1" x="1504"/>
        <item m="1" x="878"/>
        <item m="1" x="779"/>
        <item m="1" x="483"/>
        <item m="1" x="744"/>
        <item m="1" x="1468"/>
        <item m="1" x="536"/>
        <item m="1" x="844"/>
        <item m="1" x="1212"/>
        <item m="1" x="927"/>
        <item m="1" x="1020"/>
        <item m="1" x="1316"/>
        <item m="1" x="1501"/>
        <item m="1" x="962"/>
        <item m="1" x="984"/>
        <item m="1" x="749"/>
        <item m="1" x="1150"/>
        <item m="1" x="909"/>
        <item m="1" x="1455"/>
        <item m="1" x="1112"/>
        <item m="1" x="545"/>
        <item m="1" x="653"/>
        <item m="1" x="1440"/>
        <item m="1" x="1204"/>
        <item m="1" x="458"/>
        <item m="1" x="1290"/>
        <item m="1" x="956"/>
        <item m="1" x="1251"/>
        <item m="1" x="837"/>
        <item m="1" x="1189"/>
        <item m="1" x="448"/>
        <item m="1" x="478"/>
        <item m="1" x="1517"/>
        <item m="1" x="1196"/>
        <item m="1" x="1264"/>
        <item m="1" x="1371"/>
        <item m="1" x="1140"/>
        <item m="1" x="1238"/>
        <item m="1" x="1077"/>
        <item m="1" x="532"/>
        <item m="1" x="723"/>
        <item m="1" x="1499"/>
        <item m="1" x="1067"/>
        <item m="1" x="1207"/>
        <item m="1" x="735"/>
        <item m="1" x="696"/>
        <item m="1" x="988"/>
        <item m="1" x="880"/>
        <item m="1" x="913"/>
        <item m="1" x="472"/>
        <item m="1" x="611"/>
        <item m="1" x="1273"/>
        <item m="1" x="1490"/>
        <item m="1" x="676"/>
        <item m="1" x="1081"/>
        <item m="1" x="1091"/>
        <item m="1" x="1268"/>
        <item m="1" x="1378"/>
        <item m="1" x="1256"/>
        <item m="1" x="551"/>
        <item m="1" x="1399"/>
        <item m="1" x="1129"/>
        <item m="1" x="1116"/>
        <item m="1" x="651"/>
        <item m="1" x="1004"/>
        <item m="1" x="1351"/>
        <item m="1" x="469"/>
        <item m="1" x="1048"/>
        <item m="1" x="1401"/>
        <item m="1" x="1239"/>
        <item m="1" x="974"/>
        <item m="1" x="1016"/>
        <item m="1" x="897"/>
        <item m="1" x="1132"/>
        <item m="1" x="944"/>
        <item m="1" x="1176"/>
        <item m="1" x="660"/>
        <item m="1" x="1489"/>
        <item m="1" x="1014"/>
        <item m="1" x="1300"/>
        <item m="1" x="377"/>
        <item m="1" x="1505"/>
        <item m="1" x="1041"/>
        <item m="1" x="1330"/>
        <item m="1" x="1243"/>
        <item m="1" x="1021"/>
        <item m="1" x="531"/>
        <item m="1" x="538"/>
        <item m="1" x="578"/>
        <item m="1" x="760"/>
        <item m="1" x="1184"/>
        <item m="1" x="945"/>
        <item m="1" x="1061"/>
        <item m="1" x="1124"/>
        <item m="1" x="1271"/>
        <item m="1" x="1354"/>
        <item m="1" x="916"/>
        <item m="1" x="637"/>
        <item m="1" x="480"/>
        <item m="1" x="623"/>
        <item m="1" x="1498"/>
        <item m="1" x="655"/>
        <item m="1" x="1336"/>
        <item m="1" x="1265"/>
        <item m="1" x="883"/>
        <item m="1" x="955"/>
        <item m="1" x="821"/>
        <item m="1" x="1078"/>
        <item m="1" x="1453"/>
        <item m="1" x="629"/>
        <item m="1" x="577"/>
        <item m="1" x="512"/>
        <item m="1" x="1178"/>
        <item m="1" x="1438"/>
        <item m="1" x="1366"/>
        <item m="1" x="1023"/>
        <item m="1" x="547"/>
        <item m="1" x="1272"/>
        <item m="1" x="724"/>
        <item m="1" x="978"/>
        <item m="1" x="1153"/>
        <item m="1" x="1261"/>
        <item m="1" x="381"/>
        <item m="1" x="1210"/>
        <item m="1" x="1173"/>
        <item m="1" x="614"/>
        <item m="1" x="1062"/>
        <item m="1" x="950"/>
        <item m="1" x="903"/>
        <item m="1" x="636"/>
        <item m="1" x="572"/>
        <item m="1" x="812"/>
        <item m="1" x="999"/>
        <item m="1" x="406"/>
        <item m="1" x="745"/>
        <item m="1" x="604"/>
        <item m="1" x="346"/>
        <item m="1" x="856"/>
        <item m="1" x="1057"/>
        <item m="1" x="939"/>
        <item m="1" x="985"/>
        <item m="1" x="1304"/>
        <item m="1" x="886"/>
        <item m="1" x="1412"/>
        <item m="1" x="1136"/>
        <item m="1" x="1075"/>
        <item m="1" x="589"/>
        <item m="1" x="1222"/>
        <item m="1" x="1500"/>
        <item m="1" x="1188"/>
        <item m="1" x="1172"/>
        <item m="1" x="459"/>
        <item m="1" x="507"/>
        <item m="1" x="1042"/>
        <item m="1" x="548"/>
        <item m="1" x="1485"/>
        <item m="1" x="1151"/>
        <item m="1" x="1076"/>
        <item m="1" x="1028"/>
        <item m="1" x="829"/>
        <item m="1" x="457"/>
        <item m="1" x="557"/>
        <item m="1" x="663"/>
        <item m="1" x="1396"/>
        <item m="1" x="1428"/>
        <item m="1" x="1127"/>
        <item m="1" x="854"/>
        <item m="1" x="942"/>
        <item m="1" x="452"/>
        <item m="1" x="492"/>
        <item m="1" x="831"/>
        <item m="1" x="1056"/>
        <item m="1" x="969"/>
        <item m="1" x="627"/>
        <item m="1" x="860"/>
        <item m="1" x="574"/>
        <item m="1" x="769"/>
        <item m="1" x="691"/>
        <item m="1" x="526"/>
        <item m="1" x="662"/>
        <item m="1" x="1032"/>
        <item m="1" x="442"/>
        <item m="1" x="681"/>
        <item m="1" x="473"/>
        <item m="1" x="1166"/>
        <item m="1" x="1355"/>
        <item m="1" x="965"/>
        <item m="1" x="609"/>
        <item m="1" x="1259"/>
        <item m="1" x="1104"/>
        <item m="1" x="621"/>
        <item m="1" x="622"/>
        <item m="1" x="807"/>
        <item m="1" x="497"/>
        <item m="1" x="686"/>
        <item m="1" x="481"/>
        <item m="1" x="667"/>
        <item m="1" x="1235"/>
        <item m="1" x="746"/>
        <item m="1" x="1113"/>
        <item m="1" x="1163"/>
        <item m="1" x="1297"/>
        <item m="1" x="1301"/>
        <item m="1" x="1018"/>
        <item m="1" x="859"/>
        <item m="1" x="898"/>
        <item m="1" x="1465"/>
        <item m="1" x="758"/>
        <item m="1" x="570"/>
        <item m="1" x="948"/>
        <item m="1" x="405"/>
        <item m="1" x="1469"/>
        <item m="1" x="932"/>
        <item m="1" x="366"/>
        <item m="1" x="1387"/>
        <item m="1" x="1430"/>
        <item m="1" x="1267"/>
        <item m="1" x="644"/>
        <item m="1" x="383"/>
        <item m="1" x="1317"/>
        <item m="1" x="708"/>
        <item m="1" x="344"/>
        <item m="1" x="1488"/>
        <item m="1" x="732"/>
        <item m="1" x="887"/>
        <item m="1" x="1332"/>
        <item m="1" x="419"/>
        <item m="1" x="1244"/>
        <item m="1" x="1052"/>
        <item m="1" x="917"/>
        <item m="1" x="787"/>
        <item m="1" x="534"/>
        <item m="1" x="1035"/>
        <item m="1" x="737"/>
        <item m="1" x="1275"/>
        <item m="1" x="597"/>
        <item m="1" x="1345"/>
        <item m="1" x="1352"/>
        <item m="1" x="1036"/>
        <item m="1" x="1226"/>
        <item m="1" x="643"/>
        <item m="1" x="940"/>
        <item m="1" x="1229"/>
        <item m="1" x="813"/>
        <item m="1" x="1103"/>
        <item m="1" x="742"/>
        <item m="1" x="527"/>
        <item m="1" x="731"/>
        <item m="1" x="1497"/>
        <item m="1" x="1439"/>
        <item m="1" x="584"/>
        <item m="1" x="1385"/>
        <item m="1" x="391"/>
        <item m="1" x="1407"/>
        <item m="1" x="426"/>
        <item m="1" x="728"/>
        <item m="1" x="826"/>
        <item m="1" x="773"/>
        <item m="1" x="1380"/>
        <item m="1" x="1283"/>
        <item m="1" x="524"/>
        <item m="1" x="1094"/>
        <item m="1" x="1302"/>
        <item m="1" x="1436"/>
        <item m="1" x="1343"/>
        <item m="1" x="429"/>
        <item m="1" x="1509"/>
        <item m="1" x="580"/>
        <item m="1" x="861"/>
        <item m="1" x="1305"/>
        <item m="1" x="428"/>
        <item m="1" x="1364"/>
        <item m="1" x="593"/>
        <item m="1" x="1237"/>
        <item m="1" x="1101"/>
        <item m="1" x="1079"/>
        <item m="1" x="658"/>
        <item m="1" x="620"/>
        <item m="1" x="1432"/>
        <item m="1" x="373"/>
        <item m="1" x="555"/>
        <item m="1" x="1214"/>
        <item m="1" x="1325"/>
        <item m="1" x="1252"/>
        <item m="1" x="1456"/>
        <item m="1" x="960"/>
        <item m="1" x="587"/>
        <item m="1" x="707"/>
        <item m="1" x="1026"/>
        <item m="1" x="768"/>
        <item m="1" x="1096"/>
        <item m="1" x="709"/>
        <item m="1" x="511"/>
        <item m="1" x="1164"/>
        <item m="1" x="566"/>
        <item m="1" x="446"/>
        <item m="1" x="1298"/>
        <item m="1" x="1445"/>
        <item m="1" x="1146"/>
        <item m="1" x="411"/>
        <item m="1" x="1337"/>
        <item m="1" x="1135"/>
        <item m="1" x="1245"/>
        <item m="1" x="1384"/>
        <item m="1" x="612"/>
        <item m="1" x="804"/>
        <item m="1" x="642"/>
        <item m="1" x="910"/>
        <item m="1" x="834"/>
        <item m="1" x="864"/>
        <item m="1" x="1400"/>
        <item m="1" x="846"/>
        <item m="1" x="1049"/>
        <item m="1" x="581"/>
        <item m="1" x="780"/>
        <item m="1" x="754"/>
        <item m="1" x="1097"/>
        <item m="1" x="1000"/>
        <item m="1" x="1228"/>
        <item m="1" x="750"/>
        <item m="1" x="1386"/>
        <item m="1" x="588"/>
        <item m="1" x="514"/>
        <item m="1" x="770"/>
        <item m="1" x="1311"/>
        <item m="1" x="421"/>
        <item m="1" x="422"/>
        <item m="1" x="718"/>
        <item m="1" x="1391"/>
        <item m="1" x="785"/>
        <item m="1" x="430"/>
        <item m="1" x="590"/>
        <item m="1" x="832"/>
        <item m="1" x="1143"/>
        <item m="1" x="1115"/>
        <item m="1" x="786"/>
        <item m="1" x="367"/>
        <item m="1" x="505"/>
        <item m="1" x="717"/>
        <item m="1" x="605"/>
        <item m="1" x="362"/>
        <item m="1" x="1315"/>
        <item m="1" x="1444"/>
        <item m="1" x="914"/>
        <item m="1" x="1344"/>
        <item m="1" x="1404"/>
        <item m="1" x="427"/>
        <item m="1" x="1442"/>
        <item m="1" x="1180"/>
        <item m="1" x="603"/>
        <item m="1" x="789"/>
        <item m="1" x="693"/>
        <item m="1" x="1055"/>
        <item m="1" x="626"/>
        <item m="1" x="842"/>
        <item m="1" x="1137"/>
        <item m="1" x="1262"/>
        <item m="1" x="765"/>
        <item m="1" x="893"/>
        <item m="1" x="705"/>
        <item m="1" x="631"/>
        <item m="1" x="1142"/>
        <item m="1" x="1257"/>
        <item m="1" x="1419"/>
        <item m="1" x="461"/>
        <item m="1" x="665"/>
        <item m="1" x="1105"/>
        <item m="1" x="506"/>
        <item m="1" x="793"/>
        <item m="1" x="1174"/>
        <item m="1" x="439"/>
        <item m="1" x="649"/>
        <item m="1" x="759"/>
        <item m="1" x="1365"/>
        <item m="1" x="598"/>
        <item m="1" x="868"/>
        <item m="1" x="1421"/>
        <item m="1" x="549"/>
        <item m="1" x="738"/>
        <item m="1" x="926"/>
        <item m="1" x="1263"/>
        <item m="1" x="561"/>
        <item m="1" x="817"/>
        <item m="1" x="659"/>
        <item m="1" x="1155"/>
        <item m="1" x="1341"/>
        <item m="1" x="467"/>
        <item m="1" x="687"/>
        <item m="1" x="1423"/>
        <item m="1" x="1388"/>
        <item m="1" x="488"/>
        <item m="1" x="805"/>
        <item m="1" x="1329"/>
        <item m="1" x="1460"/>
        <item m="1" x="1331"/>
        <item m="1" x="1306"/>
        <item m="1" x="437"/>
        <item m="1" x="613"/>
        <item m="1" x="695"/>
        <item m="1" x="684"/>
        <item m="1" x="911"/>
        <item m="1" x="399"/>
        <item m="1" x="1098"/>
        <item m="1" x="1169"/>
        <item m="1" x="351"/>
        <item m="1" x="1429"/>
        <item m="1" x="1291"/>
        <item m="1" x="1420"/>
        <item m="1" x="1450"/>
        <item m="1" x="1486"/>
        <item m="1" x="1424"/>
        <item m="1" x="788"/>
        <item m="1" x="1148"/>
        <item m="1" x="755"/>
        <item m="1" x="1161"/>
        <item m="1" x="1126"/>
        <item m="1" x="564"/>
        <item m="1" x="602"/>
        <item m="1" x="740"/>
        <item m="1" x="1205"/>
        <item m="1" x="725"/>
        <item m="1" x="471"/>
        <item m="1" x="1470"/>
        <item m="1" x="1220"/>
        <item m="1" x="1053"/>
        <item m="1" x="1085"/>
        <item m="1" x="1134"/>
        <item m="1" x="559"/>
        <item m="1" x="901"/>
        <item m="1" x="1246"/>
        <item m="1" x="397"/>
        <item m="1" x="640"/>
        <item m="1" x="540"/>
        <item m="1" x="537"/>
        <item m="1" x="541"/>
        <item m="1" x="342"/>
        <item m="1" x="563"/>
        <item m="1" x="1360"/>
        <item m="1" x="364"/>
        <item m="1" x="1010"/>
        <item m="1" x="1447"/>
        <item m="1" x="1258"/>
        <item m="1" x="518"/>
        <item m="1" x="1518"/>
        <item m="1" x="447"/>
        <item m="1" x="814"/>
        <item m="1" x="1037"/>
        <item m="1" x="493"/>
        <item m="1" x="946"/>
        <item m="1" x="1106"/>
        <item m="1" x="1374"/>
        <item m="1" x="1276"/>
        <item m="1" x="355"/>
        <item m="1" x="1038"/>
        <item m="1" x="438"/>
        <item m="1" x="674"/>
        <item m="1" x="646"/>
        <item m="1" x="408"/>
        <item m="1" x="1001"/>
        <item m="1" x="1008"/>
        <item m="1" x="1108"/>
        <item m="1" x="857"/>
        <item m="1" x="1357"/>
        <item m="1" x="766"/>
        <item m="1" x="1476"/>
        <item m="1" x="1111"/>
        <item m="1" x="1002"/>
        <item m="1" x="666"/>
        <item m="1" x="1074"/>
        <item m="1" x="1372"/>
        <item m="1" x="1437"/>
        <item m="1" x="1416"/>
        <item m="1" x="1346"/>
        <item m="1" x="1095"/>
        <item m="1" x="1208"/>
        <item m="1" x="721"/>
        <item m="1" x="1170"/>
        <item m="1" x="995"/>
        <item m="1" x="954"/>
        <item m="1" x="952"/>
        <item m="1" x="953"/>
        <item m="1" x="650"/>
        <item m="1" x="694"/>
        <item m="1" x="1307"/>
        <item m="1" x="872"/>
        <item m="1" x="714"/>
        <item m="1" x="756"/>
        <item m="1" x="802"/>
        <item m="1" x="1054"/>
        <item m="1" x="1392"/>
        <item m="1" x="1481"/>
        <item m="1" x="599"/>
        <item m="1" x="550"/>
        <item m="1" x="387"/>
        <item m="1" x="409"/>
        <item m="1" x="706"/>
        <item m="1" x="494"/>
        <item m="1" x="822"/>
        <item m="1" x="1358"/>
        <item m="1" x="699"/>
        <item m="1" x="491"/>
        <item m="1" x="1250"/>
        <item m="1" x="368"/>
        <item m="1" x="1376"/>
        <item m="1" x="1451"/>
        <item m="1" x="1515"/>
        <item m="1" x="1390"/>
        <item m="1" x="633"/>
        <item m="1" x="410"/>
        <item m="1" x="874"/>
        <item m="1" x="958"/>
        <item m="1" x="1154"/>
        <item m="1" x="1122"/>
        <item m="1" x="1158"/>
        <item m="1" x="935"/>
        <item m="1" x="973"/>
        <item m="1" x="1414"/>
        <item m="1" x="1177"/>
        <item m="1" x="1147"/>
        <item m="1" x="1086"/>
        <item m="1" x="1159"/>
        <item m="1" x="360"/>
        <item m="1" x="365"/>
        <item m="1" x="968"/>
        <item m="1" x="1353"/>
        <item m="1" x="923"/>
        <item m="1" x="1493"/>
        <item m="1" x="892"/>
        <item m="1" x="1068"/>
        <item m="1" x="1139"/>
        <item m="1" x="753"/>
        <item m="1" x="585"/>
        <item m="1" x="961"/>
        <item m="1" x="647"/>
        <item m="1" x="1502"/>
        <item m="1" x="1417"/>
        <item m="1" x="1230"/>
        <item m="1" x="487"/>
        <item m="1" x="414"/>
        <item m="1" x="987"/>
        <item m="1" x="1231"/>
        <item m="1" x="1520"/>
        <item m="1" x="866"/>
        <item m="1" x="1467"/>
        <item m="1" x="401"/>
        <item m="1" x="515"/>
        <item m="1" x="827"/>
        <item m="1" x="918"/>
        <item m="1" x="1347"/>
        <item m="1" x="671"/>
        <item m="1" x="1350"/>
        <item m="1" x="767"/>
        <item m="1" x="1339"/>
        <item m="1" x="1503"/>
        <item m="1" x="431"/>
        <item m="1" x="1487"/>
        <item m="1" x="378"/>
        <item m="1" x="1240"/>
        <item m="1" x="858"/>
        <item m="1" x="689"/>
        <item m="1" x="652"/>
        <item m="1" x="796"/>
        <item m="1" x="395"/>
        <item m="1" x="1480"/>
        <item m="1" x="479"/>
        <item m="1" x="500"/>
        <item m="1" x="1373"/>
        <item m="1" x="1452"/>
        <item m="1" x="966"/>
        <item m="1" x="1107"/>
        <item m="1" x="808"/>
        <item m="1" x="921"/>
        <item m="1" x="1070"/>
        <item m="1" x="1187"/>
        <item m="1" x="774"/>
        <item m="1" x="1050"/>
        <item m="1" x="869"/>
        <item m="1" x="1506"/>
        <item m="1" x="359"/>
        <item m="1" x="798"/>
        <item m="1" x="739"/>
        <item m="1" x="700"/>
        <item m="1" x="1494"/>
        <item m="1" x="1312"/>
        <item m="1" x="1443"/>
        <item m="1" x="456"/>
        <item m="1" x="1454"/>
        <item m="1" x="1441"/>
        <item m="1" x="1318"/>
        <item m="1" x="553"/>
        <item m="1" x="922"/>
        <item m="1" x="1015"/>
        <item m="1" x="761"/>
        <item m="1" x="1359"/>
        <item m="1" x="1145"/>
        <item m="1" x="1165"/>
        <item m="1" x="1059"/>
        <item m="1" x="402"/>
        <item m="1" x="1232"/>
        <item m="1" x="1394"/>
        <item m="1" x="799"/>
        <item m="1" x="1513"/>
        <item m="1" x="1007"/>
        <item m="1" x="594"/>
        <item m="1" x="727"/>
        <item m="1" x="763"/>
        <item m="1" x="1422"/>
        <item m="1" x="1406"/>
        <item m="1" x="466"/>
        <item m="1" x="468"/>
        <item m="1" x="382"/>
        <item m="1" x="1342"/>
        <item m="1" x="384"/>
        <item m="1" x="801"/>
        <item m="1" x="701"/>
        <item m="1" x="1157"/>
        <item m="1" x="1100"/>
        <item m="1" x="1449"/>
        <item m="1" x="1381"/>
        <item m="1" x="873"/>
        <item m="1" x="1087"/>
        <item m="1" x="1322"/>
        <item m="1" x="435"/>
        <item m="1" x="867"/>
        <item m="1" x="797"/>
        <item m="1" x="1491"/>
        <item m="1" x="1458"/>
        <item m="1" x="889"/>
        <item m="1" x="495"/>
        <item m="1" x="790"/>
        <item m="1" x="963"/>
        <item m="1" x="417"/>
        <item m="1" x="1253"/>
        <item m="1" x="847"/>
        <item m="1" x="657"/>
        <item m="1" x="751"/>
        <item m="1" x="1197"/>
        <item m="1" x="1496"/>
        <item m="1" x="575"/>
        <item m="1" x="1348"/>
        <item m="1" x="569"/>
        <item m="1" x="1133"/>
        <item m="1" x="905"/>
        <item m="1" x="836"/>
        <item m="1" x="558"/>
        <item m="1" x="625"/>
        <item m="1" x="413"/>
        <item m="1" x="1213"/>
        <item m="1" x="726"/>
        <item m="1" x="450"/>
        <item m="1" x="1064"/>
        <item m="1" x="1379"/>
        <item m="1" x="919"/>
        <item m="1" x="877"/>
        <item m="1" x="348"/>
        <item m="1" x="1484"/>
        <item m="1" x="734"/>
        <item m="1" x="794"/>
        <item m="1" x="1201"/>
        <item m="1" x="1478"/>
        <item m="1" x="1403"/>
        <item m="1" x="1254"/>
        <item m="1" x="1369"/>
        <item m="1" x="530"/>
        <item m="1" x="729"/>
        <item m="1" x="562"/>
        <item m="1" x="354"/>
        <item m="1" x="967"/>
        <item m="1" x="416"/>
        <item m="1" x="638"/>
        <item m="1" x="582"/>
        <item m="1" x="528"/>
        <item m="1" x="1483"/>
        <item m="1" x="579"/>
        <item m="1" x="1181"/>
        <item m="1" x="1393"/>
        <item m="1" x="519"/>
        <item m="1" x="423"/>
        <item m="1" x="1216"/>
        <item m="1" x="1192"/>
        <item m="1" x="1233"/>
        <item m="1" x="1152"/>
        <item m="1" x="496"/>
        <item m="1" x="852"/>
        <item m="1" x="1120"/>
        <item m="1" x="1370"/>
        <item m="1" x="964"/>
        <item m="1" x="1082"/>
        <item m="1" x="1426"/>
        <item m="1" x="838"/>
        <item m="1" x="682"/>
        <item m="1" x="915"/>
        <item m="1" x="862"/>
        <item m="1" x="792"/>
        <item m="1" x="1309"/>
        <item m="1" x="996"/>
        <item m="1" x="1092"/>
        <item m="1" x="343"/>
        <item m="1" x="888"/>
        <item m="1" x="490"/>
        <item m="1" x="757"/>
        <item m="1" x="895"/>
        <item m="1" x="425"/>
        <item m="1" x="542"/>
        <item m="1" x="997"/>
        <item m="1" x="1194"/>
        <item m="1" x="1464"/>
        <item m="1" x="1507"/>
        <item m="1" x="1117"/>
        <item m="1" x="465"/>
        <item m="1" x="393"/>
        <item m="1" x="979"/>
        <item m="1" x="601"/>
        <item m="1" x="875"/>
        <item m="1" x="503"/>
        <item m="1" x="606"/>
        <item m="1" x="1033"/>
        <item m="1" x="1389"/>
        <item m="1" x="1320"/>
        <item m="1" x="736"/>
        <item m="1" x="771"/>
        <item m="1" x="1047"/>
        <item m="1" x="1477"/>
        <item m="1" x="1203"/>
        <item m="1" x="369"/>
        <item m="1" x="1431"/>
        <item m="1" x="477"/>
        <item m="1" x="1123"/>
        <item m="1" x="1168"/>
        <item m="1" x="1171"/>
        <item m="1" x="1511"/>
        <item m="1" x="404"/>
        <item m="1" x="1182"/>
        <item m="1" x="1279"/>
        <item m="1" x="1051"/>
        <item m="1" x="1221"/>
        <item m="1" x="463"/>
        <item m="1" x="855"/>
        <item m="1" x="702"/>
        <item m="1" x="1314"/>
        <item m="1" x="1409"/>
        <item m="1" x="938"/>
        <item m="1" x="1377"/>
        <item m="1" x="1425"/>
        <item m="1" x="778"/>
        <item m="1" x="1281"/>
        <item m="1" x="1144"/>
        <item m="1" x="1427"/>
        <item m="1" x="1471"/>
        <item m="1" x="1209"/>
        <item m="1" x="819"/>
        <item m="1" x="624"/>
        <item m="1" x="1459"/>
        <item m="1" x="1006"/>
        <item m="1" x="980"/>
        <item m="1" x="989"/>
        <item m="1" x="1510"/>
        <item m="1" x="1234"/>
        <item m="1" x="929"/>
        <item m="1" x="1198"/>
        <item m="1" x="1175"/>
        <item m="1" x="791"/>
        <item m="1" x="692"/>
        <item m="1" x="1191"/>
        <item m="1" x="586"/>
        <item m="1" x="543"/>
        <item m="1" x="485"/>
        <item m="1" x="1472"/>
        <item m="1" x="1088"/>
        <item m="1" x="823"/>
        <item m="1" x="904"/>
        <item m="1" x="385"/>
        <item m="1" x="1461"/>
        <item m="1" x="1012"/>
        <item m="1" x="1160"/>
        <item m="1" x="608"/>
        <item m="1" x="1292"/>
        <item m="1" x="795"/>
        <item m="1" x="688"/>
        <item m="1" x="1516"/>
        <item m="1" x="818"/>
        <item m="1" x="1457"/>
        <item m="1" x="1043"/>
        <item m="1" x="719"/>
        <item m="1" x="510"/>
        <item m="1" x="453"/>
        <item m="1" x="747"/>
        <item m="1" x="444"/>
        <item m="1" x="415"/>
        <item m="1" x="432"/>
        <item m="1" x="711"/>
        <item m="1" x="556"/>
        <item m="1" x="863"/>
        <item m="1" x="920"/>
        <item m="1" x="1019"/>
        <item m="1" x="890"/>
        <item m="1" x="1223"/>
        <item m="1" x="1287"/>
        <item m="1" x="499"/>
        <item m="1" x="509"/>
        <item m="1" x="698"/>
        <item m="1" x="840"/>
        <item m="1" x="630"/>
        <item m="1" x="1183"/>
        <item m="1" x="933"/>
        <item m="1" x="850"/>
        <item m="1" x="983"/>
        <item m="1" x="1289"/>
        <item m="1" x="1227"/>
        <item m="1" x="1313"/>
        <item m="1" x="1069"/>
        <item m="1" x="489"/>
        <item m="1" x="1495"/>
        <item m="1" x="908"/>
        <item m="1" x="523"/>
        <item m="1" x="347"/>
        <item m="1" x="1492"/>
        <item m="1" x="976"/>
        <item m="1" x="943"/>
        <item m="1" x="715"/>
        <item m="1" x="595"/>
        <item m="1" x="679"/>
        <item m="1" x="833"/>
        <item m="1" x="1408"/>
        <item m="1" x="1327"/>
        <item m="1" x="703"/>
        <item m="1" x="776"/>
        <item m="1" x="783"/>
        <item m="1" x="1321"/>
        <item m="1" x="924"/>
        <item m="1" x="396"/>
        <item m="1" x="957"/>
        <item m="1" x="1236"/>
        <item m="1" x="1362"/>
        <item m="1" x="1255"/>
        <item m="1" x="1063"/>
        <item m="1" x="1361"/>
        <item m="1" x="375"/>
        <item m="1" x="1278"/>
        <item m="1" x="357"/>
        <item m="1" x="697"/>
        <item m="1" x="361"/>
        <item m="1" x="520"/>
        <item m="1" x="610"/>
        <item m="1" x="616"/>
        <item m="1" x="1034"/>
        <item m="1" x="1288"/>
        <item m="1" x="815"/>
        <item m="1" x="386"/>
        <item m="1" x="592"/>
        <item m="1" x="380"/>
        <item m="1" x="1375"/>
        <item m="1" x="600"/>
        <item m="1" x="936"/>
        <item m="1" x="1395"/>
        <item m="1" x="722"/>
        <item m="1" x="664"/>
        <item m="1" x="1060"/>
        <item m="1" x="617"/>
        <item m="1" x="925"/>
        <item m="1" x="1219"/>
        <item m="1" x="358"/>
        <item m="1" x="871"/>
        <item m="1" x="990"/>
        <item m="1" x="482"/>
        <item m="1" x="824"/>
        <item m="1" x="959"/>
        <item m="1" x="710"/>
        <item m="1" x="748"/>
        <item m="1" x="475"/>
        <item m="1" x="881"/>
        <item m="1" x="345"/>
        <item m="1" x="1017"/>
        <item m="1" x="1410"/>
        <item m="1" x="1131"/>
        <item m="1" x="1125"/>
        <item m="1" x="1024"/>
        <item m="1" x="350"/>
        <item m="1" x="1156"/>
        <item m="1" x="1199"/>
        <item m="1" x="1005"/>
        <item m="1" x="349"/>
        <item m="1" x="1356"/>
        <item m="1" x="1323"/>
        <item m="1" x="353"/>
        <item m="1" x="632"/>
        <item m="1" x="1022"/>
        <item m="1" x="1277"/>
        <item m="1" x="474"/>
        <item m="1" x="370"/>
        <item m="1" x="529"/>
        <item m="1" x="420"/>
        <item m="1" x="828"/>
        <item m="1" x="641"/>
        <item m="1" x="639"/>
        <item m="1" x="810"/>
        <item m="1" x="912"/>
        <item m="1" x="816"/>
        <item m="1" x="1013"/>
        <item m="1" x="865"/>
        <item m="1" x="730"/>
        <item m="1" x="845"/>
        <item m="1" x="1338"/>
        <item m="1" x="1433"/>
        <item m="1" x="690"/>
        <item m="1" x="1413"/>
        <item m="1" x="455"/>
        <item m="1" x="1402"/>
        <item m="1" x="1099"/>
        <item m="1" x="1270"/>
        <item m="1" x="1349"/>
        <item m="1" x="1029"/>
        <item m="1" x="1241"/>
        <item m="1" x="533"/>
        <item m="1" x="516"/>
        <item m="1" x="1138"/>
        <item m="1" x="1110"/>
        <item m="1" x="672"/>
        <item m="1" x="1508"/>
        <item m="1" x="1080"/>
        <item m="1" x="820"/>
        <item m="1" x="894"/>
        <item m="1" x="853"/>
        <item m="1" x="1363"/>
        <item m="1" x="1367"/>
        <item m="1" x="363"/>
        <item m="1" x="1247"/>
        <item m="1" x="1293"/>
        <item m="1" x="412"/>
        <item m="1" x="784"/>
        <item m="1" x="775"/>
        <item m="1" x="1282"/>
        <item m="1" x="981"/>
        <item m="1" x="1185"/>
        <item m="1" x="851"/>
        <item m="1" x="1202"/>
        <item m="1" x="390"/>
        <item m="1" x="513"/>
        <item m="1" x="1482"/>
        <item m="1" x="1102"/>
        <item m="1" x="1474"/>
        <item m="1" x="394"/>
        <item m="1" x="654"/>
        <item m="1" x="470"/>
        <item m="1" x="403"/>
        <item m="1" x="418"/>
        <item m="1" x="970"/>
        <item m="1" x="1003"/>
        <item m="1" x="675"/>
        <item m="1" x="1093"/>
        <item m="1" x="1411"/>
        <item m="1" x="762"/>
        <item m="1" x="841"/>
        <item m="1" x="991"/>
        <item m="1" x="1479"/>
        <item m="1" x="656"/>
        <item m="1" x="668"/>
        <item m="1" x="678"/>
        <item m="1" x="1299"/>
        <item m="1" x="1435"/>
        <item m="1" x="352"/>
        <item m="1" x="1179"/>
        <item m="1" x="1475"/>
        <item m="1" x="576"/>
        <item m="1" x="891"/>
        <item m="1" x="1512"/>
        <item m="1" x="1418"/>
        <item m="1" x="565"/>
        <item m="1" x="677"/>
        <item m="1" x="764"/>
        <item m="1" x="1089"/>
        <item m="1" x="1286"/>
        <item m="1" x="521"/>
        <item m="1" x="992"/>
        <item m="1" x="517"/>
        <item m="1" x="486"/>
        <item m="1" x="434"/>
        <item m="1" x="1405"/>
        <item m="1" x="998"/>
        <item m="1" x="1446"/>
        <item m="1" x="839"/>
        <item m="1" x="1463"/>
        <item m="1" x="1215"/>
        <item m="1" x="504"/>
        <item m="1" x="1319"/>
        <item m="1" x="1333"/>
        <item m="1" x="993"/>
        <item m="1" x="1368"/>
        <item m="1" x="1206"/>
        <item m="1" x="1071"/>
        <item m="1" x="388"/>
        <item m="1" x="1217"/>
        <item m="1" x="949"/>
        <item m="1" x="882"/>
        <item m="1" x="1225"/>
        <item m="1" x="809"/>
        <item m="1" x="443"/>
        <item m="1" x="615"/>
        <item m="1" x="392"/>
        <item m="1" x="741"/>
        <item m="1" x="1119"/>
        <item m="1" x="704"/>
        <item m="1" x="567"/>
        <item m="1" x="782"/>
        <item m="1" x="460"/>
        <item m="1" x="712"/>
        <item m="1" x="583"/>
        <item m="1" x="934"/>
        <item m="1" x="1521"/>
        <item m="1" x="975"/>
        <item m="1" x="571"/>
        <item m="1" x="848"/>
        <item m="1" x="554"/>
        <item m="1" x="607"/>
        <item m="1" x="899"/>
        <item m="1" x="1167"/>
        <item m="1" x="884"/>
        <item m="1" x="1334"/>
        <item m="1" x="896"/>
        <item m="1" x="1130"/>
        <item m="1" x="445"/>
        <item m="1" x="928"/>
        <item m="1" x="568"/>
        <item m="1" x="498"/>
        <item m="1" x="1224"/>
        <item m="1" x="539"/>
        <item m="1" x="1248"/>
        <item m="1" x="440"/>
        <item m="1" x="1065"/>
        <item m="1" x="1072"/>
        <item m="1" x="476"/>
        <item m="1" x="994"/>
        <item m="1" x="372"/>
        <item m="1" x="1195"/>
        <item m="1" x="900"/>
        <item m="1" x="1121"/>
        <item m="1" x="1090"/>
        <item m="1" x="1310"/>
        <item m="1" x="1083"/>
        <item m="1" x="661"/>
        <item m="1" x="1162"/>
        <item m="1" x="1296"/>
        <item m="1" x="986"/>
        <item m="1" x="1118"/>
        <item m="1" x="451"/>
        <item m="1" x="1284"/>
        <item m="1" x="941"/>
        <item m="1" x="806"/>
        <item m="1" x="1190"/>
        <item m="1" x="716"/>
        <item m="1" x="1039"/>
        <item m="1" x="573"/>
        <item m="1" x="669"/>
        <item m="1" x="1066"/>
        <item m="1" x="835"/>
        <item m="1" x="379"/>
        <item m="1" x="713"/>
        <item m="1" x="1193"/>
        <item m="1" x="1295"/>
        <item m="1" x="398"/>
        <item m="1" x="683"/>
        <item m="1" x="618"/>
        <item m="1" x="951"/>
        <item m="1" x="1044"/>
        <item m="1" x="484"/>
        <item m="1" x="1466"/>
        <item m="1" x="449"/>
        <item m="1" x="522"/>
        <item m="1" x="1303"/>
        <item m="1" x="811"/>
        <item m="1" x="825"/>
        <item m="1" x="879"/>
        <item m="1" x="454"/>
        <item m="1" x="733"/>
        <item m="1" x="1128"/>
        <item m="1" x="1040"/>
        <item m="1" x="830"/>
        <item m="1" x="777"/>
        <item m="1" x="407"/>
        <item m="1" x="645"/>
        <item m="1" x="1109"/>
        <item m="1" x="743"/>
        <item m="1" x="906"/>
        <item m="1" x="843"/>
        <item m="1" x="1025"/>
        <item m="1" x="389"/>
        <item m="1" x="870"/>
        <item m="1" x="544"/>
        <item m="1" x="947"/>
        <item m="1" x="1073"/>
        <item m="1" x="1149"/>
        <item m="1" x="1084"/>
        <item m="1" x="1045"/>
        <item m="1" x="971"/>
        <item m="1" x="1382"/>
        <item m="1" x="1274"/>
        <item m="1" x="525"/>
        <item m="1" x="1266"/>
        <item m="1" x="720"/>
        <item m="1" x="1030"/>
        <item m="1" x="436"/>
        <item m="1" x="1009"/>
        <item m="1" x="876"/>
        <item m="1" x="1308"/>
        <item m="1" x="462"/>
        <item m="1" x="1519"/>
        <item m="1" x="501"/>
        <item m="1" x="441"/>
        <item m="1" x="1011"/>
        <item m="1" x="1211"/>
        <item m="1" x="1114"/>
        <item m="1" x="400"/>
        <item m="1" x="552"/>
        <item m="1" x="1340"/>
        <item m="1" x="1280"/>
        <item m="1" x="535"/>
        <item m="1" x="508"/>
        <item m="1" x="803"/>
        <item m="1" x="424"/>
        <item m="1" x="1031"/>
        <item m="1" x="464"/>
        <item m="1" x="634"/>
        <item m="1" x="931"/>
        <item m="1" x="1462"/>
        <item m="1" x="502"/>
        <item m="1" x="772"/>
        <item m="1" x="619"/>
        <item m="1" x="781"/>
        <item m="1" x="1335"/>
        <item m="1" x="1218"/>
        <item m="1" x="680"/>
        <item m="1" x="433"/>
        <item m="1" x="1383"/>
        <item m="1" x="546"/>
        <item m="1" x="1328"/>
        <item m="1" x="885"/>
        <item m="1" x="1269"/>
        <item m="1" x="628"/>
        <item m="1" x="800"/>
        <item m="1" x="1285"/>
        <item m="1" x="1473"/>
        <item m="1" x="1249"/>
        <item m="1" x="648"/>
        <item m="1" x="591"/>
        <item m="1" x="1294"/>
        <item m="1" x="1058"/>
        <item m="1" x="902"/>
        <item m="1" x="1326"/>
        <item m="1" x="374"/>
        <item m="1" x="371"/>
        <item m="1" x="1046"/>
        <item m="1" x="1186"/>
        <item m="1" x="1141"/>
        <item m="1" x="1324"/>
        <item m="1" x="849"/>
        <item m="1" x="596"/>
        <item m="1" x="670"/>
        <item m="1" x="1200"/>
        <item m="1" x="752"/>
        <item m="1" x="982"/>
        <item m="1" x="1397"/>
        <item m="1" x="635"/>
        <item m="1" x="972"/>
        <item m="1" x="356"/>
        <item m="1" x="68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m="1" x="673"/>
        <item m="1" x="1434"/>
        <item m="1" x="376"/>
        <item m="1" x="34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12"/>
    </i>
    <i r="2">
      <x v="8"/>
    </i>
    <i r="1">
      <x v="1516"/>
    </i>
    <i r="2">
      <x v="8"/>
    </i>
    <i r="1">
      <x v="1517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4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60" totalsRowShown="0" totalsRowDxfId="23">
  <autoFilter ref="A1:C126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695" totalsRowShown="0">
  <autoFilter ref="A1:S3695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4" totalsRowShown="0">
  <autoFilter ref="A1:B13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35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9">
        <v>1292</v>
      </c>
    </row>
    <row r="5" spans="1:2">
      <c r="A5" s="111" t="s">
        <v>369</v>
      </c>
      <c r="B5" s="129">
        <v>1252</v>
      </c>
    </row>
    <row r="6" spans="1:2">
      <c r="A6" s="111" t="s">
        <v>404</v>
      </c>
      <c r="B6" s="129">
        <v>1</v>
      </c>
    </row>
    <row r="7" spans="1:2">
      <c r="A7" s="111" t="s">
        <v>370</v>
      </c>
      <c r="B7" s="129"/>
    </row>
    <row r="8" spans="1:2">
      <c r="A8" s="111" t="s">
        <v>403</v>
      </c>
      <c r="B8" s="129"/>
    </row>
    <row r="9" spans="1:2">
      <c r="A9" s="111" t="s">
        <v>398</v>
      </c>
      <c r="B9" s="129"/>
    </row>
    <row r="10" spans="1:2">
      <c r="A10" s="111" t="s">
        <v>377</v>
      </c>
      <c r="B10" s="129">
        <v>37</v>
      </c>
    </row>
    <row r="11" spans="1:2">
      <c r="A11" s="111" t="s">
        <v>375</v>
      </c>
      <c r="B11" s="129"/>
    </row>
    <row r="12" spans="1:2">
      <c r="A12" s="111" t="s">
        <v>405</v>
      </c>
      <c r="B12" s="129"/>
    </row>
    <row r="13" spans="1:2">
      <c r="A13" s="111" t="s">
        <v>692</v>
      </c>
      <c r="B13" s="129">
        <v>2</v>
      </c>
    </row>
    <row r="14" spans="1:2">
      <c r="A14" s="17" t="s">
        <v>568</v>
      </c>
      <c r="B14" s="129">
        <v>879</v>
      </c>
    </row>
    <row r="15" spans="1:2">
      <c r="A15" s="111" t="s">
        <v>369</v>
      </c>
      <c r="B15" s="129">
        <v>855</v>
      </c>
    </row>
    <row r="16" spans="1:2">
      <c r="A16" s="111" t="s">
        <v>370</v>
      </c>
      <c r="B16" s="129">
        <v>2</v>
      </c>
    </row>
    <row r="17" spans="1:2">
      <c r="A17" s="111" t="s">
        <v>398</v>
      </c>
      <c r="B17" s="129">
        <v>13</v>
      </c>
    </row>
    <row r="18" spans="1:2">
      <c r="A18" s="111" t="s">
        <v>377</v>
      </c>
      <c r="B18" s="129">
        <v>9</v>
      </c>
    </row>
    <row r="19" spans="1:2">
      <c r="A19" s="17" t="s">
        <v>569</v>
      </c>
      <c r="B19" s="129">
        <v>1304</v>
      </c>
    </row>
    <row r="20" spans="1:2">
      <c r="A20" s="111" t="s">
        <v>369</v>
      </c>
      <c r="B20" s="129">
        <v>1289</v>
      </c>
    </row>
    <row r="21" spans="1:2">
      <c r="A21" s="111" t="s">
        <v>398</v>
      </c>
      <c r="B21" s="129">
        <v>8</v>
      </c>
    </row>
    <row r="22" spans="1:2">
      <c r="A22" s="111" t="s">
        <v>377</v>
      </c>
      <c r="B22" s="129">
        <v>7</v>
      </c>
    </row>
    <row r="23" spans="1:2">
      <c r="A23" s="17" t="s">
        <v>570</v>
      </c>
      <c r="B23" s="129">
        <v>146</v>
      </c>
    </row>
    <row r="24" spans="1:2">
      <c r="A24" s="111" t="s">
        <v>369</v>
      </c>
      <c r="B24" s="129">
        <v>143</v>
      </c>
    </row>
    <row r="25" spans="1:2">
      <c r="A25" s="111" t="s">
        <v>370</v>
      </c>
      <c r="B25" s="129">
        <v>1</v>
      </c>
    </row>
    <row r="26" spans="1:2">
      <c r="A26" s="111" t="s">
        <v>377</v>
      </c>
      <c r="B26" s="129">
        <v>2</v>
      </c>
    </row>
    <row r="27" spans="1:2">
      <c r="A27" s="17" t="s">
        <v>381</v>
      </c>
      <c r="B27" s="129">
        <v>3621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B34" sqref="B3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3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9">
        <v>3</v>
      </c>
      <c r="C5"/>
      <c r="D5"/>
      <c r="E5"/>
    </row>
    <row r="6" spans="1:6">
      <c r="A6" s="111" t="s">
        <v>5711</v>
      </c>
      <c r="B6" s="129">
        <v>1</v>
      </c>
      <c r="C6" s="126"/>
      <c r="D6" s="124"/>
      <c r="E6" s="124"/>
    </row>
    <row r="7" spans="1:6">
      <c r="A7" s="112" t="s">
        <v>370</v>
      </c>
      <c r="B7" s="129">
        <v>1</v>
      </c>
      <c r="C7"/>
      <c r="D7"/>
      <c r="E7"/>
    </row>
    <row r="8" spans="1:6">
      <c r="A8" s="111" t="s">
        <v>5737</v>
      </c>
      <c r="B8" s="129">
        <v>1</v>
      </c>
      <c r="C8" s="56"/>
      <c r="D8" s="124"/>
      <c r="E8" s="124"/>
    </row>
    <row r="9" spans="1:6">
      <c r="A9" s="112" t="s">
        <v>370</v>
      </c>
      <c r="B9" s="129">
        <v>1</v>
      </c>
      <c r="C9"/>
      <c r="D9"/>
    </row>
    <row r="10" spans="1:6">
      <c r="A10" s="111" t="s">
        <v>5741</v>
      </c>
      <c r="B10" s="129">
        <v>1</v>
      </c>
      <c r="C10" s="53"/>
      <c r="D10" s="124"/>
      <c r="E10" s="124"/>
    </row>
    <row r="11" spans="1:6">
      <c r="A11" s="112" t="s">
        <v>370</v>
      </c>
      <c r="B11" s="129">
        <v>1</v>
      </c>
      <c r="C11"/>
      <c r="D11"/>
    </row>
    <row r="12" spans="1:6">
      <c r="A12" s="17" t="s">
        <v>4328</v>
      </c>
      <c r="B12" s="129">
        <v>189</v>
      </c>
      <c r="C12" s="126"/>
      <c r="D12"/>
    </row>
    <row r="13" spans="1:6">
      <c r="A13" s="111" t="s">
        <v>4414</v>
      </c>
      <c r="B13" s="129">
        <v>11</v>
      </c>
      <c r="C13"/>
      <c r="D13"/>
    </row>
    <row r="14" spans="1:6">
      <c r="A14" s="112" t="s">
        <v>369</v>
      </c>
      <c r="B14" s="129">
        <v>10</v>
      </c>
      <c r="C14" s="126"/>
      <c r="D14"/>
    </row>
    <row r="15" spans="1:6">
      <c r="A15" s="112" t="s">
        <v>692</v>
      </c>
      <c r="B15" s="129">
        <v>1</v>
      </c>
      <c r="C15"/>
      <c r="D15" s="124"/>
      <c r="E15" s="124"/>
    </row>
    <row r="16" spans="1:6">
      <c r="A16" s="111" t="s">
        <v>5480</v>
      </c>
      <c r="B16" s="129">
        <v>178</v>
      </c>
      <c r="C16"/>
      <c r="D16"/>
    </row>
    <row r="17" spans="1:5">
      <c r="A17" s="112" t="s">
        <v>369</v>
      </c>
      <c r="B17" s="129">
        <v>176</v>
      </c>
      <c r="C17"/>
      <c r="D17" s="124"/>
      <c r="E17" s="124"/>
    </row>
    <row r="18" spans="1:5">
      <c r="A18" s="112" t="s">
        <v>404</v>
      </c>
      <c r="B18" s="129">
        <v>1</v>
      </c>
      <c r="C18" s="126"/>
      <c r="D18"/>
    </row>
    <row r="19" spans="1:5">
      <c r="A19" s="112" t="s">
        <v>692</v>
      </c>
      <c r="B19" s="129">
        <v>1</v>
      </c>
      <c r="C19" s="47"/>
      <c r="D19"/>
    </row>
    <row r="20" spans="1:5">
      <c r="A20" s="17" t="s">
        <v>381</v>
      </c>
      <c r="B20" s="129">
        <v>192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60"/>
  <sheetViews>
    <sheetView topLeftCell="A1235" workbookViewId="0">
      <selection activeCell="C1260" sqref="C1251:C126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  <row r="1251" spans="1:3">
      <c r="A1251" t="s">
        <v>5577</v>
      </c>
      <c r="B1251">
        <v>2</v>
      </c>
      <c r="C1251" s="135" t="s">
        <v>4</v>
      </c>
    </row>
    <row r="1252" spans="1:3">
      <c r="A1252" t="s">
        <v>5672</v>
      </c>
      <c r="B1252">
        <v>93</v>
      </c>
      <c r="C1252" s="135" t="s">
        <v>4</v>
      </c>
    </row>
    <row r="1253" spans="1:3">
      <c r="A1253" t="s">
        <v>5673</v>
      </c>
      <c r="B1253">
        <v>1</v>
      </c>
      <c r="C1253" s="135" t="s">
        <v>4</v>
      </c>
    </row>
    <row r="1254" spans="1:3">
      <c r="A1254" t="s">
        <v>5675</v>
      </c>
      <c r="B1254">
        <v>6</v>
      </c>
      <c r="C1254" s="135" t="s">
        <v>4</v>
      </c>
    </row>
    <row r="1255" spans="1:3">
      <c r="A1255" t="s">
        <v>5686</v>
      </c>
      <c r="B1255">
        <v>12</v>
      </c>
      <c r="C1255" s="135" t="s">
        <v>4</v>
      </c>
    </row>
    <row r="1256" spans="1:3">
      <c r="A1256" t="s">
        <v>5699</v>
      </c>
      <c r="B1256">
        <v>1</v>
      </c>
      <c r="C1256" s="135" t="s">
        <v>4</v>
      </c>
    </row>
    <row r="1257" spans="1:3">
      <c r="A1257" t="s">
        <v>5703</v>
      </c>
      <c r="B1257">
        <v>5</v>
      </c>
      <c r="C1257" s="135" t="s">
        <v>4</v>
      </c>
    </row>
    <row r="1258" spans="1:3">
      <c r="A1258" t="s">
        <v>5713</v>
      </c>
      <c r="B1258">
        <v>12</v>
      </c>
      <c r="C1258" s="135" t="s">
        <v>4</v>
      </c>
    </row>
    <row r="1259" spans="1:3">
      <c r="A1259" t="s">
        <v>5724</v>
      </c>
      <c r="B1259">
        <v>8</v>
      </c>
      <c r="C1259" s="135" t="s">
        <v>4</v>
      </c>
    </row>
    <row r="1260" spans="1:3">
      <c r="A1260" t="s">
        <v>5734</v>
      </c>
      <c r="B1260">
        <v>2</v>
      </c>
      <c r="C1260" s="135" t="s">
        <v>4</v>
      </c>
    </row>
  </sheetData>
  <conditionalFormatting sqref="A2:A545 A548:A568 A570:A1036 A1038:A1232 A12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695"/>
  <sheetViews>
    <sheetView tabSelected="1" topLeftCell="B3669" zoomScale="85" zoomScaleNormal="85" workbookViewId="0">
      <selection activeCell="B3695" sqref="B369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176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151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151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151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151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151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151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151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151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151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151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151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147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144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144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144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144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144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144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144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144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144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144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144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144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144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144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144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144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144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144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144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144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144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144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144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144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144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144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144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144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144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144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144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144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144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144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144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144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144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144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144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144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144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143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143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143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143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143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143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143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143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143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143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143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143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143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143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143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143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143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143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143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143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143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143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143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143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143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143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143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143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143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143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143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143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143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143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143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143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143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143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143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143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143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143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143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143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143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143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143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143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143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143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143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143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143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143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143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143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143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143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143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142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142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142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142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142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141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141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139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139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138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135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135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135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135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135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135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135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135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135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135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135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135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135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135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135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135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135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135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135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135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135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134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134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134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134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134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129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129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129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124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124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124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124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124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124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124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124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124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124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124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124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124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124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124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124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124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124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120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120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120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115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114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114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114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114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114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114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114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114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114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114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114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114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100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100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99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99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99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89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74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74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74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74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74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74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74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74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74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74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74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74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74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74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74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74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74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74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74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74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71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71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71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71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70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70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70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70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70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70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70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70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70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70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70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70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70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70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70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70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70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70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70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70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70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70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70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70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70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70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70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70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70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70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69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69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69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69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69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69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69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69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69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69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69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69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69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69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69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69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69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69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65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65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65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65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65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65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65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65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65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65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65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65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65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65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65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65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65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65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65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65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65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65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65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65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65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65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65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65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65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65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65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65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65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65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65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65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65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65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65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65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65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65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65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65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65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65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65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65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65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65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65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65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65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65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65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65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65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65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65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65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65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65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65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65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65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65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65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65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65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65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65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65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65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65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65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65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65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65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65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65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65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65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65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65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65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65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65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65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65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65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65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65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59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59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54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54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49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49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49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49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49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49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49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49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49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49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49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49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49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49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49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49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49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49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49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49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49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49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49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49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49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49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49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49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49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49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49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49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49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49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49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49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49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49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49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49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49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49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49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49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49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49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49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49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49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49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49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49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49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49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49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49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49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49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49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49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49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49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49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49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49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49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49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49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49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49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49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49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49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49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49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49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49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49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49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49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49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49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49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49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49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49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49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49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49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49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49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49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49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49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49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49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49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49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49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49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49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49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49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49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49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46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46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46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46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47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44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44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39</v>
      </c>
      <c r="R2488" s="110" t="s">
        <v>1459</v>
      </c>
      <c r="S2488" s="94"/>
    </row>
    <row r="2489" spans="1:19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39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39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39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39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39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39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39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39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39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39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37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37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37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37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37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37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37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37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37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37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37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37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37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37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37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37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37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37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37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37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37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37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37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37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37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37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37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37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37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37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37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37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37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37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37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37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37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37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37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37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37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37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37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37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37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37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37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37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37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37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37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37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37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37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37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37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37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37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37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37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37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37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37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37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37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37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37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37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37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37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37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37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37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37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37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37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37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37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37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37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37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37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37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37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37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37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37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37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37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37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37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37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37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37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37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37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37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37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37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37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37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37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37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37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37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37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37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37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37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37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37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37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37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37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37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37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37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37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37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37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37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37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37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37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37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37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37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37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37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37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37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37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37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37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37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37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37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37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37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37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37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37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37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37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37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37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37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37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37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37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37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37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37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37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37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37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37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37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37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37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37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37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37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37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37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37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37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37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37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37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37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37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37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37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37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37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37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37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37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37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37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37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37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37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37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37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37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37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37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37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37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37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37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37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37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37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37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37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37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37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37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37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37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37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37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37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37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37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37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37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37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37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37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37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37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37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37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37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37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37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37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37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37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37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37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37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37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37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37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37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37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37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37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37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37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37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37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37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37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37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37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37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37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37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37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37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37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37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37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37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37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37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37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37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37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37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37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37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37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37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37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37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37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37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37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37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37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37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37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37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37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37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37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37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37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37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37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37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37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37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37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37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37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37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37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37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37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37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37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37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37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37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37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37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37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37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37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37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37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37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37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37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37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37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37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37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37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37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37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37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37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37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37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37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37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37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37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37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37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37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37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37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37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37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37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37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37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37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37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37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37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37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37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37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37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35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35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35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35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35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35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35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35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35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35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34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34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34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33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33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33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33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33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33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32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32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30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29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29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29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28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28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28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26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26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26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26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26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26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26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23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23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23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23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23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23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23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23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23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23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23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23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23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23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23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23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23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23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23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23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23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23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23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23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23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23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23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23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23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22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22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20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20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20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20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20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20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20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20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20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20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18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18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18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18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18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18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18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18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17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17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17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17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17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17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17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17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17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17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17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17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17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17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17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17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17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15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15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15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15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15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15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15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15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15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15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15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15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15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15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15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15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15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15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15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15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15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15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15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15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15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15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15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15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15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15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15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15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15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15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15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15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15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15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15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15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15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15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15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15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15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15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15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15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15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15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15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15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15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15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15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15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15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15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15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15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15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15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15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15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15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15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15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15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15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15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15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15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15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15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15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15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15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15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15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15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15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15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15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15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15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15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15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15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15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15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15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15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15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15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15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15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15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15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15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15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15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15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15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15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15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15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15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15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15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15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15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15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15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15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15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15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15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15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15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15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15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15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15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15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15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15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15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15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15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15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15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15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15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15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15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15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15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15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15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15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15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15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15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15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15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15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15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15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15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15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15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15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15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15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15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15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15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15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15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15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15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15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15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15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15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15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15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15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15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15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15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15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15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15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15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15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15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15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15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15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15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15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15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15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15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15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15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15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15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15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15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15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15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15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15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15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15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15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15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15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15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15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15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15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15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15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15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15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15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15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15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15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15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15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15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15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15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15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15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15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15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15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15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15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15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15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15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15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15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15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15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15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15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15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15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15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15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15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15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15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15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15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15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15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15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15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15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15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15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15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15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15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15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15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15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15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15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15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15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15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15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15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15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15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15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15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15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15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15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15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15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15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15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15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15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15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15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15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15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15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15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15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15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15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15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15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15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15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15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15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15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15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15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15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15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14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14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14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14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14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14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14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14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14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14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14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14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14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14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14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14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14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14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14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14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14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14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14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14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14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14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14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14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14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14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14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14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14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14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14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14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14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14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14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14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14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14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14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14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14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14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14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14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14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14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14</v>
      </c>
      <c r="R3282" s="115" t="s">
        <v>1459</v>
      </c>
      <c r="S3282" s="125"/>
    </row>
    <row r="3283" spans="1:19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14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14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14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14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14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14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14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14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14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14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14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14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14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14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14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14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14</v>
      </c>
      <c r="R3299" s="115" t="s">
        <v>1459</v>
      </c>
      <c r="S3299" s="125"/>
    </row>
    <row r="3300" spans="1:19">
      <c r="A3300" s="124" t="s">
        <v>5480</v>
      </c>
      <c r="B3300" s="125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14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14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14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14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14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14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14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14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14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14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14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14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14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14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14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14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14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14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14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14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14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14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14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14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14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14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14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14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14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14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14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14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14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14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14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14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14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14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14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14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14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14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14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14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14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14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14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14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14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14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14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14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14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14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14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14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14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14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14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14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14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14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14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14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14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14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14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14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14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14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14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14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14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14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14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14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14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14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14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14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14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14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14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14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14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14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14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14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14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14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14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14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14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14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14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14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14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14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14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14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14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14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14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14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14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14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14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14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14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14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14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14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14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14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14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14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14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14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14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14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14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14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14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14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14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14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14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14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14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14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14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14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14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14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11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11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11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11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11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11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11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11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11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11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11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11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11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11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11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11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11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11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11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11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11</v>
      </c>
      <c r="R3454" s="115" t="s">
        <v>489</v>
      </c>
      <c r="S3454" s="125"/>
    </row>
    <row r="3455" spans="1:19" hidden="1">
      <c r="A3455" t="s">
        <v>5524</v>
      </c>
      <c r="B3455" s="125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11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11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11</v>
      </c>
      <c r="R3457" s="115" t="s">
        <v>489</v>
      </c>
      <c r="S3457" s="125"/>
    </row>
    <row r="3458" spans="1:19" hidden="1">
      <c r="A3458" t="s">
        <v>5531</v>
      </c>
      <c r="B3458" s="125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11</v>
      </c>
      <c r="R3458" s="115" t="s">
        <v>489</v>
      </c>
      <c r="S3458" s="125"/>
    </row>
    <row r="3459" spans="1:19" hidden="1">
      <c r="A3459" t="s">
        <v>5532</v>
      </c>
      <c r="B3459" s="125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11</v>
      </c>
      <c r="R3459" s="115" t="s">
        <v>489</v>
      </c>
      <c r="S3459" s="125"/>
    </row>
    <row r="3460" spans="1:19" hidden="1">
      <c r="A3460" s="124" t="s">
        <v>5532</v>
      </c>
      <c r="B3460" s="125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11</v>
      </c>
      <c r="R3460" s="115" t="s">
        <v>489</v>
      </c>
      <c r="S3460" s="125"/>
    </row>
    <row r="3461" spans="1:19" hidden="1">
      <c r="A3461" s="124" t="s">
        <v>5532</v>
      </c>
      <c r="B3461" s="125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11</v>
      </c>
      <c r="R3461" s="115" t="s">
        <v>489</v>
      </c>
      <c r="S3461" s="125"/>
    </row>
    <row r="3462" spans="1:19" hidden="1">
      <c r="A3462" s="124" t="s">
        <v>5532</v>
      </c>
      <c r="B3462" s="125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11</v>
      </c>
      <c r="R3462" s="115" t="s">
        <v>489</v>
      </c>
      <c r="S3462" s="125"/>
    </row>
    <row r="3463" spans="1:19" hidden="1">
      <c r="A3463" s="124" t="s">
        <v>5532</v>
      </c>
      <c r="B3463" s="125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11</v>
      </c>
      <c r="R3463" s="115" t="s">
        <v>489</v>
      </c>
      <c r="S3463" s="125"/>
    </row>
    <row r="3464" spans="1:19" hidden="1">
      <c r="A3464" s="124" t="s">
        <v>5532</v>
      </c>
      <c r="B3464" s="125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11</v>
      </c>
      <c r="R3464" s="115" t="s">
        <v>489</v>
      </c>
      <c r="S3464" s="125"/>
    </row>
    <row r="3465" spans="1:19" hidden="1">
      <c r="A3465" s="124" t="s">
        <v>5532</v>
      </c>
      <c r="B3465" s="125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11</v>
      </c>
      <c r="R3465" s="115" t="s">
        <v>489</v>
      </c>
      <c r="S3465" s="125"/>
    </row>
    <row r="3466" spans="1:19" hidden="1">
      <c r="A3466" s="124" t="s">
        <v>5532</v>
      </c>
      <c r="B3466" s="125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11</v>
      </c>
      <c r="R3466" s="115" t="s">
        <v>489</v>
      </c>
      <c r="S3466" s="125"/>
    </row>
    <row r="3467" spans="1:19" hidden="1">
      <c r="A3467" t="s">
        <v>5535</v>
      </c>
      <c r="B3467" s="125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11</v>
      </c>
      <c r="R3467" s="115" t="s">
        <v>415</v>
      </c>
      <c r="S3467" s="125"/>
    </row>
    <row r="3468" spans="1:19" hidden="1">
      <c r="A3468" s="124" t="s">
        <v>5535</v>
      </c>
      <c r="B3468" s="125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11</v>
      </c>
      <c r="R3468" s="115" t="s">
        <v>415</v>
      </c>
      <c r="S3468" s="125"/>
    </row>
    <row r="3469" spans="1:19" hidden="1">
      <c r="A3469" s="124" t="s">
        <v>5535</v>
      </c>
      <c r="B3469" s="125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11</v>
      </c>
      <c r="R3469" s="115" t="s">
        <v>415</v>
      </c>
      <c r="S3469" s="125"/>
    </row>
    <row r="3470" spans="1:19" hidden="1">
      <c r="A3470" s="124" t="s">
        <v>5535</v>
      </c>
      <c r="B3470" s="125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11</v>
      </c>
      <c r="R3470" s="115" t="s">
        <v>415</v>
      </c>
      <c r="S3470" s="125"/>
    </row>
    <row r="3471" spans="1:19" hidden="1">
      <c r="A3471" s="124" t="s">
        <v>5535</v>
      </c>
      <c r="B3471" s="125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11</v>
      </c>
      <c r="R3471" s="115" t="s">
        <v>415</v>
      </c>
      <c r="S3471" s="125"/>
    </row>
    <row r="3472" spans="1:19" hidden="1">
      <c r="A3472" s="124" t="s">
        <v>5535</v>
      </c>
      <c r="B3472" s="125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11</v>
      </c>
      <c r="R3472" s="115" t="s">
        <v>415</v>
      </c>
      <c r="S3472" s="125"/>
    </row>
    <row r="3473" spans="1:19" hidden="1">
      <c r="A3473" s="124" t="s">
        <v>5535</v>
      </c>
      <c r="B3473" s="125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11</v>
      </c>
      <c r="R3473" s="115" t="s">
        <v>415</v>
      </c>
      <c r="S3473" s="125"/>
    </row>
    <row r="3474" spans="1:19" hidden="1">
      <c r="A3474" s="124" t="s">
        <v>5535</v>
      </c>
      <c r="B3474" s="125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11</v>
      </c>
      <c r="R3474" s="115" t="s">
        <v>415</v>
      </c>
      <c r="S3474" s="125"/>
    </row>
    <row r="3475" spans="1:19" hidden="1">
      <c r="A3475" s="124" t="s">
        <v>5535</v>
      </c>
      <c r="B3475" s="125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11</v>
      </c>
      <c r="R3475" s="115" t="s">
        <v>415</v>
      </c>
      <c r="S3475" s="125"/>
    </row>
    <row r="3476" spans="1:19" hidden="1">
      <c r="A3476" s="124" t="s">
        <v>5535</v>
      </c>
      <c r="B3476" s="125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11</v>
      </c>
      <c r="R3476" s="115" t="s">
        <v>415</v>
      </c>
      <c r="S3476" s="125"/>
    </row>
    <row r="3477" spans="1:19" hidden="1">
      <c r="A3477" t="s">
        <v>5548</v>
      </c>
      <c r="B3477" s="125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10</v>
      </c>
      <c r="R3477" s="115" t="s">
        <v>410</v>
      </c>
      <c r="S3477" s="125"/>
    </row>
    <row r="3478" spans="1:19" hidden="1">
      <c r="A3478" t="s">
        <v>5551</v>
      </c>
      <c r="B3478" s="125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10</v>
      </c>
      <c r="R3478" s="115" t="s">
        <v>515</v>
      </c>
      <c r="S3478" s="125"/>
    </row>
    <row r="3479" spans="1:19" hidden="1">
      <c r="A3479" t="s">
        <v>5556</v>
      </c>
      <c r="B3479" s="125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9</v>
      </c>
      <c r="R3479" s="115" t="s">
        <v>410</v>
      </c>
      <c r="S3479" s="125"/>
    </row>
    <row r="3480" spans="1:19" hidden="1">
      <c r="A3480" s="124" t="s">
        <v>5556</v>
      </c>
      <c r="B3480" s="125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9</v>
      </c>
      <c r="R3480" s="115" t="s">
        <v>410</v>
      </c>
      <c r="S3480" s="125"/>
    </row>
    <row r="3481" spans="1:19" hidden="1">
      <c r="A3481" s="124" t="s">
        <v>5556</v>
      </c>
      <c r="B3481" s="125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9</v>
      </c>
      <c r="R3481" s="115" t="s">
        <v>410</v>
      </c>
      <c r="S3481" s="125"/>
    </row>
    <row r="3482" spans="1:19" hidden="1">
      <c r="A3482" s="124" t="s">
        <v>5556</v>
      </c>
      <c r="B3482" s="125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9</v>
      </c>
      <c r="R3482" s="115" t="s">
        <v>410</v>
      </c>
      <c r="S3482" s="125"/>
    </row>
    <row r="3483" spans="1:19" hidden="1">
      <c r="A3483" s="124" t="s">
        <v>5556</v>
      </c>
      <c r="B3483" s="125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9</v>
      </c>
      <c r="R3483" s="115" t="s">
        <v>410</v>
      </c>
      <c r="S3483" s="125"/>
    </row>
    <row r="3484" spans="1:19" hidden="1">
      <c r="A3484" s="124" t="s">
        <v>5556</v>
      </c>
      <c r="B3484" s="125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9</v>
      </c>
      <c r="R3484" s="115" t="s">
        <v>410</v>
      </c>
      <c r="S3484" s="125"/>
    </row>
    <row r="3485" spans="1:19" hidden="1">
      <c r="A3485" s="124" t="s">
        <v>5556</v>
      </c>
      <c r="B3485" s="125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9</v>
      </c>
      <c r="R3485" s="115" t="s">
        <v>410</v>
      </c>
      <c r="S3485" s="125"/>
    </row>
    <row r="3486" spans="1:19" hidden="1">
      <c r="A3486" t="s">
        <v>5574</v>
      </c>
      <c r="B3486" s="125" t="str">
        <f>IFERROR(VLOOKUP(Proc[[#This Row],[App]],Table2[],3,0),"open")</f>
        <v>ok</v>
      </c>
      <c r="C3486" s="128" t="s">
        <v>369</v>
      </c>
      <c r="D3486" t="s">
        <v>5578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</v>
      </c>
      <c r="R3486" s="115" t="s">
        <v>1262</v>
      </c>
      <c r="S3486" s="125"/>
    </row>
    <row r="3487" spans="1:19" hidden="1">
      <c r="A3487" t="s">
        <v>5577</v>
      </c>
      <c r="B3487" s="129" t="str">
        <f>IFERROR(VLOOKUP(Proc[[#This Row],[App]],Table2[],3,0),"open")</f>
        <v>ok</v>
      </c>
      <c r="C3487" s="128" t="s">
        <v>369</v>
      </c>
      <c r="D3487" t="s">
        <v>5575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</v>
      </c>
      <c r="R3487" s="115" t="s">
        <v>515</v>
      </c>
      <c r="S3487" s="129"/>
    </row>
    <row r="3488" spans="1:19" hidden="1">
      <c r="A3488" s="128" t="s">
        <v>5577</v>
      </c>
      <c r="B3488" s="129" t="str">
        <f>IFERROR(VLOOKUP(Proc[[#This Row],[App]],Table2[],3,0),"open")</f>
        <v>ok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</v>
      </c>
      <c r="R3488" s="115" t="s">
        <v>515</v>
      </c>
      <c r="S3488" s="129"/>
    </row>
    <row r="3489" spans="1:19" hidden="1">
      <c r="A3489" t="s">
        <v>5672</v>
      </c>
      <c r="B3489" s="129" t="str">
        <f>IFERROR(VLOOKUP(Proc[[#This Row],[App]],Table2[],3,0),"open")</f>
        <v>ok</v>
      </c>
      <c r="C3489" s="128" t="s">
        <v>369</v>
      </c>
      <c r="D3489" t="s">
        <v>5579</v>
      </c>
      <c r="E3489" t="s">
        <v>5671</v>
      </c>
      <c r="F3489" s="129" t="s">
        <v>5671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</v>
      </c>
      <c r="R3489" s="115" t="s">
        <v>515</v>
      </c>
      <c r="S3489" s="129"/>
    </row>
    <row r="3490" spans="1:19" hidden="1">
      <c r="A3490" s="128" t="s">
        <v>5672</v>
      </c>
      <c r="B3490" s="129" t="str">
        <f>IFERROR(VLOOKUP(Proc[[#This Row],[App]],Table2[],3,0),"open")</f>
        <v>ok</v>
      </c>
      <c r="C3490" s="128" t="s">
        <v>369</v>
      </c>
      <c r="D3490" t="s">
        <v>5580</v>
      </c>
      <c r="E3490" t="s">
        <v>5671</v>
      </c>
      <c r="F3490" s="129" t="s">
        <v>5671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</v>
      </c>
      <c r="R3490" s="115" t="s">
        <v>515</v>
      </c>
      <c r="S3490" s="129"/>
    </row>
    <row r="3491" spans="1:19" hidden="1">
      <c r="A3491" s="128" t="s">
        <v>5672</v>
      </c>
      <c r="B3491" s="129" t="str">
        <f>IFERROR(VLOOKUP(Proc[[#This Row],[App]],Table2[],3,0),"open")</f>
        <v>ok</v>
      </c>
      <c r="C3491" s="128" t="s">
        <v>369</v>
      </c>
      <c r="D3491" t="s">
        <v>5581</v>
      </c>
      <c r="E3491" t="s">
        <v>5671</v>
      </c>
      <c r="F3491" s="129" t="s">
        <v>5671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</v>
      </c>
      <c r="R3491" s="115" t="s">
        <v>515</v>
      </c>
      <c r="S3491" s="129"/>
    </row>
    <row r="3492" spans="1:19" hidden="1">
      <c r="A3492" s="128" t="s">
        <v>5672</v>
      </c>
      <c r="B3492" s="129" t="str">
        <f>IFERROR(VLOOKUP(Proc[[#This Row],[App]],Table2[],3,0),"open")</f>
        <v>ok</v>
      </c>
      <c r="C3492" s="128" t="s">
        <v>369</v>
      </c>
      <c r="D3492" t="s">
        <v>5582</v>
      </c>
      <c r="E3492" t="s">
        <v>5671</v>
      </c>
      <c r="F3492" s="129" t="s">
        <v>5671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</v>
      </c>
      <c r="R3492" s="115" t="s">
        <v>515</v>
      </c>
      <c r="S3492" s="129"/>
    </row>
    <row r="3493" spans="1:19" hidden="1">
      <c r="A3493" s="128" t="s">
        <v>5672</v>
      </c>
      <c r="B3493" s="129" t="str">
        <f>IFERROR(VLOOKUP(Proc[[#This Row],[App]],Table2[],3,0),"open")</f>
        <v>ok</v>
      </c>
      <c r="C3493" s="128" t="s">
        <v>369</v>
      </c>
      <c r="D3493" t="s">
        <v>5583</v>
      </c>
      <c r="E3493" t="s">
        <v>5671</v>
      </c>
      <c r="F3493" s="129" t="s">
        <v>5671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</v>
      </c>
      <c r="R3493" s="115" t="s">
        <v>515</v>
      </c>
      <c r="S3493" s="129"/>
    </row>
    <row r="3494" spans="1:19" hidden="1">
      <c r="A3494" s="128" t="s">
        <v>5672</v>
      </c>
      <c r="B3494" s="129" t="str">
        <f>IFERROR(VLOOKUP(Proc[[#This Row],[App]],Table2[],3,0),"open")</f>
        <v>ok</v>
      </c>
      <c r="C3494" s="128" t="s">
        <v>369</v>
      </c>
      <c r="D3494" t="s">
        <v>5584</v>
      </c>
      <c r="E3494" t="s">
        <v>5671</v>
      </c>
      <c r="F3494" s="129" t="s">
        <v>5671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</v>
      </c>
      <c r="R3494" s="115" t="s">
        <v>515</v>
      </c>
      <c r="S3494" s="129"/>
    </row>
    <row r="3495" spans="1:19" hidden="1">
      <c r="A3495" s="128" t="s">
        <v>5672</v>
      </c>
      <c r="B3495" s="129" t="str">
        <f>IFERROR(VLOOKUP(Proc[[#This Row],[App]],Table2[],3,0),"open")</f>
        <v>ok</v>
      </c>
      <c r="C3495" s="128" t="s">
        <v>369</v>
      </c>
      <c r="D3495" t="s">
        <v>5585</v>
      </c>
      <c r="E3495" t="s">
        <v>5671</v>
      </c>
      <c r="F3495" s="129" t="s">
        <v>5671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</v>
      </c>
      <c r="R3495" s="115" t="s">
        <v>515</v>
      </c>
      <c r="S3495" s="129"/>
    </row>
    <row r="3496" spans="1:19" hidden="1">
      <c r="A3496" s="128" t="s">
        <v>5672</v>
      </c>
      <c r="B3496" s="129" t="str">
        <f>IFERROR(VLOOKUP(Proc[[#This Row],[App]],Table2[],3,0),"open")</f>
        <v>ok</v>
      </c>
      <c r="C3496" s="128" t="s">
        <v>369</v>
      </c>
      <c r="D3496" t="s">
        <v>5586</v>
      </c>
      <c r="E3496" t="s">
        <v>5671</v>
      </c>
      <c r="F3496" s="129" t="s">
        <v>5671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</v>
      </c>
      <c r="R3496" s="115" t="s">
        <v>515</v>
      </c>
      <c r="S3496" s="129"/>
    </row>
    <row r="3497" spans="1:19" hidden="1">
      <c r="A3497" s="128" t="s">
        <v>5672</v>
      </c>
      <c r="B3497" s="129" t="str">
        <f>IFERROR(VLOOKUP(Proc[[#This Row],[App]],Table2[],3,0),"open")</f>
        <v>ok</v>
      </c>
      <c r="C3497" s="128" t="s">
        <v>369</v>
      </c>
      <c r="D3497" t="s">
        <v>5587</v>
      </c>
      <c r="E3497" t="s">
        <v>5671</v>
      </c>
      <c r="F3497" s="129" t="s">
        <v>5671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</v>
      </c>
      <c r="R3497" s="115" t="s">
        <v>515</v>
      </c>
      <c r="S3497" s="129"/>
    </row>
    <row r="3498" spans="1:19" hidden="1">
      <c r="A3498" s="128" t="s">
        <v>5672</v>
      </c>
      <c r="B3498" s="129" t="str">
        <f>IFERROR(VLOOKUP(Proc[[#This Row],[App]],Table2[],3,0),"open")</f>
        <v>ok</v>
      </c>
      <c r="C3498" s="128" t="s">
        <v>369</v>
      </c>
      <c r="D3498" t="s">
        <v>5588</v>
      </c>
      <c r="E3498" t="s">
        <v>5671</v>
      </c>
      <c r="F3498" s="129" t="s">
        <v>5671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</v>
      </c>
      <c r="R3498" s="115" t="s">
        <v>515</v>
      </c>
      <c r="S3498" s="129"/>
    </row>
    <row r="3499" spans="1:19" hidden="1">
      <c r="A3499" s="128" t="s">
        <v>5672</v>
      </c>
      <c r="B3499" s="129" t="str">
        <f>IFERROR(VLOOKUP(Proc[[#This Row],[App]],Table2[],3,0),"open")</f>
        <v>ok</v>
      </c>
      <c r="C3499" s="128" t="s">
        <v>369</v>
      </c>
      <c r="D3499" t="s">
        <v>5589</v>
      </c>
      <c r="E3499" t="s">
        <v>5671</v>
      </c>
      <c r="F3499" s="129" t="s">
        <v>5671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</v>
      </c>
      <c r="R3499" s="115" t="s">
        <v>515</v>
      </c>
      <c r="S3499" s="129"/>
    </row>
    <row r="3500" spans="1:19" hidden="1">
      <c r="A3500" s="128" t="s">
        <v>5672</v>
      </c>
      <c r="B3500" s="129" t="str">
        <f>IFERROR(VLOOKUP(Proc[[#This Row],[App]],Table2[],3,0),"open")</f>
        <v>ok</v>
      </c>
      <c r="C3500" s="128" t="s">
        <v>369</v>
      </c>
      <c r="D3500" t="s">
        <v>5590</v>
      </c>
      <c r="E3500" t="s">
        <v>5671</v>
      </c>
      <c r="F3500" s="129" t="s">
        <v>5671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</v>
      </c>
      <c r="R3500" s="115" t="s">
        <v>515</v>
      </c>
      <c r="S3500" s="129"/>
    </row>
    <row r="3501" spans="1:19" hidden="1">
      <c r="A3501" s="128" t="s">
        <v>5672</v>
      </c>
      <c r="B3501" s="129" t="str">
        <f>IFERROR(VLOOKUP(Proc[[#This Row],[App]],Table2[],3,0),"open")</f>
        <v>ok</v>
      </c>
      <c r="C3501" s="128" t="s">
        <v>369</v>
      </c>
      <c r="D3501" t="s">
        <v>5591</v>
      </c>
      <c r="E3501" t="s">
        <v>5671</v>
      </c>
      <c r="F3501" s="129" t="s">
        <v>5671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</v>
      </c>
      <c r="R3501" s="115" t="s">
        <v>515</v>
      </c>
      <c r="S3501" s="129"/>
    </row>
    <row r="3502" spans="1:19" hidden="1">
      <c r="A3502" s="128" t="s">
        <v>5672</v>
      </c>
      <c r="B3502" s="129" t="str">
        <f>IFERROR(VLOOKUP(Proc[[#This Row],[App]],Table2[],3,0),"open")</f>
        <v>ok</v>
      </c>
      <c r="C3502" s="128" t="s">
        <v>369</v>
      </c>
      <c r="D3502" t="s">
        <v>5592</v>
      </c>
      <c r="E3502" t="s">
        <v>5671</v>
      </c>
      <c r="F3502" s="129" t="s">
        <v>5671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</v>
      </c>
      <c r="R3502" s="115" t="s">
        <v>515</v>
      </c>
      <c r="S3502" s="129"/>
    </row>
    <row r="3503" spans="1:19" hidden="1">
      <c r="A3503" s="128" t="s">
        <v>5672</v>
      </c>
      <c r="B3503" s="129" t="str">
        <f>IFERROR(VLOOKUP(Proc[[#This Row],[App]],Table2[],3,0),"open")</f>
        <v>ok</v>
      </c>
      <c r="C3503" s="128" t="s">
        <v>369</v>
      </c>
      <c r="D3503" t="s">
        <v>5593</v>
      </c>
      <c r="E3503" t="s">
        <v>5671</v>
      </c>
      <c r="F3503" s="129" t="s">
        <v>5671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</v>
      </c>
      <c r="R3503" s="115" t="s">
        <v>515</v>
      </c>
      <c r="S3503" s="129"/>
    </row>
    <row r="3504" spans="1:19" hidden="1">
      <c r="A3504" s="128" t="s">
        <v>5672</v>
      </c>
      <c r="B3504" s="129" t="str">
        <f>IFERROR(VLOOKUP(Proc[[#This Row],[App]],Table2[],3,0),"open")</f>
        <v>ok</v>
      </c>
      <c r="C3504" s="128" t="s">
        <v>369</v>
      </c>
      <c r="D3504" t="s">
        <v>5594</v>
      </c>
      <c r="E3504" t="s">
        <v>5671</v>
      </c>
      <c r="F3504" s="129" t="s">
        <v>5671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</v>
      </c>
      <c r="R3504" s="115" t="s">
        <v>515</v>
      </c>
      <c r="S3504" s="129"/>
    </row>
    <row r="3505" spans="1:19" hidden="1">
      <c r="A3505" s="128" t="s">
        <v>5672</v>
      </c>
      <c r="B3505" s="129" t="str">
        <f>IFERROR(VLOOKUP(Proc[[#This Row],[App]],Table2[],3,0),"open")</f>
        <v>ok</v>
      </c>
      <c r="C3505" s="128" t="s">
        <v>369</v>
      </c>
      <c r="D3505" t="s">
        <v>5595</v>
      </c>
      <c r="E3505" t="s">
        <v>5671</v>
      </c>
      <c r="F3505" s="129" t="s">
        <v>5671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</v>
      </c>
      <c r="R3505" s="115" t="s">
        <v>515</v>
      </c>
      <c r="S3505" s="129"/>
    </row>
    <row r="3506" spans="1:19" hidden="1">
      <c r="A3506" s="128" t="s">
        <v>5672</v>
      </c>
      <c r="B3506" s="129" t="str">
        <f>IFERROR(VLOOKUP(Proc[[#This Row],[App]],Table2[],3,0),"open")</f>
        <v>ok</v>
      </c>
      <c r="C3506" s="128" t="s">
        <v>369</v>
      </c>
      <c r="D3506" t="s">
        <v>5596</v>
      </c>
      <c r="E3506" t="s">
        <v>5671</v>
      </c>
      <c r="F3506" s="129" t="s">
        <v>5671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</v>
      </c>
      <c r="R3506" s="115" t="s">
        <v>515</v>
      </c>
      <c r="S3506" s="129"/>
    </row>
    <row r="3507" spans="1:19" hidden="1">
      <c r="A3507" s="128" t="s">
        <v>5672</v>
      </c>
      <c r="B3507" s="129" t="str">
        <f>IFERROR(VLOOKUP(Proc[[#This Row],[App]],Table2[],3,0),"open")</f>
        <v>ok</v>
      </c>
      <c r="C3507" s="128" t="s">
        <v>369</v>
      </c>
      <c r="D3507" t="s">
        <v>5597</v>
      </c>
      <c r="E3507" t="s">
        <v>5671</v>
      </c>
      <c r="F3507" s="129" t="s">
        <v>5671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</v>
      </c>
      <c r="R3507" s="115" t="s">
        <v>515</v>
      </c>
      <c r="S3507" s="129"/>
    </row>
    <row r="3508" spans="1:19" hidden="1">
      <c r="A3508" s="128" t="s">
        <v>5672</v>
      </c>
      <c r="B3508" s="129" t="str">
        <f>IFERROR(VLOOKUP(Proc[[#This Row],[App]],Table2[],3,0),"open")</f>
        <v>ok</v>
      </c>
      <c r="C3508" s="128" t="s">
        <v>369</v>
      </c>
      <c r="D3508" t="s">
        <v>5598</v>
      </c>
      <c r="E3508" t="s">
        <v>5671</v>
      </c>
      <c r="F3508" s="129" t="s">
        <v>5671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</v>
      </c>
      <c r="R3508" s="115" t="s">
        <v>515</v>
      </c>
      <c r="S3508" s="129"/>
    </row>
    <row r="3509" spans="1:19" hidden="1">
      <c r="A3509" s="128" t="s">
        <v>5672</v>
      </c>
      <c r="B3509" s="129" t="str">
        <f>IFERROR(VLOOKUP(Proc[[#This Row],[App]],Table2[],3,0),"open")</f>
        <v>ok</v>
      </c>
      <c r="C3509" s="128" t="s">
        <v>369</v>
      </c>
      <c r="D3509" t="s">
        <v>5599</v>
      </c>
      <c r="E3509" t="s">
        <v>5671</v>
      </c>
      <c r="F3509" s="129" t="s">
        <v>5671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</v>
      </c>
      <c r="R3509" s="115" t="s">
        <v>515</v>
      </c>
      <c r="S3509" s="129"/>
    </row>
    <row r="3510" spans="1:19" hidden="1">
      <c r="A3510" s="128" t="s">
        <v>5672</v>
      </c>
      <c r="B3510" s="129" t="str">
        <f>IFERROR(VLOOKUP(Proc[[#This Row],[App]],Table2[],3,0),"open")</f>
        <v>ok</v>
      </c>
      <c r="C3510" s="128" t="s">
        <v>369</v>
      </c>
      <c r="D3510" t="s">
        <v>5600</v>
      </c>
      <c r="E3510" t="s">
        <v>5671</v>
      </c>
      <c r="F3510" s="129" t="s">
        <v>5671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</v>
      </c>
      <c r="R3510" s="115" t="s">
        <v>515</v>
      </c>
      <c r="S3510" s="129"/>
    </row>
    <row r="3511" spans="1:19" hidden="1">
      <c r="A3511" s="128" t="s">
        <v>5672</v>
      </c>
      <c r="B3511" s="129" t="str">
        <f>IFERROR(VLOOKUP(Proc[[#This Row],[App]],Table2[],3,0),"open")</f>
        <v>ok</v>
      </c>
      <c r="C3511" s="128" t="s">
        <v>369</v>
      </c>
      <c r="D3511" t="s">
        <v>5601</v>
      </c>
      <c r="E3511" t="s">
        <v>5671</v>
      </c>
      <c r="F3511" s="129" t="s">
        <v>5671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</v>
      </c>
      <c r="R3511" s="115" t="s">
        <v>515</v>
      </c>
      <c r="S3511" s="129"/>
    </row>
    <row r="3512" spans="1:19" hidden="1">
      <c r="A3512" s="128" t="s">
        <v>5672</v>
      </c>
      <c r="B3512" s="129" t="str">
        <f>IFERROR(VLOOKUP(Proc[[#This Row],[App]],Table2[],3,0),"open")</f>
        <v>ok</v>
      </c>
      <c r="C3512" s="128" t="s">
        <v>369</v>
      </c>
      <c r="D3512" t="s">
        <v>5602</v>
      </c>
      <c r="E3512" t="s">
        <v>5671</v>
      </c>
      <c r="F3512" s="129" t="s">
        <v>5671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</v>
      </c>
      <c r="R3512" s="115" t="s">
        <v>515</v>
      </c>
      <c r="S3512" s="129"/>
    </row>
    <row r="3513" spans="1:19" hidden="1">
      <c r="A3513" s="128" t="s">
        <v>5672</v>
      </c>
      <c r="B3513" s="129" t="str">
        <f>IFERROR(VLOOKUP(Proc[[#This Row],[App]],Table2[],3,0),"open")</f>
        <v>ok</v>
      </c>
      <c r="C3513" s="128" t="s">
        <v>369</v>
      </c>
      <c r="D3513" t="s">
        <v>5603</v>
      </c>
      <c r="E3513" t="s">
        <v>5671</v>
      </c>
      <c r="F3513" s="129" t="s">
        <v>5671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</v>
      </c>
      <c r="R3513" s="115" t="s">
        <v>515</v>
      </c>
      <c r="S3513" s="129"/>
    </row>
    <row r="3514" spans="1:19" hidden="1">
      <c r="A3514" s="128" t="s">
        <v>5672</v>
      </c>
      <c r="B3514" s="129" t="str">
        <f>IFERROR(VLOOKUP(Proc[[#This Row],[App]],Table2[],3,0),"open")</f>
        <v>ok</v>
      </c>
      <c r="C3514" s="128" t="s">
        <v>369</v>
      </c>
      <c r="D3514" t="s">
        <v>5604</v>
      </c>
      <c r="E3514" t="s">
        <v>5671</v>
      </c>
      <c r="F3514" s="129" t="s">
        <v>5671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</v>
      </c>
      <c r="R3514" s="115" t="s">
        <v>515</v>
      </c>
      <c r="S3514" s="129"/>
    </row>
    <row r="3515" spans="1:19" hidden="1">
      <c r="A3515" s="128" t="s">
        <v>5672</v>
      </c>
      <c r="B3515" s="129" t="str">
        <f>IFERROR(VLOOKUP(Proc[[#This Row],[App]],Table2[],3,0),"open")</f>
        <v>ok</v>
      </c>
      <c r="C3515" s="128" t="s">
        <v>369</v>
      </c>
      <c r="D3515" t="s">
        <v>5605</v>
      </c>
      <c r="E3515" t="s">
        <v>5671</v>
      </c>
      <c r="F3515" s="129" t="s">
        <v>5671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</v>
      </c>
      <c r="R3515" s="115" t="s">
        <v>515</v>
      </c>
      <c r="S3515" s="129"/>
    </row>
    <row r="3516" spans="1:19" hidden="1">
      <c r="A3516" s="128" t="s">
        <v>5672</v>
      </c>
      <c r="B3516" s="129" t="str">
        <f>IFERROR(VLOOKUP(Proc[[#This Row],[App]],Table2[],3,0),"open")</f>
        <v>ok</v>
      </c>
      <c r="C3516" s="128" t="s">
        <v>369</v>
      </c>
      <c r="D3516" t="s">
        <v>5606</v>
      </c>
      <c r="E3516" t="s">
        <v>5671</v>
      </c>
      <c r="F3516" s="129" t="s">
        <v>5671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</v>
      </c>
      <c r="R3516" s="115" t="s">
        <v>515</v>
      </c>
      <c r="S3516" s="129"/>
    </row>
    <row r="3517" spans="1:19" hidden="1">
      <c r="A3517" s="128" t="s">
        <v>5672</v>
      </c>
      <c r="B3517" s="129" t="str">
        <f>IFERROR(VLOOKUP(Proc[[#This Row],[App]],Table2[],3,0),"open")</f>
        <v>ok</v>
      </c>
      <c r="C3517" s="128" t="s">
        <v>369</v>
      </c>
      <c r="D3517" t="s">
        <v>5607</v>
      </c>
      <c r="E3517" t="s">
        <v>5671</v>
      </c>
      <c r="F3517" s="129" t="s">
        <v>5671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</v>
      </c>
      <c r="R3517" s="115" t="s">
        <v>515</v>
      </c>
      <c r="S3517" s="129"/>
    </row>
    <row r="3518" spans="1:19" hidden="1">
      <c r="A3518" s="128" t="s">
        <v>5672</v>
      </c>
      <c r="B3518" s="129" t="str">
        <f>IFERROR(VLOOKUP(Proc[[#This Row],[App]],Table2[],3,0),"open")</f>
        <v>ok</v>
      </c>
      <c r="C3518" s="128" t="s">
        <v>369</v>
      </c>
      <c r="D3518" t="s">
        <v>5608</v>
      </c>
      <c r="E3518" t="s">
        <v>5671</v>
      </c>
      <c r="F3518" s="129" t="s">
        <v>5671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</v>
      </c>
      <c r="R3518" s="115" t="s">
        <v>515</v>
      </c>
      <c r="S3518" s="129"/>
    </row>
    <row r="3519" spans="1:19" hidden="1">
      <c r="A3519" s="128" t="s">
        <v>5672</v>
      </c>
      <c r="B3519" s="129" t="str">
        <f>IFERROR(VLOOKUP(Proc[[#This Row],[App]],Table2[],3,0),"open")</f>
        <v>ok</v>
      </c>
      <c r="C3519" s="128" t="s">
        <v>369</v>
      </c>
      <c r="D3519" t="s">
        <v>5609</v>
      </c>
      <c r="E3519" t="s">
        <v>5671</v>
      </c>
      <c r="F3519" s="129" t="s">
        <v>5671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</v>
      </c>
      <c r="R3519" s="115" t="s">
        <v>515</v>
      </c>
      <c r="S3519" s="129"/>
    </row>
    <row r="3520" spans="1:19" hidden="1">
      <c r="A3520" s="128" t="s">
        <v>5672</v>
      </c>
      <c r="B3520" s="129" t="str">
        <f>IFERROR(VLOOKUP(Proc[[#This Row],[App]],Table2[],3,0),"open")</f>
        <v>ok</v>
      </c>
      <c r="C3520" s="128" t="s">
        <v>369</v>
      </c>
      <c r="D3520" t="s">
        <v>5610</v>
      </c>
      <c r="E3520" t="s">
        <v>5671</v>
      </c>
      <c r="F3520" s="129" t="s">
        <v>5671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</v>
      </c>
      <c r="R3520" s="115" t="s">
        <v>515</v>
      </c>
      <c r="S3520" s="129"/>
    </row>
    <row r="3521" spans="1:19" hidden="1">
      <c r="A3521" s="128" t="s">
        <v>5672</v>
      </c>
      <c r="B3521" s="129" t="str">
        <f>IFERROR(VLOOKUP(Proc[[#This Row],[App]],Table2[],3,0),"open")</f>
        <v>ok</v>
      </c>
      <c r="C3521" s="128" t="s">
        <v>369</v>
      </c>
      <c r="D3521" t="s">
        <v>5611</v>
      </c>
      <c r="E3521" t="s">
        <v>5671</v>
      </c>
      <c r="F3521" s="129" t="s">
        <v>5671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</v>
      </c>
      <c r="R3521" s="115" t="s">
        <v>515</v>
      </c>
      <c r="S3521" s="129"/>
    </row>
    <row r="3522" spans="1:19" hidden="1">
      <c r="A3522" s="128" t="s">
        <v>5672</v>
      </c>
      <c r="B3522" s="129" t="str">
        <f>IFERROR(VLOOKUP(Proc[[#This Row],[App]],Table2[],3,0),"open")</f>
        <v>ok</v>
      </c>
      <c r="C3522" s="128" t="s">
        <v>369</v>
      </c>
      <c r="D3522" t="s">
        <v>5612</v>
      </c>
      <c r="E3522" t="s">
        <v>5671</v>
      </c>
      <c r="F3522" s="129" t="s">
        <v>5671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</v>
      </c>
      <c r="R3522" s="115" t="s">
        <v>515</v>
      </c>
      <c r="S3522" s="129"/>
    </row>
    <row r="3523" spans="1:19" hidden="1">
      <c r="A3523" s="128" t="s">
        <v>5672</v>
      </c>
      <c r="B3523" s="129" t="str">
        <f>IFERROR(VLOOKUP(Proc[[#This Row],[App]],Table2[],3,0),"open")</f>
        <v>ok</v>
      </c>
      <c r="C3523" s="128" t="s">
        <v>369</v>
      </c>
      <c r="D3523" t="s">
        <v>5613</v>
      </c>
      <c r="E3523" t="s">
        <v>5671</v>
      </c>
      <c r="F3523" s="129" t="s">
        <v>5671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</v>
      </c>
      <c r="R3523" s="115" t="s">
        <v>515</v>
      </c>
      <c r="S3523" s="129"/>
    </row>
    <row r="3524" spans="1:19" hidden="1">
      <c r="A3524" s="128" t="s">
        <v>5672</v>
      </c>
      <c r="B3524" s="129" t="str">
        <f>IFERROR(VLOOKUP(Proc[[#This Row],[App]],Table2[],3,0),"open")</f>
        <v>ok</v>
      </c>
      <c r="C3524" s="128" t="s">
        <v>369</v>
      </c>
      <c r="D3524" t="s">
        <v>5614</v>
      </c>
      <c r="E3524" t="s">
        <v>5671</v>
      </c>
      <c r="F3524" s="129" t="s">
        <v>5671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</v>
      </c>
      <c r="R3524" s="115" t="s">
        <v>515</v>
      </c>
      <c r="S3524" s="129"/>
    </row>
    <row r="3525" spans="1:19" hidden="1">
      <c r="A3525" s="128" t="s">
        <v>5672</v>
      </c>
      <c r="B3525" s="129" t="str">
        <f>IFERROR(VLOOKUP(Proc[[#This Row],[App]],Table2[],3,0),"open")</f>
        <v>ok</v>
      </c>
      <c r="C3525" s="128" t="s">
        <v>369</v>
      </c>
      <c r="D3525" t="s">
        <v>5615</v>
      </c>
      <c r="E3525" t="s">
        <v>5671</v>
      </c>
      <c r="F3525" s="129" t="s">
        <v>5671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</v>
      </c>
      <c r="R3525" s="115" t="s">
        <v>515</v>
      </c>
      <c r="S3525" s="129"/>
    </row>
    <row r="3526" spans="1:19" hidden="1">
      <c r="A3526" s="128" t="s">
        <v>5672</v>
      </c>
      <c r="B3526" s="129" t="str">
        <f>IFERROR(VLOOKUP(Proc[[#This Row],[App]],Table2[],3,0),"open")</f>
        <v>ok</v>
      </c>
      <c r="C3526" s="128" t="s">
        <v>369</v>
      </c>
      <c r="D3526" t="s">
        <v>5616</v>
      </c>
      <c r="E3526" t="s">
        <v>5671</v>
      </c>
      <c r="F3526" s="129" t="s">
        <v>5671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</v>
      </c>
      <c r="R3526" s="115" t="s">
        <v>515</v>
      </c>
      <c r="S3526" s="129"/>
    </row>
    <row r="3527" spans="1:19" hidden="1">
      <c r="A3527" s="128" t="s">
        <v>5672</v>
      </c>
      <c r="B3527" s="129" t="str">
        <f>IFERROR(VLOOKUP(Proc[[#This Row],[App]],Table2[],3,0),"open")</f>
        <v>ok</v>
      </c>
      <c r="C3527" s="128" t="s">
        <v>369</v>
      </c>
      <c r="D3527" t="s">
        <v>5617</v>
      </c>
      <c r="E3527" t="s">
        <v>5671</v>
      </c>
      <c r="F3527" s="129" t="s">
        <v>5671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</v>
      </c>
      <c r="R3527" s="115" t="s">
        <v>515</v>
      </c>
      <c r="S3527" s="129"/>
    </row>
    <row r="3528" spans="1:19" hidden="1">
      <c r="A3528" s="128" t="s">
        <v>5672</v>
      </c>
      <c r="B3528" s="129" t="str">
        <f>IFERROR(VLOOKUP(Proc[[#This Row],[App]],Table2[],3,0),"open")</f>
        <v>ok</v>
      </c>
      <c r="C3528" s="128" t="s">
        <v>369</v>
      </c>
      <c r="D3528" t="s">
        <v>5618</v>
      </c>
      <c r="E3528" t="s">
        <v>5671</v>
      </c>
      <c r="F3528" s="129" t="s">
        <v>5671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</v>
      </c>
      <c r="R3528" s="115" t="s">
        <v>515</v>
      </c>
      <c r="S3528" s="129"/>
    </row>
    <row r="3529" spans="1:19" hidden="1">
      <c r="A3529" s="128" t="s">
        <v>5672</v>
      </c>
      <c r="B3529" s="129" t="str">
        <f>IFERROR(VLOOKUP(Proc[[#This Row],[App]],Table2[],3,0),"open")</f>
        <v>ok</v>
      </c>
      <c r="C3529" s="128" t="s">
        <v>369</v>
      </c>
      <c r="D3529" t="s">
        <v>5619</v>
      </c>
      <c r="E3529" t="s">
        <v>5671</v>
      </c>
      <c r="F3529" s="129" t="s">
        <v>5671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</v>
      </c>
      <c r="R3529" s="115" t="s">
        <v>515</v>
      </c>
      <c r="S3529" s="129"/>
    </row>
    <row r="3530" spans="1:19" hidden="1">
      <c r="A3530" s="128" t="s">
        <v>5672</v>
      </c>
      <c r="B3530" s="129" t="str">
        <f>IFERROR(VLOOKUP(Proc[[#This Row],[App]],Table2[],3,0),"open")</f>
        <v>ok</v>
      </c>
      <c r="C3530" s="128" t="s">
        <v>369</v>
      </c>
      <c r="D3530" t="s">
        <v>5620</v>
      </c>
      <c r="E3530" t="s">
        <v>5671</v>
      </c>
      <c r="F3530" s="129" t="s">
        <v>5671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</v>
      </c>
      <c r="R3530" s="115" t="s">
        <v>515</v>
      </c>
      <c r="S3530" s="129"/>
    </row>
    <row r="3531" spans="1:19" hidden="1">
      <c r="A3531" s="128" t="s">
        <v>5672</v>
      </c>
      <c r="B3531" s="129" t="str">
        <f>IFERROR(VLOOKUP(Proc[[#This Row],[App]],Table2[],3,0),"open")</f>
        <v>ok</v>
      </c>
      <c r="C3531" s="128" t="s">
        <v>369</v>
      </c>
      <c r="D3531" t="s">
        <v>5621</v>
      </c>
      <c r="E3531" t="s">
        <v>5671</v>
      </c>
      <c r="F3531" s="129" t="s">
        <v>5671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</v>
      </c>
      <c r="R3531" s="115" t="s">
        <v>515</v>
      </c>
      <c r="S3531" s="129"/>
    </row>
    <row r="3532" spans="1:19" hidden="1">
      <c r="A3532" s="128" t="s">
        <v>5672</v>
      </c>
      <c r="B3532" s="129" t="str">
        <f>IFERROR(VLOOKUP(Proc[[#This Row],[App]],Table2[],3,0),"open")</f>
        <v>ok</v>
      </c>
      <c r="C3532" s="128" t="s">
        <v>369</v>
      </c>
      <c r="D3532" t="s">
        <v>5622</v>
      </c>
      <c r="E3532" t="s">
        <v>5671</v>
      </c>
      <c r="F3532" s="129" t="s">
        <v>5671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</v>
      </c>
      <c r="R3532" s="115" t="s">
        <v>515</v>
      </c>
      <c r="S3532" s="129"/>
    </row>
    <row r="3533" spans="1:19" hidden="1">
      <c r="A3533" s="128" t="s">
        <v>5672</v>
      </c>
      <c r="B3533" s="129" t="str">
        <f>IFERROR(VLOOKUP(Proc[[#This Row],[App]],Table2[],3,0),"open")</f>
        <v>ok</v>
      </c>
      <c r="C3533" s="128" t="s">
        <v>369</v>
      </c>
      <c r="D3533" t="s">
        <v>5623</v>
      </c>
      <c r="E3533" t="s">
        <v>5671</v>
      </c>
      <c r="F3533" s="129" t="s">
        <v>5671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</v>
      </c>
      <c r="R3533" s="115" t="s">
        <v>515</v>
      </c>
      <c r="S3533" s="129"/>
    </row>
    <row r="3534" spans="1:19" hidden="1">
      <c r="A3534" s="128" t="s">
        <v>5672</v>
      </c>
      <c r="B3534" s="129" t="str">
        <f>IFERROR(VLOOKUP(Proc[[#This Row],[App]],Table2[],3,0),"open")</f>
        <v>ok</v>
      </c>
      <c r="C3534" s="128" t="s">
        <v>369</v>
      </c>
      <c r="D3534" t="s">
        <v>5624</v>
      </c>
      <c r="E3534" t="s">
        <v>5671</v>
      </c>
      <c r="F3534" s="129" t="s">
        <v>5671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</v>
      </c>
      <c r="R3534" s="115" t="s">
        <v>515</v>
      </c>
      <c r="S3534" s="129"/>
    </row>
    <row r="3535" spans="1:19" hidden="1">
      <c r="A3535" s="128" t="s">
        <v>5672</v>
      </c>
      <c r="B3535" s="129" t="str">
        <f>IFERROR(VLOOKUP(Proc[[#This Row],[App]],Table2[],3,0),"open")</f>
        <v>ok</v>
      </c>
      <c r="C3535" s="128" t="s">
        <v>369</v>
      </c>
      <c r="D3535" t="s">
        <v>5625</v>
      </c>
      <c r="E3535" t="s">
        <v>5671</v>
      </c>
      <c r="F3535" s="129" t="s">
        <v>5671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</v>
      </c>
      <c r="R3535" s="115" t="s">
        <v>515</v>
      </c>
      <c r="S3535" s="129"/>
    </row>
    <row r="3536" spans="1:19" hidden="1">
      <c r="A3536" s="128" t="s">
        <v>5672</v>
      </c>
      <c r="B3536" s="129" t="str">
        <f>IFERROR(VLOOKUP(Proc[[#This Row],[App]],Table2[],3,0),"open")</f>
        <v>ok</v>
      </c>
      <c r="C3536" s="128" t="s">
        <v>369</v>
      </c>
      <c r="D3536" t="s">
        <v>5739</v>
      </c>
      <c r="E3536" t="s">
        <v>5671</v>
      </c>
      <c r="F3536" s="133" t="s">
        <v>5671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</v>
      </c>
      <c r="R3536" s="115" t="s">
        <v>515</v>
      </c>
      <c r="S3536" s="129"/>
    </row>
    <row r="3537" spans="1:19" hidden="1">
      <c r="A3537" s="128" t="s">
        <v>5672</v>
      </c>
      <c r="B3537" s="129" t="str">
        <f>IFERROR(VLOOKUP(Proc[[#This Row],[App]],Table2[],3,0),"open")</f>
        <v>ok</v>
      </c>
      <c r="C3537" s="133" t="s">
        <v>369</v>
      </c>
      <c r="D3537" t="s">
        <v>5626</v>
      </c>
      <c r="E3537" t="s">
        <v>5671</v>
      </c>
      <c r="F3537" s="129" t="s">
        <v>5671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</v>
      </c>
      <c r="R3537" s="115" t="s">
        <v>515</v>
      </c>
      <c r="S3537" s="129"/>
    </row>
    <row r="3538" spans="1:19" hidden="1">
      <c r="A3538" s="128" t="s">
        <v>5672</v>
      </c>
      <c r="B3538" s="129" t="str">
        <f>IFERROR(VLOOKUP(Proc[[#This Row],[App]],Table2[],3,0),"open")</f>
        <v>ok</v>
      </c>
      <c r="C3538" s="133" t="s">
        <v>369</v>
      </c>
      <c r="D3538" t="s">
        <v>5627</v>
      </c>
      <c r="E3538" t="s">
        <v>5671</v>
      </c>
      <c r="F3538" s="129" t="s">
        <v>5671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</v>
      </c>
      <c r="R3538" s="115" t="s">
        <v>515</v>
      </c>
      <c r="S3538" s="129"/>
    </row>
    <row r="3539" spans="1:19" hidden="1">
      <c r="A3539" s="128" t="s">
        <v>5672</v>
      </c>
      <c r="B3539" s="129" t="str">
        <f>IFERROR(VLOOKUP(Proc[[#This Row],[App]],Table2[],3,0),"open")</f>
        <v>ok</v>
      </c>
      <c r="C3539" s="128" t="s">
        <v>369</v>
      </c>
      <c r="D3539" t="s">
        <v>5628</v>
      </c>
      <c r="E3539" t="s">
        <v>5671</v>
      </c>
      <c r="F3539" s="129" t="s">
        <v>5671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</v>
      </c>
      <c r="R3539" s="115" t="s">
        <v>515</v>
      </c>
      <c r="S3539" s="129"/>
    </row>
    <row r="3540" spans="1:19" hidden="1">
      <c r="A3540" s="128" t="s">
        <v>5672</v>
      </c>
      <c r="B3540" s="129" t="str">
        <f>IFERROR(VLOOKUP(Proc[[#This Row],[App]],Table2[],3,0),"open")</f>
        <v>ok</v>
      </c>
      <c r="C3540" s="128" t="s">
        <v>369</v>
      </c>
      <c r="D3540" t="s">
        <v>5629</v>
      </c>
      <c r="E3540" t="s">
        <v>5671</v>
      </c>
      <c r="F3540" s="129" t="s">
        <v>5671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</v>
      </c>
      <c r="R3540" s="115" t="s">
        <v>515</v>
      </c>
      <c r="S3540" s="129"/>
    </row>
    <row r="3541" spans="1:19" hidden="1">
      <c r="A3541" s="128" t="s">
        <v>5672</v>
      </c>
      <c r="B3541" s="129" t="str">
        <f>IFERROR(VLOOKUP(Proc[[#This Row],[App]],Table2[],3,0),"open")</f>
        <v>ok</v>
      </c>
      <c r="C3541" s="128" t="s">
        <v>369</v>
      </c>
      <c r="D3541" t="s">
        <v>5630</v>
      </c>
      <c r="E3541" t="s">
        <v>5671</v>
      </c>
      <c r="F3541" s="129" t="s">
        <v>5671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</v>
      </c>
      <c r="R3541" s="115" t="s">
        <v>515</v>
      </c>
      <c r="S3541" s="129"/>
    </row>
    <row r="3542" spans="1:19" hidden="1">
      <c r="A3542" s="128" t="s">
        <v>5672</v>
      </c>
      <c r="B3542" s="129" t="str">
        <f>IFERROR(VLOOKUP(Proc[[#This Row],[App]],Table2[],3,0),"open")</f>
        <v>ok</v>
      </c>
      <c r="C3542" s="128" t="s">
        <v>369</v>
      </c>
      <c r="D3542" t="s">
        <v>5631</v>
      </c>
      <c r="E3542" t="s">
        <v>5671</v>
      </c>
      <c r="F3542" s="129" t="s">
        <v>5671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</v>
      </c>
      <c r="R3542" s="115" t="s">
        <v>515</v>
      </c>
      <c r="S3542" s="129"/>
    </row>
    <row r="3543" spans="1:19" hidden="1">
      <c r="A3543" s="128" t="s">
        <v>5672</v>
      </c>
      <c r="B3543" s="129" t="str">
        <f>IFERROR(VLOOKUP(Proc[[#This Row],[App]],Table2[],3,0),"open")</f>
        <v>ok</v>
      </c>
      <c r="C3543" s="128" t="s">
        <v>369</v>
      </c>
      <c r="D3543" t="s">
        <v>5632</v>
      </c>
      <c r="E3543" t="s">
        <v>5671</v>
      </c>
      <c r="F3543" s="129" t="s">
        <v>5671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</v>
      </c>
      <c r="R3543" s="115" t="s">
        <v>515</v>
      </c>
      <c r="S3543" s="129"/>
    </row>
    <row r="3544" spans="1:19" hidden="1">
      <c r="A3544" s="128" t="s">
        <v>5672</v>
      </c>
      <c r="B3544" s="129" t="str">
        <f>IFERROR(VLOOKUP(Proc[[#This Row],[App]],Table2[],3,0),"open")</f>
        <v>ok</v>
      </c>
      <c r="C3544" s="128" t="s">
        <v>369</v>
      </c>
      <c r="D3544" t="s">
        <v>5633</v>
      </c>
      <c r="E3544" t="s">
        <v>5671</v>
      </c>
      <c r="F3544" s="129" t="s">
        <v>5671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</v>
      </c>
      <c r="R3544" s="115" t="s">
        <v>515</v>
      </c>
      <c r="S3544" s="129"/>
    </row>
    <row r="3545" spans="1:19" hidden="1">
      <c r="A3545" s="128" t="s">
        <v>5672</v>
      </c>
      <c r="B3545" s="129" t="str">
        <f>IFERROR(VLOOKUP(Proc[[#This Row],[App]],Table2[],3,0),"open")</f>
        <v>ok</v>
      </c>
      <c r="C3545" s="128" t="s">
        <v>369</v>
      </c>
      <c r="D3545" t="s">
        <v>5634</v>
      </c>
      <c r="E3545" t="s">
        <v>5671</v>
      </c>
      <c r="F3545" s="129" t="s">
        <v>5671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</v>
      </c>
      <c r="R3545" s="115" t="s">
        <v>515</v>
      </c>
      <c r="S3545" s="129"/>
    </row>
    <row r="3546" spans="1:19" hidden="1">
      <c r="A3546" s="128" t="s">
        <v>5672</v>
      </c>
      <c r="B3546" s="129" t="str">
        <f>IFERROR(VLOOKUP(Proc[[#This Row],[App]],Table2[],3,0),"open")</f>
        <v>ok</v>
      </c>
      <c r="C3546" s="128" t="s">
        <v>369</v>
      </c>
      <c r="D3546" t="s">
        <v>5635</v>
      </c>
      <c r="E3546" t="s">
        <v>5671</v>
      </c>
      <c r="F3546" s="129" t="s">
        <v>5671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</v>
      </c>
      <c r="R3546" s="115" t="s">
        <v>515</v>
      </c>
      <c r="S3546" s="129"/>
    </row>
    <row r="3547" spans="1:19" hidden="1">
      <c r="A3547" s="128" t="s">
        <v>5672</v>
      </c>
      <c r="B3547" s="129" t="str">
        <f>IFERROR(VLOOKUP(Proc[[#This Row],[App]],Table2[],3,0),"open")</f>
        <v>ok</v>
      </c>
      <c r="C3547" s="128" t="s">
        <v>369</v>
      </c>
      <c r="D3547" t="s">
        <v>5636</v>
      </c>
      <c r="E3547" t="s">
        <v>5671</v>
      </c>
      <c r="F3547" s="129" t="s">
        <v>5671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</v>
      </c>
      <c r="R3547" s="115" t="s">
        <v>515</v>
      </c>
      <c r="S3547" s="129"/>
    </row>
    <row r="3548" spans="1:19" hidden="1">
      <c r="A3548" s="128" t="s">
        <v>5672</v>
      </c>
      <c r="B3548" s="129" t="str">
        <f>IFERROR(VLOOKUP(Proc[[#This Row],[App]],Table2[],3,0),"open")</f>
        <v>ok</v>
      </c>
      <c r="C3548" s="128" t="s">
        <v>369</v>
      </c>
      <c r="D3548" t="s">
        <v>5637</v>
      </c>
      <c r="E3548" t="s">
        <v>5671</v>
      </c>
      <c r="F3548" s="129" t="s">
        <v>5671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</v>
      </c>
      <c r="R3548" s="115" t="s">
        <v>515</v>
      </c>
      <c r="S3548" s="129"/>
    </row>
    <row r="3549" spans="1:19" hidden="1">
      <c r="A3549" s="128" t="s">
        <v>5672</v>
      </c>
      <c r="B3549" s="129" t="str">
        <f>IFERROR(VLOOKUP(Proc[[#This Row],[App]],Table2[],3,0),"open")</f>
        <v>ok</v>
      </c>
      <c r="C3549" s="128" t="s">
        <v>369</v>
      </c>
      <c r="D3549" t="s">
        <v>5638</v>
      </c>
      <c r="E3549" t="s">
        <v>5671</v>
      </c>
      <c r="F3549" s="129" t="s">
        <v>5671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</v>
      </c>
      <c r="R3549" s="115" t="s">
        <v>515</v>
      </c>
      <c r="S3549" s="129"/>
    </row>
    <row r="3550" spans="1:19" hidden="1">
      <c r="A3550" s="128" t="s">
        <v>5672</v>
      </c>
      <c r="B3550" s="129" t="str">
        <f>IFERROR(VLOOKUP(Proc[[#This Row],[App]],Table2[],3,0),"open")</f>
        <v>ok</v>
      </c>
      <c r="C3550" s="128" t="s">
        <v>369</v>
      </c>
      <c r="D3550" t="s">
        <v>5639</v>
      </c>
      <c r="E3550" t="s">
        <v>5671</v>
      </c>
      <c r="F3550" s="129" t="s">
        <v>5671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</v>
      </c>
      <c r="R3550" s="115" t="s">
        <v>515</v>
      </c>
      <c r="S3550" s="129"/>
    </row>
    <row r="3551" spans="1:19" hidden="1">
      <c r="A3551" s="128" t="s">
        <v>5672</v>
      </c>
      <c r="B3551" s="129" t="str">
        <f>IFERROR(VLOOKUP(Proc[[#This Row],[App]],Table2[],3,0),"open")</f>
        <v>ok</v>
      </c>
      <c r="C3551" s="128" t="s">
        <v>369</v>
      </c>
      <c r="D3551" t="s">
        <v>5640</v>
      </c>
      <c r="E3551" t="s">
        <v>5671</v>
      </c>
      <c r="F3551" s="129" t="s">
        <v>5671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</v>
      </c>
      <c r="R3551" s="115" t="s">
        <v>515</v>
      </c>
      <c r="S3551" s="129"/>
    </row>
    <row r="3552" spans="1:19" hidden="1">
      <c r="A3552" s="128" t="s">
        <v>5672</v>
      </c>
      <c r="B3552" s="129" t="str">
        <f>IFERROR(VLOOKUP(Proc[[#This Row],[App]],Table2[],3,0),"open")</f>
        <v>ok</v>
      </c>
      <c r="C3552" s="128" t="s">
        <v>369</v>
      </c>
      <c r="D3552" t="s">
        <v>5641</v>
      </c>
      <c r="E3552" t="s">
        <v>5671</v>
      </c>
      <c r="F3552" s="129" t="s">
        <v>5671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</v>
      </c>
      <c r="R3552" s="115" t="s">
        <v>515</v>
      </c>
      <c r="S3552" s="129"/>
    </row>
    <row r="3553" spans="1:19" hidden="1">
      <c r="A3553" s="128" t="s">
        <v>5672</v>
      </c>
      <c r="B3553" s="129" t="str">
        <f>IFERROR(VLOOKUP(Proc[[#This Row],[App]],Table2[],3,0),"open")</f>
        <v>ok</v>
      </c>
      <c r="C3553" s="128" t="s">
        <v>369</v>
      </c>
      <c r="D3553" t="s">
        <v>5642</v>
      </c>
      <c r="E3553" t="s">
        <v>5671</v>
      </c>
      <c r="F3553" s="129" t="s">
        <v>5671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</v>
      </c>
      <c r="R3553" s="115" t="s">
        <v>515</v>
      </c>
      <c r="S3553" s="129"/>
    </row>
    <row r="3554" spans="1:19" hidden="1">
      <c r="A3554" s="128" t="s">
        <v>5672</v>
      </c>
      <c r="B3554" s="129" t="str">
        <f>IFERROR(VLOOKUP(Proc[[#This Row],[App]],Table2[],3,0),"open")</f>
        <v>ok</v>
      </c>
      <c r="C3554" s="128" t="s">
        <v>369</v>
      </c>
      <c r="D3554" t="s">
        <v>5643</v>
      </c>
      <c r="E3554" t="s">
        <v>5671</v>
      </c>
      <c r="F3554" s="129" t="s">
        <v>5671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</v>
      </c>
      <c r="R3554" s="115" t="s">
        <v>515</v>
      </c>
      <c r="S3554" s="129"/>
    </row>
    <row r="3555" spans="1:19" hidden="1">
      <c r="A3555" s="128" t="s">
        <v>5672</v>
      </c>
      <c r="B3555" s="129" t="str">
        <f>IFERROR(VLOOKUP(Proc[[#This Row],[App]],Table2[],3,0),"open")</f>
        <v>ok</v>
      </c>
      <c r="C3555" s="128" t="s">
        <v>369</v>
      </c>
      <c r="D3555" t="s">
        <v>5644</v>
      </c>
      <c r="E3555" t="s">
        <v>5671</v>
      </c>
      <c r="F3555" s="129" t="s">
        <v>5671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</v>
      </c>
      <c r="R3555" s="115" t="s">
        <v>515</v>
      </c>
      <c r="S3555" s="129"/>
    </row>
    <row r="3556" spans="1:19" hidden="1">
      <c r="A3556" s="128" t="s">
        <v>5672</v>
      </c>
      <c r="B3556" s="129" t="str">
        <f>IFERROR(VLOOKUP(Proc[[#This Row],[App]],Table2[],3,0),"open")</f>
        <v>ok</v>
      </c>
      <c r="C3556" s="128" t="s">
        <v>369</v>
      </c>
      <c r="D3556" t="s">
        <v>5645</v>
      </c>
      <c r="E3556" t="s">
        <v>5671</v>
      </c>
      <c r="F3556" s="129" t="s">
        <v>5671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</v>
      </c>
      <c r="R3556" s="115" t="s">
        <v>515</v>
      </c>
      <c r="S3556" s="129"/>
    </row>
    <row r="3557" spans="1:19" hidden="1">
      <c r="A3557" s="128" t="s">
        <v>5672</v>
      </c>
      <c r="B3557" s="129" t="str">
        <f>IFERROR(VLOOKUP(Proc[[#This Row],[App]],Table2[],3,0),"open")</f>
        <v>ok</v>
      </c>
      <c r="C3557" s="128" t="s">
        <v>369</v>
      </c>
      <c r="D3557" t="s">
        <v>5646</v>
      </c>
      <c r="E3557" t="s">
        <v>5671</v>
      </c>
      <c r="F3557" s="129" t="s">
        <v>5671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</v>
      </c>
      <c r="R3557" s="115" t="s">
        <v>515</v>
      </c>
      <c r="S3557" s="129"/>
    </row>
    <row r="3558" spans="1:19" hidden="1">
      <c r="A3558" s="128" t="s">
        <v>5672</v>
      </c>
      <c r="B3558" s="129" t="str">
        <f>IFERROR(VLOOKUP(Proc[[#This Row],[App]],Table2[],3,0),"open")</f>
        <v>ok</v>
      </c>
      <c r="C3558" s="128" t="s">
        <v>369</v>
      </c>
      <c r="D3558" t="s">
        <v>5647</v>
      </c>
      <c r="E3558" t="s">
        <v>5671</v>
      </c>
      <c r="F3558" s="129" t="s">
        <v>5671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</v>
      </c>
      <c r="R3558" s="115" t="s">
        <v>515</v>
      </c>
      <c r="S3558" s="129"/>
    </row>
    <row r="3559" spans="1:19" hidden="1">
      <c r="A3559" s="128" t="s">
        <v>5672</v>
      </c>
      <c r="B3559" s="129" t="str">
        <f>IFERROR(VLOOKUP(Proc[[#This Row],[App]],Table2[],3,0),"open")</f>
        <v>ok</v>
      </c>
      <c r="C3559" s="128" t="s">
        <v>369</v>
      </c>
      <c r="D3559" t="s">
        <v>5648</v>
      </c>
      <c r="E3559" t="s">
        <v>5671</v>
      </c>
      <c r="F3559" s="129" t="s">
        <v>5671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</v>
      </c>
      <c r="R3559" s="115" t="s">
        <v>515</v>
      </c>
      <c r="S3559" s="129"/>
    </row>
    <row r="3560" spans="1:19" hidden="1">
      <c r="A3560" s="128" t="s">
        <v>5672</v>
      </c>
      <c r="B3560" s="129" t="str">
        <f>IFERROR(VLOOKUP(Proc[[#This Row],[App]],Table2[],3,0),"open")</f>
        <v>ok</v>
      </c>
      <c r="C3560" s="128" t="s">
        <v>369</v>
      </c>
      <c r="D3560" t="s">
        <v>5649</v>
      </c>
      <c r="E3560" t="s">
        <v>5671</v>
      </c>
      <c r="F3560" s="129" t="s">
        <v>5671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</v>
      </c>
      <c r="R3560" s="115" t="s">
        <v>515</v>
      </c>
      <c r="S3560" s="129"/>
    </row>
    <row r="3561" spans="1:19" hidden="1">
      <c r="A3561" s="128" t="s">
        <v>5672</v>
      </c>
      <c r="B3561" s="129" t="str">
        <f>IFERROR(VLOOKUP(Proc[[#This Row],[App]],Table2[],3,0),"open")</f>
        <v>ok</v>
      </c>
      <c r="C3561" s="128" t="s">
        <v>369</v>
      </c>
      <c r="D3561" t="s">
        <v>5650</v>
      </c>
      <c r="E3561" t="s">
        <v>5671</v>
      </c>
      <c r="F3561" s="129" t="s">
        <v>5671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</v>
      </c>
      <c r="R3561" s="115" t="s">
        <v>515</v>
      </c>
      <c r="S3561" s="129"/>
    </row>
    <row r="3562" spans="1:19" hidden="1">
      <c r="A3562" s="128" t="s">
        <v>5672</v>
      </c>
      <c r="B3562" s="129" t="str">
        <f>IFERROR(VLOOKUP(Proc[[#This Row],[App]],Table2[],3,0),"open")</f>
        <v>ok</v>
      </c>
      <c r="C3562" s="128" t="s">
        <v>369</v>
      </c>
      <c r="D3562" t="s">
        <v>5651</v>
      </c>
      <c r="E3562" t="s">
        <v>5671</v>
      </c>
      <c r="F3562" s="129" t="s">
        <v>5671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</v>
      </c>
      <c r="R3562" s="115" t="s">
        <v>515</v>
      </c>
      <c r="S3562" s="129"/>
    </row>
    <row r="3563" spans="1:19" hidden="1">
      <c r="A3563" s="128" t="s">
        <v>5672</v>
      </c>
      <c r="B3563" s="129" t="str">
        <f>IFERROR(VLOOKUP(Proc[[#This Row],[App]],Table2[],3,0),"open")</f>
        <v>ok</v>
      </c>
      <c r="C3563" s="128" t="s">
        <v>369</v>
      </c>
      <c r="D3563" t="s">
        <v>5652</v>
      </c>
      <c r="E3563" t="s">
        <v>5671</v>
      </c>
      <c r="F3563" s="129" t="s">
        <v>5671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</v>
      </c>
      <c r="R3563" s="115" t="s">
        <v>515</v>
      </c>
      <c r="S3563" s="129"/>
    </row>
    <row r="3564" spans="1:19" hidden="1">
      <c r="A3564" s="128" t="s">
        <v>5672</v>
      </c>
      <c r="B3564" s="129" t="str">
        <f>IFERROR(VLOOKUP(Proc[[#This Row],[App]],Table2[],3,0),"open")</f>
        <v>ok</v>
      </c>
      <c r="C3564" s="128" t="s">
        <v>369</v>
      </c>
      <c r="D3564" t="s">
        <v>5653</v>
      </c>
      <c r="E3564" t="s">
        <v>5671</v>
      </c>
      <c r="F3564" s="129" t="s">
        <v>5671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</v>
      </c>
      <c r="R3564" s="115" t="s">
        <v>515</v>
      </c>
      <c r="S3564" s="129"/>
    </row>
    <row r="3565" spans="1:19" hidden="1">
      <c r="A3565" s="128" t="s">
        <v>5672</v>
      </c>
      <c r="B3565" s="129" t="str">
        <f>IFERROR(VLOOKUP(Proc[[#This Row],[App]],Table2[],3,0),"open")</f>
        <v>ok</v>
      </c>
      <c r="C3565" s="128" t="s">
        <v>369</v>
      </c>
      <c r="D3565" t="s">
        <v>5654</v>
      </c>
      <c r="E3565" t="s">
        <v>5671</v>
      </c>
      <c r="F3565" s="129" t="s">
        <v>5671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</v>
      </c>
      <c r="R3565" s="115" t="s">
        <v>515</v>
      </c>
      <c r="S3565" s="129"/>
    </row>
    <row r="3566" spans="1:19" hidden="1">
      <c r="A3566" s="128" t="s">
        <v>5672</v>
      </c>
      <c r="B3566" s="129" t="str">
        <f>IFERROR(VLOOKUP(Proc[[#This Row],[App]],Table2[],3,0),"open")</f>
        <v>ok</v>
      </c>
      <c r="C3566" s="128" t="s">
        <v>369</v>
      </c>
      <c r="D3566" t="s">
        <v>5655</v>
      </c>
      <c r="E3566" t="s">
        <v>5671</v>
      </c>
      <c r="F3566" s="129" t="s">
        <v>5671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</v>
      </c>
      <c r="R3566" s="115" t="s">
        <v>515</v>
      </c>
      <c r="S3566" s="129"/>
    </row>
    <row r="3567" spans="1:19" hidden="1">
      <c r="A3567" s="128" t="s">
        <v>5672</v>
      </c>
      <c r="B3567" s="129" t="str">
        <f>IFERROR(VLOOKUP(Proc[[#This Row],[App]],Table2[],3,0),"open")</f>
        <v>ok</v>
      </c>
      <c r="C3567" s="128" t="s">
        <v>369</v>
      </c>
      <c r="D3567" t="s">
        <v>5656</v>
      </c>
      <c r="E3567" t="s">
        <v>5671</v>
      </c>
      <c r="F3567" s="129" t="s">
        <v>5671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</v>
      </c>
      <c r="R3567" s="115" t="s">
        <v>515</v>
      </c>
      <c r="S3567" s="129"/>
    </row>
    <row r="3568" spans="1:19" hidden="1">
      <c r="A3568" s="128" t="s">
        <v>5672</v>
      </c>
      <c r="B3568" s="129" t="str">
        <f>IFERROR(VLOOKUP(Proc[[#This Row],[App]],Table2[],3,0),"open")</f>
        <v>ok</v>
      </c>
      <c r="C3568" s="128" t="s">
        <v>369</v>
      </c>
      <c r="D3568" t="s">
        <v>5657</v>
      </c>
      <c r="E3568" t="s">
        <v>5671</v>
      </c>
      <c r="F3568" s="129" t="s">
        <v>5671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</v>
      </c>
      <c r="R3568" s="115" t="s">
        <v>515</v>
      </c>
      <c r="S3568" s="129"/>
    </row>
    <row r="3569" spans="1:19" hidden="1">
      <c r="A3569" s="128" t="s">
        <v>5672</v>
      </c>
      <c r="B3569" s="129" t="str">
        <f>IFERROR(VLOOKUP(Proc[[#This Row],[App]],Table2[],3,0),"open")</f>
        <v>ok</v>
      </c>
      <c r="C3569" s="128" t="s">
        <v>369</v>
      </c>
      <c r="D3569" t="s">
        <v>5658</v>
      </c>
      <c r="E3569" t="s">
        <v>5671</v>
      </c>
      <c r="F3569" s="129" t="s">
        <v>5671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</v>
      </c>
      <c r="R3569" s="115" t="s">
        <v>515</v>
      </c>
      <c r="S3569" s="129"/>
    </row>
    <row r="3570" spans="1:19" hidden="1">
      <c r="A3570" s="128" t="s">
        <v>5672</v>
      </c>
      <c r="B3570" s="129" t="str">
        <f>IFERROR(VLOOKUP(Proc[[#This Row],[App]],Table2[],3,0),"open")</f>
        <v>ok</v>
      </c>
      <c r="C3570" s="128" t="s">
        <v>369</v>
      </c>
      <c r="D3570" t="s">
        <v>5659</v>
      </c>
      <c r="E3570" t="s">
        <v>5671</v>
      </c>
      <c r="F3570" s="129" t="s">
        <v>5671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</v>
      </c>
      <c r="R3570" s="115" t="s">
        <v>515</v>
      </c>
      <c r="S3570" s="129"/>
    </row>
    <row r="3571" spans="1:19" hidden="1">
      <c r="A3571" s="128" t="s">
        <v>5672</v>
      </c>
      <c r="B3571" s="129" t="str">
        <f>IFERROR(VLOOKUP(Proc[[#This Row],[App]],Table2[],3,0),"open")</f>
        <v>ok</v>
      </c>
      <c r="C3571" s="128" t="s">
        <v>369</v>
      </c>
      <c r="D3571" t="s">
        <v>5660</v>
      </c>
      <c r="E3571" t="s">
        <v>5671</v>
      </c>
      <c r="F3571" s="129" t="s">
        <v>5671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</v>
      </c>
      <c r="R3571" s="115" t="s">
        <v>515</v>
      </c>
      <c r="S3571" s="129"/>
    </row>
    <row r="3572" spans="1:19" hidden="1">
      <c r="A3572" s="128" t="s">
        <v>5672</v>
      </c>
      <c r="B3572" s="129" t="str">
        <f>IFERROR(VLOOKUP(Proc[[#This Row],[App]],Table2[],3,0),"open")</f>
        <v>ok</v>
      </c>
      <c r="C3572" s="128" t="s">
        <v>369</v>
      </c>
      <c r="D3572" t="s">
        <v>5661</v>
      </c>
      <c r="E3572" t="s">
        <v>5671</v>
      </c>
      <c r="F3572" s="129" t="s">
        <v>5671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</v>
      </c>
      <c r="R3572" s="115" t="s">
        <v>515</v>
      </c>
      <c r="S3572" s="129"/>
    </row>
    <row r="3573" spans="1:19" hidden="1">
      <c r="A3573" s="128" t="s">
        <v>5672</v>
      </c>
      <c r="B3573" s="129" t="str">
        <f>IFERROR(VLOOKUP(Proc[[#This Row],[App]],Table2[],3,0),"open")</f>
        <v>ok</v>
      </c>
      <c r="C3573" s="128" t="s">
        <v>369</v>
      </c>
      <c r="D3573" t="s">
        <v>5662</v>
      </c>
      <c r="E3573" t="s">
        <v>5671</v>
      </c>
      <c r="F3573" s="129" t="s">
        <v>5671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</v>
      </c>
      <c r="R3573" s="115" t="s">
        <v>515</v>
      </c>
      <c r="S3573" s="129"/>
    </row>
    <row r="3574" spans="1:19" hidden="1">
      <c r="A3574" s="128" t="s">
        <v>5672</v>
      </c>
      <c r="B3574" s="129" t="str">
        <f>IFERROR(VLOOKUP(Proc[[#This Row],[App]],Table2[],3,0),"open")</f>
        <v>ok</v>
      </c>
      <c r="C3574" s="128" t="s">
        <v>369</v>
      </c>
      <c r="D3574" t="s">
        <v>5663</v>
      </c>
      <c r="E3574" t="s">
        <v>5671</v>
      </c>
      <c r="F3574" s="129" t="s">
        <v>5671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</v>
      </c>
      <c r="R3574" s="115" t="s">
        <v>515</v>
      </c>
      <c r="S3574" s="129"/>
    </row>
    <row r="3575" spans="1:19" hidden="1">
      <c r="A3575" s="128" t="s">
        <v>5672</v>
      </c>
      <c r="B3575" s="129" t="str">
        <f>IFERROR(VLOOKUP(Proc[[#This Row],[App]],Table2[],3,0),"open")</f>
        <v>ok</v>
      </c>
      <c r="C3575" s="128" t="s">
        <v>369</v>
      </c>
      <c r="D3575" t="s">
        <v>5664</v>
      </c>
      <c r="E3575" t="s">
        <v>5671</v>
      </c>
      <c r="F3575" s="129" t="s">
        <v>5671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</v>
      </c>
      <c r="R3575" s="115" t="s">
        <v>515</v>
      </c>
      <c r="S3575" s="129"/>
    </row>
    <row r="3576" spans="1:19" hidden="1">
      <c r="A3576" s="128" t="s">
        <v>5672</v>
      </c>
      <c r="B3576" s="129" t="str">
        <f>IFERROR(VLOOKUP(Proc[[#This Row],[App]],Table2[],3,0),"open")</f>
        <v>ok</v>
      </c>
      <c r="C3576" s="128" t="s">
        <v>369</v>
      </c>
      <c r="D3576" t="s">
        <v>5665</v>
      </c>
      <c r="E3576" t="s">
        <v>5671</v>
      </c>
      <c r="F3576" s="129" t="s">
        <v>5671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</v>
      </c>
      <c r="R3576" s="115" t="s">
        <v>515</v>
      </c>
      <c r="S3576" s="129"/>
    </row>
    <row r="3577" spans="1:19" hidden="1">
      <c r="A3577" s="128" t="s">
        <v>5672</v>
      </c>
      <c r="B3577" s="129" t="str">
        <f>IFERROR(VLOOKUP(Proc[[#This Row],[App]],Table2[],3,0),"open")</f>
        <v>ok</v>
      </c>
      <c r="C3577" s="128" t="s">
        <v>369</v>
      </c>
      <c r="D3577" t="s">
        <v>5666</v>
      </c>
      <c r="E3577" t="s">
        <v>5671</v>
      </c>
      <c r="F3577" s="129" t="s">
        <v>5671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</v>
      </c>
      <c r="R3577" s="115" t="s">
        <v>515</v>
      </c>
      <c r="S3577" s="129"/>
    </row>
    <row r="3578" spans="1:19" hidden="1">
      <c r="A3578" s="128" t="s">
        <v>5672</v>
      </c>
      <c r="B3578" s="129" t="str">
        <f>IFERROR(VLOOKUP(Proc[[#This Row],[App]],Table2[],3,0),"open")</f>
        <v>ok</v>
      </c>
      <c r="C3578" s="128" t="s">
        <v>369</v>
      </c>
      <c r="D3578" t="s">
        <v>5667</v>
      </c>
      <c r="E3578" t="s">
        <v>5671</v>
      </c>
      <c r="F3578" s="129" t="s">
        <v>5671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</v>
      </c>
      <c r="R3578" s="115" t="s">
        <v>515</v>
      </c>
      <c r="S3578" s="129"/>
    </row>
    <row r="3579" spans="1:19" hidden="1">
      <c r="A3579" s="128" t="s">
        <v>5672</v>
      </c>
      <c r="B3579" s="129" t="str">
        <f>IFERROR(VLOOKUP(Proc[[#This Row],[App]],Table2[],3,0),"open")</f>
        <v>ok</v>
      </c>
      <c r="C3579" s="128" t="s">
        <v>369</v>
      </c>
      <c r="D3579" t="s">
        <v>5668</v>
      </c>
      <c r="E3579" t="s">
        <v>5671</v>
      </c>
      <c r="F3579" s="129" t="s">
        <v>5671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</v>
      </c>
      <c r="R3579" s="115" t="s">
        <v>515</v>
      </c>
      <c r="S3579" s="129"/>
    </row>
    <row r="3580" spans="1:19" hidden="1">
      <c r="A3580" s="128" t="s">
        <v>5672</v>
      </c>
      <c r="B3580" s="129" t="str">
        <f>IFERROR(VLOOKUP(Proc[[#This Row],[App]],Table2[],3,0),"open")</f>
        <v>ok</v>
      </c>
      <c r="C3580" s="128" t="s">
        <v>369</v>
      </c>
      <c r="D3580" t="s">
        <v>5669</v>
      </c>
      <c r="E3580" t="s">
        <v>5671</v>
      </c>
      <c r="F3580" s="129" t="s">
        <v>5671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</v>
      </c>
      <c r="R3580" s="115" t="s">
        <v>515</v>
      </c>
      <c r="S3580" s="129"/>
    </row>
    <row r="3581" spans="1:19" hidden="1">
      <c r="A3581" s="128" t="s">
        <v>5672</v>
      </c>
      <c r="B3581" s="129" t="str">
        <f>IFERROR(VLOOKUP(Proc[[#This Row],[App]],Table2[],3,0),"open")</f>
        <v>ok</v>
      </c>
      <c r="C3581" s="128" t="s">
        <v>369</v>
      </c>
      <c r="D3581" t="s">
        <v>5670</v>
      </c>
      <c r="E3581" t="s">
        <v>5671</v>
      </c>
      <c r="F3581" s="129" t="s">
        <v>5671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</v>
      </c>
      <c r="R3581" s="115" t="s">
        <v>515</v>
      </c>
      <c r="S3581" s="129"/>
    </row>
    <row r="3582" spans="1:19" hidden="1">
      <c r="A3582" t="s">
        <v>5673</v>
      </c>
      <c r="B3582" s="129" t="str">
        <f>IFERROR(VLOOKUP(Proc[[#This Row],[App]],Table2[],3,0),"open")</f>
        <v>ok</v>
      </c>
      <c r="C3582" s="128" t="s">
        <v>369</v>
      </c>
      <c r="D3582" t="s">
        <v>5702</v>
      </c>
      <c r="E3582" t="s">
        <v>5674</v>
      </c>
      <c r="F3582" s="129" t="s">
        <v>5674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</v>
      </c>
      <c r="R3582" s="115" t="s">
        <v>1262</v>
      </c>
      <c r="S3582" s="129"/>
    </row>
    <row r="3583" spans="1:19" hidden="1">
      <c r="A3583" t="s">
        <v>5675</v>
      </c>
      <c r="B3583" s="129" t="str">
        <f>IFERROR(VLOOKUP(Proc[[#This Row],[App]],Table2[],3,0),"open")</f>
        <v>ok</v>
      </c>
      <c r="C3583" s="128" t="s">
        <v>369</v>
      </c>
      <c r="D3583" t="s">
        <v>5676</v>
      </c>
      <c r="E3583" t="s">
        <v>5682</v>
      </c>
      <c r="F3583" s="129" t="s">
        <v>5682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</v>
      </c>
      <c r="R3583" s="130" t="s">
        <v>5685</v>
      </c>
      <c r="S3583" s="129"/>
    </row>
    <row r="3584" spans="1:19" hidden="1">
      <c r="A3584" s="128" t="s">
        <v>5675</v>
      </c>
      <c r="B3584" s="129" t="str">
        <f>IFERROR(VLOOKUP(Proc[[#This Row],[App]],Table2[],3,0),"open")</f>
        <v>ok</v>
      </c>
      <c r="C3584" s="128" t="s">
        <v>369</v>
      </c>
      <c r="D3584" t="s">
        <v>5677</v>
      </c>
      <c r="E3584" t="s">
        <v>5683</v>
      </c>
      <c r="F3584" s="129" t="s">
        <v>5683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</v>
      </c>
      <c r="R3584" s="130" t="s">
        <v>5685</v>
      </c>
      <c r="S3584" s="129"/>
    </row>
    <row r="3585" spans="1:19" hidden="1">
      <c r="A3585" s="128" t="s">
        <v>5675</v>
      </c>
      <c r="B3585" s="129" t="str">
        <f>IFERROR(VLOOKUP(Proc[[#This Row],[App]],Table2[],3,0),"open")</f>
        <v>ok</v>
      </c>
      <c r="C3585" s="128" t="s">
        <v>369</v>
      </c>
      <c r="D3585" t="s">
        <v>5678</v>
      </c>
      <c r="E3585" t="s">
        <v>5683</v>
      </c>
      <c r="F3585" s="129" t="s">
        <v>5683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</v>
      </c>
      <c r="R3585" s="130" t="s">
        <v>5685</v>
      </c>
      <c r="S3585" s="129"/>
    </row>
    <row r="3586" spans="1:19" hidden="1">
      <c r="A3586" s="128" t="s">
        <v>5675</v>
      </c>
      <c r="B3586" s="129" t="str">
        <f>IFERROR(VLOOKUP(Proc[[#This Row],[App]],Table2[],3,0),"open")</f>
        <v>ok</v>
      </c>
      <c r="C3586" s="128" t="s">
        <v>369</v>
      </c>
      <c r="D3586" t="s">
        <v>5679</v>
      </c>
      <c r="E3586" t="s">
        <v>5684</v>
      </c>
      <c r="F3586" s="129" t="s">
        <v>5684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</v>
      </c>
      <c r="R3586" s="130" t="s">
        <v>5685</v>
      </c>
      <c r="S3586" s="129"/>
    </row>
    <row r="3587" spans="1:19" hidden="1">
      <c r="A3587" s="128" t="s">
        <v>5675</v>
      </c>
      <c r="B3587" s="129" t="str">
        <f>IFERROR(VLOOKUP(Proc[[#This Row],[App]],Table2[],3,0),"open")</f>
        <v>ok</v>
      </c>
      <c r="C3587" s="128" t="s">
        <v>369</v>
      </c>
      <c r="D3587" t="s">
        <v>5680</v>
      </c>
      <c r="E3587" t="s">
        <v>5682</v>
      </c>
      <c r="F3587" s="129" t="s">
        <v>5682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</v>
      </c>
      <c r="R3587" s="130" t="s">
        <v>5685</v>
      </c>
      <c r="S3587" s="129"/>
    </row>
    <row r="3588" spans="1:19" hidden="1">
      <c r="A3588" s="128" t="s">
        <v>5675</v>
      </c>
      <c r="B3588" s="129" t="str">
        <f>IFERROR(VLOOKUP(Proc[[#This Row],[App]],Table2[],3,0),"open")</f>
        <v>ok</v>
      </c>
      <c r="C3588" s="128" t="s">
        <v>369</v>
      </c>
      <c r="D3588" t="s">
        <v>5681</v>
      </c>
      <c r="E3588" t="s">
        <v>5682</v>
      </c>
      <c r="F3588" s="129" t="s">
        <v>5682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</v>
      </c>
      <c r="R3588" s="130" t="s">
        <v>5685</v>
      </c>
      <c r="S3588" s="129"/>
    </row>
    <row r="3589" spans="1:19" hidden="1">
      <c r="A3589" t="s">
        <v>5686</v>
      </c>
      <c r="B3589" s="129" t="str">
        <f>IFERROR(VLOOKUP(Proc[[#This Row],[App]],Table2[],3,0),"open")</f>
        <v>ok</v>
      </c>
      <c r="C3589" s="128" t="s">
        <v>369</v>
      </c>
      <c r="D3589" t="s">
        <v>5687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</v>
      </c>
      <c r="R3589" s="130" t="s">
        <v>5685</v>
      </c>
      <c r="S3589" s="129"/>
    </row>
    <row r="3590" spans="1:19" hidden="1">
      <c r="A3590" s="128" t="s">
        <v>5686</v>
      </c>
      <c r="B3590" s="129" t="str">
        <f>IFERROR(VLOOKUP(Proc[[#This Row],[App]],Table2[],3,0),"open")</f>
        <v>ok</v>
      </c>
      <c r="C3590" s="128" t="s">
        <v>369</v>
      </c>
      <c r="D3590" t="s">
        <v>5688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</v>
      </c>
      <c r="R3590" s="130" t="s">
        <v>5685</v>
      </c>
      <c r="S3590" s="129"/>
    </row>
    <row r="3591" spans="1:19" hidden="1">
      <c r="A3591" s="128" t="s">
        <v>5686</v>
      </c>
      <c r="B3591" s="129" t="str">
        <f>IFERROR(VLOOKUP(Proc[[#This Row],[App]],Table2[],3,0),"open")</f>
        <v>ok</v>
      </c>
      <c r="C3591" s="128" t="s">
        <v>369</v>
      </c>
      <c r="D3591" t="s">
        <v>5689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</v>
      </c>
      <c r="R3591" s="130" t="s">
        <v>5685</v>
      </c>
      <c r="S3591" s="129"/>
    </row>
    <row r="3592" spans="1:19" hidden="1">
      <c r="A3592" s="128" t="s">
        <v>5686</v>
      </c>
      <c r="B3592" s="129" t="str">
        <f>IFERROR(VLOOKUP(Proc[[#This Row],[App]],Table2[],3,0),"open")</f>
        <v>ok</v>
      </c>
      <c r="C3592" s="128" t="s">
        <v>369</v>
      </c>
      <c r="D3592" t="s">
        <v>5690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</v>
      </c>
      <c r="R3592" s="130" t="s">
        <v>5685</v>
      </c>
      <c r="S3592" s="129"/>
    </row>
    <row r="3593" spans="1:19" hidden="1">
      <c r="A3593" s="128" t="s">
        <v>5686</v>
      </c>
      <c r="B3593" s="129" t="str">
        <f>IFERROR(VLOOKUP(Proc[[#This Row],[App]],Table2[],3,0),"open")</f>
        <v>ok</v>
      </c>
      <c r="C3593" s="128" t="s">
        <v>369</v>
      </c>
      <c r="D3593" t="s">
        <v>5691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</v>
      </c>
      <c r="R3593" s="130" t="s">
        <v>5685</v>
      </c>
      <c r="S3593" s="129"/>
    </row>
    <row r="3594" spans="1:19" hidden="1">
      <c r="A3594" s="128" t="s">
        <v>5686</v>
      </c>
      <c r="B3594" s="129" t="str">
        <f>IFERROR(VLOOKUP(Proc[[#This Row],[App]],Table2[],3,0),"open")</f>
        <v>ok</v>
      </c>
      <c r="C3594" s="128" t="s">
        <v>369</v>
      </c>
      <c r="D3594" t="s">
        <v>5692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</v>
      </c>
      <c r="R3594" s="130" t="s">
        <v>5685</v>
      </c>
      <c r="S3594" s="129"/>
    </row>
    <row r="3595" spans="1:19" hidden="1">
      <c r="A3595" s="128" t="s">
        <v>5686</v>
      </c>
      <c r="B3595" s="129" t="str">
        <f>IFERROR(VLOOKUP(Proc[[#This Row],[App]],Table2[],3,0),"open")</f>
        <v>ok</v>
      </c>
      <c r="C3595" s="128" t="s">
        <v>369</v>
      </c>
      <c r="D3595" t="s">
        <v>5693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</v>
      </c>
      <c r="R3595" s="130" t="s">
        <v>5685</v>
      </c>
      <c r="S3595" s="129"/>
    </row>
    <row r="3596" spans="1:19" hidden="1">
      <c r="A3596" s="128" t="s">
        <v>5686</v>
      </c>
      <c r="B3596" s="129" t="str">
        <f>IFERROR(VLOOKUP(Proc[[#This Row],[App]],Table2[],3,0),"open")</f>
        <v>ok</v>
      </c>
      <c r="C3596" s="128" t="s">
        <v>369</v>
      </c>
      <c r="D3596" t="s">
        <v>5694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</v>
      </c>
      <c r="R3596" s="130" t="s">
        <v>5685</v>
      </c>
      <c r="S3596" s="129"/>
    </row>
    <row r="3597" spans="1:19" hidden="1">
      <c r="A3597" s="128" t="s">
        <v>5686</v>
      </c>
      <c r="B3597" s="129" t="str">
        <f>IFERROR(VLOOKUP(Proc[[#This Row],[App]],Table2[],3,0),"open")</f>
        <v>ok</v>
      </c>
      <c r="C3597" s="128" t="s">
        <v>369</v>
      </c>
      <c r="D3597" t="s">
        <v>5695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</v>
      </c>
      <c r="R3597" s="130" t="s">
        <v>5685</v>
      </c>
      <c r="S3597" s="129"/>
    </row>
    <row r="3598" spans="1:19" hidden="1">
      <c r="A3598" s="128" t="s">
        <v>5686</v>
      </c>
      <c r="B3598" s="129" t="str">
        <f>IFERROR(VLOOKUP(Proc[[#This Row],[App]],Table2[],3,0),"open")</f>
        <v>ok</v>
      </c>
      <c r="C3598" s="128" t="s">
        <v>369</v>
      </c>
      <c r="D3598" t="s">
        <v>5696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</v>
      </c>
      <c r="R3598" s="130" t="s">
        <v>5685</v>
      </c>
      <c r="S3598" s="129"/>
    </row>
    <row r="3599" spans="1:19" hidden="1">
      <c r="A3599" s="128" t="s">
        <v>5686</v>
      </c>
      <c r="B3599" s="129" t="str">
        <f>IFERROR(VLOOKUP(Proc[[#This Row],[App]],Table2[],3,0),"open")</f>
        <v>ok</v>
      </c>
      <c r="C3599" s="128" t="s">
        <v>369</v>
      </c>
      <c r="D3599" t="s">
        <v>5697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</v>
      </c>
      <c r="R3599" s="130" t="s">
        <v>5685</v>
      </c>
      <c r="S3599" s="129"/>
    </row>
    <row r="3600" spans="1:19" hidden="1">
      <c r="A3600" s="128" t="s">
        <v>5686</v>
      </c>
      <c r="B3600" s="129" t="str">
        <f>IFERROR(VLOOKUP(Proc[[#This Row],[App]],Table2[],3,0),"open")</f>
        <v>ok</v>
      </c>
      <c r="C3600" s="128" t="s">
        <v>369</v>
      </c>
      <c r="D3600" t="s">
        <v>5698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</v>
      </c>
      <c r="R3600" s="130" t="s">
        <v>5685</v>
      </c>
      <c r="S3600" s="129"/>
    </row>
    <row r="3601" spans="1:19" hidden="1">
      <c r="A3601" t="s">
        <v>5699</v>
      </c>
      <c r="B3601" s="129" t="str">
        <f>IFERROR(VLOOKUP(Proc[[#This Row],[App]],Table2[],3,0),"open")</f>
        <v>ok</v>
      </c>
      <c r="C3601" s="128" t="s">
        <v>369</v>
      </c>
      <c r="D3601" t="s">
        <v>5700</v>
      </c>
      <c r="E3601" t="s">
        <v>5701</v>
      </c>
      <c r="F3601" s="129" t="s">
        <v>5701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</v>
      </c>
      <c r="R3601" s="130" t="s">
        <v>5685</v>
      </c>
      <c r="S3601" s="129"/>
    </row>
    <row r="3602" spans="1:19" hidden="1">
      <c r="A3602" t="s">
        <v>5703</v>
      </c>
      <c r="B3602" s="129" t="str">
        <f>IFERROR(VLOOKUP(Proc[[#This Row],[App]],Table2[],3,0),"open")</f>
        <v>ok</v>
      </c>
      <c r="C3602" s="133" t="s">
        <v>369</v>
      </c>
      <c r="D3602" t="s">
        <v>5705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on track</v>
      </c>
      <c r="Q3602" s="3">
        <f ca="1">IF(Proc[[#This Row],[DateClosed]]="",ABS(NETWORKDAYS(Proc[[#This Row],[DateOpened]],TODAY()))-1,ABS(NETWORKDAYS(Proc[[#This Row],[DateOpened]],Proc[[#This Row],[DateClosed]]))-1)</f>
        <v>5</v>
      </c>
      <c r="R3602" s="130" t="s">
        <v>780</v>
      </c>
      <c r="S3602" s="129"/>
    </row>
    <row r="3603" spans="1:19" hidden="1">
      <c r="A3603" s="128" t="s">
        <v>5703</v>
      </c>
      <c r="B3603" s="129" t="str">
        <f>IFERROR(VLOOKUP(Proc[[#This Row],[App]],Table2[],3,0),"open")</f>
        <v>ok</v>
      </c>
      <c r="C3603" s="133" t="s">
        <v>369</v>
      </c>
      <c r="D3603" t="s">
        <v>5706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on track</v>
      </c>
      <c r="Q3603" s="3">
        <f ca="1">IF(Proc[[#This Row],[DateClosed]]="",ABS(NETWORKDAYS(Proc[[#This Row],[DateOpened]],TODAY()))-1,ABS(NETWORKDAYS(Proc[[#This Row],[DateOpened]],Proc[[#This Row],[DateClosed]]))-1)</f>
        <v>5</v>
      </c>
      <c r="R3603" s="130" t="s">
        <v>780</v>
      </c>
      <c r="S3603" s="129"/>
    </row>
    <row r="3604" spans="1:19" hidden="1">
      <c r="A3604" s="128" t="s">
        <v>5703</v>
      </c>
      <c r="B3604" s="129" t="str">
        <f>IFERROR(VLOOKUP(Proc[[#This Row],[App]],Table2[],3,0),"open")</f>
        <v>ok</v>
      </c>
      <c r="C3604" s="133" t="s">
        <v>369</v>
      </c>
      <c r="D3604" t="s">
        <v>5707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on track</v>
      </c>
      <c r="Q3604" s="3">
        <f ca="1">IF(Proc[[#This Row],[DateClosed]]="",ABS(NETWORKDAYS(Proc[[#This Row],[DateOpened]],TODAY()))-1,ABS(NETWORKDAYS(Proc[[#This Row],[DateOpened]],Proc[[#This Row],[DateClosed]]))-1)</f>
        <v>5</v>
      </c>
      <c r="R3604" s="130" t="s">
        <v>780</v>
      </c>
      <c r="S3604" s="129"/>
    </row>
    <row r="3605" spans="1:19" hidden="1">
      <c r="A3605" s="128" t="s">
        <v>5703</v>
      </c>
      <c r="B3605" s="129" t="str">
        <f>IFERROR(VLOOKUP(Proc[[#This Row],[App]],Table2[],3,0),"open")</f>
        <v>ok</v>
      </c>
      <c r="C3605" s="133" t="s">
        <v>369</v>
      </c>
      <c r="D3605" t="s">
        <v>5708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on track</v>
      </c>
      <c r="Q3605" s="3">
        <f ca="1">IF(Proc[[#This Row],[DateClosed]]="",ABS(NETWORKDAYS(Proc[[#This Row],[DateOpened]],TODAY()))-1,ABS(NETWORKDAYS(Proc[[#This Row],[DateOpened]],Proc[[#This Row],[DateClosed]]))-1)</f>
        <v>5</v>
      </c>
      <c r="R3605" s="130" t="s">
        <v>780</v>
      </c>
      <c r="S3605" s="129"/>
    </row>
    <row r="3606" spans="1:19" hidden="1">
      <c r="A3606" s="128" t="s">
        <v>5703</v>
      </c>
      <c r="B3606" s="129" t="str">
        <f>IFERROR(VLOOKUP(Proc[[#This Row],[App]],Table2[],3,0),"open")</f>
        <v>ok</v>
      </c>
      <c r="C3606" s="133" t="s">
        <v>369</v>
      </c>
      <c r="D3606" t="s">
        <v>5704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on track</v>
      </c>
      <c r="Q3606" s="3">
        <f ca="1">IF(Proc[[#This Row],[DateClosed]]="",ABS(NETWORKDAYS(Proc[[#This Row],[DateOpened]],TODAY()))-1,ABS(NETWORKDAYS(Proc[[#This Row],[DateOpened]],Proc[[#This Row],[DateClosed]]))-1)</f>
        <v>5</v>
      </c>
      <c r="R3606" s="130" t="s">
        <v>780</v>
      </c>
      <c r="S3606" s="129"/>
    </row>
    <row r="3607" spans="1:19">
      <c r="A3607" t="s">
        <v>5711</v>
      </c>
      <c r="B3607" s="129" t="str">
        <f>IFERROR(VLOOKUP(Proc[[#This Row],[App]],Table2[],3,0),"open")</f>
        <v>open</v>
      </c>
      <c r="C3607" t="s">
        <v>370</v>
      </c>
      <c r="D3607" t="s">
        <v>5709</v>
      </c>
      <c r="E3607" t="s">
        <v>5710</v>
      </c>
      <c r="F3607" s="129" t="s">
        <v>5738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0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on track</v>
      </c>
      <c r="Q3607" s="3">
        <f ca="1">IF(Proc[[#This Row],[DateClosed]]="",ABS(NETWORKDAYS(Proc[[#This Row],[DateOpened]],TODAY()))-1,ABS(NETWORKDAYS(Proc[[#This Row],[DateOpened]],Proc[[#This Row],[DateClosed]]))-1)</f>
        <v>5</v>
      </c>
      <c r="R3607" s="130" t="s">
        <v>5712</v>
      </c>
      <c r="S3607" s="129"/>
    </row>
    <row r="3608" spans="1:19" hidden="1">
      <c r="A3608" t="s">
        <v>5713</v>
      </c>
      <c r="B3608" s="129" t="str">
        <f>IFERROR(VLOOKUP(Proc[[#This Row],[App]],Table2[],3,0),"open")</f>
        <v>ok</v>
      </c>
      <c r="C3608" t="s">
        <v>369</v>
      </c>
      <c r="D3608" t="s">
        <v>5714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on track</v>
      </c>
      <c r="Q3608" s="3">
        <f ca="1">IF(Proc[[#This Row],[DateClosed]]="",ABS(NETWORKDAYS(Proc[[#This Row],[DateOpened]],TODAY()))-1,ABS(NETWORKDAYS(Proc[[#This Row],[DateOpened]],Proc[[#This Row],[DateClosed]]))-1)</f>
        <v>5</v>
      </c>
      <c r="R3608" s="130" t="s">
        <v>738</v>
      </c>
      <c r="S3608" s="129"/>
    </row>
    <row r="3609" spans="1:19" hidden="1">
      <c r="A3609" s="128" t="s">
        <v>5713</v>
      </c>
      <c r="B3609" s="129" t="str">
        <f>IFERROR(VLOOKUP(Proc[[#This Row],[App]],Table2[],3,0),"open")</f>
        <v>ok</v>
      </c>
      <c r="C3609" s="135" t="s">
        <v>369</v>
      </c>
      <c r="D3609" t="s">
        <v>5715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on track</v>
      </c>
      <c r="Q3609" s="3">
        <f ca="1">IF(Proc[[#This Row],[DateClosed]]="",ABS(NETWORKDAYS(Proc[[#This Row],[DateOpened]],TODAY()))-1,ABS(NETWORKDAYS(Proc[[#This Row],[DateOpened]],Proc[[#This Row],[DateClosed]]))-1)</f>
        <v>5</v>
      </c>
      <c r="R3609" s="130" t="s">
        <v>738</v>
      </c>
      <c r="S3609" s="129"/>
    </row>
    <row r="3610" spans="1:19" hidden="1">
      <c r="A3610" s="128" t="s">
        <v>5713</v>
      </c>
      <c r="B3610" s="129" t="str">
        <f>IFERROR(VLOOKUP(Proc[[#This Row],[App]],Table2[],3,0),"open")</f>
        <v>ok</v>
      </c>
      <c r="C3610" s="135" t="s">
        <v>369</v>
      </c>
      <c r="D3610" t="s">
        <v>5716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on track</v>
      </c>
      <c r="Q3610" s="3">
        <f ca="1">IF(Proc[[#This Row],[DateClosed]]="",ABS(NETWORKDAYS(Proc[[#This Row],[DateOpened]],TODAY()))-1,ABS(NETWORKDAYS(Proc[[#This Row],[DateOpened]],Proc[[#This Row],[DateClosed]]))-1)</f>
        <v>5</v>
      </c>
      <c r="R3610" s="130" t="s">
        <v>738</v>
      </c>
      <c r="S3610" s="129"/>
    </row>
    <row r="3611" spans="1:19" hidden="1">
      <c r="A3611" s="128" t="s">
        <v>5713</v>
      </c>
      <c r="B3611" s="129" t="str">
        <f>IFERROR(VLOOKUP(Proc[[#This Row],[App]],Table2[],3,0),"open")</f>
        <v>ok</v>
      </c>
      <c r="C3611" s="135" t="s">
        <v>369</v>
      </c>
      <c r="D3611" t="s">
        <v>5717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on track</v>
      </c>
      <c r="Q3611" s="3">
        <f ca="1">IF(Proc[[#This Row],[DateClosed]]="",ABS(NETWORKDAYS(Proc[[#This Row],[DateOpened]],TODAY()))-1,ABS(NETWORKDAYS(Proc[[#This Row],[DateOpened]],Proc[[#This Row],[DateClosed]]))-1)</f>
        <v>5</v>
      </c>
      <c r="R3611" s="130" t="s">
        <v>738</v>
      </c>
      <c r="S3611" s="129"/>
    </row>
    <row r="3612" spans="1:19" hidden="1">
      <c r="A3612" s="128" t="s">
        <v>5713</v>
      </c>
      <c r="B3612" s="129" t="str">
        <f>IFERROR(VLOOKUP(Proc[[#This Row],[App]],Table2[],3,0),"open")</f>
        <v>ok</v>
      </c>
      <c r="C3612" s="135" t="s">
        <v>369</v>
      </c>
      <c r="D3612" t="s">
        <v>5718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on track</v>
      </c>
      <c r="Q3612" s="3">
        <f ca="1">IF(Proc[[#This Row],[DateClosed]]="",ABS(NETWORKDAYS(Proc[[#This Row],[DateOpened]],TODAY()))-1,ABS(NETWORKDAYS(Proc[[#This Row],[DateOpened]],Proc[[#This Row],[DateClosed]]))-1)</f>
        <v>5</v>
      </c>
      <c r="R3612" s="130" t="s">
        <v>738</v>
      </c>
      <c r="S3612" s="129"/>
    </row>
    <row r="3613" spans="1:19" hidden="1">
      <c r="A3613" s="128" t="s">
        <v>5713</v>
      </c>
      <c r="B3613" s="129" t="str">
        <f>IFERROR(VLOOKUP(Proc[[#This Row],[App]],Table2[],3,0),"open")</f>
        <v>ok</v>
      </c>
      <c r="C3613" s="135" t="s">
        <v>369</v>
      </c>
      <c r="D3613" t="s">
        <v>5742</v>
      </c>
      <c r="E3613" t="s">
        <v>5723</v>
      </c>
      <c r="F3613" s="129" t="s">
        <v>5723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on track</v>
      </c>
      <c r="Q3613" s="3">
        <f ca="1">IF(Proc[[#This Row],[DateClosed]]="",ABS(NETWORKDAYS(Proc[[#This Row],[DateOpened]],TODAY()))-1,ABS(NETWORKDAYS(Proc[[#This Row],[DateOpened]],Proc[[#This Row],[DateClosed]]))-1)</f>
        <v>5</v>
      </c>
      <c r="R3613" s="130" t="s">
        <v>738</v>
      </c>
      <c r="S3613" s="129"/>
    </row>
    <row r="3614" spans="1:19" hidden="1">
      <c r="A3614" s="128" t="s">
        <v>5713</v>
      </c>
      <c r="B3614" s="129" t="str">
        <f>IFERROR(VLOOKUP(Proc[[#This Row],[App]],Table2[],3,0),"open")</f>
        <v>ok</v>
      </c>
      <c r="C3614" s="135" t="s">
        <v>369</v>
      </c>
      <c r="D3614" t="s">
        <v>5719</v>
      </c>
      <c r="E3614" t="s">
        <v>5723</v>
      </c>
      <c r="F3614" s="129" t="s">
        <v>5723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on track</v>
      </c>
      <c r="Q3614" s="3">
        <f ca="1">IF(Proc[[#This Row],[DateClosed]]="",ABS(NETWORKDAYS(Proc[[#This Row],[DateOpened]],TODAY()))-1,ABS(NETWORKDAYS(Proc[[#This Row],[DateOpened]],Proc[[#This Row],[DateClosed]]))-1)</f>
        <v>5</v>
      </c>
      <c r="R3614" s="130" t="s">
        <v>738</v>
      </c>
      <c r="S3614" s="129"/>
    </row>
    <row r="3615" spans="1:19" hidden="1">
      <c r="A3615" s="128" t="s">
        <v>5713</v>
      </c>
      <c r="B3615" s="129" t="str">
        <f>IFERROR(VLOOKUP(Proc[[#This Row],[App]],Table2[],3,0),"open")</f>
        <v>ok</v>
      </c>
      <c r="C3615" s="135" t="s">
        <v>369</v>
      </c>
      <c r="D3615" t="s">
        <v>5720</v>
      </c>
      <c r="E3615" t="s">
        <v>5723</v>
      </c>
      <c r="F3615" s="129" t="s">
        <v>5723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on track</v>
      </c>
      <c r="Q3615" s="3">
        <f ca="1">IF(Proc[[#This Row],[DateClosed]]="",ABS(NETWORKDAYS(Proc[[#This Row],[DateOpened]],TODAY()))-1,ABS(NETWORKDAYS(Proc[[#This Row],[DateOpened]],Proc[[#This Row],[DateClosed]]))-1)</f>
        <v>5</v>
      </c>
      <c r="R3615" s="130" t="s">
        <v>738</v>
      </c>
      <c r="S3615" s="129"/>
    </row>
    <row r="3616" spans="1:19" hidden="1">
      <c r="A3616" s="128" t="s">
        <v>5713</v>
      </c>
      <c r="B3616" s="129" t="str">
        <f>IFERROR(VLOOKUP(Proc[[#This Row],[App]],Table2[],3,0),"open")</f>
        <v>ok</v>
      </c>
      <c r="C3616" s="135" t="s">
        <v>369</v>
      </c>
      <c r="D3616" t="s">
        <v>5721</v>
      </c>
      <c r="E3616" t="s">
        <v>5723</v>
      </c>
      <c r="F3616" s="129" t="s">
        <v>5723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on track</v>
      </c>
      <c r="Q3616" s="3">
        <f ca="1">IF(Proc[[#This Row],[DateClosed]]="",ABS(NETWORKDAYS(Proc[[#This Row],[DateOpened]],TODAY()))-1,ABS(NETWORKDAYS(Proc[[#This Row],[DateOpened]],Proc[[#This Row],[DateClosed]]))-1)</f>
        <v>5</v>
      </c>
      <c r="R3616" s="130" t="s">
        <v>738</v>
      </c>
      <c r="S3616" s="129"/>
    </row>
    <row r="3617" spans="1:19" hidden="1">
      <c r="A3617" s="128" t="s">
        <v>5713</v>
      </c>
      <c r="B3617" s="129" t="str">
        <f>IFERROR(VLOOKUP(Proc[[#This Row],[App]],Table2[],3,0),"open")</f>
        <v>ok</v>
      </c>
      <c r="C3617" s="135" t="s">
        <v>369</v>
      </c>
      <c r="D3617" t="s">
        <v>5743</v>
      </c>
      <c r="E3617" t="s">
        <v>5723</v>
      </c>
      <c r="F3617" s="129" t="s">
        <v>5723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on track</v>
      </c>
      <c r="Q3617" s="3">
        <f ca="1">IF(Proc[[#This Row],[DateClosed]]="",ABS(NETWORKDAYS(Proc[[#This Row],[DateOpened]],TODAY()))-1,ABS(NETWORKDAYS(Proc[[#This Row],[DateOpened]],Proc[[#This Row],[DateClosed]]))-1)</f>
        <v>5</v>
      </c>
      <c r="R3617" s="130" t="s">
        <v>738</v>
      </c>
      <c r="S3617" s="129"/>
    </row>
    <row r="3618" spans="1:19" hidden="1">
      <c r="A3618" s="128" t="s">
        <v>5713</v>
      </c>
      <c r="B3618" s="129" t="str">
        <f>IFERROR(VLOOKUP(Proc[[#This Row],[App]],Table2[],3,0),"open")</f>
        <v>ok</v>
      </c>
      <c r="C3618" s="135" t="s">
        <v>369</v>
      </c>
      <c r="D3618" t="s">
        <v>5722</v>
      </c>
      <c r="E3618" t="s">
        <v>5723</v>
      </c>
      <c r="F3618" s="129" t="s">
        <v>5723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on track</v>
      </c>
      <c r="Q3618" s="3">
        <f ca="1">IF(Proc[[#This Row],[DateClosed]]="",ABS(NETWORKDAYS(Proc[[#This Row],[DateOpened]],TODAY()))-1,ABS(NETWORKDAYS(Proc[[#This Row],[DateOpened]],Proc[[#This Row],[DateClosed]]))-1)</f>
        <v>5</v>
      </c>
      <c r="R3618" s="130" t="s">
        <v>738</v>
      </c>
      <c r="S3618" s="129"/>
    </row>
    <row r="3619" spans="1:19" hidden="1">
      <c r="A3619" s="128" t="s">
        <v>5713</v>
      </c>
      <c r="B3619" s="129" t="str">
        <f>IFERROR(VLOOKUP(Proc[[#This Row],[App]],Table2[],3,0),"open")</f>
        <v>ok</v>
      </c>
      <c r="C3619" s="135" t="s">
        <v>369</v>
      </c>
      <c r="D3619" t="s">
        <v>5744</v>
      </c>
      <c r="E3619" t="s">
        <v>5723</v>
      </c>
      <c r="F3619" s="129" t="s">
        <v>5723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on track</v>
      </c>
      <c r="Q3619" s="3">
        <f ca="1">IF(Proc[[#This Row],[DateClosed]]="",ABS(NETWORKDAYS(Proc[[#This Row],[DateOpened]],TODAY()))-1,ABS(NETWORKDAYS(Proc[[#This Row],[DateOpened]],Proc[[#This Row],[DateClosed]]))-1)</f>
        <v>5</v>
      </c>
      <c r="R3619" s="130" t="s">
        <v>738</v>
      </c>
      <c r="S3619" s="129"/>
    </row>
    <row r="3620" spans="1:19" hidden="1">
      <c r="A3620" t="s">
        <v>5724</v>
      </c>
      <c r="B3620" s="129" t="str">
        <f>IFERROR(VLOOKUP(Proc[[#This Row],[App]],Table2[],3,0),"open")</f>
        <v>ok</v>
      </c>
      <c r="C3620" s="135" t="s">
        <v>369</v>
      </c>
      <c r="D3620" t="s">
        <v>5725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on track</v>
      </c>
      <c r="Q3620" s="3">
        <f ca="1">IF(Proc[[#This Row],[DateClosed]]="",ABS(NETWORKDAYS(Proc[[#This Row],[DateOpened]],TODAY()))-1,ABS(NETWORKDAYS(Proc[[#This Row],[DateOpened]],Proc[[#This Row],[DateClosed]]))-1)</f>
        <v>4</v>
      </c>
      <c r="R3620" s="130" t="s">
        <v>738</v>
      </c>
      <c r="S3620" s="129"/>
    </row>
    <row r="3621" spans="1:19" hidden="1">
      <c r="A3621" s="132" t="s">
        <v>5724</v>
      </c>
      <c r="B3621" s="129" t="str">
        <f>IFERROR(VLOOKUP(Proc[[#This Row],[App]],Table2[],3,0),"open")</f>
        <v>ok</v>
      </c>
      <c r="C3621" s="135" t="s">
        <v>369</v>
      </c>
      <c r="D3621" t="s">
        <v>5726</v>
      </c>
      <c r="E3621" t="s">
        <v>5727</v>
      </c>
      <c r="F3621" s="129" t="s">
        <v>5727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on track</v>
      </c>
      <c r="Q3621" s="3">
        <f ca="1">IF(Proc[[#This Row],[DateClosed]]="",ABS(NETWORKDAYS(Proc[[#This Row],[DateOpened]],TODAY()))-1,ABS(NETWORKDAYS(Proc[[#This Row],[DateOpened]],Proc[[#This Row],[DateClosed]]))-1)</f>
        <v>4</v>
      </c>
      <c r="R3621" s="130" t="s">
        <v>738</v>
      </c>
      <c r="S3621" s="129"/>
    </row>
    <row r="3622" spans="1:19" hidden="1">
      <c r="A3622" s="132" t="s">
        <v>5724</v>
      </c>
      <c r="B3622" s="129" t="str">
        <f>IFERROR(VLOOKUP(Proc[[#This Row],[App]],Table2[],3,0),"open")</f>
        <v>ok</v>
      </c>
      <c r="C3622" s="135" t="s">
        <v>369</v>
      </c>
      <c r="D3622" t="s">
        <v>5728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on track</v>
      </c>
      <c r="Q3622" s="3">
        <f ca="1">IF(Proc[[#This Row],[DateClosed]]="",ABS(NETWORKDAYS(Proc[[#This Row],[DateOpened]],TODAY()))-1,ABS(NETWORKDAYS(Proc[[#This Row],[DateOpened]],Proc[[#This Row],[DateClosed]]))-1)</f>
        <v>4</v>
      </c>
      <c r="R3622" s="130" t="s">
        <v>738</v>
      </c>
      <c r="S3622" s="129"/>
    </row>
    <row r="3623" spans="1:19" hidden="1">
      <c r="A3623" s="132" t="s">
        <v>5724</v>
      </c>
      <c r="B3623" s="129" t="str">
        <f>IFERROR(VLOOKUP(Proc[[#This Row],[App]],Table2[],3,0),"open")</f>
        <v>ok</v>
      </c>
      <c r="C3623" s="135" t="s">
        <v>369</v>
      </c>
      <c r="D3623" t="s">
        <v>5729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on track</v>
      </c>
      <c r="Q3623" s="3">
        <f ca="1">IF(Proc[[#This Row],[DateClosed]]="",ABS(NETWORKDAYS(Proc[[#This Row],[DateOpened]],TODAY()))-1,ABS(NETWORKDAYS(Proc[[#This Row],[DateOpened]],Proc[[#This Row],[DateClosed]]))-1)</f>
        <v>4</v>
      </c>
      <c r="R3623" s="130" t="s">
        <v>738</v>
      </c>
      <c r="S3623" s="129"/>
    </row>
    <row r="3624" spans="1:19" hidden="1">
      <c r="A3624" s="132" t="s">
        <v>5724</v>
      </c>
      <c r="B3624" s="129" t="str">
        <f>IFERROR(VLOOKUP(Proc[[#This Row],[App]],Table2[],3,0),"open")</f>
        <v>ok</v>
      </c>
      <c r="C3624" s="135" t="s">
        <v>369</v>
      </c>
      <c r="D3624" t="s">
        <v>5730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on track</v>
      </c>
      <c r="Q3624" s="3">
        <f ca="1">IF(Proc[[#This Row],[DateClosed]]="",ABS(NETWORKDAYS(Proc[[#This Row],[DateOpened]],TODAY()))-1,ABS(NETWORKDAYS(Proc[[#This Row],[DateOpened]],Proc[[#This Row],[DateClosed]]))-1)</f>
        <v>4</v>
      </c>
      <c r="R3624" s="130" t="s">
        <v>738</v>
      </c>
      <c r="S3624" s="129"/>
    </row>
    <row r="3625" spans="1:19" hidden="1">
      <c r="A3625" s="132" t="s">
        <v>5724</v>
      </c>
      <c r="B3625" s="129" t="str">
        <f>IFERROR(VLOOKUP(Proc[[#This Row],[App]],Table2[],3,0),"open")</f>
        <v>ok</v>
      </c>
      <c r="C3625" s="135" t="s">
        <v>369</v>
      </c>
      <c r="D3625" t="s">
        <v>5731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on track</v>
      </c>
      <c r="Q3625" s="3">
        <f ca="1">IF(Proc[[#This Row],[DateClosed]]="",ABS(NETWORKDAYS(Proc[[#This Row],[DateOpened]],TODAY()))-1,ABS(NETWORKDAYS(Proc[[#This Row],[DateOpened]],Proc[[#This Row],[DateClosed]]))-1)</f>
        <v>4</v>
      </c>
      <c r="R3625" s="130" t="s">
        <v>738</v>
      </c>
      <c r="S3625" s="129"/>
    </row>
    <row r="3626" spans="1:19" hidden="1">
      <c r="A3626" s="132" t="s">
        <v>5724</v>
      </c>
      <c r="B3626" s="129" t="str">
        <f>IFERROR(VLOOKUP(Proc[[#This Row],[App]],Table2[],3,0),"open")</f>
        <v>ok</v>
      </c>
      <c r="C3626" s="135" t="s">
        <v>369</v>
      </c>
      <c r="D3626" t="s">
        <v>5732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on track</v>
      </c>
      <c r="Q3626" s="3">
        <f ca="1">IF(Proc[[#This Row],[DateClosed]]="",ABS(NETWORKDAYS(Proc[[#This Row],[DateOpened]],TODAY()))-1,ABS(NETWORKDAYS(Proc[[#This Row],[DateOpened]],Proc[[#This Row],[DateClosed]]))-1)</f>
        <v>4</v>
      </c>
      <c r="R3626" s="130" t="s">
        <v>738</v>
      </c>
      <c r="S3626" s="129"/>
    </row>
    <row r="3627" spans="1:19" hidden="1">
      <c r="A3627" s="132" t="s">
        <v>5724</v>
      </c>
      <c r="B3627" s="129" t="str">
        <f>IFERROR(VLOOKUP(Proc[[#This Row],[App]],Table2[],3,0),"open")</f>
        <v>ok</v>
      </c>
      <c r="C3627" s="135" t="s">
        <v>369</v>
      </c>
      <c r="D3627" t="s">
        <v>5733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on track</v>
      </c>
      <c r="Q3627" s="3">
        <f ca="1">IF(Proc[[#This Row],[DateClosed]]="",ABS(NETWORKDAYS(Proc[[#This Row],[DateOpened]],TODAY()))-1,ABS(NETWORKDAYS(Proc[[#This Row],[DateOpened]],Proc[[#This Row],[DateClosed]]))-1)</f>
        <v>4</v>
      </c>
      <c r="R3627" s="130" t="s">
        <v>738</v>
      </c>
      <c r="S3627" s="129"/>
    </row>
    <row r="3628" spans="1:19" hidden="1">
      <c r="A3628" t="s">
        <v>5734</v>
      </c>
      <c r="B3628" s="129" t="str">
        <f>IFERROR(VLOOKUP(Proc[[#This Row],[App]],Table2[],3,0),"open")</f>
        <v>ok</v>
      </c>
      <c r="C3628" s="135" t="s">
        <v>369</v>
      </c>
      <c r="D3628" t="s">
        <v>5735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on track</v>
      </c>
      <c r="Q3628" s="3">
        <f ca="1">IF(Proc[[#This Row],[DateClosed]]="",ABS(NETWORKDAYS(Proc[[#This Row],[DateOpened]],TODAY()))-1,ABS(NETWORKDAYS(Proc[[#This Row],[DateOpened]],Proc[[#This Row],[DateClosed]]))-1)</f>
        <v>4</v>
      </c>
      <c r="R3628" s="130" t="s">
        <v>489</v>
      </c>
      <c r="S3628" s="129"/>
    </row>
    <row r="3629" spans="1:19" hidden="1">
      <c r="A3629" s="133" t="s">
        <v>5734</v>
      </c>
      <c r="B3629" s="129" t="str">
        <f>IFERROR(VLOOKUP(Proc[[#This Row],[App]],Table2[],3,0),"open")</f>
        <v>ok</v>
      </c>
      <c r="C3629" s="135" t="s">
        <v>369</v>
      </c>
      <c r="D3629" t="s">
        <v>5736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on track</v>
      </c>
      <c r="Q3629" s="3">
        <f ca="1">IF(Proc[[#This Row],[DateClosed]]="",ABS(NETWORKDAYS(Proc[[#This Row],[DateOpened]],TODAY()))-1,ABS(NETWORKDAYS(Proc[[#This Row],[DateOpened]],Proc[[#This Row],[DateClosed]]))-1)</f>
        <v>4</v>
      </c>
      <c r="R3629" s="130" t="s">
        <v>489</v>
      </c>
      <c r="S3629" s="129"/>
    </row>
    <row r="3630" spans="1:19">
      <c r="A3630" t="s">
        <v>5737</v>
      </c>
      <c r="B3630" s="129" t="str">
        <f>IFERROR(VLOOKUP(Proc[[#This Row],[App]],Table2[],3,0),"open")</f>
        <v>open</v>
      </c>
      <c r="C3630" s="133" t="s">
        <v>370</v>
      </c>
      <c r="D3630" t="s">
        <v>5578</v>
      </c>
      <c r="E3630" t="s">
        <v>3523</v>
      </c>
      <c r="F3630" s="129" t="s">
        <v>5573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0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on track</v>
      </c>
      <c r="Q3630" s="3">
        <f ca="1">IF(Proc[[#This Row],[DateClosed]]="",ABS(NETWORKDAYS(Proc[[#This Row],[DateOpened]],TODAY()))-1,ABS(NETWORKDAYS(Proc[[#This Row],[DateOpened]],Proc[[#This Row],[DateClosed]]))-1)</f>
        <v>4</v>
      </c>
      <c r="R3630" s="130" t="s">
        <v>1262</v>
      </c>
      <c r="S3630" s="129"/>
    </row>
    <row r="3631" spans="1:19">
      <c r="A3631" t="s">
        <v>5741</v>
      </c>
      <c r="B3631" s="129" t="str">
        <f>IFERROR(VLOOKUP(Proc[[#This Row],[App]],Table2[],3,0),"open")</f>
        <v>open</v>
      </c>
      <c r="C3631" t="s">
        <v>370</v>
      </c>
      <c r="D3631" s="135" t="s">
        <v>5740</v>
      </c>
      <c r="E3631" t="s">
        <v>3515</v>
      </c>
      <c r="F3631" s="129" t="s">
        <v>5745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0</v>
      </c>
      <c r="K3631" s="129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on track</v>
      </c>
      <c r="Q3631" s="3">
        <f ca="1">IF(Proc[[#This Row],[DateClosed]]="",ABS(NETWORKDAYS(Proc[[#This Row],[DateOpened]],TODAY()))-1,ABS(NETWORKDAYS(Proc[[#This Row],[DateOpened]],Proc[[#This Row],[DateClosed]]))-1)</f>
        <v>4</v>
      </c>
      <c r="R3631" s="130" t="s">
        <v>972</v>
      </c>
      <c r="S3631" s="129"/>
    </row>
    <row r="3632" spans="1:19">
      <c r="A3632" t="s">
        <v>5746</v>
      </c>
      <c r="B3632" s="129" t="str">
        <f>IFERROR(VLOOKUP(Proc[[#This Row],[App]],Table2[],3,0),"open")</f>
        <v>open</v>
      </c>
      <c r="C3632" s="135" t="s">
        <v>370</v>
      </c>
      <c r="D3632" t="s">
        <v>5747</v>
      </c>
      <c r="E3632" t="s">
        <v>5272</v>
      </c>
      <c r="F3632" s="129"/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0</v>
      </c>
      <c r="K3632" s="129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on track</v>
      </c>
      <c r="Q3632" s="3">
        <f ca="1">IF(Proc[[#This Row],[DateClosed]]="",ABS(NETWORKDAYS(Proc[[#This Row],[DateOpened]],TODAY()))-1,ABS(NETWORKDAYS(Proc[[#This Row],[DateOpened]],Proc[[#This Row],[DateClosed]]))-1)</f>
        <v>1</v>
      </c>
      <c r="R3632" s="130" t="s">
        <v>489</v>
      </c>
      <c r="S3632" s="129"/>
    </row>
    <row r="3633" spans="1:19">
      <c r="A3633" s="135" t="s">
        <v>5746</v>
      </c>
      <c r="B3633" s="129" t="str">
        <f>IFERROR(VLOOKUP(Proc[[#This Row],[App]],Table2[],3,0),"open")</f>
        <v>open</v>
      </c>
      <c r="C3633" s="135" t="s">
        <v>370</v>
      </c>
      <c r="D3633" t="s">
        <v>5748</v>
      </c>
      <c r="E3633" t="s">
        <v>5272</v>
      </c>
      <c r="F3633" s="129"/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0</v>
      </c>
      <c r="K3633" s="129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on track</v>
      </c>
      <c r="Q3633" s="3">
        <f ca="1">IF(Proc[[#This Row],[DateClosed]]="",ABS(NETWORKDAYS(Proc[[#This Row],[DateOpened]],TODAY()))-1,ABS(NETWORKDAYS(Proc[[#This Row],[DateOpened]],Proc[[#This Row],[DateClosed]]))-1)</f>
        <v>1</v>
      </c>
      <c r="R3633" s="130" t="s">
        <v>489</v>
      </c>
      <c r="S3633" s="129"/>
    </row>
    <row r="3634" spans="1:19">
      <c r="A3634" s="135" t="s">
        <v>5746</v>
      </c>
      <c r="B3634" s="129" t="str">
        <f>IFERROR(VLOOKUP(Proc[[#This Row],[App]],Table2[],3,0),"open")</f>
        <v>open</v>
      </c>
      <c r="C3634" s="135" t="s">
        <v>370</v>
      </c>
      <c r="D3634" t="s">
        <v>5749</v>
      </c>
      <c r="E3634" t="s">
        <v>5272</v>
      </c>
      <c r="F3634" s="129"/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0</v>
      </c>
      <c r="K3634" s="129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on track</v>
      </c>
      <c r="Q3634" s="3">
        <f ca="1">IF(Proc[[#This Row],[DateClosed]]="",ABS(NETWORKDAYS(Proc[[#This Row],[DateOpened]],TODAY()))-1,ABS(NETWORKDAYS(Proc[[#This Row],[DateOpened]],Proc[[#This Row],[DateClosed]]))-1)</f>
        <v>1</v>
      </c>
      <c r="R3634" s="130" t="s">
        <v>489</v>
      </c>
      <c r="S3634" s="129"/>
    </row>
    <row r="3635" spans="1:19">
      <c r="A3635" s="135" t="s">
        <v>5746</v>
      </c>
      <c r="B3635" s="129" t="str">
        <f>IFERROR(VLOOKUP(Proc[[#This Row],[App]],Table2[],3,0),"open")</f>
        <v>open</v>
      </c>
      <c r="C3635" s="135" t="s">
        <v>370</v>
      </c>
      <c r="D3635" t="s">
        <v>5750</v>
      </c>
      <c r="E3635" t="s">
        <v>5272</v>
      </c>
      <c r="F3635" s="129"/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0</v>
      </c>
      <c r="K3635" s="129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on track</v>
      </c>
      <c r="Q3635" s="3">
        <f ca="1">IF(Proc[[#This Row],[DateClosed]]="",ABS(NETWORKDAYS(Proc[[#This Row],[DateOpened]],TODAY()))-1,ABS(NETWORKDAYS(Proc[[#This Row],[DateOpened]],Proc[[#This Row],[DateClosed]]))-1)</f>
        <v>1</v>
      </c>
      <c r="R3635" s="130" t="s">
        <v>489</v>
      </c>
      <c r="S3635" s="129"/>
    </row>
    <row r="3636" spans="1:19">
      <c r="A3636" s="135" t="s">
        <v>5746</v>
      </c>
      <c r="B3636" s="129" t="str">
        <f>IFERROR(VLOOKUP(Proc[[#This Row],[App]],Table2[],3,0),"open")</f>
        <v>open</v>
      </c>
      <c r="C3636" s="135" t="s">
        <v>370</v>
      </c>
      <c r="D3636" t="s">
        <v>5751</v>
      </c>
      <c r="E3636" t="s">
        <v>5272</v>
      </c>
      <c r="F3636" s="129"/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0</v>
      </c>
      <c r="K3636" s="129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on track</v>
      </c>
      <c r="Q3636" s="3">
        <f ca="1">IF(Proc[[#This Row],[DateClosed]]="",ABS(NETWORKDAYS(Proc[[#This Row],[DateOpened]],TODAY()))-1,ABS(NETWORKDAYS(Proc[[#This Row],[DateOpened]],Proc[[#This Row],[DateClosed]]))-1)</f>
        <v>1</v>
      </c>
      <c r="R3636" s="130" t="s">
        <v>489</v>
      </c>
      <c r="S3636" s="129"/>
    </row>
    <row r="3637" spans="1:19">
      <c r="A3637" s="135" t="s">
        <v>5746</v>
      </c>
      <c r="B3637" s="129" t="str">
        <f>IFERROR(VLOOKUP(Proc[[#This Row],[App]],Table2[],3,0),"open")</f>
        <v>open</v>
      </c>
      <c r="C3637" s="135" t="s">
        <v>370</v>
      </c>
      <c r="D3637" t="s">
        <v>5752</v>
      </c>
      <c r="E3637" t="s">
        <v>5272</v>
      </c>
      <c r="F3637" s="129"/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0</v>
      </c>
      <c r="K3637" s="129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on track</v>
      </c>
      <c r="Q3637" s="3">
        <f ca="1">IF(Proc[[#This Row],[DateClosed]]="",ABS(NETWORKDAYS(Proc[[#This Row],[DateOpened]],TODAY()))-1,ABS(NETWORKDAYS(Proc[[#This Row],[DateOpened]],Proc[[#This Row],[DateClosed]]))-1)</f>
        <v>1</v>
      </c>
      <c r="R3637" s="130" t="s">
        <v>489</v>
      </c>
      <c r="S3637" s="129"/>
    </row>
    <row r="3638" spans="1:19">
      <c r="A3638" s="135" t="s">
        <v>5746</v>
      </c>
      <c r="B3638" s="129" t="str">
        <f>IFERROR(VLOOKUP(Proc[[#This Row],[App]],Table2[],3,0),"open")</f>
        <v>open</v>
      </c>
      <c r="C3638" s="135" t="s">
        <v>370</v>
      </c>
      <c r="D3638" t="s">
        <v>5753</v>
      </c>
      <c r="E3638" t="s">
        <v>5272</v>
      </c>
      <c r="F3638" s="129"/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0</v>
      </c>
      <c r="K3638" s="129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on track</v>
      </c>
      <c r="Q3638" s="3">
        <f ca="1">IF(Proc[[#This Row],[DateClosed]]="",ABS(NETWORKDAYS(Proc[[#This Row],[DateOpened]],TODAY()))-1,ABS(NETWORKDAYS(Proc[[#This Row],[DateOpened]],Proc[[#This Row],[DateClosed]]))-1)</f>
        <v>1</v>
      </c>
      <c r="R3638" s="130" t="s">
        <v>489</v>
      </c>
      <c r="S3638" s="129"/>
    </row>
    <row r="3639" spans="1:19">
      <c r="A3639" s="135" t="s">
        <v>5746</v>
      </c>
      <c r="B3639" s="129" t="str">
        <f>IFERROR(VLOOKUP(Proc[[#This Row],[App]],Table2[],3,0),"open")</f>
        <v>open</v>
      </c>
      <c r="C3639" s="135" t="s">
        <v>370</v>
      </c>
      <c r="D3639" t="s">
        <v>5754</v>
      </c>
      <c r="E3639" t="s">
        <v>5272</v>
      </c>
      <c r="F3639" s="129"/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0</v>
      </c>
      <c r="K3639" s="129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on track</v>
      </c>
      <c r="Q3639" s="3">
        <f ca="1">IF(Proc[[#This Row],[DateClosed]]="",ABS(NETWORKDAYS(Proc[[#This Row],[DateOpened]],TODAY()))-1,ABS(NETWORKDAYS(Proc[[#This Row],[DateOpened]],Proc[[#This Row],[DateClosed]]))-1)</f>
        <v>1</v>
      </c>
      <c r="R3639" s="130" t="s">
        <v>489</v>
      </c>
      <c r="S3639" s="129"/>
    </row>
    <row r="3640" spans="1:19">
      <c r="A3640" s="135" t="s">
        <v>5746</v>
      </c>
      <c r="B3640" s="129" t="str">
        <f>IFERROR(VLOOKUP(Proc[[#This Row],[App]],Table2[],3,0),"open")</f>
        <v>open</v>
      </c>
      <c r="C3640" s="135" t="s">
        <v>370</v>
      </c>
      <c r="D3640" t="s">
        <v>5755</v>
      </c>
      <c r="E3640" t="s">
        <v>5272</v>
      </c>
      <c r="F3640" s="129"/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0</v>
      </c>
      <c r="K3640" s="129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on track</v>
      </c>
      <c r="Q3640" s="3">
        <f ca="1">IF(Proc[[#This Row],[DateClosed]]="",ABS(NETWORKDAYS(Proc[[#This Row],[DateOpened]],TODAY()))-1,ABS(NETWORKDAYS(Proc[[#This Row],[DateOpened]],Proc[[#This Row],[DateClosed]]))-1)</f>
        <v>1</v>
      </c>
      <c r="R3640" s="130" t="s">
        <v>489</v>
      </c>
      <c r="S3640" s="129"/>
    </row>
    <row r="3641" spans="1:19">
      <c r="A3641" s="135" t="s">
        <v>5746</v>
      </c>
      <c r="B3641" s="129" t="str">
        <f>IFERROR(VLOOKUP(Proc[[#This Row],[App]],Table2[],3,0),"open")</f>
        <v>open</v>
      </c>
      <c r="C3641" s="135" t="s">
        <v>370</v>
      </c>
      <c r="D3641" t="s">
        <v>5756</v>
      </c>
      <c r="E3641" t="s">
        <v>5272</v>
      </c>
      <c r="F3641" s="129"/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0</v>
      </c>
      <c r="K3641" s="129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on track</v>
      </c>
      <c r="Q3641" s="3">
        <f ca="1">IF(Proc[[#This Row],[DateClosed]]="",ABS(NETWORKDAYS(Proc[[#This Row],[DateOpened]],TODAY()))-1,ABS(NETWORKDAYS(Proc[[#This Row],[DateOpened]],Proc[[#This Row],[DateClosed]]))-1)</f>
        <v>1</v>
      </c>
      <c r="R3641" s="130" t="s">
        <v>489</v>
      </c>
      <c r="S3641" s="129"/>
    </row>
    <row r="3642" spans="1:19">
      <c r="A3642" s="135" t="s">
        <v>5746</v>
      </c>
      <c r="B3642" s="129" t="str">
        <f>IFERROR(VLOOKUP(Proc[[#This Row],[App]],Table2[],3,0),"open")</f>
        <v>open</v>
      </c>
      <c r="C3642" s="135" t="s">
        <v>370</v>
      </c>
      <c r="D3642" t="s">
        <v>5757</v>
      </c>
      <c r="E3642" t="s">
        <v>5272</v>
      </c>
      <c r="F3642" s="129"/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0</v>
      </c>
      <c r="K3642" s="129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on track</v>
      </c>
      <c r="Q3642" s="3">
        <f ca="1">IF(Proc[[#This Row],[DateClosed]]="",ABS(NETWORKDAYS(Proc[[#This Row],[DateOpened]],TODAY()))-1,ABS(NETWORKDAYS(Proc[[#This Row],[DateOpened]],Proc[[#This Row],[DateClosed]]))-1)</f>
        <v>1</v>
      </c>
      <c r="R3642" s="130" t="s">
        <v>489</v>
      </c>
      <c r="S3642" s="129"/>
    </row>
    <row r="3643" spans="1:19">
      <c r="A3643" s="135" t="s">
        <v>5746</v>
      </c>
      <c r="B3643" s="129" t="str">
        <f>IFERROR(VLOOKUP(Proc[[#This Row],[App]],Table2[],3,0),"open")</f>
        <v>open</v>
      </c>
      <c r="C3643" s="135" t="s">
        <v>370</v>
      </c>
      <c r="D3643" t="s">
        <v>5758</v>
      </c>
      <c r="E3643" t="s">
        <v>5272</v>
      </c>
      <c r="F3643" s="129"/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0</v>
      </c>
      <c r="K3643" s="129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on track</v>
      </c>
      <c r="Q3643" s="3">
        <f ca="1">IF(Proc[[#This Row],[DateClosed]]="",ABS(NETWORKDAYS(Proc[[#This Row],[DateOpened]],TODAY()))-1,ABS(NETWORKDAYS(Proc[[#This Row],[DateOpened]],Proc[[#This Row],[DateClosed]]))-1)</f>
        <v>1</v>
      </c>
      <c r="R3643" s="130" t="s">
        <v>489</v>
      </c>
      <c r="S3643" s="129"/>
    </row>
    <row r="3644" spans="1:19">
      <c r="A3644" s="135" t="s">
        <v>5746</v>
      </c>
      <c r="B3644" s="129" t="str">
        <f>IFERROR(VLOOKUP(Proc[[#This Row],[App]],Table2[],3,0),"open")</f>
        <v>open</v>
      </c>
      <c r="C3644" s="135" t="s">
        <v>370</v>
      </c>
      <c r="D3644" t="s">
        <v>5759</v>
      </c>
      <c r="E3644" t="s">
        <v>5272</v>
      </c>
      <c r="F3644" s="129"/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0</v>
      </c>
      <c r="K3644" s="129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on track</v>
      </c>
      <c r="Q3644" s="3">
        <f ca="1">IF(Proc[[#This Row],[DateClosed]]="",ABS(NETWORKDAYS(Proc[[#This Row],[DateOpened]],TODAY()))-1,ABS(NETWORKDAYS(Proc[[#This Row],[DateOpened]],Proc[[#This Row],[DateClosed]]))-1)</f>
        <v>1</v>
      </c>
      <c r="R3644" s="130" t="s">
        <v>489</v>
      </c>
      <c r="S3644" s="129"/>
    </row>
    <row r="3645" spans="1:19">
      <c r="A3645" s="135" t="s">
        <v>5746</v>
      </c>
      <c r="B3645" s="129" t="str">
        <f>IFERROR(VLOOKUP(Proc[[#This Row],[App]],Table2[],3,0),"open")</f>
        <v>open</v>
      </c>
      <c r="C3645" s="135" t="s">
        <v>370</v>
      </c>
      <c r="D3645" t="s">
        <v>5760</v>
      </c>
      <c r="E3645" t="s">
        <v>5272</v>
      </c>
      <c r="F3645" s="129"/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0</v>
      </c>
      <c r="K3645" s="129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on track</v>
      </c>
      <c r="Q3645" s="3">
        <f ca="1">IF(Proc[[#This Row],[DateClosed]]="",ABS(NETWORKDAYS(Proc[[#This Row],[DateOpened]],TODAY()))-1,ABS(NETWORKDAYS(Proc[[#This Row],[DateOpened]],Proc[[#This Row],[DateClosed]]))-1)</f>
        <v>1</v>
      </c>
      <c r="R3645" s="130" t="s">
        <v>489</v>
      </c>
      <c r="S3645" s="129"/>
    </row>
    <row r="3646" spans="1:19">
      <c r="A3646" s="135" t="s">
        <v>5746</v>
      </c>
      <c r="B3646" s="129" t="str">
        <f>IFERROR(VLOOKUP(Proc[[#This Row],[App]],Table2[],3,0),"open")</f>
        <v>open</v>
      </c>
      <c r="C3646" s="135" t="s">
        <v>375</v>
      </c>
      <c r="D3646" t="s">
        <v>5761</v>
      </c>
      <c r="E3646" t="s">
        <v>5272</v>
      </c>
      <c r="F3646" s="129"/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0</v>
      </c>
      <c r="K3646" s="129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on track</v>
      </c>
      <c r="Q3646" s="3">
        <f ca="1">IF(Proc[[#This Row],[DateClosed]]="",ABS(NETWORKDAYS(Proc[[#This Row],[DateOpened]],TODAY()))-1,ABS(NETWORKDAYS(Proc[[#This Row],[DateOpened]],Proc[[#This Row],[DateClosed]]))-1)</f>
        <v>1</v>
      </c>
      <c r="R3646" s="130" t="s">
        <v>489</v>
      </c>
      <c r="S3646" s="129"/>
    </row>
    <row r="3647" spans="1:19">
      <c r="A3647" s="135" t="s">
        <v>5746</v>
      </c>
      <c r="B3647" s="129" t="str">
        <f>IFERROR(VLOOKUP(Proc[[#This Row],[App]],Table2[],3,0),"open")</f>
        <v>open</v>
      </c>
      <c r="C3647" s="135" t="s">
        <v>370</v>
      </c>
      <c r="D3647" t="s">
        <v>5762</v>
      </c>
      <c r="E3647" t="s">
        <v>5272</v>
      </c>
      <c r="F3647" s="129"/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0</v>
      </c>
      <c r="K3647" s="129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on track</v>
      </c>
      <c r="Q3647" s="3">
        <f ca="1">IF(Proc[[#This Row],[DateClosed]]="",ABS(NETWORKDAYS(Proc[[#This Row],[DateOpened]],TODAY()))-1,ABS(NETWORKDAYS(Proc[[#This Row],[DateOpened]],Proc[[#This Row],[DateClosed]]))-1)</f>
        <v>1</v>
      </c>
      <c r="R3647" s="130" t="s">
        <v>489</v>
      </c>
      <c r="S3647" s="129"/>
    </row>
    <row r="3648" spans="1:19">
      <c r="A3648" s="135" t="s">
        <v>5746</v>
      </c>
      <c r="B3648" s="129" t="str">
        <f>IFERROR(VLOOKUP(Proc[[#This Row],[App]],Table2[],3,0),"open")</f>
        <v>open</v>
      </c>
      <c r="C3648" s="135" t="s">
        <v>375</v>
      </c>
      <c r="D3648" t="s">
        <v>5763</v>
      </c>
      <c r="E3648" t="s">
        <v>5272</v>
      </c>
      <c r="F3648" s="129"/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0</v>
      </c>
      <c r="K3648" s="129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on track</v>
      </c>
      <c r="Q3648" s="3">
        <f ca="1">IF(Proc[[#This Row],[DateClosed]]="",ABS(NETWORKDAYS(Proc[[#This Row],[DateOpened]],TODAY()))-1,ABS(NETWORKDAYS(Proc[[#This Row],[DateOpened]],Proc[[#This Row],[DateClosed]]))-1)</f>
        <v>1</v>
      </c>
      <c r="R3648" s="130" t="s">
        <v>489</v>
      </c>
      <c r="S3648" s="129"/>
    </row>
    <row r="3649" spans="1:19">
      <c r="A3649" s="135" t="s">
        <v>5746</v>
      </c>
      <c r="B3649" s="129" t="str">
        <f>IFERROR(VLOOKUP(Proc[[#This Row],[App]],Table2[],3,0),"open")</f>
        <v>open</v>
      </c>
      <c r="C3649" s="135" t="s">
        <v>370</v>
      </c>
      <c r="D3649" t="s">
        <v>5764</v>
      </c>
      <c r="E3649" t="s">
        <v>5272</v>
      </c>
      <c r="F3649" s="129"/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0</v>
      </c>
      <c r="K3649" s="129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on track</v>
      </c>
      <c r="Q3649" s="3">
        <f ca="1">IF(Proc[[#This Row],[DateClosed]]="",ABS(NETWORKDAYS(Proc[[#This Row],[DateOpened]],TODAY()))-1,ABS(NETWORKDAYS(Proc[[#This Row],[DateOpened]],Proc[[#This Row],[DateClosed]]))-1)</f>
        <v>1</v>
      </c>
      <c r="R3649" s="130" t="s">
        <v>489</v>
      </c>
      <c r="S3649" s="129"/>
    </row>
    <row r="3650" spans="1:19">
      <c r="A3650" t="s">
        <v>5778</v>
      </c>
      <c r="B3650" s="129" t="str">
        <f>IFERROR(VLOOKUP(Proc[[#This Row],[App]],Table2[],3,0),"open")</f>
        <v>open</v>
      </c>
      <c r="C3650" s="135" t="s">
        <v>692</v>
      </c>
      <c r="D3650" t="s">
        <v>5765</v>
      </c>
      <c r="E3650" t="s">
        <v>5776</v>
      </c>
      <c r="F3650" s="129"/>
      <c r="G3650" s="135" t="s">
        <v>406</v>
      </c>
      <c r="H3650" s="129" t="str">
        <f>IF(Proc[[#This Row],[type]]="LFF (MDG-F)",MID(Proc[[#This Row],[Obj]],13,10),"")</f>
        <v>DE10TM4000</v>
      </c>
      <c r="I3650" t="s">
        <v>5779</v>
      </c>
      <c r="J3650" s="129" t="b">
        <f>Proc[[#This Row],[Requested]]=Proc[[#This Row],[CurrentParent]]</f>
        <v>0</v>
      </c>
      <c r="K3650" s="129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on track</v>
      </c>
      <c r="Q3650" s="3">
        <f ca="1">IF(Proc[[#This Row],[DateClosed]]="",ABS(NETWORKDAYS(Proc[[#This Row],[DateOpened]],TODAY()))-1,ABS(NETWORKDAYS(Proc[[#This Row],[DateOpened]],Proc[[#This Row],[DateClosed]]))-1)</f>
        <v>1</v>
      </c>
      <c r="R3650" s="130" t="s">
        <v>746</v>
      </c>
      <c r="S3650" s="129"/>
    </row>
    <row r="3651" spans="1:19">
      <c r="A3651" s="135" t="s">
        <v>5778</v>
      </c>
      <c r="B3651" s="129" t="str">
        <f>IFERROR(VLOOKUP(Proc[[#This Row],[App]],Table2[],3,0),"open")</f>
        <v>open</v>
      </c>
      <c r="C3651" s="135" t="s">
        <v>375</v>
      </c>
      <c r="D3651" t="s">
        <v>5766</v>
      </c>
      <c r="E3651" t="s">
        <v>5776</v>
      </c>
      <c r="F3651" s="129"/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0</v>
      </c>
      <c r="K3651" s="129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on track</v>
      </c>
      <c r="Q3651" s="3">
        <f ca="1">IF(Proc[[#This Row],[DateClosed]]="",ABS(NETWORKDAYS(Proc[[#This Row],[DateOpened]],TODAY()))-1,ABS(NETWORKDAYS(Proc[[#This Row],[DateOpened]],Proc[[#This Row],[DateClosed]]))-1)</f>
        <v>1</v>
      </c>
      <c r="R3651" s="130" t="s">
        <v>746</v>
      </c>
      <c r="S3651" s="129"/>
    </row>
    <row r="3652" spans="1:19">
      <c r="A3652" s="135" t="s">
        <v>5778</v>
      </c>
      <c r="B3652" s="129" t="str">
        <f>IFERROR(VLOOKUP(Proc[[#This Row],[App]],Table2[],3,0),"open")</f>
        <v>open</v>
      </c>
      <c r="C3652" s="135" t="s">
        <v>375</v>
      </c>
      <c r="D3652" t="s">
        <v>5767</v>
      </c>
      <c r="E3652" t="s">
        <v>5776</v>
      </c>
      <c r="F3652" s="129"/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0</v>
      </c>
      <c r="K3652" s="129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on track</v>
      </c>
      <c r="Q3652" s="3">
        <f ca="1">IF(Proc[[#This Row],[DateClosed]]="",ABS(NETWORKDAYS(Proc[[#This Row],[DateOpened]],TODAY()))-1,ABS(NETWORKDAYS(Proc[[#This Row],[DateOpened]],Proc[[#This Row],[DateClosed]]))-1)</f>
        <v>1</v>
      </c>
      <c r="R3652" s="130" t="s">
        <v>746</v>
      </c>
      <c r="S3652" s="129"/>
    </row>
    <row r="3653" spans="1:19">
      <c r="A3653" s="135" t="s">
        <v>5778</v>
      </c>
      <c r="B3653" s="129" t="str">
        <f>IFERROR(VLOOKUP(Proc[[#This Row],[App]],Table2[],3,0),"open")</f>
        <v>open</v>
      </c>
      <c r="C3653" s="135" t="s">
        <v>375</v>
      </c>
      <c r="D3653" t="s">
        <v>5768</v>
      </c>
      <c r="E3653" t="s">
        <v>5776</v>
      </c>
      <c r="F3653" s="129"/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0</v>
      </c>
      <c r="K3653" s="129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on track</v>
      </c>
      <c r="Q3653" s="3">
        <f ca="1">IF(Proc[[#This Row],[DateClosed]]="",ABS(NETWORKDAYS(Proc[[#This Row],[DateOpened]],TODAY()))-1,ABS(NETWORKDAYS(Proc[[#This Row],[DateOpened]],Proc[[#This Row],[DateClosed]]))-1)</f>
        <v>1</v>
      </c>
      <c r="R3653" s="130" t="s">
        <v>746</v>
      </c>
      <c r="S3653" s="129"/>
    </row>
    <row r="3654" spans="1:19">
      <c r="A3654" s="135" t="s">
        <v>5778</v>
      </c>
      <c r="B3654" s="129" t="str">
        <f>IFERROR(VLOOKUP(Proc[[#This Row],[App]],Table2[],3,0),"open")</f>
        <v>open</v>
      </c>
      <c r="C3654" s="135" t="s">
        <v>375</v>
      </c>
      <c r="D3654" t="s">
        <v>5769</v>
      </c>
      <c r="E3654" t="s">
        <v>5776</v>
      </c>
      <c r="F3654" s="129"/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0</v>
      </c>
      <c r="K3654" s="129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on track</v>
      </c>
      <c r="Q3654" s="3">
        <f ca="1">IF(Proc[[#This Row],[DateClosed]]="",ABS(NETWORKDAYS(Proc[[#This Row],[DateOpened]],TODAY()))-1,ABS(NETWORKDAYS(Proc[[#This Row],[DateOpened]],Proc[[#This Row],[DateClosed]]))-1)</f>
        <v>1</v>
      </c>
      <c r="R3654" s="130" t="s">
        <v>746</v>
      </c>
      <c r="S3654" s="129"/>
    </row>
    <row r="3655" spans="1:19">
      <c r="A3655" s="135" t="s">
        <v>5778</v>
      </c>
      <c r="B3655" s="129" t="str">
        <f>IFERROR(VLOOKUP(Proc[[#This Row],[App]],Table2[],3,0),"open")</f>
        <v>open</v>
      </c>
      <c r="C3655" s="135" t="s">
        <v>375</v>
      </c>
      <c r="D3655" t="s">
        <v>5770</v>
      </c>
      <c r="E3655" t="s">
        <v>5776</v>
      </c>
      <c r="F3655" s="129"/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0</v>
      </c>
      <c r="K3655" s="129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on track</v>
      </c>
      <c r="Q3655" s="3">
        <f ca="1">IF(Proc[[#This Row],[DateClosed]]="",ABS(NETWORKDAYS(Proc[[#This Row],[DateOpened]],TODAY()))-1,ABS(NETWORKDAYS(Proc[[#This Row],[DateOpened]],Proc[[#This Row],[DateClosed]]))-1)</f>
        <v>1</v>
      </c>
      <c r="R3655" s="130" t="s">
        <v>746</v>
      </c>
      <c r="S3655" s="129"/>
    </row>
    <row r="3656" spans="1:19">
      <c r="A3656" s="135" t="s">
        <v>5778</v>
      </c>
      <c r="B3656" s="129" t="str">
        <f>IFERROR(VLOOKUP(Proc[[#This Row],[App]],Table2[],3,0),"open")</f>
        <v>open</v>
      </c>
      <c r="C3656" s="135" t="s">
        <v>375</v>
      </c>
      <c r="D3656" t="s">
        <v>5771</v>
      </c>
      <c r="E3656" t="s">
        <v>5776</v>
      </c>
      <c r="F3656" s="129"/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0</v>
      </c>
      <c r="K3656" s="129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on track</v>
      </c>
      <c r="Q3656" s="3">
        <f ca="1">IF(Proc[[#This Row],[DateClosed]]="",ABS(NETWORKDAYS(Proc[[#This Row],[DateOpened]],TODAY()))-1,ABS(NETWORKDAYS(Proc[[#This Row],[DateOpened]],Proc[[#This Row],[DateClosed]]))-1)</f>
        <v>1</v>
      </c>
      <c r="R3656" s="130" t="s">
        <v>746</v>
      </c>
      <c r="S3656" s="129"/>
    </row>
    <row r="3657" spans="1:19">
      <c r="A3657" s="135" t="s">
        <v>5778</v>
      </c>
      <c r="B3657" s="129" t="str">
        <f>IFERROR(VLOOKUP(Proc[[#This Row],[App]],Table2[],3,0),"open")</f>
        <v>open</v>
      </c>
      <c r="C3657" s="135" t="s">
        <v>375</v>
      </c>
      <c r="D3657" t="s">
        <v>5772</v>
      </c>
      <c r="E3657" t="s">
        <v>5776</v>
      </c>
      <c r="F3657" s="129"/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0</v>
      </c>
      <c r="K3657" s="129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on track</v>
      </c>
      <c r="Q3657" s="3">
        <f ca="1">IF(Proc[[#This Row],[DateClosed]]="",ABS(NETWORKDAYS(Proc[[#This Row],[DateOpened]],TODAY()))-1,ABS(NETWORKDAYS(Proc[[#This Row],[DateOpened]],Proc[[#This Row],[DateClosed]]))-1)</f>
        <v>1</v>
      </c>
      <c r="R3657" s="130" t="s">
        <v>746</v>
      </c>
      <c r="S3657" s="129"/>
    </row>
    <row r="3658" spans="1:19">
      <c r="A3658" s="135" t="s">
        <v>5778</v>
      </c>
      <c r="B3658" s="129" t="str">
        <f>IFERROR(VLOOKUP(Proc[[#This Row],[App]],Table2[],3,0),"open")</f>
        <v>open</v>
      </c>
      <c r="C3658" s="135" t="s">
        <v>375</v>
      </c>
      <c r="D3658" t="s">
        <v>5773</v>
      </c>
      <c r="E3658" t="s">
        <v>5777</v>
      </c>
      <c r="F3658" s="129"/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0</v>
      </c>
      <c r="K3658" s="129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on track</v>
      </c>
      <c r="Q3658" s="3">
        <f ca="1">IF(Proc[[#This Row],[DateClosed]]="",ABS(NETWORKDAYS(Proc[[#This Row],[DateOpened]],TODAY()))-1,ABS(NETWORKDAYS(Proc[[#This Row],[DateOpened]],Proc[[#This Row],[DateClosed]]))-1)</f>
        <v>1</v>
      </c>
      <c r="R3658" s="130" t="s">
        <v>746</v>
      </c>
      <c r="S3658" s="129"/>
    </row>
    <row r="3659" spans="1:19">
      <c r="A3659" s="135" t="s">
        <v>5778</v>
      </c>
      <c r="B3659" s="129" t="str">
        <f>IFERROR(VLOOKUP(Proc[[#This Row],[App]],Table2[],3,0),"open")</f>
        <v>open</v>
      </c>
      <c r="C3659" s="135" t="s">
        <v>375</v>
      </c>
      <c r="D3659" t="s">
        <v>5774</v>
      </c>
      <c r="E3659" t="s">
        <v>5777</v>
      </c>
      <c r="F3659" s="129"/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0</v>
      </c>
      <c r="K3659" s="129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on track</v>
      </c>
      <c r="Q3659" s="3">
        <f ca="1">IF(Proc[[#This Row],[DateClosed]]="",ABS(NETWORKDAYS(Proc[[#This Row],[DateOpened]],TODAY()))-1,ABS(NETWORKDAYS(Proc[[#This Row],[DateOpened]],Proc[[#This Row],[DateClosed]]))-1)</f>
        <v>1</v>
      </c>
      <c r="R3659" s="130" t="s">
        <v>746</v>
      </c>
      <c r="S3659" s="129"/>
    </row>
    <row r="3660" spans="1:19">
      <c r="A3660" s="135" t="s">
        <v>5778</v>
      </c>
      <c r="B3660" s="129" t="str">
        <f>IFERROR(VLOOKUP(Proc[[#This Row],[App]],Table2[],3,0),"open")</f>
        <v>open</v>
      </c>
      <c r="C3660" s="135" t="s">
        <v>375</v>
      </c>
      <c r="D3660" t="s">
        <v>5775</v>
      </c>
      <c r="E3660" t="s">
        <v>5777</v>
      </c>
      <c r="F3660" s="129"/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0</v>
      </c>
      <c r="K3660" s="129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on track</v>
      </c>
      <c r="Q3660" s="3">
        <f ca="1">IF(Proc[[#This Row],[DateClosed]]="",ABS(NETWORKDAYS(Proc[[#This Row],[DateOpened]],TODAY()))-1,ABS(NETWORKDAYS(Proc[[#This Row],[DateOpened]],Proc[[#This Row],[DateClosed]]))-1)</f>
        <v>1</v>
      </c>
      <c r="R3660" s="130" t="s">
        <v>746</v>
      </c>
      <c r="S3660" s="129"/>
    </row>
    <row r="3661" spans="1:19">
      <c r="A3661" t="s">
        <v>5780</v>
      </c>
      <c r="B3661" s="129" t="str">
        <f>IFERROR(VLOOKUP(Proc[[#This Row],[App]],Table2[],3,0),"open")</f>
        <v>open</v>
      </c>
      <c r="C3661" t="s">
        <v>404</v>
      </c>
      <c r="D3661" t="s">
        <v>5781</v>
      </c>
      <c r="E3661" t="s">
        <v>5553</v>
      </c>
      <c r="F3661" s="129"/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0</v>
      </c>
      <c r="K3661" s="129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on track</v>
      </c>
      <c r="Q3661" s="3">
        <f ca="1">IF(Proc[[#This Row],[DateClosed]]="",ABS(NETWORKDAYS(Proc[[#This Row],[DateOpened]],TODAY()))-1,ABS(NETWORKDAYS(Proc[[#This Row],[DateOpened]],Proc[[#This Row],[DateClosed]]))-1)</f>
        <v>0</v>
      </c>
      <c r="R3661" s="130" t="s">
        <v>489</v>
      </c>
      <c r="S3661" s="129"/>
    </row>
    <row r="3662" spans="1:19">
      <c r="A3662" s="135" t="s">
        <v>5780</v>
      </c>
      <c r="B3662" s="129" t="str">
        <f>IFERROR(VLOOKUP(Proc[[#This Row],[App]],Table2[],3,0),"open")</f>
        <v>open</v>
      </c>
      <c r="C3662" s="135" t="s">
        <v>404</v>
      </c>
      <c r="D3662" t="s">
        <v>5782</v>
      </c>
      <c r="E3662" t="s">
        <v>5808</v>
      </c>
      <c r="F3662" s="129"/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0</v>
      </c>
      <c r="K3662" s="129" t="e">
        <f>IF(Proc[[#This Row],[Author]]="Marcela Urrego",VLOOKUP(LEFT(Proc[[#This Row],[Requested]],1),Table3[#All],2,0),VLOOKUP(Proc[[#This Row],[Author]],Table4[],2,0))</f>
        <v>#N/A</v>
      </c>
      <c r="L3662" s="129"/>
      <c r="M3662" s="131"/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32780</v>
      </c>
      <c r="R3662" s="130"/>
      <c r="S3662" s="129"/>
    </row>
    <row r="3663" spans="1:19">
      <c r="A3663" s="135" t="s">
        <v>5780</v>
      </c>
      <c r="B3663" s="129" t="str">
        <f>IFERROR(VLOOKUP(Proc[[#This Row],[App]],Table2[],3,0),"open")</f>
        <v>open</v>
      </c>
      <c r="C3663" s="135" t="s">
        <v>404</v>
      </c>
      <c r="D3663" t="s">
        <v>5783</v>
      </c>
      <c r="E3663" t="s">
        <v>5809</v>
      </c>
      <c r="F3663" s="129"/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0</v>
      </c>
      <c r="K3663" s="129" t="e">
        <f>IF(Proc[[#This Row],[Author]]="Marcela Urrego",VLOOKUP(LEFT(Proc[[#This Row],[Requested]],1),Table3[#All],2,0),VLOOKUP(Proc[[#This Row],[Author]],Table4[],2,0))</f>
        <v>#N/A</v>
      </c>
      <c r="L3663" s="129"/>
      <c r="M3663" s="131"/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32780</v>
      </c>
      <c r="R3663" s="130"/>
      <c r="S3663" s="129"/>
    </row>
    <row r="3664" spans="1:19">
      <c r="A3664" s="135" t="s">
        <v>5780</v>
      </c>
      <c r="B3664" s="129" t="str">
        <f>IFERROR(VLOOKUP(Proc[[#This Row],[App]],Table2[],3,0),"open")</f>
        <v>open</v>
      </c>
      <c r="C3664" s="135" t="s">
        <v>404</v>
      </c>
      <c r="D3664" t="s">
        <v>5784</v>
      </c>
      <c r="E3664" t="s">
        <v>5809</v>
      </c>
      <c r="F3664" s="129"/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0</v>
      </c>
      <c r="K3664" s="129" t="e">
        <f>IF(Proc[[#This Row],[Author]]="Marcela Urrego",VLOOKUP(LEFT(Proc[[#This Row],[Requested]],1),Table3[#All],2,0),VLOOKUP(Proc[[#This Row],[Author]],Table4[],2,0))</f>
        <v>#N/A</v>
      </c>
      <c r="L3664" s="129"/>
      <c r="M3664" s="131"/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32780</v>
      </c>
      <c r="R3664" s="130"/>
      <c r="S3664" s="129"/>
    </row>
    <row r="3665" spans="1:19">
      <c r="A3665" s="135" t="s">
        <v>5780</v>
      </c>
      <c r="B3665" s="129" t="str">
        <f>IFERROR(VLOOKUP(Proc[[#This Row],[App]],Table2[],3,0),"open")</f>
        <v>open</v>
      </c>
      <c r="C3665" s="135" t="s">
        <v>404</v>
      </c>
      <c r="D3665" t="s">
        <v>5785</v>
      </c>
      <c r="E3665" t="s">
        <v>5809</v>
      </c>
      <c r="F3665" s="129"/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0</v>
      </c>
      <c r="K3665" s="129" t="e">
        <f>IF(Proc[[#This Row],[Author]]="Marcela Urrego",VLOOKUP(LEFT(Proc[[#This Row],[Requested]],1),Table3[#All],2,0),VLOOKUP(Proc[[#This Row],[Author]],Table4[],2,0))</f>
        <v>#N/A</v>
      </c>
      <c r="L3665" s="129"/>
      <c r="M3665" s="131"/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32780</v>
      </c>
      <c r="R3665" s="130"/>
      <c r="S3665" s="129"/>
    </row>
    <row r="3666" spans="1:19">
      <c r="A3666" s="135" t="s">
        <v>5780</v>
      </c>
      <c r="B3666" s="129" t="str">
        <f>IFERROR(VLOOKUP(Proc[[#This Row],[App]],Table2[],3,0),"open")</f>
        <v>open</v>
      </c>
      <c r="C3666" s="135" t="s">
        <v>404</v>
      </c>
      <c r="D3666" t="s">
        <v>5786</v>
      </c>
      <c r="E3666" t="s">
        <v>5810</v>
      </c>
      <c r="F3666" s="129"/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0</v>
      </c>
      <c r="K3666" s="129" t="e">
        <f>IF(Proc[[#This Row],[Author]]="Marcela Urrego",VLOOKUP(LEFT(Proc[[#This Row],[Requested]],1),Table3[#All],2,0),VLOOKUP(Proc[[#This Row],[Author]],Table4[],2,0))</f>
        <v>#N/A</v>
      </c>
      <c r="L3666" s="129"/>
      <c r="M3666" s="131"/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32780</v>
      </c>
      <c r="R3666" s="130"/>
      <c r="S3666" s="129"/>
    </row>
    <row r="3667" spans="1:19">
      <c r="A3667" s="135" t="s">
        <v>5780</v>
      </c>
      <c r="B3667" s="129" t="str">
        <f>IFERROR(VLOOKUP(Proc[[#This Row],[App]],Table2[],3,0),"open")</f>
        <v>open</v>
      </c>
      <c r="C3667" s="135" t="s">
        <v>404</v>
      </c>
      <c r="D3667" t="s">
        <v>5787</v>
      </c>
      <c r="E3667" t="s">
        <v>5810</v>
      </c>
      <c r="F3667" s="129"/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0</v>
      </c>
      <c r="K3667" s="129" t="e">
        <f>IF(Proc[[#This Row],[Author]]="Marcela Urrego",VLOOKUP(LEFT(Proc[[#This Row],[Requested]],1),Table3[#All],2,0),VLOOKUP(Proc[[#This Row],[Author]],Table4[],2,0))</f>
        <v>#N/A</v>
      </c>
      <c r="L3667" s="129"/>
      <c r="M3667" s="131"/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32780</v>
      </c>
      <c r="R3667" s="130"/>
      <c r="S3667" s="129"/>
    </row>
    <row r="3668" spans="1:19">
      <c r="A3668" s="135" t="s">
        <v>5780</v>
      </c>
      <c r="B3668" s="129" t="str">
        <f>IFERROR(VLOOKUP(Proc[[#This Row],[App]],Table2[],3,0),"open")</f>
        <v>open</v>
      </c>
      <c r="C3668" s="135" t="s">
        <v>404</v>
      </c>
      <c r="D3668" t="s">
        <v>5788</v>
      </c>
      <c r="E3668" t="s">
        <v>5811</v>
      </c>
      <c r="F3668" s="129"/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0</v>
      </c>
      <c r="K3668" s="129" t="e">
        <f>IF(Proc[[#This Row],[Author]]="Marcela Urrego",VLOOKUP(LEFT(Proc[[#This Row],[Requested]],1),Table3[#All],2,0),VLOOKUP(Proc[[#This Row],[Author]],Table4[],2,0))</f>
        <v>#N/A</v>
      </c>
      <c r="L3668" s="129"/>
      <c r="M3668" s="131"/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32780</v>
      </c>
      <c r="R3668" s="130"/>
      <c r="S3668" s="129"/>
    </row>
    <row r="3669" spans="1:19">
      <c r="A3669" s="135" t="s">
        <v>5780</v>
      </c>
      <c r="B3669" s="129" t="str">
        <f>IFERROR(VLOOKUP(Proc[[#This Row],[App]],Table2[],3,0),"open")</f>
        <v>open</v>
      </c>
      <c r="C3669" s="135" t="s">
        <v>404</v>
      </c>
      <c r="D3669" t="s">
        <v>5789</v>
      </c>
      <c r="E3669" t="s">
        <v>5811</v>
      </c>
      <c r="F3669" s="129"/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0</v>
      </c>
      <c r="K3669" s="129" t="e">
        <f>IF(Proc[[#This Row],[Author]]="Marcela Urrego",VLOOKUP(LEFT(Proc[[#This Row],[Requested]],1),Table3[#All],2,0),VLOOKUP(Proc[[#This Row],[Author]],Table4[],2,0))</f>
        <v>#N/A</v>
      </c>
      <c r="L3669" s="129"/>
      <c r="M3669" s="131"/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32780</v>
      </c>
      <c r="R3669" s="130"/>
      <c r="S3669" s="129"/>
    </row>
    <row r="3670" spans="1:19">
      <c r="A3670" s="135" t="s">
        <v>5780</v>
      </c>
      <c r="B3670" s="129" t="str">
        <f>IFERROR(VLOOKUP(Proc[[#This Row],[App]],Table2[],3,0),"open")</f>
        <v>open</v>
      </c>
      <c r="C3670" s="135" t="s">
        <v>404</v>
      </c>
      <c r="D3670" t="s">
        <v>5790</v>
      </c>
      <c r="E3670" t="s">
        <v>5812</v>
      </c>
      <c r="F3670" s="129"/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0</v>
      </c>
      <c r="K3670" s="129" t="e">
        <f>IF(Proc[[#This Row],[Author]]="Marcela Urrego",VLOOKUP(LEFT(Proc[[#This Row],[Requested]],1),Table3[#All],2,0),VLOOKUP(Proc[[#This Row],[Author]],Table4[],2,0))</f>
        <v>#N/A</v>
      </c>
      <c r="L3670" s="129"/>
      <c r="M3670" s="131"/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32780</v>
      </c>
      <c r="R3670" s="130"/>
      <c r="S3670" s="129"/>
    </row>
    <row r="3671" spans="1:19">
      <c r="A3671" s="135" t="s">
        <v>5780</v>
      </c>
      <c r="B3671" s="129" t="str">
        <f>IFERROR(VLOOKUP(Proc[[#This Row],[App]],Table2[],3,0),"open")</f>
        <v>open</v>
      </c>
      <c r="C3671" s="135" t="s">
        <v>404</v>
      </c>
      <c r="D3671" t="s">
        <v>5791</v>
      </c>
      <c r="E3671" t="s">
        <v>5813</v>
      </c>
      <c r="F3671" s="129"/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0</v>
      </c>
      <c r="K3671" s="129" t="e">
        <f>IF(Proc[[#This Row],[Author]]="Marcela Urrego",VLOOKUP(LEFT(Proc[[#This Row],[Requested]],1),Table3[#All],2,0),VLOOKUP(Proc[[#This Row],[Author]],Table4[],2,0))</f>
        <v>#N/A</v>
      </c>
      <c r="L3671" s="129"/>
      <c r="M3671" s="131"/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32780</v>
      </c>
      <c r="R3671" s="130"/>
      <c r="S3671" s="129"/>
    </row>
    <row r="3672" spans="1:19">
      <c r="A3672" s="135" t="s">
        <v>5780</v>
      </c>
      <c r="B3672" s="129" t="str">
        <f>IFERROR(VLOOKUP(Proc[[#This Row],[App]],Table2[],3,0),"open")</f>
        <v>open</v>
      </c>
      <c r="C3672" s="135" t="s">
        <v>404</v>
      </c>
      <c r="D3672" t="s">
        <v>5792</v>
      </c>
      <c r="E3672" t="s">
        <v>4386</v>
      </c>
      <c r="F3672" s="129"/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0</v>
      </c>
      <c r="K3672" s="129" t="e">
        <f>IF(Proc[[#This Row],[Author]]="Marcela Urrego",VLOOKUP(LEFT(Proc[[#This Row],[Requested]],1),Table3[#All],2,0),VLOOKUP(Proc[[#This Row],[Author]],Table4[],2,0))</f>
        <v>#N/A</v>
      </c>
      <c r="L3672" s="129"/>
      <c r="M3672" s="131"/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32780</v>
      </c>
      <c r="R3672" s="130"/>
      <c r="S3672" s="129"/>
    </row>
    <row r="3673" spans="1:19">
      <c r="A3673" s="135" t="s">
        <v>5780</v>
      </c>
      <c r="B3673" s="129" t="str">
        <f>IFERROR(VLOOKUP(Proc[[#This Row],[App]],Table2[],3,0),"open")</f>
        <v>open</v>
      </c>
      <c r="C3673" s="135" t="s">
        <v>404</v>
      </c>
      <c r="D3673" t="s">
        <v>3091</v>
      </c>
      <c r="E3673" t="s">
        <v>5814</v>
      </c>
      <c r="F3673" s="129"/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0</v>
      </c>
      <c r="K3673" s="129" t="e">
        <f>IF(Proc[[#This Row],[Author]]="Marcela Urrego",VLOOKUP(LEFT(Proc[[#This Row],[Requested]],1),Table3[#All],2,0),VLOOKUP(Proc[[#This Row],[Author]],Table4[],2,0))</f>
        <v>#N/A</v>
      </c>
      <c r="L3673" s="129"/>
      <c r="M3673" s="131"/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32780</v>
      </c>
      <c r="R3673" s="130"/>
      <c r="S3673" s="129"/>
    </row>
    <row r="3674" spans="1:19">
      <c r="A3674" s="135" t="s">
        <v>5780</v>
      </c>
      <c r="B3674" s="129" t="str">
        <f>IFERROR(VLOOKUP(Proc[[#This Row],[App]],Table2[],3,0),"open")</f>
        <v>open</v>
      </c>
      <c r="C3674" s="135" t="s">
        <v>404</v>
      </c>
      <c r="D3674" t="s">
        <v>5793</v>
      </c>
      <c r="E3674" t="s">
        <v>5815</v>
      </c>
      <c r="F3674" s="129"/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0</v>
      </c>
      <c r="K3674" s="129" t="e">
        <f>IF(Proc[[#This Row],[Author]]="Marcela Urrego",VLOOKUP(LEFT(Proc[[#This Row],[Requested]],1),Table3[#All],2,0),VLOOKUP(Proc[[#This Row],[Author]],Table4[],2,0))</f>
        <v>#N/A</v>
      </c>
      <c r="L3674" s="129"/>
      <c r="M3674" s="131"/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32780</v>
      </c>
      <c r="R3674" s="130"/>
      <c r="S3674" s="129"/>
    </row>
    <row r="3675" spans="1:19">
      <c r="A3675" s="135" t="s">
        <v>5780</v>
      </c>
      <c r="B3675" s="129" t="str">
        <f>IFERROR(VLOOKUP(Proc[[#This Row],[App]],Table2[],3,0),"open")</f>
        <v>open</v>
      </c>
      <c r="C3675" s="135" t="s">
        <v>404</v>
      </c>
      <c r="D3675" t="s">
        <v>5794</v>
      </c>
      <c r="E3675" t="s">
        <v>3545</v>
      </c>
      <c r="F3675" s="129"/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0</v>
      </c>
      <c r="K3675" s="129" t="e">
        <f>IF(Proc[[#This Row],[Author]]="Marcela Urrego",VLOOKUP(LEFT(Proc[[#This Row],[Requested]],1),Table3[#All],2,0),VLOOKUP(Proc[[#This Row],[Author]],Table4[],2,0))</f>
        <v>#N/A</v>
      </c>
      <c r="L3675" s="129"/>
      <c r="M3675" s="131"/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32780</v>
      </c>
      <c r="R3675" s="130"/>
      <c r="S3675" s="129"/>
    </row>
    <row r="3676" spans="1:19">
      <c r="A3676" s="135" t="s">
        <v>5780</v>
      </c>
      <c r="B3676" s="129" t="str">
        <f>IFERROR(VLOOKUP(Proc[[#This Row],[App]],Table2[],3,0),"open")</f>
        <v>open</v>
      </c>
      <c r="C3676" s="135" t="s">
        <v>404</v>
      </c>
      <c r="D3676" t="s">
        <v>5795</v>
      </c>
      <c r="E3676" t="s">
        <v>3545</v>
      </c>
      <c r="F3676" s="129"/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0</v>
      </c>
      <c r="K3676" s="129" t="e">
        <f>IF(Proc[[#This Row],[Author]]="Marcela Urrego",VLOOKUP(LEFT(Proc[[#This Row],[Requested]],1),Table3[#All],2,0),VLOOKUP(Proc[[#This Row],[Author]],Table4[],2,0))</f>
        <v>#N/A</v>
      </c>
      <c r="L3676" s="129"/>
      <c r="M3676" s="131"/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32780</v>
      </c>
      <c r="R3676" s="130"/>
      <c r="S3676" s="129"/>
    </row>
    <row r="3677" spans="1:19">
      <c r="A3677" s="135" t="s">
        <v>5780</v>
      </c>
      <c r="B3677" s="129" t="str">
        <f>IFERROR(VLOOKUP(Proc[[#This Row],[App]],Table2[],3,0),"open")</f>
        <v>open</v>
      </c>
      <c r="C3677" s="135" t="s">
        <v>404</v>
      </c>
      <c r="D3677" t="s">
        <v>5796</v>
      </c>
      <c r="E3677" t="s">
        <v>3545</v>
      </c>
      <c r="F3677" s="129"/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0</v>
      </c>
      <c r="K3677" s="129" t="e">
        <f>IF(Proc[[#This Row],[Author]]="Marcela Urrego",VLOOKUP(LEFT(Proc[[#This Row],[Requested]],1),Table3[#All],2,0),VLOOKUP(Proc[[#This Row],[Author]],Table4[],2,0))</f>
        <v>#N/A</v>
      </c>
      <c r="L3677" s="129"/>
      <c r="M3677" s="131"/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32780</v>
      </c>
      <c r="R3677" s="130"/>
      <c r="S3677" s="129"/>
    </row>
    <row r="3678" spans="1:19">
      <c r="A3678" s="135" t="s">
        <v>5780</v>
      </c>
      <c r="B3678" s="129" t="str">
        <f>IFERROR(VLOOKUP(Proc[[#This Row],[App]],Table2[],3,0),"open")</f>
        <v>open</v>
      </c>
      <c r="C3678" s="135" t="s">
        <v>404</v>
      </c>
      <c r="D3678" t="s">
        <v>5797</v>
      </c>
      <c r="E3678" t="s">
        <v>5816</v>
      </c>
      <c r="F3678" s="129"/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0</v>
      </c>
      <c r="K3678" s="129" t="e">
        <f>IF(Proc[[#This Row],[Author]]="Marcela Urrego",VLOOKUP(LEFT(Proc[[#This Row],[Requested]],1),Table3[#All],2,0),VLOOKUP(Proc[[#This Row],[Author]],Table4[],2,0))</f>
        <v>#N/A</v>
      </c>
      <c r="L3678" s="129"/>
      <c r="M3678" s="131"/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32780</v>
      </c>
      <c r="R3678" s="130"/>
      <c r="S3678" s="129"/>
    </row>
    <row r="3679" spans="1:19">
      <c r="A3679" s="135" t="s">
        <v>5780</v>
      </c>
      <c r="B3679" s="129" t="str">
        <f>IFERROR(VLOOKUP(Proc[[#This Row],[App]],Table2[],3,0),"open")</f>
        <v>open</v>
      </c>
      <c r="C3679" s="135" t="s">
        <v>404</v>
      </c>
      <c r="D3679" t="s">
        <v>5798</v>
      </c>
      <c r="E3679" t="s">
        <v>5816</v>
      </c>
      <c r="F3679" s="129"/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0</v>
      </c>
      <c r="K3679" s="129" t="e">
        <f>IF(Proc[[#This Row],[Author]]="Marcela Urrego",VLOOKUP(LEFT(Proc[[#This Row],[Requested]],1),Table3[#All],2,0),VLOOKUP(Proc[[#This Row],[Author]],Table4[],2,0))</f>
        <v>#N/A</v>
      </c>
      <c r="L3679" s="129"/>
      <c r="M3679" s="131"/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32780</v>
      </c>
      <c r="R3679" s="130"/>
      <c r="S3679" s="129"/>
    </row>
    <row r="3680" spans="1:19">
      <c r="A3680" s="135" t="s">
        <v>5780</v>
      </c>
      <c r="B3680" s="129" t="str">
        <f>IFERROR(VLOOKUP(Proc[[#This Row],[App]],Table2[],3,0),"open")</f>
        <v>open</v>
      </c>
      <c r="C3680" s="135" t="s">
        <v>404</v>
      </c>
      <c r="D3680" t="s">
        <v>3481</v>
      </c>
      <c r="E3680" t="s">
        <v>3545</v>
      </c>
      <c r="F3680" s="129"/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0</v>
      </c>
      <c r="K3680" s="129" t="e">
        <f>IF(Proc[[#This Row],[Author]]="Marcela Urrego",VLOOKUP(LEFT(Proc[[#This Row],[Requested]],1),Table3[#All],2,0),VLOOKUP(Proc[[#This Row],[Author]],Table4[],2,0))</f>
        <v>#N/A</v>
      </c>
      <c r="L3680" s="129"/>
      <c r="M3680" s="131"/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32780</v>
      </c>
      <c r="R3680" s="130"/>
      <c r="S3680" s="129"/>
    </row>
    <row r="3681" spans="1:19">
      <c r="A3681" s="135" t="s">
        <v>5780</v>
      </c>
      <c r="B3681" s="129" t="str">
        <f>IFERROR(VLOOKUP(Proc[[#This Row],[App]],Table2[],3,0),"open")</f>
        <v>open</v>
      </c>
      <c r="C3681" s="135" t="s">
        <v>404</v>
      </c>
      <c r="D3681" t="s">
        <v>3490</v>
      </c>
      <c r="E3681" t="s">
        <v>3528</v>
      </c>
      <c r="F3681" s="129"/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0</v>
      </c>
      <c r="K3681" s="129" t="e">
        <f>IF(Proc[[#This Row],[Author]]="Marcela Urrego",VLOOKUP(LEFT(Proc[[#This Row],[Requested]],1),Table3[#All],2,0),VLOOKUP(Proc[[#This Row],[Author]],Table4[],2,0))</f>
        <v>#N/A</v>
      </c>
      <c r="L3681" s="129"/>
      <c r="M3681" s="131"/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32780</v>
      </c>
      <c r="R3681" s="130"/>
      <c r="S3681" s="129"/>
    </row>
    <row r="3682" spans="1:19">
      <c r="A3682" s="135" t="s">
        <v>5780</v>
      </c>
      <c r="B3682" s="129" t="str">
        <f>IFERROR(VLOOKUP(Proc[[#This Row],[App]],Table2[],3,0),"open")</f>
        <v>open</v>
      </c>
      <c r="C3682" s="135" t="s">
        <v>404</v>
      </c>
      <c r="D3682" t="s">
        <v>5799</v>
      </c>
      <c r="E3682" t="s">
        <v>3545</v>
      </c>
      <c r="F3682" s="129"/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0</v>
      </c>
      <c r="K3682" s="129" t="e">
        <f>IF(Proc[[#This Row],[Author]]="Marcela Urrego",VLOOKUP(LEFT(Proc[[#This Row],[Requested]],1),Table3[#All],2,0),VLOOKUP(Proc[[#This Row],[Author]],Table4[],2,0))</f>
        <v>#N/A</v>
      </c>
      <c r="L3682" s="129"/>
      <c r="M3682" s="131"/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32780</v>
      </c>
      <c r="R3682" s="130"/>
      <c r="S3682" s="129"/>
    </row>
    <row r="3683" spans="1:19">
      <c r="A3683" s="135" t="s">
        <v>5780</v>
      </c>
      <c r="B3683" s="129" t="str">
        <f>IFERROR(VLOOKUP(Proc[[#This Row],[App]],Table2[],3,0),"open")</f>
        <v>open</v>
      </c>
      <c r="C3683" s="135" t="s">
        <v>404</v>
      </c>
      <c r="D3683" t="s">
        <v>5800</v>
      </c>
      <c r="E3683" t="s">
        <v>3528</v>
      </c>
      <c r="F3683" s="129"/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0</v>
      </c>
      <c r="K3683" s="129" t="e">
        <f>IF(Proc[[#This Row],[Author]]="Marcela Urrego",VLOOKUP(LEFT(Proc[[#This Row],[Requested]],1),Table3[#All],2,0),VLOOKUP(Proc[[#This Row],[Author]],Table4[],2,0))</f>
        <v>#N/A</v>
      </c>
      <c r="L3683" s="129"/>
      <c r="M3683" s="131"/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32780</v>
      </c>
      <c r="R3683" s="130"/>
      <c r="S3683" s="129"/>
    </row>
    <row r="3684" spans="1:19">
      <c r="A3684" s="135" t="s">
        <v>5780</v>
      </c>
      <c r="B3684" s="129" t="str">
        <f>IFERROR(VLOOKUP(Proc[[#This Row],[App]],Table2[],3,0),"open")</f>
        <v>open</v>
      </c>
      <c r="C3684" s="135" t="s">
        <v>404</v>
      </c>
      <c r="D3684" t="s">
        <v>5801</v>
      </c>
      <c r="E3684" t="s">
        <v>3528</v>
      </c>
      <c r="F3684" s="129"/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0</v>
      </c>
      <c r="K3684" s="129" t="e">
        <f>IF(Proc[[#This Row],[Author]]="Marcela Urrego",VLOOKUP(LEFT(Proc[[#This Row],[Requested]],1),Table3[#All],2,0),VLOOKUP(Proc[[#This Row],[Author]],Table4[],2,0))</f>
        <v>#N/A</v>
      </c>
      <c r="L3684" s="129"/>
      <c r="M3684" s="131"/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32780</v>
      </c>
      <c r="R3684" s="130"/>
      <c r="S3684" s="129"/>
    </row>
    <row r="3685" spans="1:19">
      <c r="A3685" s="135" t="s">
        <v>5780</v>
      </c>
      <c r="B3685" s="129" t="str">
        <f>IFERROR(VLOOKUP(Proc[[#This Row],[App]],Table2[],3,0),"open")</f>
        <v>open</v>
      </c>
      <c r="C3685" s="135" t="s">
        <v>404</v>
      </c>
      <c r="D3685" t="s">
        <v>5802</v>
      </c>
      <c r="E3685" t="s">
        <v>5817</v>
      </c>
      <c r="F3685" s="129"/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0</v>
      </c>
      <c r="K3685" s="129" t="e">
        <f>IF(Proc[[#This Row],[Author]]="Marcela Urrego",VLOOKUP(LEFT(Proc[[#This Row],[Requested]],1),Table3[#All],2,0),VLOOKUP(Proc[[#This Row],[Author]],Table4[],2,0))</f>
        <v>#N/A</v>
      </c>
      <c r="L3685" s="129"/>
      <c r="M3685" s="131"/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32780</v>
      </c>
      <c r="R3685" s="130"/>
      <c r="S3685" s="129"/>
    </row>
    <row r="3686" spans="1:19">
      <c r="A3686" s="135" t="s">
        <v>5780</v>
      </c>
      <c r="B3686" s="129" t="str">
        <f>IFERROR(VLOOKUP(Proc[[#This Row],[App]],Table2[],3,0),"open")</f>
        <v>open</v>
      </c>
      <c r="C3686" s="135" t="s">
        <v>404</v>
      </c>
      <c r="D3686" t="s">
        <v>5803</v>
      </c>
      <c r="E3686" t="s">
        <v>5818</v>
      </c>
      <c r="F3686" s="129"/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0</v>
      </c>
      <c r="K3686" s="129" t="e">
        <f>IF(Proc[[#This Row],[Author]]="Marcela Urrego",VLOOKUP(LEFT(Proc[[#This Row],[Requested]],1),Table3[#All],2,0),VLOOKUP(Proc[[#This Row],[Author]],Table4[],2,0))</f>
        <v>#N/A</v>
      </c>
      <c r="L3686" s="129"/>
      <c r="M3686" s="131"/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32780</v>
      </c>
      <c r="R3686" s="130"/>
      <c r="S3686" s="129"/>
    </row>
    <row r="3687" spans="1:19">
      <c r="A3687" s="135" t="s">
        <v>5780</v>
      </c>
      <c r="B3687" s="129" t="str">
        <f>IFERROR(VLOOKUP(Proc[[#This Row],[App]],Table2[],3,0),"open")</f>
        <v>open</v>
      </c>
      <c r="C3687" s="135" t="s">
        <v>404</v>
      </c>
      <c r="D3687" t="s">
        <v>5804</v>
      </c>
      <c r="E3687" t="s">
        <v>5818</v>
      </c>
      <c r="F3687" s="129"/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0</v>
      </c>
      <c r="K3687" s="129" t="e">
        <f>IF(Proc[[#This Row],[Author]]="Marcela Urrego",VLOOKUP(LEFT(Proc[[#This Row],[Requested]],1),Table3[#All],2,0),VLOOKUP(Proc[[#This Row],[Author]],Table4[],2,0))</f>
        <v>#N/A</v>
      </c>
      <c r="L3687" s="129"/>
      <c r="M3687" s="131"/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32780</v>
      </c>
      <c r="R3687" s="130"/>
      <c r="S3687" s="129"/>
    </row>
    <row r="3688" spans="1:19">
      <c r="A3688" s="135" t="s">
        <v>5780</v>
      </c>
      <c r="B3688" s="129" t="str">
        <f>IFERROR(VLOOKUP(Proc[[#This Row],[App]],Table2[],3,0),"open")</f>
        <v>open</v>
      </c>
      <c r="C3688" s="135" t="s">
        <v>404</v>
      </c>
      <c r="D3688" t="s">
        <v>5805</v>
      </c>
      <c r="E3688" t="s">
        <v>5819</v>
      </c>
      <c r="F3688" s="129"/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0</v>
      </c>
      <c r="K3688" s="129" t="e">
        <f>IF(Proc[[#This Row],[Author]]="Marcela Urrego",VLOOKUP(LEFT(Proc[[#This Row],[Requested]],1),Table3[#All],2,0),VLOOKUP(Proc[[#This Row],[Author]],Table4[],2,0))</f>
        <v>#N/A</v>
      </c>
      <c r="L3688" s="129"/>
      <c r="M3688" s="131"/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32780</v>
      </c>
      <c r="R3688" s="130"/>
      <c r="S3688" s="129"/>
    </row>
    <row r="3689" spans="1:19">
      <c r="A3689" s="135" t="s">
        <v>5780</v>
      </c>
      <c r="B3689" s="129" t="str">
        <f>IFERROR(VLOOKUP(Proc[[#This Row],[App]],Table2[],3,0),"open")</f>
        <v>open</v>
      </c>
      <c r="C3689" s="135" t="s">
        <v>404</v>
      </c>
      <c r="D3689" t="s">
        <v>5806</v>
      </c>
      <c r="E3689" t="s">
        <v>1236</v>
      </c>
      <c r="F3689" s="129"/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0</v>
      </c>
      <c r="K3689" s="129" t="e">
        <f>IF(Proc[[#This Row],[Author]]="Marcela Urrego",VLOOKUP(LEFT(Proc[[#This Row],[Requested]],1),Table3[#All],2,0),VLOOKUP(Proc[[#This Row],[Author]],Table4[],2,0))</f>
        <v>#N/A</v>
      </c>
      <c r="L3689" s="129"/>
      <c r="M3689" s="131"/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32780</v>
      </c>
      <c r="R3689" s="130"/>
      <c r="S3689" s="129"/>
    </row>
    <row r="3690" spans="1:19">
      <c r="A3690" s="135" t="s">
        <v>5780</v>
      </c>
      <c r="B3690" s="129" t="str">
        <f>IFERROR(VLOOKUP(Proc[[#This Row],[App]],Table2[],3,0),"open")</f>
        <v>open</v>
      </c>
      <c r="C3690" s="135" t="s">
        <v>404</v>
      </c>
      <c r="D3690" t="s">
        <v>2061</v>
      </c>
      <c r="E3690" t="s">
        <v>5820</v>
      </c>
      <c r="F3690" s="129"/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0</v>
      </c>
      <c r="K3690" s="129" t="e">
        <f>IF(Proc[[#This Row],[Author]]="Marcela Urrego",VLOOKUP(LEFT(Proc[[#This Row],[Requested]],1),Table3[#All],2,0),VLOOKUP(Proc[[#This Row],[Author]],Table4[],2,0))</f>
        <v>#N/A</v>
      </c>
      <c r="L3690" s="129"/>
      <c r="M3690" s="131"/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32780</v>
      </c>
      <c r="R3690" s="130"/>
      <c r="S3690" s="129"/>
    </row>
    <row r="3691" spans="1:19">
      <c r="A3691" s="135" t="s">
        <v>5780</v>
      </c>
      <c r="B3691" s="129" t="str">
        <f>IFERROR(VLOOKUP(Proc[[#This Row],[App]],Table2[],3,0),"open")</f>
        <v>open</v>
      </c>
      <c r="C3691" s="135" t="s">
        <v>404</v>
      </c>
      <c r="D3691" t="s">
        <v>3551</v>
      </c>
      <c r="E3691" t="s">
        <v>3557</v>
      </c>
      <c r="F3691" s="129"/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0</v>
      </c>
      <c r="K3691" s="129" t="e">
        <f>IF(Proc[[#This Row],[Author]]="Marcela Urrego",VLOOKUP(LEFT(Proc[[#This Row],[Requested]],1),Table3[#All],2,0),VLOOKUP(Proc[[#This Row],[Author]],Table4[],2,0))</f>
        <v>#N/A</v>
      </c>
      <c r="L3691" s="129"/>
      <c r="M3691" s="131"/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32780</v>
      </c>
      <c r="R3691" s="130"/>
      <c r="S3691" s="129"/>
    </row>
    <row r="3692" spans="1:19">
      <c r="A3692" s="135" t="s">
        <v>5780</v>
      </c>
      <c r="B3692" s="129" t="str">
        <f>IFERROR(VLOOKUP(Proc[[#This Row],[App]],Table2[],3,0),"open")</f>
        <v>open</v>
      </c>
      <c r="C3692" s="135" t="s">
        <v>404</v>
      </c>
      <c r="D3692" t="s">
        <v>5807</v>
      </c>
      <c r="E3692" t="s">
        <v>3557</v>
      </c>
      <c r="F3692" s="129"/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0</v>
      </c>
      <c r="K3692" s="129" t="e">
        <f>IF(Proc[[#This Row],[Author]]="Marcela Urrego",VLOOKUP(LEFT(Proc[[#This Row],[Requested]],1),Table3[#All],2,0),VLOOKUP(Proc[[#This Row],[Author]],Table4[],2,0))</f>
        <v>#N/A</v>
      </c>
      <c r="L3692" s="129"/>
      <c r="M3692" s="131"/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32780</v>
      </c>
      <c r="R3692" s="130"/>
      <c r="S3692" s="129"/>
    </row>
    <row r="3693" spans="1:19">
      <c r="A3693" s="135" t="s">
        <v>5780</v>
      </c>
      <c r="B3693" s="129" t="str">
        <f>IFERROR(VLOOKUP(Proc[[#This Row],[App]],Table2[],3,0),"open")</f>
        <v>open</v>
      </c>
      <c r="C3693" s="135" t="s">
        <v>404</v>
      </c>
      <c r="D3693" t="s">
        <v>2057</v>
      </c>
      <c r="E3693" t="s">
        <v>3557</v>
      </c>
      <c r="F3693" s="129"/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0</v>
      </c>
      <c r="K3693" s="129" t="e">
        <f>IF(Proc[[#This Row],[Author]]="Marcela Urrego",VLOOKUP(LEFT(Proc[[#This Row],[Requested]],1),Table3[#All],2,0),VLOOKUP(Proc[[#This Row],[Author]],Table4[],2,0))</f>
        <v>#N/A</v>
      </c>
      <c r="L3693" s="129"/>
      <c r="M3693" s="131"/>
      <c r="N3693" s="131"/>
      <c r="O3693" s="131"/>
      <c r="P3693" s="130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32780</v>
      </c>
      <c r="R3693" s="130"/>
      <c r="S3693" s="129"/>
    </row>
    <row r="3694" spans="1:19">
      <c r="A3694" s="135" t="s">
        <v>5780</v>
      </c>
      <c r="B3694" s="129" t="str">
        <f>IFERROR(VLOOKUP(Proc[[#This Row],[App]],Table2[],3,0),"open")</f>
        <v>open</v>
      </c>
      <c r="C3694" s="135" t="s">
        <v>404</v>
      </c>
      <c r="D3694" t="s">
        <v>2060</v>
      </c>
      <c r="E3694" t="s">
        <v>3557</v>
      </c>
      <c r="F3694" s="129"/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0</v>
      </c>
      <c r="K3694" s="129" t="e">
        <f>IF(Proc[[#This Row],[Author]]="Marcela Urrego",VLOOKUP(LEFT(Proc[[#This Row],[Requested]],1),Table3[#All],2,0),VLOOKUP(Proc[[#This Row],[Author]],Table4[],2,0))</f>
        <v>#N/A</v>
      </c>
      <c r="L3694" s="129"/>
      <c r="M3694" s="131"/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32780</v>
      </c>
      <c r="R3694" s="130"/>
      <c r="S3694" s="129"/>
    </row>
    <row r="3695" spans="1:19">
      <c r="A3695" s="135" t="s">
        <v>5780</v>
      </c>
      <c r="B3695" s="129" t="str">
        <f>IFERROR(VLOOKUP(Proc[[#This Row],[App]],Table2[],3,0),"open")</f>
        <v>open</v>
      </c>
      <c r="C3695" s="135" t="s">
        <v>404</v>
      </c>
      <c r="D3695" t="s">
        <v>2058</v>
      </c>
      <c r="E3695" t="s">
        <v>3557</v>
      </c>
      <c r="F3695" s="129"/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0</v>
      </c>
      <c r="K3695" s="129" t="e">
        <f>IF(Proc[[#This Row],[Author]]="Marcela Urrego",VLOOKUP(LEFT(Proc[[#This Row],[Requested]],1),Table3[#All],2,0),VLOOKUP(Proc[[#This Row],[Author]],Table4[],2,0))</f>
        <v>#N/A</v>
      </c>
      <c r="L3695" s="129"/>
      <c r="M3695" s="131"/>
      <c r="N3695" s="131"/>
      <c r="O3695" s="131"/>
      <c r="P3695" s="130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32780</v>
      </c>
      <c r="R3695" s="130"/>
      <c r="S3695" s="129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G2:G3695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4"/>
  <sheetViews>
    <sheetView topLeftCell="A121" workbookViewId="0">
      <selection activeCell="B135" sqref="B13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5685</v>
      </c>
      <c r="B133" t="s">
        <v>569</v>
      </c>
    </row>
    <row r="134" spans="1:2">
      <c r="A134" s="130" t="s">
        <v>5712</v>
      </c>
      <c r="B134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2025-08-25T15:02:22Z</dcterms:modified>
  <cp:category/>
  <cp:contentStatus/>
</cp:coreProperties>
</file>