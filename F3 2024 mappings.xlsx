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93C208C0-C8D3-4506-9B7C-F20D57C57E17}" xr6:coauthVersionLast="47" xr6:coauthVersionMax="47" xr10:uidLastSave="{00000000-0000-0000-0000-000000000000}"/>
  <bookViews>
    <workbookView xWindow="2868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5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3" i="1" l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 l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F866" i="1"/>
  <c r="J866" i="1" s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F908" i="1"/>
  <c r="J908" i="1" s="1"/>
  <c r="F889" i="1"/>
  <c r="J889" i="1" s="1"/>
  <c r="F888" i="1"/>
  <c r="J888" i="1" s="1"/>
  <c r="F887" i="1"/>
  <c r="J887" i="1" s="1"/>
  <c r="F886" i="1"/>
  <c r="J886" i="1" s="1"/>
  <c r="F879" i="1"/>
  <c r="J879" i="1" s="1"/>
  <c r="F878" i="1"/>
  <c r="J878" i="1" s="1"/>
  <c r="F877" i="1"/>
  <c r="J877" i="1" s="1"/>
  <c r="F876" i="1"/>
  <c r="J876" i="1" s="1"/>
  <c r="F875" i="1"/>
  <c r="J875" i="1" s="1"/>
  <c r="F874" i="1"/>
  <c r="J874" i="1" s="1"/>
  <c r="F873" i="1"/>
  <c r="J873" i="1" s="1"/>
  <c r="F872" i="1"/>
  <c r="J872" i="1" s="1"/>
  <c r="F871" i="1"/>
  <c r="J871" i="1" s="1"/>
  <c r="F870" i="1"/>
  <c r="J870" i="1" s="1"/>
  <c r="F869" i="1"/>
  <c r="J869" i="1" s="1"/>
  <c r="F868" i="1"/>
  <c r="J868" i="1" s="1"/>
  <c r="F867" i="1"/>
  <c r="J867" i="1" s="1"/>
  <c r="F865" i="1"/>
  <c r="J865" i="1" s="1"/>
  <c r="F864" i="1"/>
  <c r="J864" i="1" s="1"/>
  <c r="F863" i="1"/>
  <c r="J863" i="1" s="1"/>
  <c r="F862" i="1"/>
  <c r="J862" i="1" s="1"/>
  <c r="F861" i="1"/>
  <c r="J861" i="1" s="1"/>
  <c r="F833" i="1"/>
  <c r="J833" i="1" s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10" i="1" s="1"/>
  <c r="B5" i="1"/>
  <c r="B7" i="1"/>
  <c r="B2" i="1"/>
  <c r="B4" i="1"/>
  <c r="B6" i="1"/>
  <c r="B8" i="1"/>
  <c r="B3" i="1" l="1"/>
  <c r="B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<sst xmlns="http://schemas.openxmlformats.org/spreadsheetml/2006/main" count="14134" uniqueCount="3590">
  <si>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</si>
  <si>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</si>
  <si>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</si>
  <si>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</si>
  <si>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</si>
  <si>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</si>
  <si>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</si>
  <si>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</si>
  <si>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</si>
  <si>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</si>
  <si>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</si>
  <si>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</si>
  <si>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</si>
  <si>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</si>
  <si>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</si>
  <si>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</si>
  <si>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</si>
  <si>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</si>
  <si>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</si>
  <si>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</si>
  <si>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</si>
  <si>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</si>
  <si>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</si>
  <si>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</si>
  <si>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</si>
  <si>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</si>
  <si>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</si>
  <si>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</si>
  <si>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</si>
  <si>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</si>
  <si>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</si>
  <si>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</si>
  <si>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</si>
  <si>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</si>
  <si>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</si>
  <si>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</si>
  <si>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</si>
  <si>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</si>
  <si>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</si>
  <si>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</si>
  <si>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</si>
  <si>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</si>
  <si>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</si>
  <si>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</si>
  <si>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</si>
  <si>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</si>
  <si>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</si>
  <si>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</si>
  <si>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</si>
  <si>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</si>
  <si>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</si>
  <si>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</si>
  <si>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</si>
  <si>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</si>
  <si>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</si>
  <si>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</si>
  <si>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</si>
  <si>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</si>
  <si>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</si>
  <si>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</si>
  <si>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</si>
  <si>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</si>
  <si>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</si>
  <si>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</si>
  <si>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</si>
  <si>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</si>
  <si>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</si>
  <si>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</si>
  <si>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</si>
  <si>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</si>
  <si>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</si>
  <si>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</si>
  <si>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</si>
  <si>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</si>
  <si>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</si>
  <si>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</si>
  <si>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</si>
  <si>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</si>
  <si>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</si>
  <si>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</si>
  <si>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</si>
  <si>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</si>
  <si>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</si>
  <si>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</si>
  <si>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</si>
  <si>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</si>
  <si>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</si>
  <si>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</si>
  <si>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</si>
  <si>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</si>
  <si>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</si>
  <si>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</si>
  <si>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</si>
  <si>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</si>
  <si>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</si>
  <si>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</si>
  <si>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</si>
  <si>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</si>
  <si>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</si>
  <si>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</si>
  <si>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</si>
  <si>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</si>
  <si>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</si>
  <si>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</si>
  <si>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</si>
  <si>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</si>
  <si>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</si>
  <si>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</si>
  <si>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</si>
  <si>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</si>
  <si>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</si>
  <si>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</si>
  <si>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</si>
  <si>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</si>
  <si>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</si>
  <si>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</si>
  <si>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</si>
  <si>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</si>
  <si>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</si>
  <si>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</si>
  <si>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</si>
  <si>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</si>
  <si>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</si>
  <si>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</si>
  <si>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</si>
  <si>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</si>
  <si>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</si>
  <si>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</si>
  <si>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</si>
  <si>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</si>
  <si>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</si>
  <si>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</si>
  <si>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</si>
  <si>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</si>
  <si>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</si>
  <si>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</si>
  <si>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</si>
  <si>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</si>
  <si>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</si>
  <si>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</si>
  <si>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</si>
  <si>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</si>
  <si>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</si>
  <si>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</si>
  <si>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</si>
  <si>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</si>
  <si>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</si>
  <si>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</si>
  <si>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</si>
  <si>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</si>
  <si>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</si>
  <si>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</si>
  <si>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</si>
  <si>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</si>
  <si>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</si>
  <si>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</si>
  <si>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</si>
  <si>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</si>
  <si>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</si>
  <si>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</si>
  <si>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</si>
  <si>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</si>
  <si>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</si>
  <si>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</si>
  <si>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</si>
  <si>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</si>
  <si>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</si>
  <si>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</si>
  <si>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</si>
  <si>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</si>
  <si>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</si>
  <si>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</si>
  <si>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</si>
  <si>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</si>
  <si>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</si>
  <si>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</si>
  <si>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</si>
  <si>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</si>
  <si>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</si>
  <si>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</si>
  <si>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</si>
  <si>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</si>
  <si>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</si>
  <si>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</si>
  <si>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</si>
  <si>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</si>
  <si>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</si>
  <si>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</si>
  <si>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</si>
  <si>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</si>
  <si>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</si>
  <si>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</si>
  <si>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</si>
  <si>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</si>
  <si>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</si>
  <si>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</si>
  <si>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</si>
  <si>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</si>
  <si>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</si>
  <si>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</si>
  <si>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</si>
  <si>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</si>
  <si>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</si>
  <si>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</si>
  <si>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</si>
  <si>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</si>
  <si>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</si>
  <si>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</si>
  <si>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</si>
  <si>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</si>
  <si>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</si>
  <si>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</si>
  <si>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</si>
  <si>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</si>
  <si>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</si>
  <si>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</si>
  <si>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</si>
  <si>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</si>
  <si>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</si>
  <si>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</si>
  <si>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</si>
  <si>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</si>
  <si>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</si>
  <si>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</si>
  <si>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</si>
  <si>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</si>
  <si>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</si>
  <si>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</si>
  <si>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</si>
  <si>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</si>
  <si>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</si>
  <si>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</si>
  <si>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</si>
  <si>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</si>
  <si>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</si>
  <si>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</si>
  <si>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</si>
  <si>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</si>
  <si>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</si>
  <si>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</si>
  <si>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</si>
  <si>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</si>
  <si>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</si>
  <si>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</si>
  <si>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</si>
  <si>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</si>
  <si>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</si>
  <si>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</si>
  <si>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</si>
  <si>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</si>
  <si>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</si>
  <si>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</si>
  <si>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</si>
  <si>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</si>
  <si>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</si>
  <si>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</si>
  <si>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</si>
  <si>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</si>
  <si>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</si>
  <si>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</si>
  <si>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</si>
  <si>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</si>
  <si>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</si>
  <si>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</si>
  <si>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</si>
  <si>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</si>
  <si>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</si>
  <si>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</si>
  <si>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</si>
  <si>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</si>
  <si>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</si>
  <si>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</si>
  <si>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</si>
  <si>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</si>
  <si>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</si>
  <si>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</si>
  <si>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</si>
  <si>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</si>
  <si>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</si>
  <si>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</si>
  <si>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</si>
  <si>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</si>
  <si>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</si>
  <si>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</si>
  <si>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</si>
  <si>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</si>
  <si>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</si>
  <si>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</si>
  <si>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</si>
  <si>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</si>
  <si>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</si>
  <si>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</si>
  <si>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</si>
  <si>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</si>
  <si>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</si>
  <si>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</si>
  <si>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</si>
  <si>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</si>
  <si>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</si>
  <si>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</si>
  <si>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</si>
  <si>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</si>
  <si>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</si>
  <si>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</si>
  <si>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</si>
  <si>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</si>
  <si>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</si>
  <si>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</si>
  <si>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</si>
  <si>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</si>
  <si>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</si>
  <si>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</si>
  <si>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</si>
  <si>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</si>
  <si>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</si>
  <si>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</si>
  <si>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</si>
  <si>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</si>
  <si>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</si>
  <si>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</si>
  <si>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</si>
  <si>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</si>
  <si>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</si>
  <si>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</si>
  <si>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</si>
  <si>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</si>
  <si>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</si>
  <si>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</si>
  <si>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</si>
  <si>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</si>
  <si>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</si>
  <si>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</si>
  <si>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</si>
  <si>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</si>
  <si>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</si>
  <si>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</si>
  <si>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</si>
  <si>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</si>
  <si>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</si>
  <si>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</si>
  <si>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</si>
  <si>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</si>
  <si>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</si>
  <si>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</si>
  <si>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</si>
  <si>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</si>
  <si>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</si>
  <si>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</si>
  <si>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</si>
  <si>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</si>
  <si>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</si>
  <si>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</si>
  <si>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</si>
  <si>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</si>
  <si>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</si>
  <si>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</si>
  <si>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</si>
  <si>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</si>
  <si>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</si>
  <si>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</si>
  <si>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</si>
  <si>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</si>
  <si>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</si>
  <si>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</si>
  <si>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</si>
  <si>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</si>
  <si>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</si>
  <si>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</si>
  <si>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</si>
  <si>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</si>
  <si>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</si>
  <si>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</si>
  <si>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</si>
  <si>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</si>
  <si>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</si>
  <si>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</si>
  <si>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</si>
  <si>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</si>
  <si>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</si>
  <si>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</si>
  <si>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</si>
  <si>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</si>
  <si>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</si>
  <si>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</si>
  <si>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</si>
  <si>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</si>
  <si>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</si>
  <si>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</si>
  <si>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</si>
  <si>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</si>
  <si>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</si>
  <si>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</si>
  <si>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</si>
  <si>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</si>
  <si>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</si>
  <si>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</si>
  <si>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</si>
  <si>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</si>
  <si>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</si>
  <si>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</si>
  <si>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</si>
  <si>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</si>
  <si>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</si>
  <si>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</si>
  <si>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</si>
  <si>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</si>
  <si>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</si>
  <si>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</si>
  <si>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</si>
  <si>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</si>
  <si>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</si>
  <si>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</si>
  <si>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</si>
  <si>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</si>
  <si>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</si>
  <si>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</si>
  <si>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</si>
  <si>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</si>
  <si>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</si>
  <si>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</si>
  <si>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</si>
  <si>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</si>
  <si>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</si>
  <si>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</si>
  <si>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</si>
  <si>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</si>
  <si>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</si>
  <si>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</si>
  <si>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</si>
  <si>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</si>
  <si>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</si>
  <si>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</si>
  <si>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</si>
  <si>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</si>
  <si>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</si>
  <si>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</si>
  <si>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</si>
  <si>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</si>
  <si>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</si>
  <si>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</si>
  <si>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</si>
  <si>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</si>
  <si>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</si>
  <si>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</si>
  <si>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</si>
  <si>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</si>
  <si>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</si>
  <si>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</si>
  <si>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</si>
  <si>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</si>
  <si>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</si>
  <si>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</si>
  <si>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</si>
  <si>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</si>
  <si>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</si>
  <si>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</si>
  <si>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</si>
  <si>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</si>
  <si>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</si>
  <si>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</si>
  <si>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</si>
  <si>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</si>
  <si>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</si>
  <si>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</si>
  <si>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</si>
  <si>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</si>
  <si>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</si>
  <si>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</si>
  <si>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</si>
  <si>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</si>
  <si>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</si>
  <si>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</si>
  <si>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</si>
  <si>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</si>
  <si>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</si>
  <si>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</si>
  <si>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</si>
  <si>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</si>
  <si>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</si>
  <si>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</si>
  <si>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</si>
  <si>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</si>
  <si>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</si>
  <si>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</si>
  <si>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</si>
  <si>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</si>
  <si>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</si>
  <si>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</si>
  <si>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</si>
  <si>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</si>
  <si>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</si>
  <si>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</si>
  <si>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</si>
  <si>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</si>
  <si>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</si>
  <si>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</si>
  <si>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</si>
  <si>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</si>
  <si>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</si>
  <si>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</si>
  <si>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</si>
  <si>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</si>
  <si>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</si>
  <si>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</si>
  <si>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</si>
  <si>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</si>
  <si>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</si>
  <si>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</si>
  <si>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</si>
  <si>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</si>
  <si>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</si>
  <si>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</si>
  <si>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</si>
  <si>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</si>
  <si>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</si>
  <si>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</si>
  <si>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</si>
  <si>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</si>
  <si>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</si>
  <si>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</si>
  <si>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</si>
  <si>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</si>
  <si>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</si>
  <si>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</si>
  <si>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</si>
  <si>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</si>
  <si>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</si>
  <si>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</si>
  <si>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</si>
  <si>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</si>
  <si>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</si>
  <si>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</si>
  <si>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</si>
  <si>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</si>
  <si>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</si>
  <si>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</si>
  <si>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</si>
  <si>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</si>
  <si>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</si>
  <si>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</si>
  <si>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</si>
  <si>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</si>
  <si>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</si>
  <si>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</si>
  <si>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</si>
  <si>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</si>
  <si>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</si>
  <si>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</si>
  <si>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</si>
  <si>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</si>
  <si>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</si>
  <si>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</si>
  <si>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</si>
  <si>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</si>
  <si>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</si>
  <si>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</si>
  <si>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</si>
  <si>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</si>
  <si>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</si>
  <si>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</si>
  <si>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</si>
  <si>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</si>
  <si>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</si>
  <si>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</si>
  <si>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</si>
  <si>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</si>
  <si>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</si>
  <si>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</si>
  <si>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</si>
  <si>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</si>
  <si>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</si>
  <si>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</si>
  <si>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</si>
  <si>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</si>
  <si>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</si>
  <si>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</si>
  <si>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</si>
  <si>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</si>
  <si>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</si>
  <si>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</si>
  <si>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</si>
  <si>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</si>
  <si>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</si>
  <si>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</si>
  <si>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</si>
  <si>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</si>
  <si>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</si>
  <si>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</si>
  <si>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</si>
  <si>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</si>
  <si>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</si>
  <si>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</si>
  <si>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</si>
  <si>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</si>
  <si>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</si>
  <si>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</si>
  <si>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</si>
  <si>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</si>
  <si>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</si>
  <si>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</si>
  <si>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</si>
  <si>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</si>
  <si>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</si>
  <si>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</si>
  <si>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</si>
  <si>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</si>
  <si>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</si>
  <si>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</si>
  <si>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</si>
  <si>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</si>
  <si>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</si>
  <si>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</si>
  <si>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</si>
  <si>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</si>
  <si>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</si>
  <si>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</si>
  <si>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</si>
  <si>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</si>
  <si>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</si>
  <si>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</si>
  <si>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</si>
  <si>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</si>
  <si>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</si>
  <si>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</si>
  <si>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</si>
  <si>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</si>
  <si>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</si>
  <si>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</si>
  <si>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</si>
  <si>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</si>
  <si>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</si>
  <si>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</si>
  <si>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</si>
  <si>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</si>
  <si>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</si>
  <si>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</si>
  <si>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</si>
  <si>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</si>
  <si>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</si>
  <si>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</si>
  <si>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</si>
  <si>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</si>
  <si>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</si>
  <si>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</si>
  <si>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</si>
  <si>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</si>
  <si>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</si>
  <si>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</si>
  <si>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</si>
  <si>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</si>
  <si>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</si>
  <si>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</si>
  <si>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</si>
  <si>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</si>
  <si>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</si>
  <si>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</si>
  <si>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</si>
  <si>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</si>
  <si>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</si>
  <si>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</si>
  <si>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</si>
  <si>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</si>
  <si>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</si>
  <si>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</si>
  <si>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</si>
  <si>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</si>
  <si>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</si>
  <si>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</si>
  <si>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</si>
  <si>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</si>
  <si>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</si>
  <si>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</si>
  <si>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</si>
  <si>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</si>
  <si>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</si>
  <si>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</si>
  <si>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</si>
  <si>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</si>
  <si>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</si>
  <si>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</si>
  <si>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</si>
  <si>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</si>
  <si>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</si>
  <si>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</si>
  <si>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</si>
  <si>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</si>
  <si>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</si>
  <si>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</si>
  <si>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</si>
  <si>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</si>
  <si>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</si>
  <si>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</si>
  <si>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</si>
  <si>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</si>
  <si>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</si>
  <si>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</si>
  <si>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</si>
  <si>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</si>
  <si>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</si>
  <si>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</si>
  <si>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</si>
  <si>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</si>
  <si>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</si>
  <si>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</si>
  <si>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</si>
  <si>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</si>
  <si>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</si>
  <si>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</si>
  <si>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</si>
  <si>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</si>
  <si>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</si>
  <si>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</si>
  <si>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</si>
  <si>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</si>
  <si>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</si>
  <si>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</si>
  <si>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</si>
  <si>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</si>
  <si>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</si>
  <si>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</si>
  <si>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</si>
  <si>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</si>
  <si>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</si>
  <si>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</si>
  <si>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</si>
  <si>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</si>
  <si>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</si>
  <si>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</si>
  <si>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</si>
  <si>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</si>
  <si>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</si>
  <si>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</si>
  <si>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</si>
  <si>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</si>
  <si>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</si>
  <si>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</si>
  <si>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</si>
  <si>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</si>
  <si>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</si>
  <si>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</si>
  <si>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</si>
  <si>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</si>
  <si>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</si>
  <si>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</si>
  <si>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</si>
  <si>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</si>
  <si>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</si>
  <si>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</si>
  <si>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</si>
  <si>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</si>
  <si>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</si>
  <si>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</si>
  <si>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</si>
  <si>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</si>
  <si>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</si>
  <si>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</si>
  <si>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</si>
  <si>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</si>
  <si>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</si>
  <si>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</si>
  <si>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</si>
  <si>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</si>
  <si>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</si>
  <si>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</si>
  <si>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</si>
  <si>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</si>
  <si>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</si>
  <si>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</si>
  <si>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</si>
  <si>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</si>
  <si>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</si>
  <si>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</si>
  <si>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</si>
  <si>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</si>
  <si>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</si>
  <si>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</si>
  <si>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</si>
  <si>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</si>
  <si>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</si>
  <si>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</si>
  <si>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</si>
  <si>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</si>
  <si>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</si>
  <si>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</si>
  <si>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</si>
  <si>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</si>
  <si>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</si>
  <si>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</si>
  <si>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</si>
  <si>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</si>
  <si>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</si>
  <si>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</si>
  <si>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</si>
  <si>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</si>
  <si>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</si>
  <si>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</si>
  <si>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</si>
  <si>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</si>
  <si>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</si>
  <si>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</si>
  <si>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</si>
  <si>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</si>
  <si>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</si>
  <si>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</si>
  <si>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</si>
  <si>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</si>
  <si>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</si>
  <si>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</si>
  <si>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</si>
  <si>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</si>
  <si>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</si>
  <si>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</si>
  <si>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</si>
  <si>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</si>
  <si>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</si>
  <si>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</si>
  <si>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</si>
  <si>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</si>
  <si>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</si>
  <si>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</si>
  <si>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</si>
  <si>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</si>
  <si>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</si>
  <si>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</si>
  <si>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</si>
  <si>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</si>
  <si>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</si>
  <si>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</si>
  <si>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</si>
  <si>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</si>
  <si>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</si>
  <si>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</si>
  <si>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</si>
  <si>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</si>
  <si>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</si>
  <si>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</si>
  <si>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</si>
  <si>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</si>
  <si>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</si>
  <si>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</si>
  <si>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</si>
  <si>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</si>
  <si>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</si>
  <si>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</si>
  <si>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</si>
  <si>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</si>
  <si>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</si>
  <si>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</si>
  <si>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</si>
  <si>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</si>
  <si>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</si>
  <si>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</si>
  <si>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</si>
  <si>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</si>
  <si>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</si>
  <si>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</si>
  <si>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</si>
  <si>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</si>
  <si>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</si>
  <si>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</si>
  <si>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</si>
  <si>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</si>
  <si>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</si>
  <si>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</si>
  <si>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</si>
  <si>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</si>
  <si>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</si>
  <si>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</si>
  <si>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</si>
  <si>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</si>
  <si>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</si>
  <si>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</si>
  <si>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</si>
  <si>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</si>
  <si>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</si>
  <si>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</si>
  <si>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</si>
  <si>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</si>
  <si>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</si>
  <si>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</si>
  <si>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</si>
  <si>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</si>
  <si>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</si>
  <si>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</si>
  <si>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</si>
  <si>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</si>
  <si>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</si>
  <si>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</si>
  <si>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</si>
  <si>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</si>
  <si>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</si>
  <si>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</si>
  <si>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</si>
  <si>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</si>
  <si>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</si>
  <si>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</si>
  <si>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</si>
  <si>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</si>
  <si>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</si>
  <si>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</si>
  <si>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</si>
  <si>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</si>
  <si>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</si>
  <si>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</si>
  <si>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</si>
  <si>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</si>
  <si>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</si>
  <si>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</si>
  <si>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</si>
  <si>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</si>
  <si>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</si>
  <si>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</si>
  <si>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</si>
  <si>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</si>
  <si>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</si>
  <si>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</si>
  <si>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</si>
  <si>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</si>
  <si>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</si>
  <si>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</si>
  <si>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</si>
  <si>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</si>
  <si>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</si>
  <si>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</si>
  <si>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</si>
  <si>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</si>
  <si>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</si>
  <si>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</si>
  <si>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</si>
  <si>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</si>
  <si>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</si>
  <si>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</si>
  <si>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</si>
  <si>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</si>
  <si>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</si>
  <si>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</si>
  <si>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</si>
  <si>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</si>
  <si>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</si>
  <si>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</si>
  <si>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</si>
  <si>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</si>
  <si>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</si>
  <si>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</si>
  <si>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</si>
  <si>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</si>
  <si>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</si>
  <si>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</si>
  <si>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</si>
  <si>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</si>
  <si>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</si>
  <si>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</si>
  <si>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</si>
  <si>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</si>
  <si>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</si>
  <si>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</si>
  <si>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</si>
  <si>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</si>
  <si>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</si>
  <si>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</si>
  <si>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</si>
  <si>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</si>
  <si>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</si>
  <si>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</si>
  <si>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</si>
  <si>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</si>
  <si>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</si>
  <si>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</si>
  <si>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</si>
  <si>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</si>
  <si>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</si>
  <si>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</si>
  <si>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</si>
  <si>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</si>
  <si>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</si>
  <si>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</si>
  <si>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</si>
  <si>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</si>
  <si>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</si>
  <si>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</si>
  <si>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</si>
  <si>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</si>
  <si>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</si>
  <si>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</si>
  <si>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</si>
  <si>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</si>
  <si>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</si>
  <si>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</si>
  <si>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</si>
  <si>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</si>
  <si>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</si>
  <si>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</si>
  <si>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</si>
  <si>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</si>
  <si>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</si>
  <si>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</si>
  <si>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</si>
  <si>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</si>
  <si>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</si>
  <si>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</si>
  <si>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</si>
  <si>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</si>
  <si>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</si>
  <si>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</si>
  <si>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</si>
  <si>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</si>
  <si>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</si>
  <si>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</si>
  <si>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</si>
  <si>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</si>
  <si>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</si>
  <si>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</si>
  <si>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</si>
  <si>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</si>
  <si>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</si>
  <si>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</si>
  <si>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</si>
  <si>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</si>
  <si>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</si>
  <si>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</si>
  <si>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</si>
  <si>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</si>
  <si>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</si>
  <si>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</si>
  <si>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</si>
  <si>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</si>
  <si>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</si>
  <si>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</si>
  <si>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</si>
  <si>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</si>
  <si>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</si>
  <si>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</si>
  <si>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</si>
  <si>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</si>
  <si>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</si>
  <si>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</si>
  <si>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</si>
  <si>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</si>
  <si>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</si>
  <si>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</si>
  <si>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</si>
  <si>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</si>
  <si>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</si>
  <si>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</si>
  <si>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</si>
  <si>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</si>
  <si>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</si>
  <si>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</si>
  <si>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</si>
  <si>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</si>
  <si>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</si>
  <si>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</si>
  <si>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</si>
  <si>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</si>
  <si>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</si>
  <si>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</si>
  <si>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</si>
  <si>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</si>
  <si>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</si>
  <si>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</si>
  <si>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</si>
  <si>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</si>
  <si>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</si>
  <si>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</si>
  <si>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</si>
  <si>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</si>
  <si>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</si>
  <si>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</si>
  <si>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</si>
  <si>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</si>
  <si>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</si>
  <si>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</si>
  <si>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</si>
  <si>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</si>
  <si>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</si>
  <si>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</si>
  <si>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</si>
  <si>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</si>
  <si>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</si>
  <si>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</si>
  <si>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</si>
  <si>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</si>
  <si>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</si>
  <si>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</si>
  <si>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</si>
  <si>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</si>
  <si>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</si>
  <si>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</si>
  <si>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</si>
  <si>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</si>
  <si>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</si>
  <si>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</si>
  <si>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</si>
  <si>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</si>
  <si>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</si>
  <si>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</si>
  <si>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</si>
  <si>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</si>
  <si>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</si>
  <si>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</si>
  <si>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</si>
  <si>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</si>
  <si>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</si>
  <si>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</si>
  <si>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</si>
  <si>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</si>
  <si>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</si>
  <si>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</si>
  <si>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</si>
  <si>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</si>
  <si>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</si>
  <si>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</si>
  <si>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</si>
  <si>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</si>
  <si>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</si>
  <si>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</si>
  <si>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</si>
  <si>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</si>
  <si>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</si>
  <si>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</si>
  <si>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</si>
  <si>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</si>
  <si>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</si>
  <si>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</si>
  <si>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</si>
  <si>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</si>
  <si>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</si>
  <si>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</si>
  <si>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</si>
  <si>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</si>
  <si>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</si>
  <si>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</si>
  <si>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</si>
  <si>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</si>
  <si>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</si>
  <si>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</si>
  <si>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</si>
  <si>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</si>
  <si>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</si>
  <si>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</si>
  <si>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</si>
  <si>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</si>
  <si>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</si>
  <si>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</si>
  <si>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</si>
  <si>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</si>
  <si>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</si>
  <si>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</si>
  <si>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</si>
  <si>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</si>
  <si>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</si>
  <si>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</si>
  <si>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</si>
  <si>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</si>
  <si>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</si>
  <si>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</si>
  <si>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</si>
  <si>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</si>
  <si>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</si>
  <si>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</si>
  <si>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</si>
  <si>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</si>
  <si>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</si>
  <si>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</si>
  <si>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</si>
  <si>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</si>
  <si>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</si>
  <si>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</si>
  <si>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</si>
  <si>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</si>
  <si>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</si>
  <si>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</si>
  <si>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</si>
  <si>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</si>
  <si>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</si>
  <si>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</si>
  <si>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</si>
  <si>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</si>
  <si>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</si>
  <si>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</si>
  <si>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</si>
  <si>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</si>
  <si>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</si>
  <si>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</si>
  <si>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</si>
  <si>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</si>
  <si>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</si>
  <si>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</si>
  <si>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</si>
  <si>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</si>
  <si>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</si>
  <si>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</si>
  <si>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</si>
  <si>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</si>
  <si>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</si>
  <si>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</si>
  <si>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</si>
  <si>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</si>
  <si>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</si>
  <si>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</si>
  <si>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</si>
  <si>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</si>
  <si>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</si>
  <si>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</si>
  <si>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</si>
  <si>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</si>
  <si>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</si>
  <si>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</si>
  <si>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</si>
  <si>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</si>
  <si>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</si>
  <si>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</si>
  <si>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</si>
  <si>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</si>
  <si>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</si>
  <si>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</si>
  <si>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</si>
  <si>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</si>
  <si>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</si>
  <si>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</si>
  <si>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</si>
  <si>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</si>
  <si>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</si>
  <si>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</si>
  <si>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</si>
  <si>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</si>
  <si>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</si>
  <si>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</si>
  <si>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</si>
  <si>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</si>
  <si>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</si>
  <si>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</si>
  <si>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</si>
  <si>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</si>
  <si>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</si>
  <si>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</si>
  <si>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</si>
  <si>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</si>
  <si>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</si>
  <si>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</si>
  <si>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</si>
  <si>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</si>
  <si>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</si>
  <si>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</si>
  <si>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</si>
  <si>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</si>
  <si>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</si>
  <si>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</si>
  <si>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</si>
  <si>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</si>
  <si>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</si>
  <si>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</si>
  <si>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</si>
  <si>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</si>
  <si>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</si>
  <si>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</si>
  <si>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</si>
  <si>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</si>
  <si>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</si>
  <si>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</si>
  <si>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</si>
  <si>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</si>
  <si>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</si>
  <si>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</si>
  <si>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</si>
  <si>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</si>
  <si>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</si>
  <si>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</si>
  <si>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</si>
  <si>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</si>
  <si>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</si>
  <si>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</si>
  <si>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</si>
  <si>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</si>
  <si>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</si>
  <si>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</si>
  <si>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</si>
  <si>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</si>
  <si>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</si>
  <si>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</si>
  <si>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</si>
  <si>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</si>
  <si>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</si>
  <si>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</si>
  <si>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</si>
  <si>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</si>
  <si>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</si>
  <si>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</si>
  <si>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</si>
  <si>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</si>
  <si>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</si>
  <si>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</si>
  <si>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</si>
  <si>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</si>
  <si>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</si>
  <si>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</si>
  <si>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</si>
  <si>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</si>
  <si>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</si>
  <si>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</si>
  <si>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</si>
  <si>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</si>
  <si>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</si>
  <si>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</si>
  <si>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</si>
  <si>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</si>
  <si>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</si>
  <si>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</si>
  <si>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</si>
  <si>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</si>
  <si>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</si>
  <si>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</si>
  <si>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</si>
  <si>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</si>
  <si>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</si>
  <si>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</si>
  <si>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</si>
  <si>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</si>
  <si>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</si>
  <si>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</si>
  <si>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</si>
  <si>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</si>
  <si>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</si>
  <si>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</si>
  <si>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</si>
  <si>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</si>
  <si>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</si>
  <si>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</si>
  <si>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</si>
  <si>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</si>
  <si>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</si>
  <si>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</si>
  <si>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</si>
  <si>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</si>
  <si>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</si>
  <si>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</si>
  <si>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</si>
  <si>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</si>
  <si>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</si>
  <si>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</si>
  <si>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</si>
  <si>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</si>
  <si>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</si>
  <si>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</si>
  <si>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</si>
  <si>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</si>
  <si>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</si>
  <si>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</si>
  <si>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</si>
  <si>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</si>
  <si>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</si>
  <si>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</si>
  <si>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</si>
  <si>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</si>
  <si>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</si>
  <si>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</si>
  <si>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</si>
  <si>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</si>
  <si>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</si>
  <si>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</si>
  <si>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</si>
  <si>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</si>
  <si>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</si>
  <si>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</si>
  <si>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</si>
  <si>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</si>
  <si>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</si>
  <si>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</si>
  <si>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</si>
  <si>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</si>
  <si>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</si>
  <si>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</si>
  <si>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</si>
  <si>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</si>
  <si>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</si>
  <si>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</si>
  <si>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</si>
  <si>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</si>
  <si>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</si>
  <si>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</si>
  <si>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</si>
  <si>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</si>
  <si>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</si>
  <si>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</si>
  <si>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</si>
  <si>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</si>
  <si>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</si>
  <si>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</si>
  <si>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</si>
  <si>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</si>
  <si>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</si>
  <si>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</si>
  <si>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</si>
  <si>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</si>
  <si>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</si>
  <si>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</si>
  <si>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</si>
  <si>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</si>
  <si>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</si>
  <si>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</si>
  <si>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</si>
  <si>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</si>
  <si>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</si>
  <si>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</si>
  <si>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</si>
  <si>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</si>
  <si>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</si>
  <si>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</si>
  <si>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</si>
  <si>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</si>
  <si>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</si>
  <si>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</si>
  <si>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</si>
  <si>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</si>
  <si>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</si>
  <si>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</si>
  <si>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</si>
  <si>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</si>
  <si>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</si>
  <si>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</si>
  <si>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</si>
  <si>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</si>
  <si>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</si>
  <si>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</si>
  <si>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</si>
  <si>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</si>
  <si>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</si>
  <si>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</si>
  <si>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</si>
  <si>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</si>
  <si>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</si>
  <si>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</si>
  <si>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</si>
  <si>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</si>
  <si>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</si>
  <si>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</si>
  <si>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</si>
  <si>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</si>
  <si>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</si>
  <si>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</si>
  <si>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</si>
  <si>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</si>
  <si>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</si>
  <si>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</si>
  <si>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</si>
  <si>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</si>
  <si>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</si>
  <si>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</si>
  <si>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</si>
  <si>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</si>
  <si>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</si>
  <si>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</si>
  <si>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</si>
  <si>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</si>
  <si>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</si>
  <si>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</si>
  <si>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</si>
  <si>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</si>
  <si>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</si>
  <si>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</si>
  <si>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</si>
  <si>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</si>
  <si>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</si>
  <si>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</si>
  <si>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</si>
  <si>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</si>
  <si>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</si>
  <si>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</si>
  <si>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</si>
  <si>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</si>
  <si>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</si>
  <si>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</si>
  <si>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</si>
  <si>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</si>
  <si>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</si>
  <si>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</si>
  <si>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</si>
  <si>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</si>
  <si>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</si>
  <si>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</si>
  <si>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</si>
  <si>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</si>
  <si>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</si>
  <si>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</si>
  <si>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</si>
  <si>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</si>
  <si>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</si>
  <si>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</si>
  <si>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</si>
  <si>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</si>
  <si>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</si>
  <si>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</si>
  <si>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</si>
  <si>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</si>
  <si>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</si>
  <si>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</si>
  <si>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</si>
  <si>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</si>
  <si>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</si>
  <si>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</si>
  <si>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</si>
  <si>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</si>
  <si>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</si>
  <si>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</si>
  <si>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</si>
  <si>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</si>
  <si>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</si>
  <si>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</si>
  <si>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</si>
  <si>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</si>
  <si>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</si>
  <si>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</si>
  <si>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</si>
  <si>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</si>
  <si>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</si>
  <si>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</si>
  <si>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</si>
  <si>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</si>
  <si>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</si>
  <si>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</si>
  <si>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</si>
  <si>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</si>
  <si>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</si>
  <si>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</si>
  <si>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</si>
  <si>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</si>
  <si>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</si>
  <si>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</si>
  <si>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</si>
  <si>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</si>
  <si>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</si>
  <si>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</si>
  <si>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</si>
  <si>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</si>
  <si>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</si>
  <si>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</si>
  <si>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</si>
  <si>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</si>
  <si>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</si>
  <si>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</si>
  <si>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</si>
  <si>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</si>
  <si>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</si>
  <si>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</si>
  <si>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</si>
  <si>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</si>
  <si>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</si>
  <si>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</si>
  <si>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</si>
  <si>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</si>
  <si>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</si>
  <si>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</si>
  <si>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</si>
  <si>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</si>
  <si>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</si>
  <si>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</si>
  <si>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</si>
  <si>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</si>
  <si>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</si>
  <si>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</si>
  <si>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</si>
  <si>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</si>
  <si>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</si>
  <si>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</si>
  <si>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</si>
  <si>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</si>
  <si>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</si>
  <si>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</si>
  <si>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</si>
  <si>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</si>
  <si>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</si>
  <si>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</si>
  <si>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</si>
  <si>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</si>
  <si>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</si>
  <si>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</si>
  <si>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</si>
  <si>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</si>
  <si>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</si>
  <si>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</si>
  <si>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</si>
  <si>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</si>
  <si>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</si>
  <si>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</si>
  <si>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</si>
  <si>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</si>
  <si>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</si>
  <si>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</si>
  <si>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</si>
  <si>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</si>
  <si>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</si>
  <si>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</si>
  <si>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</si>
  <si>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</si>
  <si>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</si>
  <si>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</si>
  <si>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</si>
  <si>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</si>
  <si>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</si>
  <si>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</si>
  <si>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</si>
  <si>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</si>
  <si>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</si>
  <si>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</si>
  <si>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</si>
  <si>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</si>
  <si>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</si>
  <si>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</si>
  <si>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</si>
  <si>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</si>
  <si>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</si>
  <si>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</si>
  <si>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</si>
  <si>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</si>
  <si>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</si>
  <si>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</si>
  <si>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</si>
  <si>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</si>
  <si>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</si>
  <si>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</si>
  <si>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</si>
  <si>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</si>
  <si>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</si>
  <si>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</si>
  <si>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</si>
  <si>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</si>
  <si>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</si>
  <si>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</si>
  <si>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</si>
  <si>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</si>
  <si>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</si>
  <si>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</si>
  <si>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</si>
  <si>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</si>
  <si>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</si>
  <si>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</si>
  <si>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</si>
  <si>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</si>
  <si>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</si>
  <si>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</si>
  <si>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</si>
  <si>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</si>
  <si>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</si>
  <si>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</si>
  <si>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</si>
  <si>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</si>
  <si>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</si>
  <si>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</si>
  <si>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</si>
  <si>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</si>
  <si>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</si>
  <si>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</si>
  <si>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</si>
  <si>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</si>
  <si>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</si>
  <si>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</si>
  <si>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</si>
  <si>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</si>
  <si>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</si>
  <si>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</si>
  <si>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</si>
  <si>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</si>
  <si>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</si>
  <si>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</si>
  <si>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</si>
  <si>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</si>
  <si>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</si>
  <si>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</si>
  <si>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</si>
  <si>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</si>
  <si>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</si>
  <si>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</si>
  <si>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</si>
  <si>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</si>
  <si>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</si>
  <si>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</si>
  <si>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</si>
  <si>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</si>
  <si>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</si>
  <si>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</si>
  <si>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</si>
  <si>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</si>
  <si>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</si>
  <si>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</si>
  <si>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</si>
  <si>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</si>
  <si>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</si>
  <si>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</si>
  <si>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</si>
  <si>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</si>
  <si>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</si>
  <si>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</si>
  <si>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</si>
  <si>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</si>
  <si>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</si>
  <si>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</si>
  <si>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</si>
  <si>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</si>
  <si>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</si>
  <si>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</si>
  <si>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</si>
  <si>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</si>
  <si>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</si>
  <si>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</si>
  <si>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</si>
  <si>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</si>
  <si>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</si>
  <si>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</si>
  <si>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</si>
  <si>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</si>
  <si>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</si>
  <si>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</si>
  <si>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</si>
  <si>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</si>
  <si>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</si>
  <si>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</si>
  <si>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</si>
  <si>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</si>
  <si>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</si>
  <si>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</si>
  <si>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</si>
  <si>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</si>
  <si>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</si>
  <si>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</si>
  <si>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</si>
  <si>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</si>
  <si>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</si>
  <si>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</si>
  <si>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</si>
  <si>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</si>
  <si>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</si>
  <si>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</si>
  <si>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</si>
  <si>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</si>
  <si>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</si>
  <si>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</si>
  <si>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</si>
  <si>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</si>
  <si>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</si>
  <si>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</si>
  <si>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</si>
  <si>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</si>
  <si>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</si>
  <si>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</si>
  <si>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</si>
  <si>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</si>
  <si>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</si>
  <si>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</si>
  <si>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</si>
  <si>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</si>
  <si>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</si>
  <si>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</si>
  <si>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</si>
  <si>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</si>
  <si>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</si>
  <si>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</si>
  <si>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</si>
  <si>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</si>
  <si>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</si>
  <si>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</si>
  <si>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</si>
  <si>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</si>
  <si>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</si>
  <si>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</si>
  <si>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</si>
  <si>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</si>
  <si>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</si>
  <si>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</si>
  <si>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</si>
  <si>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</si>
  <si>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</si>
  <si>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</si>
  <si>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</si>
  <si>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</si>
  <si>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</si>
  <si>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</si>
  <si>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</si>
  <si>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</si>
  <si>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</si>
  <si>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</si>
  <si>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</si>
  <si>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</si>
  <si>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</si>
  <si>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</si>
  <si>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</si>
  <si>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</si>
  <si>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</si>
  <si>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</si>
  <si>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</si>
  <si>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</si>
  <si>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</si>
  <si>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</si>
  <si>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</si>
  <si>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</si>
  <si>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</si>
  <si>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</si>
  <si>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</si>
  <si>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</si>
  <si>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</si>
  <si>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</si>
  <si>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</si>
  <si>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</si>
  <si>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</si>
  <si>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</si>
  <si>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</si>
  <si>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</si>
  <si>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</si>
  <si>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</si>
  <si>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</si>
  <si>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</si>
  <si>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</si>
  <si>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</si>
  <si>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</si>
  <si>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</si>
  <si>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</si>
  <si>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</si>
  <si>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</si>
  <si>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</si>
  <si>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</si>
  <si>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</si>
  <si>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</si>
  <si>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</si>
  <si>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</si>
  <si>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</si>
  <si>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</si>
  <si>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</si>
  <si>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</si>
  <si>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</si>
  <si>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</si>
  <si>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</si>
  <si>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</si>
  <si>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</si>
  <si>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</si>
  <si>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</si>
  <si>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</si>
  <si>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</si>
  <si>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</si>
  <si>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</si>
  <si>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</si>
  <si>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</si>
  <si>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</si>
  <si>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</si>
  <si>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</si>
  <si>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</si>
  <si>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</si>
  <si>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</si>
  <si>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</si>
  <si>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</si>
  <si>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</si>
  <si>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</si>
  <si>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</si>
  <si>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</si>
  <si>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</si>
  <si>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</si>
  <si>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</si>
  <si>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</si>
  <si>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</si>
  <si>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</si>
  <si>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</si>
  <si>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</si>
  <si>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</si>
  <si>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</si>
  <si>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</si>
  <si>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</si>
  <si>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</si>
  <si>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</si>
  <si>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</si>
  <si>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</si>
  <si>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</si>
  <si>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</si>
  <si>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</si>
  <si>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</si>
  <si>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</si>
  <si>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</si>
  <si>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</si>
  <si>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</si>
  <si>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</si>
  <si>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</si>
  <si>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</si>
  <si>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</si>
  <si>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</si>
  <si>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</si>
  <si>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</si>
  <si>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</si>
  <si>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</si>
  <si>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</si>
  <si>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</si>
  <si>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</si>
  <si>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</si>
  <si>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</si>
  <si>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</si>
  <si>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</si>
  <si>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</si>
  <si>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</si>
  <si>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</si>
  <si>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</si>
  <si>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</si>
  <si>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</si>
  <si>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</si>
  <si>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</si>
  <si>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</si>
  <si>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</si>
  <si>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</si>
  <si>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</si>
  <si>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</si>
  <si>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</si>
  <si>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</si>
  <si>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</si>
  <si>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</si>
  <si>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</si>
  <si>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</si>
  <si>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</si>
  <si>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</si>
  <si>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</si>
  <si>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</si>
  <si>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</si>
  <si>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</si>
  <si>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</si>
  <si>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</si>
  <si>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</si>
  <si>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</si>
  <si>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</si>
  <si>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</si>
  <si>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</si>
  <si>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</si>
  <si>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</si>
  <si>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</si>
  <si>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</si>
  <si>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</si>
  <si>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</si>
  <si>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</si>
  <si>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</si>
  <si>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</si>
  <si>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</si>
  <si>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</si>
  <si>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</si>
  <si>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</si>
  <si>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</si>
  <si>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</si>
  <si>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</si>
  <si>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</si>
  <si>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</si>
  <si>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</si>
  <si>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</si>
  <si>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</si>
  <si>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</si>
  <si>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</si>
  <si>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</si>
  <si>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</si>
  <si>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</si>
  <si>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</si>
  <si>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</si>
  <si>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</si>
  <si>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</si>
  <si>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</si>
  <si>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</si>
  <si>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</si>
  <si>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</si>
  <si>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</si>
  <si>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</si>
  <si>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</si>
  <si>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</si>
  <si>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</si>
  <si>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</si>
  <si>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</si>
  <si>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</si>
  <si>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</si>
  <si>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</si>
  <si>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</si>
  <si>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</si>
  <si>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</si>
  <si>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</si>
  <si>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</si>
  <si>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</si>
  <si>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</si>
  <si>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</si>
  <si>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</si>
  <si>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</si>
  <si>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</si>
  <si>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</si>
  <si>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</si>
  <si>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</si>
  <si>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</si>
  <si>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</si>
  <si>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</si>
  <si>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</si>
  <si>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</si>
  <si>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</si>
  <si>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</si>
  <si>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</si>
  <si>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</si>
  <si>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</si>
  <si>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</si>
  <si>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</si>
  <si>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</si>
  <si>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</si>
  <si>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</si>
  <si>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</si>
  <si>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</si>
  <si>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</si>
  <si>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</si>
  <si>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</si>
  <si>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</si>
  <si>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</si>
  <si>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</si>
  <si>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</si>
  <si>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</si>
  <si>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</si>
  <si>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</si>
  <si>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</si>
  <si>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</si>
  <si>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</si>
  <si>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</si>
  <si>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</si>
  <si>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</si>
  <si>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</si>
  <si>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</si>
  <si>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</si>
  <si>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</si>
  <si>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</si>
  <si>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</si>
  <si>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</si>
  <si>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</si>
  <si>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</si>
  <si>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</si>
  <si>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</si>
  <si>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</si>
  <si>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</si>
  <si>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</si>
  <si>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</si>
  <si>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</si>
  <si>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</si>
  <si>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</si>
  <si>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</si>
  <si>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</si>
  <si>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</si>
  <si>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</si>
  <si>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</si>
  <si>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</si>
  <si>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</si>
  <si>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</si>
  <si>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</si>
  <si>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</si>
  <si>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</si>
  <si>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</si>
  <si>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</si>
  <si>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</si>
  <si>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</si>
  <si>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</si>
  <si>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</si>
  <si>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</si>
  <si>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</si>
  <si>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</si>
  <si>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</si>
  <si>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</si>
  <si>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</si>
  <si>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</si>
  <si>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</si>
  <si>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</si>
  <si>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</si>
  <si>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</si>
  <si>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</si>
  <si>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</si>
  <si>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</si>
  <si>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</si>
  <si>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</si>
  <si>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</si>
  <si>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</si>
  <si>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</si>
  <si>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</si>
  <si>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</si>
  <si>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</si>
  <si>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</si>
  <si>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</si>
  <si>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</si>
  <si>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</si>
  <si>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</si>
  <si>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</si>
  <si>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</si>
  <si>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</si>
  <si>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</si>
  <si>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</si>
  <si>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</si>
  <si>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</si>
  <si>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</si>
  <si>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</si>
  <si>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</si>
  <si>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</si>
  <si>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</si>
  <si>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</si>
  <si>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</si>
  <si>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</si>
  <si>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</si>
  <si>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</si>
  <si>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</si>
  <si>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</si>
  <si>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</si>
  <si>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</si>
  <si>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</si>
  <si>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</si>
  <si>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</si>
  <si>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</si>
  <si>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</si>
  <si>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</si>
  <si>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</si>
  <si>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</si>
  <si>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</si>
  <si>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</si>
  <si>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</si>
  <si>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</si>
  <si>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</si>
  <si>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</si>
  <si>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</si>
  <si>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</si>
  <si>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</si>
  <si>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</si>
  <si>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</si>
  <si>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</si>
  <si>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</si>
  <si>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</si>
  <si>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</si>
  <si>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</si>
  <si>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</si>
  <si>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</si>
  <si>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</si>
  <si>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</si>
  <si>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</si>
  <si>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</si>
  <si>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</si>
  <si>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</si>
  <si>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</si>
  <si>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</si>
  <si>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</si>
  <si>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</si>
  <si>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</si>
  <si>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</si>
  <si>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</si>
  <si>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</si>
  <si>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</si>
  <si>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</si>
  <si>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</si>
  <si>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</si>
  <si>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</si>
  <si>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</si>
  <si>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</si>
  <si>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</si>
  <si>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</si>
  <si>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</si>
  <si>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</si>
  <si>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</si>
  <si>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</si>
  <si>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</si>
  <si>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</si>
  <si>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</si>
  <si>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</si>
  <si>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</si>
  <si>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</si>
  <si>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</si>
  <si>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</si>
  <si>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</si>
  <si>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</si>
  <si>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</si>
  <si>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</si>
  <si>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</si>
  <si>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</si>
  <si>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</si>
  <si>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</si>
  <si>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</si>
  <si>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</si>
  <si>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</si>
  <si>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</si>
  <si>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</si>
  <si>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</si>
  <si>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</si>
  <si>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</si>
  <si>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</si>
  <si>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</si>
  <si>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</si>
  <si>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</si>
  <si>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</si>
  <si>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</si>
  <si>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</si>
  <si>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</si>
  <si>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</si>
  <si>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</si>
  <si>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</si>
  <si>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</si>
  <si>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</si>
  <si>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</si>
  <si>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</si>
  <si>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</si>
  <si>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</si>
  <si>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</si>
  <si>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</si>
  <si>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</si>
  <si>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</si>
  <si>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</si>
  <si>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</si>
  <si>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</si>
  <si>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</si>
  <si>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</si>
  <si>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</si>
  <si>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</si>
  <si>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</si>
  <si>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</si>
  <si>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</si>
  <si>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</si>
  <si>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</si>
  <si>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</si>
  <si>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</si>
  <si>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</si>
  <si>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</si>
  <si>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</si>
  <si>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</si>
  <si>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</si>
  <si>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</si>
  <si>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</si>
  <si>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</si>
  <si>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</si>
  <si>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</si>
  <si>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</si>
  <si>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</si>
  <si>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</si>
  <si>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</si>
  <si>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</si>
  <si>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</si>
  <si>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</si>
  <si>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</si>
  <si>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</si>
  <si>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</si>
  <si>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</si>
  <si>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</si>
  <si>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</si>
  <si>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</si>
  <si>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</si>
  <si>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</si>
  <si>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</si>
  <si>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</si>
  <si>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</si>
  <si>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</si>
  <si>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</si>
  <si>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</si>
  <si>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</si>
  <si>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</si>
  <si>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</si>
  <si>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</si>
  <si>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</si>
  <si>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</si>
  <si>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</si>
  <si>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</si>
  <si>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</si>
  <si>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</si>
  <si>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</si>
  <si>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</si>
  <si>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</si>
  <si>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</si>
  <si>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</si>
  <si>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</si>
  <si>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</si>
  <si>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</si>
  <si>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</si>
  <si>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</si>
  <si>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</si>
  <si>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</si>
  <si>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</si>
  <si>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</si>
  <si>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</si>
  <si>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</si>
  <si>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</si>
  <si>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</si>
  <si>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</si>
  <si>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</si>
  <si>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</si>
  <si>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</si>
  <si>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</si>
  <si>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</si>
  <si>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</si>
  <si>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</si>
  <si>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</si>
  <si>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</si>
  <si>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</si>
  <si>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</si>
  <si>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</si>
  <si>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</si>
  <si>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</si>
  <si>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</si>
  <si>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</si>
  <si>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</si>
  <si>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</si>
  <si>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</si>
  <si>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</si>
  <si>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</si>
  <si>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</si>
  <si>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</si>
  <si>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</si>
  <si>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</si>
  <si>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</si>
  <si>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</si>
  <si>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</si>
  <si>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</si>
  <si>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</si>
  <si>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</si>
  <si>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</si>
  <si>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</si>
  <si>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</si>
  <si>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</si>
  <si>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</si>
  <si>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</si>
  <si>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</si>
  <si>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</si>
  <si>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</si>
  <si>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</si>
  <si>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</si>
  <si>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</si>
  <si>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</si>
  <si>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</si>
  <si>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</si>
  <si>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</si>
  <si>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</si>
  <si>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</si>
  <si>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</si>
  <si>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</si>
  <si>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</si>
  <si>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</si>
  <si>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</si>
  <si>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</si>
  <si>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</si>
  <si>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</si>
  <si>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</si>
  <si>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</si>
  <si>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</si>
  <si>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</si>
  <si>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</si>
  <si>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</si>
  <si>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</si>
  <si>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</si>
  <si>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</si>
  <si>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</si>
  <si>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</si>
  <si>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</si>
  <si>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</si>
  <si>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</si>
  <si>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</si>
  <si>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</si>
  <si>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</si>
  <si>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</si>
  <si>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</si>
  <si>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</si>
  <si>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</si>
  <si>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</si>
  <si>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</si>
  <si>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</si>
  <si>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</si>
  <si>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</si>
  <si>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</si>
  <si>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</si>
  <si>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</si>
  <si>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</si>
  <si>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</si>
  <si>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</si>
  <si>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</si>
  <si>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</si>
  <si>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</si>
  <si>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</si>
  <si>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</si>
  <si>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</si>
  <si>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</si>
  <si>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</si>
  <si>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</si>
  <si>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</si>
  <si>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</si>
  <si>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</si>
  <si>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</si>
  <si>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</si>
  <si>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</si>
  <si>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</si>
  <si>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</si>
  <si>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</si>
  <si>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</si>
  <si>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</si>
  <si>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</si>
  <si>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</si>
  <si>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</si>
  <si>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</si>
  <si>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</si>
  <si>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</si>
  <si>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</si>
  <si>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</si>
  <si>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</si>
  <si>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</si>
  <si>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</si>
  <si>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</si>
  <si>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</si>
  <si>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</si>
  <si>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</si>
  <si>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</si>
  <si>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</si>
  <si>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</si>
  <si>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</si>
  <si>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</si>
  <si>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</si>
  <si>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</si>
  <si>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</si>
  <si>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</si>
  <si>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</si>
  <si>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</si>
  <si>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</si>
  <si>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</si>
  <si>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</si>
  <si>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</si>
  <si>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</si>
  <si>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</si>
  <si>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</si>
  <si>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</si>
  <si>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</si>
  <si>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</si>
  <si>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</si>
  <si>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</si>
  <si>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</si>
  <si>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</si>
  <si>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</si>
  <si>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</si>
  <si>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</si>
  <si>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</si>
  <si>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</si>
  <si>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</si>
  <si>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</si>
  <si>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</si>
  <si>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</si>
  <si>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</si>
  <si>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</si>
  <si>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</si>
  <si>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</si>
  <si>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</si>
  <si>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</si>
  <si>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</si>
  <si>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</si>
  <si>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</si>
  <si>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</si>
  <si>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</si>
  <si>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</si>
  <si>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</si>
  <si>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</si>
  <si>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</si>
  <si>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</si>
  <si>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</si>
  <si>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</si>
  <si>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</si>
  <si>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</si>
  <si>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</si>
  <si>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</si>
  <si>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</si>
  <si>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</si>
  <si>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</si>
  <si>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</si>
  <si>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</si>
  <si>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</si>
  <si>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</si>
  <si>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</si>
  <si>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</si>
  <si>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</si>
  <si>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</si>
  <si>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</si>
  <si>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</si>
  <si>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</si>
  <si>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</si>
  <si>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</si>
  <si>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</si>
  <si>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</si>
  <si>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</si>
  <si>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</si>
  <si>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</si>
  <si>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</si>
  <si>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</si>
  <si>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</si>
  <si>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</si>
  <si>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</si>
  <si>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</si>
  <si>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</si>
  <si>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</si>
  <si>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</si>
  <si>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</si>
  <si>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</si>
  <si>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</si>
  <si>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</si>
  <si>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</si>
  <si>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</si>
  <si>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</si>
  <si>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</si>
  <si>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</si>
  <si>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</si>
  <si>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</si>
  <si>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</si>
  <si>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</si>
  <si>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</si>
  <si>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</si>
  <si>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</si>
  <si>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</si>
  <si>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</si>
  <si>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</si>
  <si>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</si>
  <si>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</si>
  <si>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</si>
  <si>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</si>
  <si>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</si>
  <si>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</si>
  <si>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</si>
  <si>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</si>
  <si>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</si>
  <si>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</si>
  <si>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</si>
  <si>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</si>
  <si>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</si>
  <si>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</si>
  <si>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</si>
  <si>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</si>
  <si>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</si>
  <si>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</si>
  <si>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</si>
  <si>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</si>
  <si>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</si>
  <si>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</si>
  <si>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</si>
  <si>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</si>
  <si>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</si>
  <si>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</si>
  <si>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</si>
  <si>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</si>
  <si>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</si>
  <si>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</si>
  <si>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</si>
  <si>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</si>
  <si>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</si>
  <si>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</si>
  <si>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</si>
  <si>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</si>
  <si>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</si>
  <si>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</si>
  <si>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</si>
  <si>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</si>
  <si>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</si>
  <si>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</si>
  <si>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</si>
  <si>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</si>
  <si>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</si>
  <si>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</si>
  <si>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</si>
  <si>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</si>
  <si>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</si>
  <si>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</si>
  <si>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</si>
  <si>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</si>
  <si>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</si>
  <si>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</si>
  <si>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</si>
  <si>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</si>
  <si>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</si>
  <si>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</si>
  <si>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</si>
  <si>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</si>
  <si>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</si>
  <si>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</si>
  <si>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</si>
  <si>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</si>
  <si>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</si>
  <si>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</si>
  <si>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</si>
  <si>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</si>
  <si>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</si>
  <si>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</si>
  <si>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</si>
  <si>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</si>
  <si>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</si>
  <si>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</si>
  <si>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</si>
  <si>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</si>
  <si>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</si>
  <si>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</si>
  <si>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</si>
  <si>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</si>
  <si>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</si>
  <si>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</si>
  <si>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</si>
  <si>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</si>
  <si>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</si>
  <si>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</si>
  <si>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</si>
  <si>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</si>
  <si>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</si>
  <si>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</si>
  <si>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</si>
  <si>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</si>
  <si>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</si>
  <si>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</si>
  <si>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</si>
  <si>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</si>
  <si>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</si>
  <si>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</si>
  <si>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</si>
  <si>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</si>
  <si>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</si>
  <si>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</si>
  <si>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</si>
  <si>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</si>
  <si>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</si>
  <si>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</si>
  <si>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</si>
  <si>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</si>
  <si>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</si>
  <si>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</si>
  <si>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</si>
  <si>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</si>
  <si>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</si>
  <si>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</si>
  <si>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</si>
  <si>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</si>
  <si>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</si>
  <si>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</si>
  <si>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</si>
  <si>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</si>
  <si>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</si>
  <si>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</si>
  <si>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</si>
  <si>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</si>
  <si>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</si>
  <si>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</si>
  <si>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</si>
  <si>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</si>
  <si>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</si>
  <si>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</si>
  <si>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</si>
  <si>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</si>
  <si>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</si>
  <si>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</si>
  <si>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</si>
  <si>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</si>
  <si>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</si>
  <si>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</si>
  <si>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</si>
  <si>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</si>
  <si>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</si>
  <si>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</si>
  <si>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</si>
  <si>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</si>
  <si>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</si>
  <si>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</si>
  <si>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</si>
  <si>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</si>
  <si>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</si>
  <si>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</si>
  <si>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</si>
  <si>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</si>
  <si>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</si>
  <si>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</si>
  <si>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</si>
  <si>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</si>
  <si>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</si>
  <si>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</si>
  <si>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</si>
  <si>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</si>
  <si>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</si>
  <si>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</si>
  <si>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</si>
  <si>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</si>
  <si>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</si>
  <si>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</si>
  <si>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</si>
  <si>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</si>
  <si>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</si>
  <si>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</si>
  <si>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</si>
  <si>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</si>
  <si>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</si>
  <si>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</si>
  <si>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</si>
  <si>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</si>
  <si>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</si>
  <si>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</si>
  <si>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</si>
  <si>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</si>
  <si>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</si>
  <si>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</si>
  <si>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</si>
  <si>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</si>
  <si>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</si>
  <si>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</si>
  <si>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</si>
  <si>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</si>
  <si>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</si>
  <si>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</si>
  <si>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</si>
  <si>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</si>
  <si>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</si>
  <si>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</si>
  <si>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</si>
  <si>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</si>
  <si>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</si>
  <si>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</si>
  <si>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</si>
  <si>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</si>
  <si>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</si>
  <si>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</si>
  <si>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</si>
  <si>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</si>
  <si>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</si>
  <si>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</si>
  <si>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</si>
  <si>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</si>
  <si>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</si>
  <si>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</si>
  <si>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</si>
  <si>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</si>
  <si>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</si>
  <si>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</si>
  <si>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</si>
  <si>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</si>
  <si>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</si>
  <si>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</si>
  <si>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</si>
  <si>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</si>
  <si>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</si>
  <si>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</si>
  <si>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</si>
  <si>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</si>
  <si>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</si>
  <si>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</si>
  <si>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</si>
  <si>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</si>
  <si>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</si>
  <si>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</si>
  <si>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</si>
  <si>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</si>
  <si>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</si>
  <si>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</si>
  <si>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</si>
  <si>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</si>
  <si>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</si>
  <si>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</si>
  <si>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</si>
  <si>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</si>
  <si>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</si>
  <si>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</si>
  <si>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</si>
  <si>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</si>
  <si>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</si>
  <si>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</si>
  <si>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</si>
  <si>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</si>
  <si>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</si>
  <si>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</si>
  <si>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</si>
  <si>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</si>
  <si>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</si>
  <si>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</si>
  <si>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</si>
  <si>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</si>
  <si>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</si>
  <si>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</si>
  <si>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</si>
  <si>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</si>
  <si>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</si>
  <si>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</si>
  <si>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</si>
  <si>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</si>
  <si>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</si>
  <si>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</si>
  <si>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</si>
  <si>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</si>
  <si>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</si>
  <si>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</si>
  <si>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</si>
  <si>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</si>
  <si>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</si>
  <si>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</si>
  <si>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</si>
  <si>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</si>
  <si>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</si>
  <si>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</si>
  <si>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</si>
  <si>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</si>
  <si>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</si>
  <si>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</si>
  <si>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</si>
  <si>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</si>
  <si>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</si>
  <si>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</si>
  <si>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</si>
  <si>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</si>
  <si>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</si>
  <si>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</si>
  <si>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</si>
  <si>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</si>
  <si>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</si>
  <si>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</si>
  <si>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</si>
  <si>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</si>
  <si>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</si>
  <si>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</si>
  <si>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</si>
  <si>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</si>
  <si>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</si>
  <si>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</si>
  <si>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</si>
  <si>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</si>
  <si>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</si>
  <si>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</si>
  <si>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</si>
  <si>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</si>
  <si>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</si>
  <si>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</si>
  <si>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</si>
  <si>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</si>
  <si>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</si>
  <si>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</si>
  <si>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</si>
  <si>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</si>
  <si>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</si>
  <si>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</si>
  <si>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</si>
  <si>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</si>
  <si>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</si>
  <si>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</si>
  <si>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</si>
  <si>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</si>
  <si>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</si>
  <si>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</si>
  <si>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</si>
  <si>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</si>
  <si>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</si>
  <si>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</si>
  <si>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</si>
  <si>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</si>
  <si>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</si>
  <si>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</si>
  <si>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</si>
  <si>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</si>
  <si>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</si>
  <si>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</si>
  <si>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</si>
  <si>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</si>
  <si>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</si>
  <si>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</si>
  <si>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</si>
  <si>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</si>
  <si>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</si>
  <si>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</si>
  <si>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</si>
  <si>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</si>
  <si>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</si>
  <si>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</si>
  <si>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</si>
  <si>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</si>
  <si>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</si>
  <si>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</si>
  <si>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</si>
  <si>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</si>
  <si>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</si>
  <si>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</si>
  <si>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</si>
  <si>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</si>
  <si>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</si>
  <si>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</si>
  <si>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</si>
  <si>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</si>
  <si>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</si>
  <si>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</si>
  <si>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</si>
  <si>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</si>
  <si>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</si>
  <si>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</si>
  <si>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</si>
  <si>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</si>
  <si>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</si>
  <si>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</si>
  <si>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</si>
  <si>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</si>
  <si>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</si>
  <si>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</si>
  <si>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</si>
  <si>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</si>
  <si>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</si>
  <si>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</si>
  <si>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</si>
  <si>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</si>
  <si>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</si>
  <si>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</si>
  <si>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</si>
  <si>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</si>
  <si>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</si>
  <si>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</si>
  <si>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</si>
  <si>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</si>
  <si>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</si>
  <si>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</si>
  <si>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</si>
  <si>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</si>
  <si>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</si>
  <si>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</si>
  <si>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</si>
  <si>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</si>
  <si>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</si>
  <si>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</si>
  <si>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</si>
  <si>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</si>
  <si>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</si>
  <si>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</si>
  <si>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</si>
  <si>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</si>
  <si>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</si>
  <si>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</si>
  <si>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</si>
  <si>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</si>
  <si>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</si>
  <si>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</si>
  <si>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</si>
  <si>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</si>
  <si>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</si>
  <si>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</si>
  <si>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</si>
  <si>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</si>
  <si>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</si>
  <si>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</si>
  <si>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</si>
  <si>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</si>
  <si>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</si>
  <si>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</si>
  <si>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</si>
  <si>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</si>
  <si>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</si>
  <si>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</si>
  <si>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</si>
  <si>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</si>
  <si>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</si>
  <si>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</si>
  <si>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</si>
  <si>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</si>
  <si>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</si>
  <si>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</si>
  <si>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</si>
  <si>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</si>
  <si>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</si>
  <si>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</si>
  <si>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</si>
  <si>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</si>
  <si>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</si>
  <si>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</si>
  <si>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</si>
  <si>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</si>
  <si>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</si>
  <si>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</si>
  <si>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</si>
  <si>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</si>
  <si>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</si>
  <si>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</si>
  <si>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</si>
  <si>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</si>
  <si>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</si>
  <si>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</si>
  <si>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</si>
  <si>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</si>
  <si>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</si>
  <si>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</si>
  <si>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</si>
  <si>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</si>
  <si>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</si>
  <si>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</si>
  <si>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</si>
  <si>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</si>
  <si>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</si>
  <si>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</si>
  <si>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</si>
  <si>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</si>
  <si>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</si>
  <si>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</si>
  <si>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</si>
  <si>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</si>
  <si>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</si>
  <si>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</si>
  <si>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</si>
  <si>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</si>
  <si>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</si>
  <si>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</si>
  <si>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</si>
  <si>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</si>
  <si>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</si>
  <si>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</si>
  <si>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</si>
  <si>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</si>
  <si>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</si>
  <si>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</si>
  <si>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</si>
  <si>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</si>
  <si>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</si>
  <si>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</si>
  <si>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</si>
  <si>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</si>
  <si>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</si>
  <si>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</si>
  <si>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</si>
  <si>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</si>
  <si>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</si>
  <si>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</si>
  <si>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</si>
  <si>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</si>
  <si>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</si>
  <si>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</si>
  <si>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</si>
  <si>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</si>
  <si>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</si>
  <si>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</si>
  <si>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</si>
  <si>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</si>
  <si>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</si>
  <si>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</si>
  <si>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</si>
  <si>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</si>
  <si>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</si>
  <si>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</si>
  <si>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</si>
  <si>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</si>
  <si>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</si>
  <si>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</si>
  <si>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</si>
  <si>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</si>
  <si>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</si>
  <si>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</si>
  <si>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</si>
  <si>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</si>
  <si>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</si>
  <si>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</si>
  <si>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</si>
  <si>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</si>
  <si>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</si>
  <si>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</si>
  <si>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</si>
  <si>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</si>
  <si>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</si>
  <si>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</si>
  <si>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</si>
  <si>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</si>
  <si>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</si>
  <si>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</si>
  <si>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</si>
  <si>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</si>
  <si>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</si>
  <si>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</si>
  <si>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</si>
  <si>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</si>
  <si>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</si>
  <si>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</si>
  <si>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</si>
  <si>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</si>
  <si>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</si>
  <si>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</si>
  <si>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</si>
  <si>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</si>
  <si>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</si>
  <si>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</si>
  <si>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</si>
  <si>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</si>
  <si>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</si>
  <si>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</si>
  <si>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</si>
  <si>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</si>
  <si>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</si>
  <si>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</si>
  <si>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</si>
  <si>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</si>
  <si>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</si>
  <si>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</si>
  <si>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</si>
  <si>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</si>
  <si>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</si>
  <si>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</si>
  <si>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</si>
  <si>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</si>
  <si>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</si>
  <si>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</si>
  <si>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</si>
  <si>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</si>
  <si>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</si>
  <si>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</si>
  <si>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</si>
  <si>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</si>
  <si>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</si>
  <si>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</si>
  <si>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</si>
  <si>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</si>
  <si>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</si>
  <si>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</si>
  <si>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</si>
  <si>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</si>
  <si>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</si>
  <si>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</si>
  <si>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</si>
  <si>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</si>
  <si>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</si>
  <si>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</si>
  <si>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</si>
  <si>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</si>
  <si>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</si>
  <si>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</si>
  <si>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</si>
  <si>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</si>
  <si>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</si>
  <si>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</si>
  <si>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</si>
  <si>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</si>
  <si>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</si>
  <si>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</si>
  <si>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</si>
  <si>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</si>
  <si>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</si>
  <si>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</si>
  <si>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</si>
  <si>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</si>
  <si>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</si>
  <si>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</si>
  <si>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</si>
  <si>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</si>
  <si>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</si>
  <si>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</si>
  <si>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</si>
  <si>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</si>
  <si>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</si>
  <si>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</si>
  <si>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</si>
  <si>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</si>
  <si>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</si>
  <si>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</si>
  <si>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</si>
  <si>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</si>
  <si>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</si>
  <si>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</si>
  <si>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</si>
  <si>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</si>
  <si>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</si>
  <si>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</si>
  <si>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</si>
  <si>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</si>
  <si>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</si>
  <si>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</si>
  <si>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</si>
  <si>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L000009975 Darmstadt -G</t>
  </si>
  <si>
    <t>L000013770 GPO - Ext Manufact &amp; Global Tech Transfe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</si>
  <si>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</si>
  <si>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</si>
  <si>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</si>
  <si>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</si>
  <si>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</si>
  <si>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</si>
  <si>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</si>
  <si>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</si>
  <si>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</si>
  <si>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</si>
  <si>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</si>
  <si>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</si>
  <si>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H000000709</t>
  </si>
  <si>
    <t>H000000648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</si>
  <si>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</si>
  <si>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</si>
  <si>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</si>
  <si>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</si>
  <si>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</si>
  <si>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</si>
  <si>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L000006951 PSMMOR1945.5695 5695 Provantage Mar-G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</si>
  <si>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</si>
  <si>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</si>
  <si>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</si>
  <si>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</si>
  <si>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</si>
  <si>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</si>
  <si>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</si>
  <si>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</si>
  <si>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</si>
  <si>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</si>
  <si>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</si>
  <si>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</si>
  <si>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</si>
  <si>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</si>
  <si>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</si>
  <si>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</si>
  <si>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</si>
  <si>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</si>
  <si>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</si>
  <si>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</si>
  <si>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</si>
  <si>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</si>
  <si>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</si>
  <si>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</si>
  <si>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</si>
  <si>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</si>
  <si>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</si>
  <si>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</si>
  <si>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</si>
  <si>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</si>
  <si>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</si>
  <si>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</si>
  <si>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</si>
  <si>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</si>
  <si>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</si>
  <si>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</si>
  <si>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</si>
  <si>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</si>
  <si>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G000000282</t>
  </si>
  <si>
    <t>FR7298409</t>
  </si>
  <si>
    <t>FR7298416</t>
  </si>
  <si>
    <t>L000012908</t>
  </si>
  <si>
    <t>L000010065 Other Supply Chain &amp; Distribution -G</t>
  </si>
  <si>
    <t>FR7298556</t>
  </si>
  <si>
    <t>L000009975</t>
  </si>
  <si>
    <t>L000013693 SLS Tradeshows Team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</si>
  <si>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</si>
  <si>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</si>
  <si>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</si>
  <si>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</si>
  <si>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</si>
  <si>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</si>
  <si>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</si>
  <si>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</si>
  <si>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</si>
  <si>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</si>
  <si>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</si>
  <si>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</si>
  <si>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</si>
  <si>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</si>
  <si>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</si>
  <si>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</si>
  <si>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</si>
  <si>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</si>
  <si>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</si>
  <si>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</si>
  <si>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</si>
  <si>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</si>
  <si>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</si>
  <si>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</si>
  <si>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</si>
  <si>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</si>
  <si>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</si>
  <si>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</si>
  <si>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</si>
  <si>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</si>
  <si>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</si>
  <si>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</si>
  <si>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</si>
  <si>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</si>
  <si>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</si>
  <si>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</si>
  <si>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</si>
  <si>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</si>
  <si>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</si>
  <si>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</si>
  <si>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</si>
  <si>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</si>
  <si>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</si>
  <si>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</si>
  <si>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</si>
  <si>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</si>
  <si>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</si>
  <si>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</si>
  <si>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</si>
  <si>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</si>
  <si>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</si>
  <si>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</si>
  <si>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</si>
  <si>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</si>
  <si>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</si>
  <si>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</si>
  <si>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</si>
  <si>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</si>
  <si>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</si>
  <si>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</si>
  <si>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</si>
  <si>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</si>
  <si>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</si>
  <si>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</si>
  <si>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</si>
  <si>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</si>
  <si>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</si>
  <si>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</si>
  <si>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</si>
  <si>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</si>
  <si>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</si>
  <si>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</si>
  <si>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</si>
  <si>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</si>
  <si>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</si>
  <si>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</si>
  <si>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</si>
  <si>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</si>
  <si>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</si>
  <si>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</si>
  <si>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</si>
  <si>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</si>
  <si>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</si>
  <si>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</si>
  <si>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</si>
  <si>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</si>
  <si>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</si>
  <si>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</si>
  <si>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</si>
  <si>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</si>
  <si>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</si>
  <si>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</si>
  <si>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</si>
  <si>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</si>
  <si>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</si>
  <si>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</si>
  <si>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</si>
  <si>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</si>
  <si>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</si>
  <si>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</si>
  <si>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</si>
  <si>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</si>
  <si>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</si>
  <si>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</si>
  <si>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</si>
  <si>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</si>
  <si>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</si>
  <si>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</si>
  <si>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</si>
  <si>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</si>
  <si>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</si>
  <si>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>LEAN_X310512SE5020000</t>
  </si>
  <si>
    <t>LEAN_X310512SE5022000</t>
  </si>
  <si>
    <t>LEAN_X310512SE5023000</t>
  </si>
  <si>
    <t>LEAN_X310101SE5015000</t>
  </si>
  <si>
    <t>LEAN_X310102SE5020000</t>
  </si>
  <si>
    <t>LEAN_X310102SE5022000</t>
  </si>
  <si>
    <t>LEAN_X310202SE5020000</t>
  </si>
  <si>
    <t>LEAN_X310202SE5022000</t>
  </si>
  <si>
    <t>LEAN_X310202SE5023000</t>
  </si>
  <si>
    <t>LEAN_X310321FI5030000</t>
  </si>
  <si>
    <t>LEAN_X310512FI5021000</t>
  </si>
  <si>
    <t>LEAN_X310512FI5022000</t>
  </si>
  <si>
    <t>LEAN_X310512FI5023000</t>
  </si>
  <si>
    <t>LEAN_X310101FI5010000</t>
  </si>
  <si>
    <t>LEAN_X310101FI5011000</t>
  </si>
  <si>
    <t>LEAN_X310101FI5013000</t>
  </si>
  <si>
    <t>LEAN_X310101FI5015000</t>
  </si>
  <si>
    <t>LEAN_X310101FI5030000</t>
  </si>
  <si>
    <t>LEAN_X310102FI5020000</t>
  </si>
  <si>
    <t>LEAN_X310102FI5023000</t>
  </si>
  <si>
    <t>LEAN_X310202FI5020000</t>
  </si>
  <si>
    <t>LEAN_X310202FI5023000</t>
  </si>
  <si>
    <t>LEAN_X310512DK5020000</t>
  </si>
  <si>
    <t>LEAN_X310101DK5010000</t>
  </si>
  <si>
    <t>LEAN_X310101DK5013000</t>
  </si>
  <si>
    <t>LEAN_X310202DK5020000</t>
  </si>
  <si>
    <t>LEAN_X310202DK5023000</t>
  </si>
  <si>
    <t>LEAN_X310512NO5020000</t>
  </si>
  <si>
    <t>LEAN_X310512NO5022000</t>
  </si>
  <si>
    <t>LEAN_X310512NO5023000</t>
  </si>
  <si>
    <t>TEMPEU_1000FR40399017_IO</t>
  </si>
  <si>
    <t>LEAN_X310102NO5023000</t>
  </si>
  <si>
    <t>LEAN_X310202NO5020000</t>
  </si>
  <si>
    <t>LEAN_X310202NO5022000</t>
  </si>
  <si>
    <t>LEAN_X310202NO5023000</t>
  </si>
  <si>
    <t>LEAN_X310512EE5020000</t>
  </si>
  <si>
    <t>LEAN_X310512EE5022000</t>
  </si>
  <si>
    <t>LEAN_X310202EE5020000</t>
  </si>
  <si>
    <t>LEAN_X310202EE5022000</t>
  </si>
  <si>
    <t>LEAN_X310202EE5023000</t>
  </si>
  <si>
    <t>LEAN_X310512LT5020000</t>
  </si>
  <si>
    <t>LEAN_X310202LT5022000</t>
  </si>
  <si>
    <t>LEAN_X310321LV5013000</t>
  </si>
  <si>
    <t>LEAN_X310512LV5022000</t>
  </si>
  <si>
    <t>LEAN_X310202LV5020000</t>
  </si>
  <si>
    <t>LEAN_X310202LV5022000</t>
  </si>
  <si>
    <t>LEAN_X310131AT5013000</t>
  </si>
  <si>
    <t>LEAN_X310131AT5015000</t>
  </si>
  <si>
    <t>LEAN_X310321AT5011000</t>
  </si>
  <si>
    <t>LEAN_X310321AT5013000</t>
  </si>
  <si>
    <t>LEAN_X310321AT5015000</t>
  </si>
  <si>
    <t>LEAN_X310512AT5023000</t>
  </si>
  <si>
    <t>LEAN_X310101AT5013000</t>
  </si>
  <si>
    <t>LEAN_X310101AT5015000</t>
  </si>
  <si>
    <t>LEAN_X310102AT5023000</t>
  </si>
  <si>
    <t>LEAN_X310202AT5023000</t>
  </si>
  <si>
    <t>LEAN_X310322AT5020000</t>
  </si>
  <si>
    <t>LEAN_X310322AT5022000</t>
  </si>
  <si>
    <t>LEAN_X310322AT5023000</t>
  </si>
  <si>
    <t>LEAN_X310331AT5013000</t>
  </si>
  <si>
    <t>LEAN_X310331AT5015000</t>
  </si>
  <si>
    <t>LEAN_X310332AT5020000</t>
  </si>
  <si>
    <t>LEAN_X310332AT5022000</t>
  </si>
  <si>
    <t>LEAN_X310332AT5023000</t>
  </si>
  <si>
    <t>LEAN_X310321CZ5010000</t>
  </si>
  <si>
    <t>LEAN_X310321CZ5011000</t>
  </si>
  <si>
    <t>LEAN_X310321CZ5013000</t>
  </si>
  <si>
    <t>LEAN_X310321CZ5015000</t>
  </si>
  <si>
    <t>LEAN_X310321CZ5030000</t>
  </si>
  <si>
    <t>LEAN_X310512CZ5020000</t>
  </si>
  <si>
    <t>LEAN_X310512CZ5021000</t>
  </si>
  <si>
    <t>LEAN_X310512CZ5022000</t>
  </si>
  <si>
    <t>LEAN_X310101CZ5010000</t>
  </si>
  <si>
    <t>LEAN_X310101CZ5013000</t>
  </si>
  <si>
    <t>LEAN_X310101CZ5015000</t>
  </si>
  <si>
    <t>LEAN_X310101CZ5030000</t>
  </si>
  <si>
    <t>LEAN_X310102CZ5020000</t>
  </si>
  <si>
    <t>LEAN_X310202CZ5020000</t>
  </si>
  <si>
    <t>LEAN_X310322CZ5020000</t>
  </si>
  <si>
    <t>LEAN_X310331CZ5011000</t>
  </si>
  <si>
    <t>LEAN_X310331CZ5013000</t>
  </si>
  <si>
    <t>LEAN_X310331CZ5015000</t>
  </si>
  <si>
    <t>LEAN_X310331CZ5030000</t>
  </si>
  <si>
    <t>LEAN_X310332CZ5020000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</si>
  <si>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</si>
  <si>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</si>
  <si>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</si>
  <si>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</si>
  <si>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</si>
  <si>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</si>
  <si>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</si>
  <si>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</si>
  <si>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</si>
  <si>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</si>
  <si>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DFLTGCOH_BF-C8_001054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</si>
  <si>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</si>
  <si>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</si>
  <si>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</si>
  <si>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</si>
  <si>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</si>
  <si>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</si>
  <si>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</si>
  <si>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</si>
  <si>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</si>
  <si>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</si>
  <si>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</si>
  <si>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</si>
  <si>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</si>
  <si>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</si>
  <si>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</si>
  <si>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</si>
  <si>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</si>
  <si>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</si>
  <si>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</si>
  <si>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</si>
  <si>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</si>
  <si>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</si>
  <si>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</si>
  <si>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</si>
  <si>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</si>
  <si>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</si>
  <si>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</si>
  <si>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</si>
  <si>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</si>
  <si>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</si>
  <si>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</si>
  <si>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</si>
  <si>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</si>
  <si>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</si>
  <si>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</si>
  <si>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</si>
  <si>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</si>
  <si>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</si>
  <si>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</si>
  <si>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</si>
  <si>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</si>
  <si>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</si>
  <si>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</si>
  <si>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</si>
  <si>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</si>
  <si>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</si>
  <si>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</si>
  <si>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</si>
  <si>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</si>
  <si>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</si>
  <si>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</si>
  <si>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</si>
  <si>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</si>
  <si>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</si>
  <si>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</si>
  <si>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</si>
  <si>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</si>
  <si>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</si>
  <si>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</si>
  <si>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</si>
  <si>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</si>
  <si>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</si>
  <si>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</si>
  <si>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</si>
  <si>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</si>
  <si>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</si>
  <si>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</si>
  <si>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</si>
  <si>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</si>
  <si>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</si>
  <si>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</si>
  <si>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</si>
  <si>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</si>
  <si>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</si>
  <si>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</si>
  <si>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</si>
  <si>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</si>
  <si>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</si>
  <si>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</si>
  <si>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</si>
  <si>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</si>
  <si>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</si>
  <si>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</si>
  <si>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</si>
  <si>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</si>
  <si>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</si>
  <si>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</si>
  <si>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</si>
  <si>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</si>
  <si>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</si>
  <si>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</si>
  <si>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</si>
  <si>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</si>
  <si>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</si>
  <si>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</si>
  <si>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</si>
  <si>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</si>
  <si>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</si>
  <si>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</si>
  <si>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</si>
  <si>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</si>
  <si>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</si>
  <si>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</si>
  <si>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</si>
  <si>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</si>
  <si>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</si>
  <si>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</si>
  <si>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</si>
  <si>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</si>
  <si>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</si>
  <si>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</si>
  <si>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</si>
  <si>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</si>
  <si>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</si>
  <si>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</si>
  <si>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</si>
  <si>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</si>
  <si>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</si>
  <si>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</si>
  <si>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</si>
  <si>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</si>
  <si>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</si>
  <si>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</si>
  <si>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</si>
  <si>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</si>
  <si>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</si>
  <si>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</si>
  <si>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</si>
  <si>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</si>
  <si>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</si>
  <si>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</si>
  <si>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</si>
  <si>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</si>
  <si>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</si>
  <si>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</si>
  <si>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</si>
  <si>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</si>
  <si>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</si>
  <si>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</si>
  <si>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</si>
  <si>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</si>
  <si>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</si>
  <si>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</si>
  <si>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</si>
  <si>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</si>
  <si>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</si>
  <si>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</si>
  <si>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</si>
  <si>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</si>
  <si>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</si>
  <si>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</si>
  <si>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</si>
  <si>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</si>
  <si>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</si>
  <si>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</si>
  <si>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</si>
  <si>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</si>
  <si>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</si>
  <si>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</si>
  <si>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</si>
  <si>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</si>
  <si>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</si>
  <si>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</si>
  <si>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</si>
  <si>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</si>
  <si>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</si>
  <si>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G000001179</t>
  </si>
  <si>
    <t>Changes were saved for change request 25330845</t>
  </si>
  <si>
    <t>FR7320867</t>
  </si>
  <si>
    <t>CLFF_1000$$$KE50C0FF10 FF - Science &amp; Lab Solutions</t>
  </si>
  <si>
    <t>L000007596 Science &amp; Lab Solutions -G</t>
  </si>
  <si>
    <t>Changes were saved for change request 25331260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</si>
</sst>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5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  <xf numFmtId="22" fontId="0" fillId="0" borderId="0" xfId="0" applyNumberFormat="1"/>
    <xf numFmtId="0" fontId="24" fillId="0" borderId="0" xfId="0" applyFon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90.767386805557" createdVersion="7" refreshedVersion="8" minRefreshableVersion="3" recordCount="1432" xr:uid="{11839AE3-6158-4318-87AD-2C711D0BF451}">
  <cacheSource type="worksheet">
    <worksheetSource name="Proc"/>
  </cacheSource>
  <cacheFields count="19">
    <cacheField name="App" numFmtId="0">
      <sharedItems containsBlank="1" count="1386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5-13T10:11:48"/>
    </cacheField>
    <cacheField name="DateMapped" numFmtId="14">
      <sharedItems containsNonDate="0" containsDate="1" containsString="0" containsBlank="1" minDate="2023-09-01T00:00:00" maxDate="2025-05-14T00:00:00"/>
    </cacheField>
    <cacheField name="DateClosed" numFmtId="14">
      <sharedItems containsNonDate="0" containsDate="1" containsString="0" containsBlank="1" minDate="2023-09-06T00:00:00" maxDate="2025-05-1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0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2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0"/>
    <x v="0"/>
    <d v="2024-12-20T13:14:51"/>
    <m/>
    <m/>
    <x v="1"/>
    <n v="102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7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7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73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70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70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70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70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70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70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70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70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70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70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70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70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70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70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70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70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70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70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70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70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70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70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70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70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70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70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70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70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70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70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70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70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70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70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70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70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70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70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70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70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70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69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69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69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69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6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6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6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6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6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6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6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6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6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6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0"/>
    <x v="1"/>
    <d v="2025-02-17T15:23:20"/>
    <m/>
    <m/>
    <x v="1"/>
    <n v="6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0"/>
    <x v="1"/>
    <d v="2025-02-17T15:23:20"/>
    <m/>
    <m/>
    <x v="1"/>
    <n v="6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0"/>
    <x v="1"/>
    <d v="2025-02-17T15:23:20"/>
    <m/>
    <m/>
    <x v="1"/>
    <n v="6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0"/>
    <x v="1"/>
    <d v="2025-02-17T15:23:20"/>
    <m/>
    <m/>
    <x v="1"/>
    <n v="6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0"/>
    <x v="1"/>
    <d v="2025-02-17T15:23:20"/>
    <m/>
    <m/>
    <x v="1"/>
    <n v="6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0"/>
    <x v="1"/>
    <d v="2025-02-17T15:23:20"/>
    <m/>
    <m/>
    <x v="1"/>
    <n v="6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0"/>
    <x v="1"/>
    <d v="2025-02-17T15:23:20"/>
    <m/>
    <m/>
    <x v="1"/>
    <n v="61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69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61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1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60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55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55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50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50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50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50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50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50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50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50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46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46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46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41"/>
    <s v="Jojeff Tagnong"/>
    <m/>
  </r>
  <r>
    <x v="117"/>
    <x v="0"/>
    <x v="2"/>
    <s v="CEMERAL_70007001581190 MESI REG PS-BIORELIANCE"/>
    <s v="L000013412"/>
    <e v="#REF!"/>
    <s v="Non-LFF"/>
    <s v=""/>
    <m/>
    <e v="#REF!"/>
    <x v="2"/>
    <x v="1"/>
    <d v="2025-03-18T05:32:52"/>
    <m/>
    <m/>
    <x v="1"/>
    <n v="40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2"/>
    <x v="1"/>
    <d v="2025-03-18T18:14:29"/>
    <m/>
    <m/>
    <x v="1"/>
    <n v="40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2"/>
    <x v="1"/>
    <d v="2025-03-18T18:14:29"/>
    <m/>
    <m/>
    <x v="1"/>
    <n v="40"/>
    <s v="Jayson Martinez"/>
    <m/>
  </r>
  <r>
    <x v="119"/>
    <x v="0"/>
    <x v="2"/>
    <s v="PQUATRO_T000474DE0412000 "/>
    <s v="L000006429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2"/>
    <x v="2"/>
    <d v="2025-04-07T12:06:32"/>
    <d v="2025-04-10T00:00:00"/>
    <m/>
    <x v="1"/>
    <n v="26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2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0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2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m/>
    <s v="LFF (MDG-F)"/>
    <s v="AE50R0GR11"/>
    <s v="Changes were saved for change request 25256034 "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m/>
    <s v="Non-LFF"/>
    <s v=""/>
    <m/>
    <b v="0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1"/>
    <n v="15"/>
    <s v="Jojeff Tagnong"/>
    <m/>
  </r>
  <r>
    <x v="179"/>
    <x v="0"/>
    <x v="2"/>
    <s v="CSCALA_1248$GEFI"/>
    <s v="G000000189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DFLTPGCOH_001248"/>
    <s v="Non-LFF"/>
    <s v=""/>
    <m/>
    <b v="0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09975 Darmstadt -G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3770 GPO - Ext Manufact &amp; Global Tech Transfe"/>
    <s v="Non-LFF"/>
    <s v=""/>
    <m/>
    <b v="0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218"/>
    <s v="Non-LFF"/>
    <s v=""/>
    <m/>
    <b v="0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709"/>
    <s v="LFF (MDG-F)"/>
    <s v="CH65R0002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648"/>
    <s v="LFF (MDG-F)"/>
    <s v="CH65R00048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648"/>
    <s v="LFF (MDG-F)"/>
    <s v="CH65R00050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648"/>
    <s v="LFF (MDG-F)"/>
    <s v="CH65R00052"/>
    <s v="Changes were saved for change request 25267790"/>
    <b v="0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DFLTPGCOH_001248"/>
    <s v="Non-LFF"/>
    <s v=""/>
    <m/>
    <b v="0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06951 PSMMOR1945.5695 5695 Provantage Mar-G"/>
    <s v="Non-LFF"/>
    <s v=""/>
    <m/>
    <b v="0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DFLTPGCOH_002072 BioReliance Corporation, USA"/>
    <s v="Non-LFF"/>
    <s v=""/>
    <m/>
    <b v="0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397"/>
    <s v="LFF (MDG-F)"/>
    <s v="DE20675106"/>
    <s v="Changes were saved for change request 25290612"/>
    <b v="0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DFLTPGCOH Default - Unmapped Objects"/>
    <s v="Non-LFF"/>
    <s v=""/>
    <m/>
    <b v="0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m/>
    <s v="LFF (MDG-F)"/>
    <s v="CN50R03152"/>
    <s v="Changes were saved for change request 25304523"/>
    <b v="0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3.304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0.305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2.CN50.22.306"/>
    <s v="H000004392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03.CN50.42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23.CN50.43.301  "/>
    <s v="H000001509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283.CN50.43.302  "/>
    <s v="H000004393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89"/>
    <x v="0"/>
    <x v="0"/>
    <s v="X.310332.CN50.20.301  "/>
    <s v="H000001505"/>
    <m/>
    <s v="Non-LFF"/>
    <s v=""/>
    <s v="Objects are new and no figures yet in TM1."/>
    <b v="0"/>
    <x v="1"/>
    <x v="2"/>
    <d v="2025-05-02T08:54:11"/>
    <m/>
    <d v="2025-05-07T00:00:00"/>
    <x v="0"/>
    <n v="3"/>
    <s v="Carlo Umali"/>
    <m/>
  </r>
  <r>
    <x v="190"/>
    <x v="0"/>
    <x v="2"/>
    <s v="CSCALA_1042$RSCE"/>
    <s v="L000008473"/>
    <m/>
    <s v="Non-LFF"/>
    <s v=""/>
    <m/>
    <b v="0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277"/>
    <s v="Non-LFF"/>
    <s v=""/>
    <m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279"/>
    <s v="LFF (MDG-F)"/>
    <s v="2123GIT02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282"/>
    <s v="LFF (MDG-F)"/>
    <s v="2123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277"/>
    <s v="LFF (MDG-F)"/>
    <s v="US10GIT01F"/>
    <s v="Changes were saved for change request 25312406"/>
    <b v="0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0065 Other Supply Chain &amp; Distribution -G"/>
    <s v="Non-LFF"/>
    <s v=""/>
    <m/>
    <b v="0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13693 SLS Tradeshows Team"/>
    <s v="Non-LFF"/>
    <s v=""/>
    <m/>
    <b v="0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LEAN_X31051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LEAN_X31051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LEAN_X31051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LEAN_X310101SE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LEAN_X3101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LEAN_X3101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LEAN_X310202S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LEAN_X310202S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LEAN_X310202S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LEAN_X31032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LEAN_X310512FI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LEAN_X310512FI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LEAN_X31051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LEAN_X310101FI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LEAN_X310101FI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LEAN_X310101FI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LEAN_X310101FI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LEAN_X310101FI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LEAN_X3101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LEAN_X3101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LEAN_X310202FI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LEAN_X310202FI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LEAN_X31051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LEAN_X310101DK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LEAN_X310101DK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LEAN_X310202DK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LEAN_X310202DK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LEAN_X31051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LEAN_X31051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LEAN_X31051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TEMPEU_1000FR40399017_IO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LEAN_X3101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LEAN_X310202NO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LEAN_X310202NO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LEAN_X310202NO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LEAN_X31051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LEAN_X31051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LEAN_X310202EE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LEAN_X310202EE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LEAN_X310202EE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LEAN_X310512L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LEAN_X310202L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LEAN_X310321LV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LEAN_X31051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LEAN_X310202LV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LEAN_X310202LV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LEAN_X3101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LEAN_X3101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LEAN_X310321AT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LEAN_X31032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LEAN_X31032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LEAN_X31051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LEAN_X31010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LEAN_X31010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LEAN_X3101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LEAN_X31020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LEAN_X31032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LEAN_X31032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LEAN_X31032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LEAN_X310331AT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LEAN_X310331AT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LEAN_X310332AT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LEAN_X310332AT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LEAN_X310332AT502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LEAN_X31032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LEAN_X31032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LEAN_X31032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LEAN_X31032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LEAN_X31032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LEAN_X31051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LEAN_X310512CZ502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LEAN_X310512CZ5022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LEAN_X310101CZ501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LEAN_X31010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LEAN_X31010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LEAN_X31010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LEAN_X3101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LEAN_X31020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LEAN_X31032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LEAN_X310331CZ5011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LEAN_X310331CZ5013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LEAN_X310331CZ5015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LEAN_X310331CZ503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LEAN_X310332CZ5020000"/>
    <s v="Non-LFF"/>
    <s v=""/>
    <m/>
    <b v="0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DFLTPGCOH_BF-C4_002014"/>
    <s v="Non-LFF"/>
    <s v=""/>
    <m/>
    <b v="0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DFLTPGCOH Default - Unmapped Objects"/>
    <s v="Non-LFF"/>
    <s v=""/>
    <m/>
    <b v="0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0"/>
    <x v="2"/>
    <d v="2025-05-08T16:53:17"/>
    <m/>
    <d v="2025-05-13T00:00:00"/>
    <x v="0"/>
    <n v="3"/>
    <s v="Eivy Denine Cruz"/>
    <m/>
  </r>
  <r>
    <x v="197"/>
    <x v="0"/>
    <x v="2"/>
    <s v="CFLTFLE_1054ITIP1054 IT GOVERNANCE"/>
    <s v="G000000894"/>
    <s v="DFLTGCOH_BF-C8_001054"/>
    <s v="Non-LFF"/>
    <s v=""/>
    <m/>
    <b v="0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0"/>
    <s v="Non-LFF"/>
    <s v=""/>
    <m/>
    <b v="0"/>
    <x v="0"/>
    <x v="2"/>
    <d v="2025-05-08T14:21:51"/>
    <d v="2025-05-13T00:00:00"/>
    <d v="2025-05-13T00:00:00"/>
    <x v="0"/>
    <n v="3"/>
    <s v="Jojeff Tagnong"/>
    <m/>
  </r>
  <r>
    <x v="199"/>
    <x v="1"/>
    <x v="5"/>
    <s v="PNEXT_CPRJ-138705 GY3 3 Year ICH Stability Study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6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7 GY3 (ONCT-534) Phase 2 cGMP Manufacture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PRJ-138718 GY3 (ONCT-534) 3KG GMP Batch &amp; Testing"/>
    <s v="L000013187"/>
    <m/>
    <s v="Non-LFF"/>
    <s v=""/>
    <s v="CPRJ-13870"/>
    <b v="0"/>
    <x v="2"/>
    <x v="2"/>
    <d v="2025-05-12T12:24:34"/>
    <m/>
    <m/>
    <x v="0"/>
    <n v="1"/>
    <s v="Ruby Grace Garcia"/>
    <m/>
  </r>
  <r>
    <x v="199"/>
    <x v="1"/>
    <x v="5"/>
    <s v="PNEXT_CON_00011716TTO ER6 Stability Testing Batch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6 ER6 cGMP Manufacture 140G Batch 1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7 ER6 cGMP Manufacture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18 ER6 Campaign Summary Report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0 ER6 Stability Initiation 140G Batch 2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2 ER6 cGMP Mfg 140G Batch 3(rebill)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3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4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5 FIO analytical testing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26 Reference standard characterization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4 ER6 Analytical Testing PO 4300025737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200135 ER6 Delivery of Revised CoA"/>
    <s v="L000013187"/>
    <m/>
    <s v="Non-LFF"/>
    <s v=""/>
    <s v="CPRJ-9820220011"/>
    <b v="0"/>
    <x v="2"/>
    <x v="2"/>
    <d v="2025-05-12T12:24:34"/>
    <m/>
    <m/>
    <x v="0"/>
    <n v="1"/>
    <s v="Ruby Grace Garcia"/>
    <m/>
  </r>
  <r>
    <x v="199"/>
    <x v="1"/>
    <x v="5"/>
    <s v="PNEXT_CPRJ-98202300021 Analytical Summary Qual an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2 Outsource Testing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7 cGMP Manufacture of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8 cGMP Manufacture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29 Campaign Summary Repor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0 Stability Testing batch of ML8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3 HPLC Method Purity Development- Cpd 7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4 GC Method Purity Development- ML59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5 Supplemental Method Validation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7 Short term storage of Alisertib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68 FMEA/DoE Gap Assesment"/>
    <s v="L000013187"/>
    <m/>
    <s v="Non-LFF"/>
    <s v=""/>
    <s v="CPRJ-9820230002"/>
    <b v="0"/>
    <x v="2"/>
    <x v="2"/>
    <d v="2025-05-12T12:24:34"/>
    <m/>
    <m/>
    <x v="0"/>
    <n v="1"/>
    <s v="Ruby Grace Garcia"/>
    <m/>
  </r>
  <r>
    <x v="199"/>
    <x v="1"/>
    <x v="5"/>
    <s v="PNEXT_CPRJ-98202300034 SSP-014 Stability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39 SSP-020 (2024 Batch #1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0 SSP-021 (2024 Batch #2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1 SSP-022 (2024 Batch #3) and Repor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5 SSP-018 (Phase 4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46 SSP-019 (Phase 5 150g of cGMP SSP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1 Dedicated general Lab GlasswareEquipment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55 SSP-024 (Replacement batch for SSP-015)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199"/>
    <x v="1"/>
    <x v="5"/>
    <s v="PNEXT_CPRJ-98202300060 SSP Reference Standard Qualification"/>
    <s v="L000013187"/>
    <m/>
    <s v="Non-LFF"/>
    <s v=""/>
    <s v="CPRJ-9820230003"/>
    <b v="0"/>
    <x v="2"/>
    <x v="2"/>
    <d v="2025-05-12T12:24:34"/>
    <m/>
    <m/>
    <x v="0"/>
    <n v="1"/>
    <s v="Ruby Grace Garcia"/>
    <m/>
  </r>
  <r>
    <x v="200"/>
    <x v="0"/>
    <x v="2"/>
    <s v="ITEMPEU_003300000473 CH71 ACA_ALC-0315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m/>
    <s v="Non-LFF"/>
    <s v=""/>
    <m/>
    <b v="0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m/>
    <s v="Non-LFF"/>
    <s v=""/>
    <m/>
    <b v="0"/>
    <x v="2"/>
    <x v="2"/>
    <d v="2025-05-13T03:01:34"/>
    <d v="2025-05-13T00:00:00"/>
    <d v="2025-05-13T00:00:00"/>
    <x v="0"/>
    <n v="0"/>
    <s v="Ruby Grace Garcia"/>
    <m/>
  </r>
  <r>
    <x v="202"/>
    <x v="1"/>
    <x v="5"/>
    <s v="CEMERAL_70006101MS3119 Communications 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MS3216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101STOMKT STO - Strategic market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203991365 LS Business Services India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0KAIST KAIST - CTO"/>
    <s v="L000013813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6502993C17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EMERAL_70007001581230 MESI REG LS Co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6"/>
    <s v="CLFF_1000$$$DE10OF0003 Tail Spend Management"/>
    <s v="L000011150"/>
    <m/>
    <s v="LFF (MDG-F)"/>
    <s v="DE10OF0003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1 Social Media &amp; Digital Communications"/>
    <s v="L000012434"/>
    <m/>
    <s v="LFF (MDG-F)"/>
    <s v="1756OF000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0006 Communications Executive Projects"/>
    <s v="L000011146"/>
    <m/>
    <s v="LFF (MDG-F)"/>
    <s v="1756OF0006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61 UK WIL Exec Proj"/>
    <s v="L000011148"/>
    <m/>
    <s v="LFF (MDG-F)"/>
    <s v="1756OF70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1756OF7094 LS Business Svcs UK"/>
    <s v="L000012995"/>
    <m/>
    <s v="LFF (MDG-F)"/>
    <s v="1756OF7094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6"/>
    <s v="CLFF_7210$$$2148OF0261 LS Creative Svcs CM"/>
    <s v="L000011124"/>
    <m/>
    <s v="LFF (MDG-F)"/>
    <s v="2148OF0261"/>
    <s v="Changes were saved for change request 25330658"/>
    <b v="0"/>
    <x v="2"/>
    <x v="2"/>
    <d v="2025-05-13T03:27:57"/>
    <m/>
    <m/>
    <x v="0"/>
    <n v="0"/>
    <s v="Ruby Grace Garcia"/>
    <m/>
  </r>
  <r>
    <x v="202"/>
    <x v="1"/>
    <x v="5"/>
    <s v="CNOW_7210$$$0000000658 sustainabili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131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335 LS Global Portfolio Brand Sigma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0 LS US Executive Projects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32 US WIL HR 2098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45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53 Social Media Governance"/>
    <s v="L00001243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10479 Exec Projects Other Admin STL HUB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356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0414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1415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2408 BD BP SLS"/>
    <s v="L0000137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175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23467 Portfolio Brand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6 C-Virus Expens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40407 LS Business Services Milwaukee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057094 LS Business Services UK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7210$$$0000264020 US WIL HR 5410 BioR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NOW_AUS0$$$0000092047 LS TRO - Competitive Intelligence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4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084 Exec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11 LS Brand team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1 LS Corp Responsibilty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5632 Creative Services Depreciat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042 Business &amp; Competitive Information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6726 Exec Projects R&amp;D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15 Corporate Giving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479 LS Global Portfolio Brand US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1 US Burlington HQ CEO Office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09 US WIL HR Exec Proj 1975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17 Employee Engagement"/>
    <s v="L0000111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0 Executive Projects other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41 HR Exec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3 C-virus activities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556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5 Communications Executive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59 Pharma Value Chai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679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3 PVC - AI Enabled Drug Discovery"/>
    <s v="L000012431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4 PVC - Advanced Cell Culture"/>
    <s v="L0000124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5 PVC - Exploration"/>
    <s v="L00001133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797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ORAERP_MMOR1975.9871 LS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1 LS Lab hub Interim solution A60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23502 LS interim solution R&amp;D growth"/>
    <s v="L000011150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0700 LS Global Portfolio Brand - Germany"/>
    <s v="L000011332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00 LS Brand Team - Germany"/>
    <s v="L000011329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36710 Business Development"/>
    <s v="L00001373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61600 Life Science C4 Exp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83000 LS Strategy"/>
    <s v="L00001134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00 LS Business Servic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550 LS Creative Services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650 LS Strategic Initiatives"/>
    <s v="L000012995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760 Studio Expansion"/>
    <s v="L000011124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40 HR Execuitive Projects"/>
    <s v="L00001114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60 LS R&amp;D Executive Projects"/>
    <s v="L000013108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PHOENX_01010000697880 LS Executive Projects Other M&amp;S"/>
    <s v="L000013107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EU_1000TR10ADK7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5"/>
    <s v="CTEMPLA_1000BR10110001 Comm Exec Proj"/>
    <s v="L000011146"/>
    <m/>
    <s v="Non-LFF"/>
    <s v=""/>
    <m/>
    <b v="0"/>
    <x v="2"/>
    <x v="2"/>
    <d v="2025-05-13T03:27:57"/>
    <m/>
    <m/>
    <x v="0"/>
    <n v="0"/>
    <s v="Ruby Grace Garcia"/>
    <m/>
  </r>
  <r>
    <x v="202"/>
    <x v="1"/>
    <x v="4"/>
    <s v="FL000011147_IO Executive Projects Comm-G (IO)"/>
    <s v="L000011146"/>
    <m/>
    <s v="Non-LFF"/>
    <s v=""/>
    <m/>
    <b v="0"/>
    <x v="2"/>
    <x v="2"/>
    <d v="2025-05-13T03:27:57"/>
    <m/>
    <m/>
    <x v="0"/>
    <n v="0"/>
    <s v="Ruby Grace Garcia"/>
    <m/>
  </r>
  <r>
    <x v="203"/>
    <x v="1"/>
    <x v="2"/>
    <s v="CLFF_7210$$$2123GM1021 "/>
    <s v="G000001374"/>
    <s v="G000001179"/>
    <s v="LFF (MDG-F)"/>
    <s v="2123GM1021"/>
    <s v="Already mapped"/>
    <b v="0"/>
    <x v="0"/>
    <x v="2"/>
    <d v="2025-05-13T08:39:52"/>
    <d v="2025-05-13T00:00:00"/>
    <m/>
    <x v="0"/>
    <n v="0"/>
    <s v="Jojeff Tagnong"/>
    <m/>
  </r>
  <r>
    <x v="203"/>
    <x v="1"/>
    <x v="6"/>
    <s v="CLFF_7210$$$2123GMB010 "/>
    <s v="G000001183"/>
    <s v="G000001179"/>
    <s v="LFF (MDG-F)"/>
    <s v="2123GMB010"/>
    <s v="Changes were saved for change request 25330845"/>
    <b v="0"/>
    <x v="0"/>
    <x v="2"/>
    <d v="2025-05-13T08:39:52"/>
    <m/>
    <m/>
    <x v="0"/>
    <n v="0"/>
    <s v="Jojeff Tagnong"/>
    <m/>
  </r>
  <r>
    <x v="204"/>
    <x v="1"/>
    <x v="6"/>
    <s v="CLFF_1000$$$KE50C0FF10 FF - Science &amp; Lab Solutions"/>
    <s v="L000008834"/>
    <s v="L000007596 Science &amp; Lab Solutions -G"/>
    <s v="LFF (MDG-F)"/>
    <s v="KE50C0FF10"/>
    <s v="Changes were saved for change request 25331260"/>
    <b v="0"/>
    <x v="2"/>
    <x v="2"/>
    <d v="2025-05-13T10:11:48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387">
        <item m="1" x="771"/>
        <item x="0"/>
        <item m="1" x="841"/>
        <item m="1" x="1262"/>
        <item m="1" x="424"/>
        <item m="1" x="1279"/>
        <item m="1" x="801"/>
        <item m="1" x="891"/>
        <item m="1" x="1312"/>
        <item m="1" x="1106"/>
        <item m="1" x="794"/>
        <item m="1" x="1378"/>
        <item m="1" x="1124"/>
        <item m="1" x="1368"/>
        <item m="1" x="742"/>
        <item m="1" x="643"/>
        <item m="1" x="347"/>
        <item m="1" x="608"/>
        <item m="1" x="1332"/>
        <item m="1" x="400"/>
        <item m="1" x="708"/>
        <item m="1" x="1076"/>
        <item m="1" x="791"/>
        <item m="1" x="884"/>
        <item m="1" x="1180"/>
        <item m="1" x="1365"/>
        <item m="1" x="826"/>
        <item m="1" x="848"/>
        <item m="1" x="613"/>
        <item m="1" x="1014"/>
        <item m="1" x="773"/>
        <item m="1" x="1319"/>
        <item m="1" x="976"/>
        <item m="1" x="409"/>
        <item m="1" x="517"/>
        <item m="1" x="1304"/>
        <item m="1" x="1068"/>
        <item m="1" x="322"/>
        <item m="1" x="1154"/>
        <item m="1" x="820"/>
        <item m="1" x="1115"/>
        <item m="1" x="701"/>
        <item m="1" x="1053"/>
        <item m="1" x="312"/>
        <item m="1" x="342"/>
        <item m="1" x="1381"/>
        <item m="1" x="1060"/>
        <item m="1" x="1128"/>
        <item m="1" x="1235"/>
        <item m="1" x="1004"/>
        <item m="1" x="1102"/>
        <item m="1" x="941"/>
        <item m="1" x="396"/>
        <item m="1" x="587"/>
        <item m="1" x="1363"/>
        <item m="1" x="931"/>
        <item m="1" x="1071"/>
        <item m="1" x="599"/>
        <item m="1" x="560"/>
        <item m="1" x="852"/>
        <item m="1" x="744"/>
        <item m="1" x="777"/>
        <item m="1" x="336"/>
        <item m="1" x="475"/>
        <item m="1" x="1137"/>
        <item m="1" x="1354"/>
        <item m="1" x="540"/>
        <item m="1" x="945"/>
        <item m="1" x="955"/>
        <item m="1" x="1132"/>
        <item m="1" x="1242"/>
        <item m="1" x="1120"/>
        <item m="1" x="415"/>
        <item m="1" x="1263"/>
        <item m="1" x="993"/>
        <item m="1" x="980"/>
        <item m="1" x="515"/>
        <item m="1" x="868"/>
        <item m="1" x="1215"/>
        <item m="1" x="333"/>
        <item m="1" x="912"/>
        <item m="1" x="1265"/>
        <item m="1" x="1103"/>
        <item m="1" x="838"/>
        <item m="1" x="880"/>
        <item m="1" x="761"/>
        <item m="1" x="996"/>
        <item m="1" x="808"/>
        <item m="1" x="1040"/>
        <item m="1" x="524"/>
        <item m="1" x="1353"/>
        <item m="1" x="878"/>
        <item m="1" x="1164"/>
        <item m="1" x="241"/>
        <item m="1" x="1369"/>
        <item m="1" x="905"/>
        <item m="1" x="1194"/>
        <item m="1" x="1107"/>
        <item m="1" x="885"/>
        <item m="1" x="395"/>
        <item m="1" x="402"/>
        <item m="1" x="442"/>
        <item m="1" x="624"/>
        <item m="1" x="1048"/>
        <item m="1" x="809"/>
        <item m="1" x="925"/>
        <item m="1" x="988"/>
        <item m="1" x="1135"/>
        <item m="1" x="1218"/>
        <item m="1" x="780"/>
        <item m="1" x="501"/>
        <item m="1" x="344"/>
        <item m="1" x="487"/>
        <item m="1" x="1362"/>
        <item m="1" x="519"/>
        <item m="1" x="1200"/>
        <item m="1" x="1129"/>
        <item m="1" x="747"/>
        <item m="1" x="819"/>
        <item m="1" x="685"/>
        <item m="1" x="942"/>
        <item m="1" x="1317"/>
        <item m="1" x="493"/>
        <item m="1" x="441"/>
        <item m="1" x="376"/>
        <item m="1" x="1042"/>
        <item m="1" x="1302"/>
        <item m="1" x="1230"/>
        <item m="1" x="887"/>
        <item m="1" x="411"/>
        <item m="1" x="1136"/>
        <item m="1" x="588"/>
        <item m="1" x="842"/>
        <item m="1" x="1017"/>
        <item m="1" x="1125"/>
        <item m="1" x="245"/>
        <item m="1" x="1074"/>
        <item m="1" x="1037"/>
        <item m="1" x="478"/>
        <item m="1" x="926"/>
        <item m="1" x="814"/>
        <item m="1" x="767"/>
        <item m="1" x="500"/>
        <item m="1" x="436"/>
        <item m="1" x="676"/>
        <item m="1" x="863"/>
        <item m="1" x="270"/>
        <item m="1" x="609"/>
        <item m="1" x="468"/>
        <item m="1" x="210"/>
        <item m="1" x="720"/>
        <item m="1" x="921"/>
        <item m="1" x="803"/>
        <item m="1" x="849"/>
        <item m="1" x="1168"/>
        <item m="1" x="750"/>
        <item m="1" x="1276"/>
        <item m="1" x="1000"/>
        <item m="1" x="939"/>
        <item m="1" x="453"/>
        <item m="1" x="1086"/>
        <item m="1" x="1364"/>
        <item m="1" x="1052"/>
        <item m="1" x="1036"/>
        <item m="1" x="323"/>
        <item m="1" x="371"/>
        <item m="1" x="906"/>
        <item m="1" x="412"/>
        <item m="1" x="1349"/>
        <item m="1" x="1015"/>
        <item m="1" x="940"/>
        <item m="1" x="892"/>
        <item m="1" x="693"/>
        <item m="1" x="321"/>
        <item m="1" x="421"/>
        <item m="1" x="527"/>
        <item m="1" x="1260"/>
        <item m="1" x="1292"/>
        <item m="1" x="991"/>
        <item m="1" x="718"/>
        <item m="1" x="806"/>
        <item m="1" x="316"/>
        <item m="1" x="356"/>
        <item m="1" x="695"/>
        <item m="1" x="920"/>
        <item m="1" x="833"/>
        <item m="1" x="491"/>
        <item m="1" x="724"/>
        <item m="1" x="438"/>
        <item m="1" x="633"/>
        <item m="1" x="555"/>
        <item m="1" x="390"/>
        <item m="1" x="526"/>
        <item m="1" x="896"/>
        <item m="1" x="306"/>
        <item m="1" x="545"/>
        <item m="1" x="337"/>
        <item m="1" x="1030"/>
        <item m="1" x="1219"/>
        <item m="1" x="829"/>
        <item m="1" x="473"/>
        <item m="1" x="1123"/>
        <item m="1" x="968"/>
        <item m="1" x="485"/>
        <item m="1" x="486"/>
        <item m="1" x="671"/>
        <item m="1" x="361"/>
        <item m="1" x="550"/>
        <item m="1" x="345"/>
        <item m="1" x="531"/>
        <item m="1" x="1099"/>
        <item m="1" x="610"/>
        <item m="1" x="977"/>
        <item m="1" x="1027"/>
        <item m="1" x="1161"/>
        <item m="1" x="1165"/>
        <item m="1" x="882"/>
        <item m="1" x="723"/>
        <item m="1" x="762"/>
        <item m="1" x="1329"/>
        <item m="1" x="622"/>
        <item m="1" x="434"/>
        <item m="1" x="812"/>
        <item m="1" x="269"/>
        <item m="1" x="1333"/>
        <item m="1" x="796"/>
        <item m="1" x="230"/>
        <item m="1" x="1251"/>
        <item m="1" x="1294"/>
        <item m="1" x="1131"/>
        <item m="1" x="508"/>
        <item m="1" x="247"/>
        <item m="1" x="1181"/>
        <item m="1" x="572"/>
        <item m="1" x="208"/>
        <item m="1" x="1352"/>
        <item m="1" x="596"/>
        <item m="1" x="751"/>
        <item m="1" x="1196"/>
        <item m="1" x="283"/>
        <item m="1" x="1108"/>
        <item m="1" x="916"/>
        <item m="1" x="781"/>
        <item m="1" x="651"/>
        <item m="1" x="398"/>
        <item m="1" x="899"/>
        <item m="1" x="601"/>
        <item m="1" x="1139"/>
        <item m="1" x="461"/>
        <item m="1" x="1209"/>
        <item m="1" x="1216"/>
        <item m="1" x="900"/>
        <item m="1" x="1090"/>
        <item m="1" x="507"/>
        <item m="1" x="804"/>
        <item m="1" x="1093"/>
        <item m="1" x="677"/>
        <item m="1" x="967"/>
        <item m="1" x="606"/>
        <item m="1" x="391"/>
        <item m="1" x="595"/>
        <item m="1" x="1361"/>
        <item m="1" x="1303"/>
        <item m="1" x="448"/>
        <item m="1" x="1249"/>
        <item m="1" x="255"/>
        <item m="1" x="1271"/>
        <item m="1" x="290"/>
        <item m="1" x="592"/>
        <item m="1" x="690"/>
        <item m="1" x="637"/>
        <item m="1" x="1244"/>
        <item m="1" x="1147"/>
        <item m="1" x="388"/>
        <item m="1" x="958"/>
        <item m="1" x="1166"/>
        <item m="1" x="1300"/>
        <item m="1" x="1207"/>
        <item m="1" x="293"/>
        <item m="1" x="1373"/>
        <item m="1" x="444"/>
        <item m="1" x="725"/>
        <item m="1" x="1169"/>
        <item m="1" x="292"/>
        <item m="1" x="1228"/>
        <item m="1" x="457"/>
        <item m="1" x="1101"/>
        <item m="1" x="965"/>
        <item m="1" x="943"/>
        <item m="1" x="522"/>
        <item m="1" x="484"/>
        <item m="1" x="1296"/>
        <item m="1" x="237"/>
        <item m="1" x="419"/>
        <item m="1" x="1078"/>
        <item m="1" x="1189"/>
        <item m="1" x="1116"/>
        <item m="1" x="1320"/>
        <item m="1" x="824"/>
        <item m="1" x="451"/>
        <item m="1" x="571"/>
        <item m="1" x="890"/>
        <item m="1" x="632"/>
        <item m="1" x="960"/>
        <item m="1" x="573"/>
        <item m="1" x="375"/>
        <item m="1" x="1028"/>
        <item m="1" x="430"/>
        <item m="1" x="310"/>
        <item m="1" x="1162"/>
        <item m="1" x="1309"/>
        <item m="1" x="1010"/>
        <item m="1" x="275"/>
        <item m="1" x="1201"/>
        <item m="1" x="999"/>
        <item m="1" x="1109"/>
        <item m="1" x="1248"/>
        <item m="1" x="476"/>
        <item m="1" x="668"/>
        <item m="1" x="506"/>
        <item m="1" x="774"/>
        <item m="1" x="698"/>
        <item m="1" x="728"/>
        <item m="1" x="1264"/>
        <item m="1" x="710"/>
        <item m="1" x="913"/>
        <item m="1" x="445"/>
        <item m="1" x="644"/>
        <item m="1" x="618"/>
        <item m="1" x="961"/>
        <item m="1" x="864"/>
        <item m="1" x="1092"/>
        <item m="1" x="614"/>
        <item m="1" x="1250"/>
        <item m="1" x="452"/>
        <item m="1" x="378"/>
        <item m="1" x="634"/>
        <item m="1" x="1175"/>
        <item m="1" x="285"/>
        <item m="1" x="286"/>
        <item m="1" x="582"/>
        <item m="1" x="1255"/>
        <item m="1" x="649"/>
        <item m="1" x="294"/>
        <item m="1" x="454"/>
        <item m="1" x="696"/>
        <item m="1" x="1007"/>
        <item m="1" x="979"/>
        <item m="1" x="650"/>
        <item m="1" x="231"/>
        <item m="1" x="369"/>
        <item m="1" x="581"/>
        <item m="1" x="469"/>
        <item m="1" x="226"/>
        <item m="1" x="1179"/>
        <item m="1" x="1308"/>
        <item m="1" x="778"/>
        <item m="1" x="1208"/>
        <item m="1" x="1268"/>
        <item m="1" x="291"/>
        <item m="1" x="1306"/>
        <item m="1" x="1044"/>
        <item m="1" x="467"/>
        <item m="1" x="653"/>
        <item m="1" x="557"/>
        <item m="1" x="919"/>
        <item m="1" x="490"/>
        <item m="1" x="706"/>
        <item m="1" x="1001"/>
        <item m="1" x="1126"/>
        <item m="1" x="629"/>
        <item m="1" x="757"/>
        <item m="1" x="569"/>
        <item m="1" x="495"/>
        <item m="1" x="1006"/>
        <item m="1" x="1121"/>
        <item m="1" x="1283"/>
        <item m="1" x="325"/>
        <item m="1" x="529"/>
        <item m="1" x="969"/>
        <item m="1" x="370"/>
        <item m="1" x="657"/>
        <item m="1" x="1038"/>
        <item m="1" x="303"/>
        <item m="1" x="513"/>
        <item m="1" x="623"/>
        <item m="1" x="1229"/>
        <item m="1" x="462"/>
        <item m="1" x="732"/>
        <item m="1" x="1285"/>
        <item m="1" x="413"/>
        <item m="1" x="602"/>
        <item m="1" x="790"/>
        <item m="1" x="1127"/>
        <item m="1" x="425"/>
        <item m="1" x="681"/>
        <item m="1" x="523"/>
        <item m="1" x="1019"/>
        <item m="1" x="1205"/>
        <item m="1" x="331"/>
        <item m="1" x="551"/>
        <item m="1" x="1287"/>
        <item m="1" x="1252"/>
        <item m="1" x="352"/>
        <item m="1" x="669"/>
        <item m="1" x="1193"/>
        <item m="1" x="1324"/>
        <item m="1" x="1195"/>
        <item m="1" x="1170"/>
        <item m="1" x="301"/>
        <item m="1" x="477"/>
        <item m="1" x="559"/>
        <item m="1" x="548"/>
        <item m="1" x="775"/>
        <item m="1" x="263"/>
        <item m="1" x="962"/>
        <item m="1" x="1033"/>
        <item m="1" x="215"/>
        <item m="1" x="1293"/>
        <item m="1" x="1155"/>
        <item m="1" x="1284"/>
        <item m="1" x="1314"/>
        <item m="1" x="1350"/>
        <item m="1" x="1288"/>
        <item m="1" x="652"/>
        <item m="1" x="1012"/>
        <item m="1" x="619"/>
        <item m="1" x="1025"/>
        <item m="1" x="990"/>
        <item m="1" x="428"/>
        <item m="1" x="466"/>
        <item m="1" x="604"/>
        <item m="1" x="1069"/>
        <item m="1" x="589"/>
        <item m="1" x="335"/>
        <item m="1" x="1334"/>
        <item m="1" x="1084"/>
        <item m="1" x="917"/>
        <item m="1" x="949"/>
        <item m="1" x="998"/>
        <item m="1" x="423"/>
        <item m="1" x="765"/>
        <item m="1" x="1110"/>
        <item m="1" x="261"/>
        <item m="1" x="504"/>
        <item m="1" x="404"/>
        <item m="1" x="401"/>
        <item m="1" x="405"/>
        <item m="1" x="206"/>
        <item m="1" x="427"/>
        <item m="1" x="1224"/>
        <item m="1" x="228"/>
        <item m="1" x="874"/>
        <item m="1" x="1311"/>
        <item m="1" x="1122"/>
        <item m="1" x="382"/>
        <item m="1" x="1382"/>
        <item m="1" x="311"/>
        <item m="1" x="678"/>
        <item m="1" x="901"/>
        <item m="1" x="357"/>
        <item m="1" x="810"/>
        <item m="1" x="970"/>
        <item m="1" x="1238"/>
        <item m="1" x="1140"/>
        <item m="1" x="219"/>
        <item m="1" x="902"/>
        <item m="1" x="302"/>
        <item m="1" x="538"/>
        <item m="1" x="510"/>
        <item m="1" x="272"/>
        <item m="1" x="865"/>
        <item m="1" x="872"/>
        <item m="1" x="972"/>
        <item m="1" x="721"/>
        <item m="1" x="1221"/>
        <item m="1" x="630"/>
        <item m="1" x="1340"/>
        <item m="1" x="975"/>
        <item m="1" x="866"/>
        <item m="1" x="530"/>
        <item m="1" x="938"/>
        <item m="1" x="1236"/>
        <item m="1" x="1301"/>
        <item m="1" x="1280"/>
        <item m="1" x="1210"/>
        <item m="1" x="959"/>
        <item m="1" x="1072"/>
        <item m="1" x="585"/>
        <item m="1" x="1034"/>
        <item m="1" x="859"/>
        <item m="1" x="818"/>
        <item m="1" x="816"/>
        <item m="1" x="817"/>
        <item m="1" x="514"/>
        <item m="1" x="558"/>
        <item m="1" x="1171"/>
        <item m="1" x="736"/>
        <item m="1" x="578"/>
        <item m="1" x="620"/>
        <item m="1" x="666"/>
        <item m="1" x="918"/>
        <item m="1" x="1256"/>
        <item m="1" x="1345"/>
        <item m="1" x="463"/>
        <item m="1" x="414"/>
        <item m="1" x="251"/>
        <item m="1" x="273"/>
        <item m="1" x="570"/>
        <item m="1" x="358"/>
        <item m="1" x="686"/>
        <item m="1" x="1222"/>
        <item m="1" x="563"/>
        <item m="1" x="355"/>
        <item m="1" x="1114"/>
        <item m="1" x="232"/>
        <item m="1" x="1240"/>
        <item m="1" x="1315"/>
        <item m="1" x="1379"/>
        <item m="1" x="1254"/>
        <item m="1" x="497"/>
        <item m="1" x="274"/>
        <item m="1" x="738"/>
        <item m="1" x="822"/>
        <item m="1" x="1018"/>
        <item m="1" x="986"/>
        <item m="1" x="1022"/>
        <item m="1" x="799"/>
        <item m="1" x="837"/>
        <item m="1" x="1278"/>
        <item m="1" x="1041"/>
        <item m="1" x="1011"/>
        <item m="1" x="950"/>
        <item m="1" x="1023"/>
        <item m="1" x="224"/>
        <item m="1" x="229"/>
        <item m="1" x="832"/>
        <item m="1" x="1217"/>
        <item m="1" x="787"/>
        <item m="1" x="1357"/>
        <item m="1" x="756"/>
        <item m="1" x="932"/>
        <item m="1" x="1003"/>
        <item m="1" x="617"/>
        <item m="1" x="449"/>
        <item m="1" x="825"/>
        <item m="1" x="511"/>
        <item m="1" x="1366"/>
        <item m="1" x="1281"/>
        <item m="1" x="1094"/>
        <item m="1" x="351"/>
        <item m="1" x="278"/>
        <item m="1" x="851"/>
        <item m="1" x="1095"/>
        <item m="1" x="1384"/>
        <item m="1" x="730"/>
        <item m="1" x="1331"/>
        <item m="1" x="265"/>
        <item m="1" x="379"/>
        <item m="1" x="691"/>
        <item m="1" x="782"/>
        <item m="1" x="1211"/>
        <item m="1" x="535"/>
        <item m="1" x="1214"/>
        <item m="1" x="631"/>
        <item m="1" x="1203"/>
        <item m="1" x="1367"/>
        <item m="1" x="295"/>
        <item m="1" x="1351"/>
        <item m="1" x="242"/>
        <item m="1" x="1104"/>
        <item m="1" x="722"/>
        <item m="1" x="553"/>
        <item m="1" x="516"/>
        <item m="1" x="660"/>
        <item m="1" x="259"/>
        <item m="1" x="1344"/>
        <item m="1" x="343"/>
        <item m="1" x="364"/>
        <item m="1" x="1237"/>
        <item m="1" x="1316"/>
        <item m="1" x="830"/>
        <item m="1" x="971"/>
        <item m="1" x="672"/>
        <item m="1" x="785"/>
        <item m="1" x="934"/>
        <item m="1" x="1051"/>
        <item m="1" x="638"/>
        <item m="1" x="914"/>
        <item m="1" x="733"/>
        <item m="1" x="1370"/>
        <item m="1" x="223"/>
        <item m="1" x="662"/>
        <item m="1" x="603"/>
        <item m="1" x="564"/>
        <item m="1" x="1358"/>
        <item m="1" x="1176"/>
        <item m="1" x="1307"/>
        <item m="1" x="320"/>
        <item m="1" x="1318"/>
        <item m="1" x="1305"/>
        <item m="1" x="1182"/>
        <item m="1" x="417"/>
        <item m="1" x="786"/>
        <item m="1" x="879"/>
        <item m="1" x="625"/>
        <item m="1" x="1223"/>
        <item m="1" x="1009"/>
        <item m="1" x="1029"/>
        <item m="1" x="923"/>
        <item m="1" x="266"/>
        <item m="1" x="1096"/>
        <item m="1" x="1258"/>
        <item m="1" x="663"/>
        <item m="1" x="1377"/>
        <item m="1" x="871"/>
        <item m="1" x="458"/>
        <item m="1" x="591"/>
        <item m="1" x="627"/>
        <item m="1" x="1286"/>
        <item m="1" x="1270"/>
        <item m="1" x="330"/>
        <item m="1" x="332"/>
        <item m="1" x="246"/>
        <item m="1" x="1206"/>
        <item m="1" x="248"/>
        <item m="1" x="665"/>
        <item m="1" x="565"/>
        <item m="1" x="1021"/>
        <item m="1" x="964"/>
        <item m="1" x="1313"/>
        <item m="1" x="1245"/>
        <item m="1" x="737"/>
        <item m="1" x="951"/>
        <item m="1" x="1186"/>
        <item m="1" x="299"/>
        <item m="1" x="731"/>
        <item m="1" x="661"/>
        <item m="1" x="1355"/>
        <item m="1" x="1322"/>
        <item m="1" x="753"/>
        <item m="1" x="359"/>
        <item m="1" x="654"/>
        <item m="1" x="827"/>
        <item m="1" x="281"/>
        <item m="1" x="1117"/>
        <item m="1" x="711"/>
        <item m="1" x="521"/>
        <item m="1" x="615"/>
        <item m="1" x="1061"/>
        <item m="1" x="1360"/>
        <item m="1" x="439"/>
        <item m="1" x="1212"/>
        <item m="1" x="433"/>
        <item m="1" x="997"/>
        <item m="1" x="769"/>
        <item m="1" x="700"/>
        <item m="1" x="422"/>
        <item m="1" x="489"/>
        <item m="1" x="277"/>
        <item m="1" x="1077"/>
        <item m="1" x="590"/>
        <item m="1" x="314"/>
        <item m="1" x="928"/>
        <item m="1" x="1243"/>
        <item m="1" x="783"/>
        <item m="1" x="741"/>
        <item m="1" x="212"/>
        <item m="1" x="1348"/>
        <item m="1" x="598"/>
        <item m="1" x="658"/>
        <item m="1" x="1065"/>
        <item m="1" x="1342"/>
        <item m="1" x="1267"/>
        <item m="1" x="1118"/>
        <item m="1" x="1233"/>
        <item m="1" x="394"/>
        <item m="1" x="593"/>
        <item m="1" x="426"/>
        <item m="1" x="218"/>
        <item m="1" x="831"/>
        <item m="1" x="280"/>
        <item m="1" x="502"/>
        <item m="1" x="446"/>
        <item m="1" x="392"/>
        <item m="1" x="1347"/>
        <item m="1" x="443"/>
        <item m="1" x="1045"/>
        <item m="1" x="1257"/>
        <item m="1" x="383"/>
        <item m="1" x="287"/>
        <item m="1" x="1080"/>
        <item m="1" x="1056"/>
        <item m="1" x="1097"/>
        <item m="1" x="1016"/>
        <item m="1" x="360"/>
        <item m="1" x="716"/>
        <item m="1" x="984"/>
        <item m="1" x="1234"/>
        <item m="1" x="828"/>
        <item m="1" x="946"/>
        <item m="1" x="1290"/>
        <item m="1" x="702"/>
        <item m="1" x="546"/>
        <item m="1" x="779"/>
        <item m="1" x="726"/>
        <item m="1" x="656"/>
        <item m="1" x="1173"/>
        <item m="1" x="860"/>
        <item m="1" x="956"/>
        <item m="1" x="207"/>
        <item m="1" x="752"/>
        <item m="1" x="354"/>
        <item m="1" x="621"/>
        <item m="1" x="759"/>
        <item m="1" x="289"/>
        <item m="1" x="406"/>
        <item m="1" x="861"/>
        <item m="1" x="1058"/>
        <item m="1" x="1328"/>
        <item m="1" x="1371"/>
        <item m="1" x="981"/>
        <item m="1" x="329"/>
        <item m="1" x="257"/>
        <item m="1" x="843"/>
        <item m="1" x="465"/>
        <item m="1" x="739"/>
        <item m="1" x="367"/>
        <item m="1" x="470"/>
        <item m="1" x="897"/>
        <item m="1" x="1253"/>
        <item m="1" x="1184"/>
        <item m="1" x="600"/>
        <item m="1" x="635"/>
        <item m="1" x="911"/>
        <item m="1" x="1341"/>
        <item m="1" x="1067"/>
        <item m="1" x="233"/>
        <item m="1" x="1295"/>
        <item m="1" x="341"/>
        <item m="1" x="987"/>
        <item m="1" x="1032"/>
        <item m="1" x="1035"/>
        <item m="1" x="1375"/>
        <item m="1" x="268"/>
        <item m="1" x="1046"/>
        <item m="1" x="1143"/>
        <item m="1" x="915"/>
        <item m="1" x="1085"/>
        <item m="1" x="327"/>
        <item m="1" x="719"/>
        <item m="1" x="566"/>
        <item m="1" x="1178"/>
        <item m="1" x="1273"/>
        <item m="1" x="802"/>
        <item m="1" x="1241"/>
        <item m="1" x="1289"/>
        <item m="1" x="642"/>
        <item m="1" x="1145"/>
        <item m="1" x="1008"/>
        <item m="1" x="1291"/>
        <item m="1" x="1335"/>
        <item m="1" x="1073"/>
        <item m="1" x="683"/>
        <item m="1" x="488"/>
        <item m="1" x="1323"/>
        <item m="1" x="870"/>
        <item m="1" x="844"/>
        <item m="1" x="853"/>
        <item m="1" x="1374"/>
        <item m="1" x="1098"/>
        <item m="1" x="793"/>
        <item m="1" x="1062"/>
        <item m="1" x="1039"/>
        <item m="1" x="655"/>
        <item m="1" x="556"/>
        <item m="1" x="1055"/>
        <item m="1" x="450"/>
        <item m="1" x="407"/>
        <item m="1" x="349"/>
        <item m="1" x="1336"/>
        <item m="1" x="952"/>
        <item m="1" x="687"/>
        <item m="1" x="768"/>
        <item m="1" x="249"/>
        <item m="1" x="1325"/>
        <item m="1" x="876"/>
        <item m="1" x="1024"/>
        <item m="1" x="472"/>
        <item m="1" x="1156"/>
        <item m="1" x="659"/>
        <item m="1" x="552"/>
        <item m="1" x="1380"/>
        <item m="1" x="682"/>
        <item m="1" x="1321"/>
        <item m="1" x="907"/>
        <item m="1" x="583"/>
        <item m="1" x="374"/>
        <item m="1" x="317"/>
        <item m="1" x="611"/>
        <item m="1" x="308"/>
        <item m="1" x="279"/>
        <item m="1" x="296"/>
        <item m="1" x="575"/>
        <item m="1" x="420"/>
        <item m="1" x="727"/>
        <item m="1" x="784"/>
        <item m="1" x="883"/>
        <item m="1" x="754"/>
        <item m="1" x="1087"/>
        <item m="1" x="1151"/>
        <item m="1" x="363"/>
        <item m="1" x="373"/>
        <item m="1" x="562"/>
        <item m="1" x="704"/>
        <item m="1" x="494"/>
        <item m="1" x="1047"/>
        <item m="1" x="797"/>
        <item m="1" x="714"/>
        <item m="1" x="847"/>
        <item m="1" x="1153"/>
        <item m="1" x="1091"/>
        <item m="1" x="1177"/>
        <item m="1" x="933"/>
        <item m="1" x="353"/>
        <item m="1" x="1359"/>
        <item m="1" x="772"/>
        <item m="1" x="387"/>
        <item m="1" x="211"/>
        <item m="1" x="1356"/>
        <item m="1" x="840"/>
        <item m="1" x="807"/>
        <item m="1" x="579"/>
        <item m="1" x="459"/>
        <item m="1" x="543"/>
        <item m="1" x="697"/>
        <item m="1" x="1272"/>
        <item m="1" x="1191"/>
        <item m="1" x="567"/>
        <item m="1" x="640"/>
        <item m="1" x="647"/>
        <item m="1" x="1185"/>
        <item m="1" x="788"/>
        <item m="1" x="260"/>
        <item m="1" x="821"/>
        <item m="1" x="1100"/>
        <item m="1" x="1226"/>
        <item m="1" x="1119"/>
        <item m="1" x="927"/>
        <item m="1" x="1225"/>
        <item m="1" x="239"/>
        <item m="1" x="1142"/>
        <item m="1" x="221"/>
        <item m="1" x="561"/>
        <item m="1" x="225"/>
        <item m="1" x="384"/>
        <item m="1" x="474"/>
        <item m="1" x="480"/>
        <item m="1" x="898"/>
        <item m="1" x="1152"/>
        <item m="1" x="679"/>
        <item m="1" x="250"/>
        <item m="1" x="456"/>
        <item m="1" x="244"/>
        <item m="1" x="1239"/>
        <item m="1" x="464"/>
        <item m="1" x="800"/>
        <item m="1" x="1259"/>
        <item m="1" x="586"/>
        <item m="1" x="528"/>
        <item m="1" x="924"/>
        <item m="1" x="481"/>
        <item m="1" x="789"/>
        <item m="1" x="1083"/>
        <item m="1" x="222"/>
        <item m="1" x="735"/>
        <item m="1" x="854"/>
        <item m="1" x="346"/>
        <item m="1" x="688"/>
        <item m="1" x="823"/>
        <item m="1" x="574"/>
        <item m="1" x="612"/>
        <item m="1" x="339"/>
        <item m="1" x="745"/>
        <item m="1" x="209"/>
        <item m="1" x="881"/>
        <item m="1" x="1274"/>
        <item m="1" x="995"/>
        <item m="1" x="989"/>
        <item m="1" x="888"/>
        <item m="1" x="214"/>
        <item m="1" x="1020"/>
        <item m="1" x="1063"/>
        <item m="1" x="869"/>
        <item m="1" x="213"/>
        <item m="1" x="1220"/>
        <item m="1" x="1187"/>
        <item m="1" x="217"/>
        <item m="1" x="496"/>
        <item m="1" x="886"/>
        <item m="1" x="1141"/>
        <item m="1" x="338"/>
        <item m="1" x="234"/>
        <item m="1" x="393"/>
        <item m="1" x="284"/>
        <item m="1" x="692"/>
        <item m="1" x="505"/>
        <item m="1" x="503"/>
        <item m="1" x="674"/>
        <item m="1" x="776"/>
        <item m="1" x="680"/>
        <item m="1" x="877"/>
        <item m="1" x="729"/>
        <item m="1" x="594"/>
        <item m="1" x="709"/>
        <item m="1" x="1202"/>
        <item m="1" x="1297"/>
        <item m="1" x="554"/>
        <item m="1" x="1277"/>
        <item m="1" x="319"/>
        <item m="1" x="1266"/>
        <item m="1" x="963"/>
        <item m="1" x="1134"/>
        <item m="1" x="1213"/>
        <item m="1" x="893"/>
        <item m="1" x="1105"/>
        <item m="1" x="397"/>
        <item m="1" x="380"/>
        <item m="1" x="1002"/>
        <item m="1" x="974"/>
        <item m="1" x="536"/>
        <item m="1" x="1372"/>
        <item m="1" x="944"/>
        <item m="1" x="684"/>
        <item m="1" x="758"/>
        <item m="1" x="717"/>
        <item m="1" x="1227"/>
        <item m="1" x="1231"/>
        <item m="1" x="227"/>
        <item m="1" x="1111"/>
        <item m="1" x="1157"/>
        <item m="1" x="276"/>
        <item m="1" x="648"/>
        <item m="1" x="639"/>
        <item m="1" x="1146"/>
        <item m="1" x="845"/>
        <item m="1" x="1049"/>
        <item m="1" x="715"/>
        <item m="1" x="1066"/>
        <item m="1" x="254"/>
        <item m="1" x="377"/>
        <item m="1" x="1346"/>
        <item m="1" x="966"/>
        <item m="1" x="1338"/>
        <item m="1" x="258"/>
        <item m="1" x="518"/>
        <item m="1" x="334"/>
        <item m="1" x="267"/>
        <item m="1" x="282"/>
        <item m="1" x="834"/>
        <item m="1" x="867"/>
        <item m="1" x="539"/>
        <item m="1" x="957"/>
        <item m="1" x="1275"/>
        <item m="1" x="626"/>
        <item m="1" x="705"/>
        <item m="1" x="855"/>
        <item m="1" x="1343"/>
        <item m="1" x="520"/>
        <item m="1" x="532"/>
        <item m="1" x="542"/>
        <item m="1" x="1163"/>
        <item m="1" x="1299"/>
        <item m="1" x="216"/>
        <item m="1" x="1043"/>
        <item m="1" x="1339"/>
        <item m="1" x="440"/>
        <item m="1" x="755"/>
        <item m="1" x="1376"/>
        <item m="1" x="1282"/>
        <item m="1" x="429"/>
        <item m="1" x="541"/>
        <item m="1" x="628"/>
        <item m="1" x="953"/>
        <item m="1" x="1150"/>
        <item m="1" x="385"/>
        <item m="1" x="856"/>
        <item m="1" x="381"/>
        <item m="1" x="350"/>
        <item m="1" x="298"/>
        <item m="1" x="1269"/>
        <item m="1" x="862"/>
        <item m="1" x="1310"/>
        <item m="1" x="703"/>
        <item m="1" x="1327"/>
        <item m="1" x="1079"/>
        <item m="1" x="368"/>
        <item m="1" x="1183"/>
        <item m="1" x="1197"/>
        <item m="1" x="857"/>
        <item m="1" x="1232"/>
        <item m="1" x="1070"/>
        <item m="1" x="935"/>
        <item m="1" x="252"/>
        <item m="1" x="1081"/>
        <item m="1" x="813"/>
        <item m="1" x="746"/>
        <item m="1" x="1089"/>
        <item m="1" x="673"/>
        <item m="1" x="307"/>
        <item m="1" x="479"/>
        <item m="1" x="256"/>
        <item m="1" x="605"/>
        <item m="1" x="983"/>
        <item m="1" x="568"/>
        <item m="1" x="431"/>
        <item m="1" x="646"/>
        <item m="1" x="324"/>
        <item m="1" x="576"/>
        <item m="1" x="447"/>
        <item m="1" x="798"/>
        <item m="1" x="1385"/>
        <item m="1" x="839"/>
        <item m="1" x="435"/>
        <item m="1" x="712"/>
        <item m="1" x="418"/>
        <item m="1" x="471"/>
        <item m="1" x="763"/>
        <item m="1" x="1031"/>
        <item m="1" x="748"/>
        <item m="1" x="1198"/>
        <item m="1" x="760"/>
        <item m="1" x="994"/>
        <item m="1" x="309"/>
        <item m="1" x="792"/>
        <item m="1" x="432"/>
        <item m="1" x="362"/>
        <item m="1" x="1088"/>
        <item m="1" x="403"/>
        <item m="1" x="1112"/>
        <item m="1" x="304"/>
        <item m="1" x="929"/>
        <item m="1" x="936"/>
        <item m="1" x="340"/>
        <item m="1" x="858"/>
        <item m="1" x="236"/>
        <item m="1" x="1059"/>
        <item m="1" x="764"/>
        <item m="1" x="985"/>
        <item m="1" x="954"/>
        <item m="1" x="1174"/>
        <item m="1" x="947"/>
        <item m="1" x="525"/>
        <item m="1" x="1026"/>
        <item m="1" x="1160"/>
        <item m="1" x="850"/>
        <item m="1" x="982"/>
        <item m="1" x="315"/>
        <item m="1" x="1148"/>
        <item m="1" x="805"/>
        <item m="1" x="670"/>
        <item m="1" x="1054"/>
        <item m="1" x="580"/>
        <item m="1" x="903"/>
        <item m="1" x="437"/>
        <item m="1" x="533"/>
        <item m="1" x="930"/>
        <item m="1" x="699"/>
        <item m="1" x="243"/>
        <item m="1" x="577"/>
        <item m="1" x="1057"/>
        <item m="1" x="1159"/>
        <item m="1" x="262"/>
        <item m="1" x="547"/>
        <item m="1" x="482"/>
        <item m="1" x="815"/>
        <item m="1" x="908"/>
        <item m="1" x="348"/>
        <item m="1" x="1330"/>
        <item m="1" x="313"/>
        <item m="1" x="386"/>
        <item m="1" x="1167"/>
        <item m="1" x="675"/>
        <item m="1" x="689"/>
        <item m="1" x="743"/>
        <item m="1" x="318"/>
        <item m="1" x="597"/>
        <item m="1" x="992"/>
        <item m="1" x="904"/>
        <item m="1" x="694"/>
        <item m="1" x="641"/>
        <item m="1" x="271"/>
        <item m="1" x="509"/>
        <item m="1" x="973"/>
        <item m="1" x="607"/>
        <item m="1" x="770"/>
        <item m="1" x="707"/>
        <item m="1" x="889"/>
        <item m="1" x="253"/>
        <item m="1" x="734"/>
        <item m="1" x="408"/>
        <item m="1" x="811"/>
        <item m="1" x="937"/>
        <item m="1" x="1013"/>
        <item m="1" x="948"/>
        <item m="1" x="909"/>
        <item m="1" x="835"/>
        <item m="1" x="1246"/>
        <item m="1" x="1138"/>
        <item m="1" x="389"/>
        <item m="1" x="1130"/>
        <item m="1" x="584"/>
        <item m="1" x="894"/>
        <item m="1" x="300"/>
        <item m="1" x="873"/>
        <item m="1" x="740"/>
        <item m="1" x="1172"/>
        <item m="1" x="326"/>
        <item m="1" x="1383"/>
        <item m="1" x="365"/>
        <item m="1" x="305"/>
        <item m="1" x="875"/>
        <item m="1" x="1075"/>
        <item m="1" x="978"/>
        <item m="1" x="264"/>
        <item m="1" x="416"/>
        <item m="1" x="1204"/>
        <item m="1" x="1144"/>
        <item m="1" x="399"/>
        <item m="1" x="372"/>
        <item m="1" x="667"/>
        <item m="1" x="288"/>
        <item m="1" x="895"/>
        <item m="1" x="328"/>
        <item m="1" x="498"/>
        <item m="1" x="795"/>
        <item m="1" x="1326"/>
        <item m="1" x="366"/>
        <item m="1" x="636"/>
        <item m="1" x="483"/>
        <item m="1" x="645"/>
        <item m="1" x="1199"/>
        <item m="1" x="1082"/>
        <item m="1" x="544"/>
        <item m="1" x="297"/>
        <item m="1" x="1247"/>
        <item m="1" x="410"/>
        <item m="1" x="1192"/>
        <item m="1" x="749"/>
        <item m="1" x="1133"/>
        <item m="1" x="492"/>
        <item m="1" x="664"/>
        <item m="1" x="1149"/>
        <item m="1" x="1337"/>
        <item m="1" x="1113"/>
        <item m="1" x="512"/>
        <item m="1" x="455"/>
        <item m="1" x="1158"/>
        <item m="1" x="922"/>
        <item m="1" x="766"/>
        <item m="1" x="1190"/>
        <item m="1" x="238"/>
        <item m="1" x="235"/>
        <item m="1" x="910"/>
        <item m="1" x="1050"/>
        <item m="1" x="1005"/>
        <item m="1" x="1188"/>
        <item m="1" x="713"/>
        <item m="1" x="460"/>
        <item m="1" x="534"/>
        <item m="1" x="1064"/>
        <item m="1" x="616"/>
        <item m="1" x="846"/>
        <item m="1" x="1261"/>
        <item m="1" x="499"/>
        <item m="1" x="836"/>
        <item m="1" x="220"/>
        <item m="1" x="54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00"/>
        <item x="199"/>
        <item x="201"/>
        <item x="202"/>
        <item x="203"/>
        <item x="204"/>
        <item m="1" x="537"/>
        <item m="1" x="1298"/>
        <item m="1" x="240"/>
        <item m="1" x="20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377"/>
    </i>
    <i r="2">
      <x v="8"/>
    </i>
    <i r="1">
      <x v="1379"/>
    </i>
    <i r="2">
      <x v="8"/>
    </i>
    <i r="2">
      <x v="10"/>
    </i>
    <i r="2">
      <x v="11"/>
    </i>
    <i r="1">
      <x v="1380"/>
    </i>
    <i r="2">
      <x v="3"/>
    </i>
    <i r="2">
      <x v="11"/>
    </i>
    <i r="1">
      <x v="1381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25" totalsRowShown="0" totalsRowDxfId="24">
  <autoFilter ref="A1:C1125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433" totalsRowShown="0">
  <autoFilter ref="A1:S1433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5" totalsRowShown="0">
  <autoFilter ref="A1:B12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13" sqref="A13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117</v>
      </c>
      <c r="C5"/>
      <c r="D5"/>
      <c r="E5"/>
    </row>
    <row r="6" spans="1:6">
      <c r="A6" s="67" t="s">
        <v>3462</v>
      </c>
      <c r="B6" s="71">
        <v>36</v>
      </c>
      <c r="C6"/>
      <c r="D6"/>
      <c r="E6"/>
    </row>
    <row r="7" spans="1:6">
      <c r="A7" s="68" t="s">
        <v>370</v>
      </c>
      <c r="B7" s="71">
        <v>36</v>
      </c>
      <c r="C7"/>
      <c r="D7"/>
      <c r="E7"/>
    </row>
    <row r="8" spans="1:6">
      <c r="A8" s="67" t="s">
        <v>3482</v>
      </c>
      <c r="B8" s="71">
        <v>78</v>
      </c>
      <c r="C8" s="56"/>
      <c r="D8"/>
      <c r="E8"/>
    </row>
    <row r="9" spans="1:6">
      <c r="A9" s="68" t="s">
        <v>370</v>
      </c>
      <c r="B9" s="71">
        <v>71</v>
      </c>
      <c r="C9"/>
      <c r="D9"/>
    </row>
    <row r="10" spans="1:6">
      <c r="A10" s="68" t="s">
        <v>377</v>
      </c>
      <c r="B10" s="71">
        <v>1</v>
      </c>
      <c r="C10" s="53"/>
      <c r="D10"/>
    </row>
    <row r="11" spans="1:6">
      <c r="A11" s="68" t="s">
        <v>375</v>
      </c>
      <c r="B11" s="71">
        <v>6</v>
      </c>
      <c r="C11"/>
      <c r="D11"/>
    </row>
    <row r="12" spans="1:6">
      <c r="A12" s="67" t="s">
        <v>3579</v>
      </c>
      <c r="B12" s="71">
        <v>2</v>
      </c>
      <c r="C12"/>
      <c r="D12"/>
    </row>
    <row r="13" spans="1:6">
      <c r="A13" s="68" t="s">
        <v>369</v>
      </c>
      <c r="B13" s="71">
        <v>1</v>
      </c>
      <c r="C13"/>
      <c r="D13"/>
    </row>
    <row r="14" spans="1:6">
      <c r="A14" s="68" t="s">
        <v>375</v>
      </c>
      <c r="B14" s="71">
        <v>1</v>
      </c>
      <c r="C14" s="53"/>
      <c r="D14"/>
    </row>
    <row r="15" spans="1:6">
      <c r="A15" s="67" t="s">
        <v>3586</v>
      </c>
      <c r="B15" s="71">
        <v>1</v>
      </c>
      <c r="C15"/>
      <c r="D15"/>
    </row>
    <row r="16" spans="1:6">
      <c r="A16" s="68" t="s">
        <v>375</v>
      </c>
      <c r="B16" s="71">
        <v>1</v>
      </c>
      <c r="C16"/>
      <c r="D16"/>
    </row>
    <row r="17" spans="1:4">
      <c r="A17" s="17" t="s">
        <v>381</v>
      </c>
      <c r="B17" s="71">
        <v>117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25"/>
  <sheetViews>
    <sheetView topLeftCell="A1103" workbookViewId="0">
      <selection activeCell="C1124" sqref="C1124:C112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  <row r="1103" spans="1:3">
      <c r="A1103" t="s">
        <v>3133</v>
      </c>
      <c r="B1103">
        <v>3</v>
      </c>
      <c r="C1103" s="74" t="s">
        <v>4</v>
      </c>
    </row>
    <row r="1104" spans="1:3">
      <c r="A1104" t="s">
        <v>3129</v>
      </c>
      <c r="B1104">
        <v>4</v>
      </c>
      <c r="C1104" s="74" t="s">
        <v>4</v>
      </c>
    </row>
    <row r="1105" spans="1:3">
      <c r="A1105" t="s">
        <v>3159</v>
      </c>
      <c r="B1105">
        <v>1</v>
      </c>
      <c r="C1105" s="74" t="s">
        <v>4</v>
      </c>
    </row>
    <row r="1106" spans="1:3">
      <c r="A1106" t="s">
        <v>3149</v>
      </c>
      <c r="B1106">
        <v>1</v>
      </c>
      <c r="C1106" s="74" t="s">
        <v>4</v>
      </c>
    </row>
    <row r="1107" spans="1:3">
      <c r="A1107" t="s">
        <v>3135</v>
      </c>
      <c r="B1107">
        <v>7</v>
      </c>
      <c r="C1107" s="74" t="s">
        <v>4</v>
      </c>
    </row>
    <row r="1108" spans="1:3">
      <c r="A1108" t="s">
        <v>3152</v>
      </c>
      <c r="B1108">
        <v>4</v>
      </c>
      <c r="C1108" s="74" t="s">
        <v>4</v>
      </c>
    </row>
    <row r="1109" spans="1:3">
      <c r="A1109" t="s">
        <v>3163</v>
      </c>
      <c r="B1109">
        <v>1</v>
      </c>
      <c r="C1109" t="s">
        <v>4</v>
      </c>
    </row>
    <row r="1110" spans="1:3">
      <c r="A1110" t="s">
        <v>3166</v>
      </c>
      <c r="B1110">
        <v>5</v>
      </c>
      <c r="C1110" s="74" t="s">
        <v>4</v>
      </c>
    </row>
    <row r="1111" spans="1:3">
      <c r="A1111" t="s">
        <v>3175</v>
      </c>
      <c r="B1111">
        <v>1</v>
      </c>
      <c r="C1111" s="74" t="s">
        <v>4</v>
      </c>
    </row>
    <row r="1112" spans="1:3">
      <c r="A1112" t="s">
        <v>3177</v>
      </c>
      <c r="B1112">
        <v>1</v>
      </c>
      <c r="C1112" s="74" t="s">
        <v>4</v>
      </c>
    </row>
    <row r="1113" spans="1:3">
      <c r="A1113" t="s">
        <v>3193</v>
      </c>
      <c r="B1113">
        <v>8</v>
      </c>
      <c r="C1113" s="74" t="s">
        <v>4</v>
      </c>
    </row>
    <row r="1114" spans="1:3">
      <c r="A1114" t="s">
        <v>3180</v>
      </c>
      <c r="B1114">
        <v>1</v>
      </c>
      <c r="C1114" s="74" t="s">
        <v>4</v>
      </c>
    </row>
    <row r="1115" spans="1:3">
      <c r="A1115" t="s">
        <v>3409</v>
      </c>
      <c r="B1115">
        <v>1</v>
      </c>
      <c r="C1115" s="74" t="s">
        <v>4</v>
      </c>
    </row>
    <row r="1116" spans="1:3">
      <c r="A1116" t="s">
        <v>3418</v>
      </c>
      <c r="B1116">
        <v>1</v>
      </c>
      <c r="C1116" s="74" t="s">
        <v>4</v>
      </c>
    </row>
    <row r="1117" spans="1:3">
      <c r="A1117" t="s">
        <v>3414</v>
      </c>
      <c r="B1117">
        <v>1</v>
      </c>
      <c r="C1117" s="74" t="s">
        <v>4</v>
      </c>
    </row>
    <row r="1118" spans="1:3">
      <c r="A1118" t="s">
        <v>3411</v>
      </c>
      <c r="B1118">
        <v>2</v>
      </c>
      <c r="C1118" s="74" t="s">
        <v>4</v>
      </c>
    </row>
    <row r="1119" spans="1:3">
      <c r="A1119" t="s">
        <v>3196</v>
      </c>
      <c r="B1119">
        <v>1</v>
      </c>
      <c r="C1119" s="74" t="s">
        <v>4</v>
      </c>
    </row>
    <row r="1120" spans="1:3">
      <c r="A1120" t="s">
        <v>3205</v>
      </c>
      <c r="B1120">
        <v>4</v>
      </c>
      <c r="C1120" s="74" t="s">
        <v>4</v>
      </c>
    </row>
    <row r="1121" spans="1:3">
      <c r="A1121" t="s">
        <v>3206</v>
      </c>
      <c r="B1121">
        <v>2</v>
      </c>
      <c r="C1121" s="74" t="s">
        <v>4</v>
      </c>
    </row>
    <row r="1122" spans="1:3">
      <c r="A1122" t="s">
        <v>3209</v>
      </c>
      <c r="B1122">
        <v>1</v>
      </c>
      <c r="C1122" s="74" t="s">
        <v>4</v>
      </c>
    </row>
    <row r="1123" spans="1:3">
      <c r="A1123" t="s">
        <v>3212</v>
      </c>
      <c r="B1123">
        <v>101</v>
      </c>
      <c r="C1123" s="74" t="s">
        <v>4</v>
      </c>
    </row>
    <row r="1124" spans="1:3">
      <c r="A1124" t="s">
        <v>3480</v>
      </c>
      <c r="B1124">
        <v>17</v>
      </c>
      <c r="C1124" s="74" t="s">
        <v>4</v>
      </c>
    </row>
    <row r="1125" spans="1:3">
      <c r="A1125" t="s">
        <v>3481</v>
      </c>
      <c r="B1125">
        <v>1</v>
      </c>
      <c r="C1125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433"/>
  <sheetViews>
    <sheetView zoomScale="85" zoomScaleNormal="85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102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77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77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77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77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77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77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77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77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77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77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77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73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70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70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70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70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70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70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70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70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70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70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70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70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70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70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70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70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70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70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70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70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70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70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70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70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70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70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70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70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70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70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70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70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70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70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70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70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70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70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70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70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70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69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69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69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69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69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69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69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69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69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69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69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69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69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69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69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69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69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69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69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69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69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69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69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69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69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69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69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69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69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69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69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69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69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69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69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69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69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69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69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69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69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69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69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69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69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69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69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69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69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69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69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69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69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69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69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69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69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69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69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68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68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68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68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68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67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67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65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65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64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MGF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61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MGF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61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MGF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61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MGF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61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MGF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61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MGF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61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MGF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61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MGF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61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MGF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61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MGF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61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MGF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61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61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61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61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61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61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61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61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61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61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61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60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60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60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60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60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MGF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MGF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MGF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MGF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MGF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MGF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MGF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55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55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55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MGF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50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50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50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50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50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50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50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50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50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50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50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50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50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50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50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50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50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50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46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46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46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MGF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MGF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MGF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MGF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MGF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MGF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MGF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MGF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41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40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40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40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40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40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40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40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40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40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40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40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40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MGF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MGF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MGF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MGF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MGF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MGF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MGF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MGF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26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26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25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25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25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MGF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MGF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MGF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MGF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MGF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MGF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MGF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MGF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 hidden="1">
      <c r="A1148" t="s">
        <v>3129</v>
      </c>
      <c r="B1148" s="71" t="str">
        <f>IFERROR(VLOOKUP(Proc[[#This Row],[App]],Table2[],3,0),"open")</f>
        <v>ok</v>
      </c>
      <c r="C1148" t="s">
        <v>369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>
        <v>45772</v>
      </c>
      <c r="O1148" s="81">
        <v>45772</v>
      </c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2" t="s">
        <v>416</v>
      </c>
      <c r="S1148" s="71"/>
    </row>
    <row r="1149" spans="1:19" hidden="1">
      <c r="A1149" s="74" t="s">
        <v>3129</v>
      </c>
      <c r="B1149" s="71" t="str">
        <f>IFERROR(VLOOKUP(Proc[[#This Row],[App]],Table2[],3,0),"open")</f>
        <v>ok</v>
      </c>
      <c r="C1149" s="74" t="s">
        <v>369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>
        <v>45772</v>
      </c>
      <c r="O1149" s="81">
        <v>45772</v>
      </c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2" t="s">
        <v>416</v>
      </c>
      <c r="S1149" s="71"/>
    </row>
    <row r="1150" spans="1:19" hidden="1">
      <c r="A1150" s="74" t="s">
        <v>3129</v>
      </c>
      <c r="B1150" s="71" t="str">
        <f>IFERROR(VLOOKUP(Proc[[#This Row],[App]],Table2[],3,0),"open")</f>
        <v>ok</v>
      </c>
      <c r="C1150" s="74" t="s">
        <v>369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>
        <v>45772</v>
      </c>
      <c r="O1150" s="81">
        <v>45772</v>
      </c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2" t="s">
        <v>416</v>
      </c>
      <c r="S1150" s="71"/>
    </row>
    <row r="1151" spans="1:19" hidden="1">
      <c r="A1151" s="74" t="s">
        <v>3129</v>
      </c>
      <c r="B1151" s="71" t="str">
        <f>IFERROR(VLOOKUP(Proc[[#This Row],[App]],Table2[],3,0),"open")</f>
        <v>ok</v>
      </c>
      <c r="C1151" s="74" t="s">
        <v>369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>
        <v>45772</v>
      </c>
      <c r="O1151" s="81">
        <v>45772</v>
      </c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ok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</v>
      </c>
      <c r="R1152" s="82" t="s">
        <v>538</v>
      </c>
      <c r="S1152" s="71"/>
    </row>
    <row r="1153" spans="1:19" hidden="1">
      <c r="A1153" s="74" t="s">
        <v>3133</v>
      </c>
      <c r="B1153" s="71" t="str">
        <f>IFERROR(VLOOKUP(Proc[[#This Row],[App]],Table2[],3,0),"open")</f>
        <v>ok</v>
      </c>
      <c r="C1153" s="74" t="s">
        <v>369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>
        <v>45772</v>
      </c>
      <c r="O1153" s="81">
        <v>45772</v>
      </c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2" t="s">
        <v>538</v>
      </c>
      <c r="S1153" s="71"/>
    </row>
    <row r="1154" spans="1:19" hidden="1">
      <c r="A1154" s="74" t="s">
        <v>3133</v>
      </c>
      <c r="B1154" s="71" t="str">
        <f>IFERROR(VLOOKUP(Proc[[#This Row],[App]],Table2[],3,0),"open")</f>
        <v>ok</v>
      </c>
      <c r="C1154" s="74" t="s">
        <v>369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>
        <v>45772</v>
      </c>
      <c r="O1154" s="81">
        <v>45772</v>
      </c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2" t="s">
        <v>538</v>
      </c>
      <c r="S1154" s="71"/>
    </row>
    <row r="1155" spans="1:19" hidden="1">
      <c r="A1155" t="s">
        <v>3135</v>
      </c>
      <c r="B1155" s="71" t="str">
        <f>IFERROR(VLOOKUP(Proc[[#This Row],[App]],Table2[],3,0),"open")</f>
        <v>ok</v>
      </c>
      <c r="C1155" s="74" t="s">
        <v>369</v>
      </c>
      <c r="D1155" t="s">
        <v>3136</v>
      </c>
      <c r="E1155" t="s">
        <v>3145</v>
      </c>
      <c r="F1155" s="71" t="s">
        <v>3143</v>
      </c>
      <c r="G1155" s="74" t="s">
        <v>400</v>
      </c>
      <c r="H1155" s="71" t="str">
        <f>IF(Proc[[#This Row],[type]]="LFF (MDG-F)",MID(Proc[[#This Row],[Obj]],13,10),"")</f>
        <v/>
      </c>
      <c r="J1155" s="71" t="b">
        <f>Proc[[#This Row],[Requested]]=Proc[[#This Row],[CurrentParent]]</f>
        <v>0</v>
      </c>
      <c r="K1155" s="71" t="str">
        <f>IF(Proc[[#This Row],[Author]]="Marcela Urrego",VLOOKUP(LEFT(Proc[[#This Row],[Requested]],1),Table3[#All],2,0),VLOOKUP(Proc[[#This Row],[Author]],Table4[],2,0))</f>
        <v>LS</v>
      </c>
      <c r="L1155" s="71" t="s">
        <v>2841</v>
      </c>
      <c r="M1155" s="81">
        <v>45772.348194444443</v>
      </c>
      <c r="N1155" s="81">
        <v>45775</v>
      </c>
      <c r="O1155" s="81">
        <v>45775</v>
      </c>
      <c r="P1155" s="82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2" t="s">
        <v>508</v>
      </c>
      <c r="S1155" s="71"/>
    </row>
    <row r="1156" spans="1:19" hidden="1">
      <c r="A1156" s="74" t="s">
        <v>3135</v>
      </c>
      <c r="B1156" s="71" t="str">
        <f>IFERROR(VLOOKUP(Proc[[#This Row],[App]],Table2[],3,0),"open")</f>
        <v>ok</v>
      </c>
      <c r="C1156" s="74" t="s">
        <v>369</v>
      </c>
      <c r="D1156" t="s">
        <v>3137</v>
      </c>
      <c r="E1156" t="s">
        <v>3146</v>
      </c>
      <c r="F1156" s="71" t="s">
        <v>3144</v>
      </c>
      <c r="G1156" s="74" t="s">
        <v>400</v>
      </c>
      <c r="H1156" s="71" t="str">
        <f>IF(Proc[[#This Row],[type]]="LFF (MDG-F)",MID(Proc[[#This Row],[Obj]],13,10),"")</f>
        <v/>
      </c>
      <c r="J1156" s="71" t="b">
        <f>Proc[[#This Row],[Requested]]=Proc[[#This Row],[CurrentParent]]</f>
        <v>0</v>
      </c>
      <c r="K1156" s="71" t="str">
        <f>IF(Proc[[#This Row],[Author]]="Marcela Urrego",VLOOKUP(LEFT(Proc[[#This Row],[Requested]],1),Table3[#All],2,0),VLOOKUP(Proc[[#This Row],[Author]],Table4[],2,0))</f>
        <v>LS</v>
      </c>
      <c r="L1156" s="71" t="s">
        <v>2841</v>
      </c>
      <c r="M1156" s="81">
        <v>45772.348194444443</v>
      </c>
      <c r="N1156" s="81">
        <v>45775</v>
      </c>
      <c r="O1156" s="81">
        <v>45775</v>
      </c>
      <c r="P1156" s="82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2" t="s">
        <v>508</v>
      </c>
      <c r="S1156" s="71"/>
    </row>
    <row r="1157" spans="1:19" hidden="1">
      <c r="A1157" s="74" t="s">
        <v>3135</v>
      </c>
      <c r="B1157" s="71" t="str">
        <f>IFERROR(VLOOKUP(Proc[[#This Row],[App]],Table2[],3,0),"open")</f>
        <v>ok</v>
      </c>
      <c r="C1157" s="74" t="s">
        <v>369</v>
      </c>
      <c r="D1157" t="s">
        <v>3138</v>
      </c>
      <c r="E1157" t="s">
        <v>3147</v>
      </c>
      <c r="F1157" s="71" t="s">
        <v>3144</v>
      </c>
      <c r="G1157" s="74" t="s">
        <v>400</v>
      </c>
      <c r="H1157" s="71" t="str">
        <f>IF(Proc[[#This Row],[type]]="LFF (MDG-F)",MID(Proc[[#This Row],[Obj]],13,10),"")</f>
        <v/>
      </c>
      <c r="J1157" s="71" t="b">
        <f>Proc[[#This Row],[Requested]]=Proc[[#This Row],[CurrentParent]]</f>
        <v>0</v>
      </c>
      <c r="K1157" s="71" t="str">
        <f>IF(Proc[[#This Row],[Author]]="Marcela Urrego",VLOOKUP(LEFT(Proc[[#This Row],[Requested]],1),Table3[#All],2,0),VLOOKUP(Proc[[#This Row],[Author]],Table4[],2,0))</f>
        <v>LS</v>
      </c>
      <c r="L1157" s="71" t="s">
        <v>2841</v>
      </c>
      <c r="M1157" s="81">
        <v>45772.348194444443</v>
      </c>
      <c r="N1157" s="81">
        <v>45775</v>
      </c>
      <c r="O1157" s="81">
        <v>45775</v>
      </c>
      <c r="P1157" s="82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2" t="s">
        <v>508</v>
      </c>
      <c r="S1157" s="71"/>
    </row>
    <row r="1158" spans="1:19" hidden="1">
      <c r="A1158" s="74" t="s">
        <v>3135</v>
      </c>
      <c r="B1158" s="71" t="str">
        <f>IFERROR(VLOOKUP(Proc[[#This Row],[App]],Table2[],3,0),"open")</f>
        <v>ok</v>
      </c>
      <c r="C1158" s="74" t="s">
        <v>369</v>
      </c>
      <c r="D1158" t="s">
        <v>3139</v>
      </c>
      <c r="E1158" t="s">
        <v>3148</v>
      </c>
      <c r="F1158" s="71" t="s">
        <v>3144</v>
      </c>
      <c r="G1158" s="74" t="s">
        <v>400</v>
      </c>
      <c r="H1158" s="71" t="str">
        <f>IF(Proc[[#This Row],[type]]="LFF (MDG-F)",MID(Proc[[#This Row],[Obj]],13,10),"")</f>
        <v/>
      </c>
      <c r="J1158" s="71" t="b">
        <f>Proc[[#This Row],[Requested]]=Proc[[#This Row],[CurrentParent]]</f>
        <v>0</v>
      </c>
      <c r="K1158" s="71" t="str">
        <f>IF(Proc[[#This Row],[Author]]="Marcela Urrego",VLOOKUP(LEFT(Proc[[#This Row],[Requested]],1),Table3[#All],2,0),VLOOKUP(Proc[[#This Row],[Author]],Table4[],2,0))</f>
        <v>LS</v>
      </c>
      <c r="L1158" s="71" t="s">
        <v>2841</v>
      </c>
      <c r="M1158" s="81">
        <v>45772.348194444443</v>
      </c>
      <c r="N1158" s="81">
        <v>45775</v>
      </c>
      <c r="O1158" s="81">
        <v>45775</v>
      </c>
      <c r="P1158" s="82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2" t="s">
        <v>508</v>
      </c>
      <c r="S1158" s="71"/>
    </row>
    <row r="1159" spans="1:19" hidden="1">
      <c r="A1159" s="74" t="s">
        <v>3135</v>
      </c>
      <c r="B1159" s="71" t="str">
        <f>IFERROR(VLOOKUP(Proc[[#This Row],[App]],Table2[],3,0),"open")</f>
        <v>ok</v>
      </c>
      <c r="C1159" s="74" t="s">
        <v>369</v>
      </c>
      <c r="D1159" t="s">
        <v>3140</v>
      </c>
      <c r="E1159" t="s">
        <v>3146</v>
      </c>
      <c r="F1159" s="71" t="s">
        <v>3144</v>
      </c>
      <c r="G1159" s="74" t="s">
        <v>400</v>
      </c>
      <c r="H1159" s="71" t="str">
        <f>IF(Proc[[#This Row],[type]]="LFF (MDG-F)",MID(Proc[[#This Row],[Obj]],13,10),"")</f>
        <v/>
      </c>
      <c r="J1159" s="71" t="b">
        <f>Proc[[#This Row],[Requested]]=Proc[[#This Row],[CurrentParent]]</f>
        <v>0</v>
      </c>
      <c r="K1159" s="71" t="str">
        <f>IF(Proc[[#This Row],[Author]]="Marcela Urrego",VLOOKUP(LEFT(Proc[[#This Row],[Requested]],1),Table3[#All],2,0),VLOOKUP(Proc[[#This Row],[Author]],Table4[],2,0))</f>
        <v>LS</v>
      </c>
      <c r="L1159" s="71" t="s">
        <v>2841</v>
      </c>
      <c r="M1159" s="81">
        <v>45772.348194444443</v>
      </c>
      <c r="N1159" s="81">
        <v>45775</v>
      </c>
      <c r="O1159" s="81">
        <v>45775</v>
      </c>
      <c r="P1159" s="82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2" t="s">
        <v>508</v>
      </c>
      <c r="S1159" s="71"/>
    </row>
    <row r="1160" spans="1:19" hidden="1">
      <c r="A1160" s="74" t="s">
        <v>3135</v>
      </c>
      <c r="B1160" s="71" t="str">
        <f>IFERROR(VLOOKUP(Proc[[#This Row],[App]],Table2[],3,0),"open")</f>
        <v>ok</v>
      </c>
      <c r="C1160" s="74" t="s">
        <v>369</v>
      </c>
      <c r="D1160" t="s">
        <v>3141</v>
      </c>
      <c r="E1160" t="s">
        <v>3147</v>
      </c>
      <c r="F1160" s="71" t="s">
        <v>3144</v>
      </c>
      <c r="G1160" s="74" t="s">
        <v>400</v>
      </c>
      <c r="H1160" s="71" t="str">
        <f>IF(Proc[[#This Row],[type]]="LFF (MDG-F)",MID(Proc[[#This Row],[Obj]],13,10),"")</f>
        <v/>
      </c>
      <c r="J1160" s="71" t="b">
        <f>Proc[[#This Row],[Requested]]=Proc[[#This Row],[CurrentParent]]</f>
        <v>0</v>
      </c>
      <c r="K1160" s="71" t="str">
        <f>IF(Proc[[#This Row],[Author]]="Marcela Urrego",VLOOKUP(LEFT(Proc[[#This Row],[Requested]],1),Table3[#All],2,0),VLOOKUP(Proc[[#This Row],[Author]],Table4[],2,0))</f>
        <v>LS</v>
      </c>
      <c r="L1160" s="71" t="s">
        <v>2841</v>
      </c>
      <c r="M1160" s="81">
        <v>45772.348194444443</v>
      </c>
      <c r="N1160" s="81">
        <v>45775</v>
      </c>
      <c r="O1160" s="81">
        <v>45775</v>
      </c>
      <c r="P1160" s="82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2" t="s">
        <v>508</v>
      </c>
      <c r="S1160" s="71"/>
    </row>
    <row r="1161" spans="1:19" hidden="1">
      <c r="A1161" s="74" t="s">
        <v>3135</v>
      </c>
      <c r="B1161" s="71" t="str">
        <f>IFERROR(VLOOKUP(Proc[[#This Row],[App]],Table2[],3,0),"open")</f>
        <v>ok</v>
      </c>
      <c r="C1161" s="74" t="s">
        <v>369</v>
      </c>
      <c r="D1161" t="s">
        <v>3142</v>
      </c>
      <c r="E1161" t="s">
        <v>3148</v>
      </c>
      <c r="F1161" s="71" t="s">
        <v>3144</v>
      </c>
      <c r="G1161" s="74" t="s">
        <v>400</v>
      </c>
      <c r="H1161" s="71" t="str">
        <f>IF(Proc[[#This Row],[type]]="LFF (MDG-F)",MID(Proc[[#This Row],[Obj]],13,10),"")</f>
        <v/>
      </c>
      <c r="J1161" s="71" t="b">
        <f>Proc[[#This Row],[Requested]]=Proc[[#This Row],[CurrentParent]]</f>
        <v>0</v>
      </c>
      <c r="K1161" s="71" t="str">
        <f>IF(Proc[[#This Row],[Author]]="Marcela Urrego",VLOOKUP(LEFT(Proc[[#This Row],[Requested]],1),Table3[#All],2,0),VLOOKUP(Proc[[#This Row],[Author]],Table4[],2,0))</f>
        <v>LS</v>
      </c>
      <c r="L1161" s="71" t="s">
        <v>2841</v>
      </c>
      <c r="M1161" s="81">
        <v>45772.348194444443</v>
      </c>
      <c r="N1161" s="81">
        <v>45775</v>
      </c>
      <c r="O1161" s="81">
        <v>45775</v>
      </c>
      <c r="P1161" s="82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2" t="s">
        <v>508</v>
      </c>
      <c r="S1161" s="71"/>
    </row>
    <row r="1162" spans="1:19" hidden="1">
      <c r="A1162" t="s">
        <v>3149</v>
      </c>
      <c r="B1162" s="71" t="str">
        <f>IFERROR(VLOOKUP(Proc[[#This Row],[App]],Table2[],3,0),"open")</f>
        <v>ok</v>
      </c>
      <c r="C1162" s="74" t="s">
        <v>369</v>
      </c>
      <c r="D1162" t="s">
        <v>3150</v>
      </c>
      <c r="E1162" t="s">
        <v>3151</v>
      </c>
      <c r="F1162" s="71" t="s">
        <v>492</v>
      </c>
      <c r="G1162" s="74" t="s">
        <v>400</v>
      </c>
      <c r="H1162" s="71" t="str">
        <f>IF(Proc[[#This Row],[type]]="LFF (MDG-F)",MID(Proc[[#This Row],[Obj]],13,10),"")</f>
        <v/>
      </c>
      <c r="J1162" s="71" t="b">
        <f>Proc[[#This Row],[Requested]]=Proc[[#This Row],[CurrentParent]]</f>
        <v>0</v>
      </c>
      <c r="K1162" s="71" t="str">
        <f>IF(Proc[[#This Row],[Author]]="Marcela Urrego",VLOOKUP(LEFT(Proc[[#This Row],[Requested]],1),Table3[#All],2,0),VLOOKUP(Proc[[#This Row],[Author]],Table4[],2,0))</f>
        <v>MGF</v>
      </c>
      <c r="L1162" s="71" t="s">
        <v>2841</v>
      </c>
      <c r="M1162" s="81">
        <v>45771.599537037036</v>
      </c>
      <c r="N1162" s="81">
        <v>45775</v>
      </c>
      <c r="O1162" s="81">
        <v>45775</v>
      </c>
      <c r="P1162" s="82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2" t="s">
        <v>538</v>
      </c>
      <c r="S1162" s="71"/>
    </row>
    <row r="1163" spans="1:19" hidden="1">
      <c r="A1163" t="s">
        <v>3152</v>
      </c>
      <c r="B1163" s="71" t="str">
        <f>IFERROR(VLOOKUP(Proc[[#This Row],[App]],Table2[],3,0),"open")</f>
        <v>ok</v>
      </c>
      <c r="C1163" s="74" t="s">
        <v>369</v>
      </c>
      <c r="D1163" t="s">
        <v>3153</v>
      </c>
      <c r="E1163" t="s">
        <v>3161</v>
      </c>
      <c r="F1163" s="71" t="s">
        <v>3157</v>
      </c>
      <c r="G1163" t="s">
        <v>406</v>
      </c>
      <c r="H1163" s="71" t="str">
        <f>IF(Proc[[#This Row],[type]]="LFF (MDG-F)",MID(Proc[[#This Row],[Obj]],13,10),"")</f>
        <v>CH65R00020</v>
      </c>
      <c r="I1163" t="s">
        <v>3162</v>
      </c>
      <c r="J1163" s="71" t="b">
        <f>Proc[[#This Row],[Requested]]=Proc[[#This Row],[CurrentParent]]</f>
        <v>0</v>
      </c>
      <c r="K1163" s="71" t="str">
        <f>IF(Proc[[#This Row],[Author]]="Marcela Urrego",VLOOKUP(LEFT(Proc[[#This Row],[Requested]],1),Table3[#All],2,0),VLOOKUP(Proc[[#This Row],[Author]],Table4[],2,0))</f>
        <v>HC</v>
      </c>
      <c r="L1163" s="71" t="s">
        <v>2841</v>
      </c>
      <c r="M1163" s="81">
        <v>45771.413831018515</v>
      </c>
      <c r="N1163" s="81">
        <v>45776</v>
      </c>
      <c r="O1163" s="81">
        <v>45776</v>
      </c>
      <c r="P1163" s="82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2" t="s">
        <v>416</v>
      </c>
      <c r="S1163" s="71"/>
    </row>
    <row r="1164" spans="1:19" hidden="1">
      <c r="A1164" s="74" t="s">
        <v>3152</v>
      </c>
      <c r="B1164" s="71" t="str">
        <f>IFERROR(VLOOKUP(Proc[[#This Row],[App]],Table2[],3,0),"open")</f>
        <v>ok</v>
      </c>
      <c r="C1164" s="74" t="s">
        <v>369</v>
      </c>
      <c r="D1164" t="s">
        <v>3154</v>
      </c>
      <c r="E1164" t="s">
        <v>3161</v>
      </c>
      <c r="F1164" s="71" t="s">
        <v>3158</v>
      </c>
      <c r="G1164" s="74" t="s">
        <v>406</v>
      </c>
      <c r="H1164" s="71" t="str">
        <f>IF(Proc[[#This Row],[type]]="LFF (MDG-F)",MID(Proc[[#This Row],[Obj]],13,10),"")</f>
        <v>CH65R00048</v>
      </c>
      <c r="I1164" s="74" t="s">
        <v>3162</v>
      </c>
      <c r="J1164" s="71" t="b">
        <f>Proc[[#This Row],[Requested]]=Proc[[#This Row],[CurrentParent]]</f>
        <v>0</v>
      </c>
      <c r="K1164" s="71" t="str">
        <f>IF(Proc[[#This Row],[Author]]="Marcela Urrego",VLOOKUP(LEFT(Proc[[#This Row],[Requested]],1),Table3[#All],2,0),VLOOKUP(Proc[[#This Row],[Author]],Table4[],2,0))</f>
        <v>HC</v>
      </c>
      <c r="L1164" s="71" t="s">
        <v>2841</v>
      </c>
      <c r="M1164" s="81">
        <v>45771.413831018515</v>
      </c>
      <c r="N1164" s="81">
        <v>45776</v>
      </c>
      <c r="O1164" s="81">
        <v>45776</v>
      </c>
      <c r="P1164" s="82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2" t="s">
        <v>416</v>
      </c>
      <c r="S1164" s="71"/>
    </row>
    <row r="1165" spans="1:19" hidden="1">
      <c r="A1165" s="74" t="s">
        <v>3152</v>
      </c>
      <c r="B1165" s="71" t="str">
        <f>IFERROR(VLOOKUP(Proc[[#This Row],[App]],Table2[],3,0),"open")</f>
        <v>ok</v>
      </c>
      <c r="C1165" s="74" t="s">
        <v>369</v>
      </c>
      <c r="D1165" t="s">
        <v>3155</v>
      </c>
      <c r="E1165" t="s">
        <v>3161</v>
      </c>
      <c r="F1165" s="71" t="s">
        <v>3158</v>
      </c>
      <c r="G1165" s="74" t="s">
        <v>406</v>
      </c>
      <c r="H1165" s="71" t="str">
        <f>IF(Proc[[#This Row],[type]]="LFF (MDG-F)",MID(Proc[[#This Row],[Obj]],13,10),"")</f>
        <v>CH65R00050</v>
      </c>
      <c r="I1165" s="74" t="s">
        <v>3162</v>
      </c>
      <c r="J1165" s="71" t="b">
        <f>Proc[[#This Row],[Requested]]=Proc[[#This Row],[CurrentParent]]</f>
        <v>0</v>
      </c>
      <c r="K1165" s="71" t="str">
        <f>IF(Proc[[#This Row],[Author]]="Marcela Urrego",VLOOKUP(LEFT(Proc[[#This Row],[Requested]],1),Table3[#All],2,0),VLOOKUP(Proc[[#This Row],[Author]],Table4[],2,0))</f>
        <v>HC</v>
      </c>
      <c r="L1165" s="71" t="s">
        <v>2841</v>
      </c>
      <c r="M1165" s="81">
        <v>45771.413831018515</v>
      </c>
      <c r="N1165" s="81">
        <v>45776</v>
      </c>
      <c r="O1165" s="81">
        <v>45776</v>
      </c>
      <c r="P1165" s="82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2" t="s">
        <v>416</v>
      </c>
      <c r="S1165" s="71"/>
    </row>
    <row r="1166" spans="1:19" hidden="1">
      <c r="A1166" s="74" t="s">
        <v>3152</v>
      </c>
      <c r="B1166" s="71" t="str">
        <f>IFERROR(VLOOKUP(Proc[[#This Row],[App]],Table2[],3,0),"open")</f>
        <v>ok</v>
      </c>
      <c r="C1166" s="74" t="s">
        <v>369</v>
      </c>
      <c r="D1166" t="s">
        <v>3156</v>
      </c>
      <c r="E1166" t="s">
        <v>3161</v>
      </c>
      <c r="F1166" s="71" t="s">
        <v>3158</v>
      </c>
      <c r="G1166" s="74" t="s">
        <v>406</v>
      </c>
      <c r="H1166" s="71" t="str">
        <f>IF(Proc[[#This Row],[type]]="LFF (MDG-F)",MID(Proc[[#This Row],[Obj]],13,10),"")</f>
        <v>CH65R00052</v>
      </c>
      <c r="I1166" s="74" t="s">
        <v>3162</v>
      </c>
      <c r="J1166" s="71" t="b">
        <f>Proc[[#This Row],[Requested]]=Proc[[#This Row],[CurrentParent]]</f>
        <v>0</v>
      </c>
      <c r="K1166" s="71" t="str">
        <f>IF(Proc[[#This Row],[Author]]="Marcela Urrego",VLOOKUP(LEFT(Proc[[#This Row],[Requested]],1),Table3[#All],2,0),VLOOKUP(Proc[[#This Row],[Author]],Table4[],2,0))</f>
        <v>HC</v>
      </c>
      <c r="L1166" s="71" t="s">
        <v>2841</v>
      </c>
      <c r="M1166" s="81">
        <v>45771.413831018515</v>
      </c>
      <c r="N1166" s="81">
        <v>45776</v>
      </c>
      <c r="O1166" s="81">
        <v>45776</v>
      </c>
      <c r="P1166" s="82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2" t="s">
        <v>416</v>
      </c>
      <c r="S1166" s="71"/>
    </row>
    <row r="1167" spans="1:19" hidden="1">
      <c r="A1167" t="s">
        <v>3159</v>
      </c>
      <c r="B1167" s="71" t="str">
        <f>IFERROR(VLOOKUP(Proc[[#This Row],[App]],Table2[],3,0),"open")</f>
        <v>ok</v>
      </c>
      <c r="C1167" s="74" t="s">
        <v>369</v>
      </c>
      <c r="D1167" t="s">
        <v>3160</v>
      </c>
      <c r="E1167" t="s">
        <v>491</v>
      </c>
      <c r="F1167" s="71" t="s">
        <v>3132</v>
      </c>
      <c r="G1167" s="74" t="s">
        <v>400</v>
      </c>
      <c r="H1167" s="71" t="str">
        <f>IF(Proc[[#This Row],[type]]="LFF (MDG-F)",MID(Proc[[#This Row],[Obj]],13,10),"")</f>
        <v/>
      </c>
      <c r="J1167" s="71" t="b">
        <f>Proc[[#This Row],[Requested]]=Proc[[#This Row],[CurrentParent]]</f>
        <v>0</v>
      </c>
      <c r="K1167" s="71" t="str">
        <f>IF(Proc[[#This Row],[Author]]="Marcela Urrego",VLOOKUP(LEFT(Proc[[#This Row],[Requested]],1),Table3[#All],2,0),VLOOKUP(Proc[[#This Row],[Author]],Table4[],2,0))</f>
        <v>MGF</v>
      </c>
      <c r="L1167" s="71" t="s">
        <v>2841</v>
      </c>
      <c r="M1167" s="81">
        <v>45770.666944444441</v>
      </c>
      <c r="N1167" s="81">
        <v>45775</v>
      </c>
      <c r="O1167" s="81">
        <v>45775</v>
      </c>
      <c r="P1167" s="82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2" t="s">
        <v>538</v>
      </c>
      <c r="S1167" s="71"/>
    </row>
    <row r="1168" spans="1:19" hidden="1">
      <c r="A1168" t="s">
        <v>3163</v>
      </c>
      <c r="B1168" s="71" t="str">
        <f>IFERROR(VLOOKUP(Proc[[#This Row],[App]],Table2[],3,0),"open")</f>
        <v>ok</v>
      </c>
      <c r="C1168" t="s">
        <v>369</v>
      </c>
      <c r="D1168" t="s">
        <v>3164</v>
      </c>
      <c r="E1168" t="s">
        <v>2615</v>
      </c>
      <c r="F1168" s="71" t="s">
        <v>3165</v>
      </c>
      <c r="G1168" t="s">
        <v>400</v>
      </c>
      <c r="H1168" s="71" t="str">
        <f>IF(Proc[[#This Row],[type]]="LFF (MDG-F)",MID(Proc[[#This Row],[Obj]],13,10),"")</f>
        <v/>
      </c>
      <c r="J1168" s="71" t="b">
        <f>Proc[[#This Row],[Requested]]=Proc[[#This Row],[CurrentParent]]</f>
        <v>0</v>
      </c>
      <c r="K1168" s="71" t="str">
        <f>IF(Proc[[#This Row],[Author]]="Marcela Urrego",VLOOKUP(LEFT(Proc[[#This Row],[Requested]],1),Table3[#All],2,0),VLOOKUP(Proc[[#This Row],[Author]],Table4[],2,0))</f>
        <v>LS</v>
      </c>
      <c r="L1168" s="71" t="s">
        <v>2841</v>
      </c>
      <c r="M1168" s="81">
        <v>45775.693912037037</v>
      </c>
      <c r="N1168" s="81">
        <v>45777</v>
      </c>
      <c r="O1168" s="81">
        <v>45777</v>
      </c>
      <c r="P1168" s="82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2" t="s">
        <v>508</v>
      </c>
      <c r="S1168" s="71"/>
    </row>
    <row r="1169" spans="1:19" hidden="1">
      <c r="A1169" t="s">
        <v>3166</v>
      </c>
      <c r="B1169" s="71" t="str">
        <f>IFERROR(VLOOKUP(Proc[[#This Row],[App]],Table2[],3,0),"open")</f>
        <v>ok</v>
      </c>
      <c r="C1169" s="74" t="s">
        <v>369</v>
      </c>
      <c r="D1169" t="s">
        <v>3174</v>
      </c>
      <c r="E1169" t="s">
        <v>418</v>
      </c>
      <c r="F1169" s="71" t="s">
        <v>1316</v>
      </c>
      <c r="G1169" s="74" t="s">
        <v>400</v>
      </c>
      <c r="H1169" s="71" t="str">
        <f>IF(Proc[[#This Row],[type]]="LFF (MDG-F)",MID(Proc[[#This Row],[Obj]],13,10),"")</f>
        <v/>
      </c>
      <c r="J1169" s="71" t="b">
        <f>Proc[[#This Row],[Requested]]=Proc[[#This Row],[CurrentParent]]</f>
        <v>0</v>
      </c>
      <c r="K1169" s="71" t="str">
        <f>IF(Proc[[#This Row],[Author]]="Marcela Urrego",VLOOKUP(LEFT(Proc[[#This Row],[Requested]],1),Table3[#All],2,0),VLOOKUP(Proc[[#This Row],[Author]],Table4[],2,0))</f>
        <v>LS</v>
      </c>
      <c r="L1169" s="71" t="s">
        <v>2841</v>
      </c>
      <c r="M1169" s="81">
        <v>45776.423101851855</v>
      </c>
      <c r="N1169" s="81">
        <v>45779</v>
      </c>
      <c r="O1169" s="81">
        <v>45779</v>
      </c>
      <c r="P1169" s="82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2" t="s">
        <v>1003</v>
      </c>
      <c r="S1169" s="71"/>
    </row>
    <row r="1170" spans="1:19" hidden="1">
      <c r="A1170" s="74" t="s">
        <v>3166</v>
      </c>
      <c r="B1170" s="71" t="str">
        <f>IFERROR(VLOOKUP(Proc[[#This Row],[App]],Table2[],3,0),"open")</f>
        <v>ok</v>
      </c>
      <c r="C1170" s="74" t="s">
        <v>369</v>
      </c>
      <c r="D1170" t="s">
        <v>3167</v>
      </c>
      <c r="E1170" t="s">
        <v>3171</v>
      </c>
      <c r="F1170" s="71" t="s">
        <v>1316</v>
      </c>
      <c r="G1170" s="74" t="s">
        <v>400</v>
      </c>
      <c r="H1170" s="71" t="str">
        <f>IF(Proc[[#This Row],[type]]="LFF (MDG-F)",MID(Proc[[#This Row],[Obj]],13,10),"")</f>
        <v/>
      </c>
      <c r="J1170" s="71" t="b">
        <f>Proc[[#This Row],[Requested]]=Proc[[#This Row],[CurrentParent]]</f>
        <v>0</v>
      </c>
      <c r="K1170" s="71" t="str">
        <f>IF(Proc[[#This Row],[Author]]="Marcela Urrego",VLOOKUP(LEFT(Proc[[#This Row],[Requested]],1),Table3[#All],2,0),VLOOKUP(Proc[[#This Row],[Author]],Table4[],2,0))</f>
        <v>LS</v>
      </c>
      <c r="L1170" s="71" t="s">
        <v>2841</v>
      </c>
      <c r="M1170" s="81">
        <v>45776.423101851855</v>
      </c>
      <c r="N1170" s="81">
        <v>45779</v>
      </c>
      <c r="O1170" s="81">
        <v>45779</v>
      </c>
      <c r="P1170" s="82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2" t="s">
        <v>1003</v>
      </c>
      <c r="S1170" s="71"/>
    </row>
    <row r="1171" spans="1:19" hidden="1">
      <c r="A1171" s="74" t="s">
        <v>3166</v>
      </c>
      <c r="B1171" s="71" t="str">
        <f>IFERROR(VLOOKUP(Proc[[#This Row],[App]],Table2[],3,0),"open")</f>
        <v>ok</v>
      </c>
      <c r="C1171" s="74" t="s">
        <v>369</v>
      </c>
      <c r="D1171" t="s">
        <v>3168</v>
      </c>
      <c r="E1171" t="s">
        <v>3172</v>
      </c>
      <c r="F1171" s="71" t="s">
        <v>1316</v>
      </c>
      <c r="G1171" s="74" t="s">
        <v>400</v>
      </c>
      <c r="H1171" s="71" t="str">
        <f>IF(Proc[[#This Row],[type]]="LFF (MDG-F)",MID(Proc[[#This Row],[Obj]],13,10),"")</f>
        <v/>
      </c>
      <c r="J1171" s="71" t="b">
        <f>Proc[[#This Row],[Requested]]=Proc[[#This Row],[CurrentParent]]</f>
        <v>0</v>
      </c>
      <c r="K1171" s="71" t="str">
        <f>IF(Proc[[#This Row],[Author]]="Marcela Urrego",VLOOKUP(LEFT(Proc[[#This Row],[Requested]],1),Table3[#All],2,0),VLOOKUP(Proc[[#This Row],[Author]],Table4[],2,0))</f>
        <v>LS</v>
      </c>
      <c r="L1171" s="71" t="s">
        <v>2841</v>
      </c>
      <c r="M1171" s="81">
        <v>45776.423101851855</v>
      </c>
      <c r="N1171" s="81">
        <v>45779</v>
      </c>
      <c r="O1171" s="81">
        <v>45779</v>
      </c>
      <c r="P1171" s="82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2" t="s">
        <v>1003</v>
      </c>
      <c r="S1171" s="71"/>
    </row>
    <row r="1172" spans="1:19" hidden="1">
      <c r="A1172" s="74" t="s">
        <v>3166</v>
      </c>
      <c r="B1172" s="71" t="str">
        <f>IFERROR(VLOOKUP(Proc[[#This Row],[App]],Table2[],3,0),"open")</f>
        <v>ok</v>
      </c>
      <c r="C1172" s="74" t="s">
        <v>369</v>
      </c>
      <c r="D1172" t="s">
        <v>3169</v>
      </c>
      <c r="E1172" t="s">
        <v>3173</v>
      </c>
      <c r="F1172" s="71" t="s">
        <v>1316</v>
      </c>
      <c r="G1172" s="74" t="s">
        <v>400</v>
      </c>
      <c r="H1172" s="71" t="str">
        <f>IF(Proc[[#This Row],[type]]="LFF (MDG-F)",MID(Proc[[#This Row],[Obj]],13,10),"")</f>
        <v/>
      </c>
      <c r="J1172" s="71" t="b">
        <f>Proc[[#This Row],[Requested]]=Proc[[#This Row],[CurrentParent]]</f>
        <v>0</v>
      </c>
      <c r="K1172" s="71" t="str">
        <f>IF(Proc[[#This Row],[Author]]="Marcela Urrego",VLOOKUP(LEFT(Proc[[#This Row],[Requested]],1),Table3[#All],2,0),VLOOKUP(Proc[[#This Row],[Author]],Table4[],2,0))</f>
        <v>LS</v>
      </c>
      <c r="L1172" s="71" t="s">
        <v>2841</v>
      </c>
      <c r="M1172" s="81">
        <v>45776.423101851855</v>
      </c>
      <c r="N1172" s="81">
        <v>45779</v>
      </c>
      <c r="O1172" s="81">
        <v>45779</v>
      </c>
      <c r="P1172" s="82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2" t="s">
        <v>1003</v>
      </c>
      <c r="S1172" s="71"/>
    </row>
    <row r="1173" spans="1:19" hidden="1">
      <c r="A1173" s="74" t="s">
        <v>3166</v>
      </c>
      <c r="B1173" s="71" t="str">
        <f>IFERROR(VLOOKUP(Proc[[#This Row],[App]],Table2[],3,0),"open")</f>
        <v>ok</v>
      </c>
      <c r="C1173" s="74" t="s">
        <v>369</v>
      </c>
      <c r="D1173" t="s">
        <v>3170</v>
      </c>
      <c r="E1173" t="s">
        <v>3173</v>
      </c>
      <c r="F1173" s="71" t="s">
        <v>1316</v>
      </c>
      <c r="G1173" s="74" t="s">
        <v>400</v>
      </c>
      <c r="H1173" s="71" t="str">
        <f>IF(Proc[[#This Row],[type]]="LFF (MDG-F)",MID(Proc[[#This Row],[Obj]],13,10),"")</f>
        <v/>
      </c>
      <c r="J1173" s="71" t="b">
        <f>Proc[[#This Row],[Requested]]=Proc[[#This Row],[CurrentParent]]</f>
        <v>0</v>
      </c>
      <c r="K1173" s="71" t="str">
        <f>IF(Proc[[#This Row],[Author]]="Marcela Urrego",VLOOKUP(LEFT(Proc[[#This Row],[Requested]],1),Table3[#All],2,0),VLOOKUP(Proc[[#This Row],[Author]],Table4[],2,0))</f>
        <v>LS</v>
      </c>
      <c r="L1173" s="71" t="s">
        <v>2841</v>
      </c>
      <c r="M1173" s="81">
        <v>45776.423101851855</v>
      </c>
      <c r="N1173" s="81">
        <v>45779</v>
      </c>
      <c r="O1173" s="81">
        <v>45779</v>
      </c>
      <c r="P1173" s="82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2" t="s">
        <v>1003</v>
      </c>
      <c r="S1173" s="71"/>
    </row>
    <row r="1174" spans="1:19" hidden="1">
      <c r="A1174" t="s">
        <v>3175</v>
      </c>
      <c r="B1174" s="71" t="str">
        <f>IFERROR(VLOOKUP(Proc[[#This Row],[App]],Table2[],3,0),"open")</f>
        <v>ok</v>
      </c>
      <c r="C1174" s="74" t="s">
        <v>369</v>
      </c>
      <c r="D1174" t="s">
        <v>2531</v>
      </c>
      <c r="E1174" t="s">
        <v>3178</v>
      </c>
      <c r="F1174" s="71" t="s">
        <v>658</v>
      </c>
      <c r="G1174" t="s">
        <v>406</v>
      </c>
      <c r="H1174" s="71" t="str">
        <f>IF(Proc[[#This Row],[type]]="LFF (MDG-F)",MID(Proc[[#This Row],[Obj]],13,10),"")</f>
        <v>DE20675106</v>
      </c>
      <c r="I1174" t="s">
        <v>3179</v>
      </c>
      <c r="J1174" s="71" t="b">
        <f>Proc[[#This Row],[Requested]]=Proc[[#This Row],[CurrentParent]]</f>
        <v>0</v>
      </c>
      <c r="K1174" s="71" t="str">
        <f>IF(Proc[[#This Row],[Author]]="Marcela Urrego",VLOOKUP(LEFT(Proc[[#This Row],[Requested]],1),Table3[#All],2,0),VLOOKUP(Proc[[#This Row],[Author]],Table4[],2,0))</f>
        <v>MGF</v>
      </c>
      <c r="L1174" s="71" t="s">
        <v>2841</v>
      </c>
      <c r="M1174" s="81">
        <v>45776.467129629629</v>
      </c>
      <c r="N1174" s="81">
        <v>45779</v>
      </c>
      <c r="O1174" s="81">
        <v>45779</v>
      </c>
      <c r="P1174" s="82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2" t="s">
        <v>575</v>
      </c>
      <c r="S1174" s="71"/>
    </row>
    <row r="1175" spans="1:19" hidden="1">
      <c r="A1175" s="83" t="s">
        <v>3177</v>
      </c>
      <c r="B1175" s="71" t="str">
        <f>IFERROR(VLOOKUP(Proc[[#This Row],[App]],Table2[],3,0),"open")</f>
        <v>ok</v>
      </c>
      <c r="C1175" s="74" t="s">
        <v>369</v>
      </c>
      <c r="D1175" t="s">
        <v>3176</v>
      </c>
      <c r="E1175" t="s">
        <v>2207</v>
      </c>
      <c r="F1175" s="71" t="s">
        <v>1098</v>
      </c>
      <c r="G1175" t="s">
        <v>400</v>
      </c>
      <c r="H1175" s="71" t="str">
        <f>IF(Proc[[#This Row],[type]]="LFF (MDG-F)",MID(Proc[[#This Row],[Obj]],13,10),"")</f>
        <v/>
      </c>
      <c r="J1175" s="71" t="b">
        <f>Proc[[#This Row],[Requested]]=Proc[[#This Row],[CurrentParent]]</f>
        <v>0</v>
      </c>
      <c r="K1175" s="71" t="str">
        <f>IF(Proc[[#This Row],[Author]]="Marcela Urrego",VLOOKUP(LEFT(Proc[[#This Row],[Requested]],1),Table3[#All],2,0),VLOOKUP(Proc[[#This Row],[Author]],Table4[],2,0))</f>
        <v>MGF</v>
      </c>
      <c r="L1175" s="71" t="s">
        <v>2841</v>
      </c>
      <c r="M1175" s="81">
        <v>45777.351076388892</v>
      </c>
      <c r="N1175" s="81">
        <v>45779</v>
      </c>
      <c r="O1175" s="81">
        <v>45779</v>
      </c>
      <c r="P1175" s="82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2" t="s">
        <v>1112</v>
      </c>
      <c r="S1175" s="71"/>
    </row>
    <row r="1176" spans="1:19" hidden="1">
      <c r="A1176" t="s">
        <v>3180</v>
      </c>
      <c r="B1176" s="71" t="str">
        <f>IFERROR(VLOOKUP(Proc[[#This Row],[App]],Table2[],3,0),"open")</f>
        <v>ok</v>
      </c>
      <c r="C1176" t="s">
        <v>369</v>
      </c>
      <c r="D1176" t="s">
        <v>3181</v>
      </c>
      <c r="E1176" t="s">
        <v>3182</v>
      </c>
      <c r="F1176" s="71"/>
      <c r="G1176" t="s">
        <v>406</v>
      </c>
      <c r="H1176" s="71" t="str">
        <f>IF(Proc[[#This Row],[type]]="LFF (MDG-F)",MID(Proc[[#This Row],[Obj]],13,10),"")</f>
        <v>CN50R03152</v>
      </c>
      <c r="I1176" t="s">
        <v>3194</v>
      </c>
      <c r="J1176" s="71" t="b">
        <f>Proc[[#This Row],[Requested]]=Proc[[#This Row],[CurrentParent]]</f>
        <v>0</v>
      </c>
      <c r="K1176" s="71" t="str">
        <f>IF(Proc[[#This Row],[Author]]="Marcela Urrego",VLOOKUP(LEFT(Proc[[#This Row],[Requested]],1),Table3[#All],2,0),VLOOKUP(Proc[[#This Row],[Author]],Table4[],2,0))</f>
        <v>HC</v>
      </c>
      <c r="L1176" s="71" t="s">
        <v>2841</v>
      </c>
      <c r="M1176" s="81">
        <v>45779.37295138889</v>
      </c>
      <c r="N1176" s="81">
        <v>45784</v>
      </c>
      <c r="O1176" s="81">
        <v>45784</v>
      </c>
      <c r="P1176" s="82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2" t="s">
        <v>496</v>
      </c>
      <c r="S1176" s="71"/>
    </row>
    <row r="1177" spans="1:19" hidden="1">
      <c r="A1177" t="s">
        <v>3193</v>
      </c>
      <c r="B1177" s="71" t="str">
        <f>IFERROR(VLOOKUP(Proc[[#This Row],[App]],Table2[],3,0),"open")</f>
        <v>ok</v>
      </c>
      <c r="C1177" s="74" t="s">
        <v>398</v>
      </c>
      <c r="D1177" t="s">
        <v>3183</v>
      </c>
      <c r="E1177" t="s">
        <v>2297</v>
      </c>
      <c r="F1177" s="71"/>
      <c r="G1177" t="s">
        <v>400</v>
      </c>
      <c r="H1177" s="71" t="str">
        <f>IF(Proc[[#This Row],[type]]="LFF (MDG-F)",MID(Proc[[#This Row],[Obj]],13,10),"")</f>
        <v/>
      </c>
      <c r="I1177" t="s">
        <v>3195</v>
      </c>
      <c r="J1177" s="71" t="b">
        <f>Proc[[#This Row],[Requested]]=Proc[[#This Row],[CurrentParent]]</f>
        <v>0</v>
      </c>
      <c r="K1177" s="71" t="str">
        <f>IF(Proc[[#This Row],[Author]]="Marcela Urrego",VLOOKUP(LEFT(Proc[[#This Row],[Requested]],1),Table3[#All],2,0),VLOOKUP(Proc[[#This Row],[Author]],Table4[],2,0))</f>
        <v>HC</v>
      </c>
      <c r="L1177" s="71" t="s">
        <v>2841</v>
      </c>
      <c r="M1177" s="81">
        <v>45779.37096064815</v>
      </c>
      <c r="N1177" s="81"/>
      <c r="O1177" s="81">
        <v>45784</v>
      </c>
      <c r="P1177" s="82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2" t="s">
        <v>496</v>
      </c>
      <c r="S1177" s="71"/>
    </row>
    <row r="1178" spans="1:19" hidden="1">
      <c r="A1178" s="74" t="s">
        <v>3193</v>
      </c>
      <c r="B1178" s="71" t="str">
        <f>IFERROR(VLOOKUP(Proc[[#This Row],[App]],Table2[],3,0),"open")</f>
        <v>ok</v>
      </c>
      <c r="C1178" s="74" t="s">
        <v>398</v>
      </c>
      <c r="D1178" t="s">
        <v>3184</v>
      </c>
      <c r="E1178" t="s">
        <v>2297</v>
      </c>
      <c r="F1178" s="71"/>
      <c r="G1178" s="74" t="s">
        <v>400</v>
      </c>
      <c r="H1178" s="71" t="str">
        <f>IF(Proc[[#This Row],[type]]="LFF (MDG-F)",MID(Proc[[#This Row],[Obj]],13,10),"")</f>
        <v/>
      </c>
      <c r="I1178" s="74" t="s">
        <v>3195</v>
      </c>
      <c r="J1178" s="71" t="b">
        <f>Proc[[#This Row],[Requested]]=Proc[[#This Row],[CurrentParent]]</f>
        <v>0</v>
      </c>
      <c r="K1178" s="71" t="str">
        <f>IF(Proc[[#This Row],[Author]]="Marcela Urrego",VLOOKUP(LEFT(Proc[[#This Row],[Requested]],1),Table3[#All],2,0),VLOOKUP(Proc[[#This Row],[Author]],Table4[],2,0))</f>
        <v>HC</v>
      </c>
      <c r="L1178" s="71" t="s">
        <v>2841</v>
      </c>
      <c r="M1178" s="81">
        <v>45779.37096064815</v>
      </c>
      <c r="N1178" s="81"/>
      <c r="O1178" s="81">
        <v>45784</v>
      </c>
      <c r="P1178" s="82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2" t="s">
        <v>496</v>
      </c>
      <c r="S1178" s="71"/>
    </row>
    <row r="1179" spans="1:19" hidden="1">
      <c r="A1179" s="74" t="s">
        <v>3193</v>
      </c>
      <c r="B1179" s="71" t="str">
        <f>IFERROR(VLOOKUP(Proc[[#This Row],[App]],Table2[],3,0),"open")</f>
        <v>ok</v>
      </c>
      <c r="C1179" s="74" t="s">
        <v>398</v>
      </c>
      <c r="D1179" t="s">
        <v>3185</v>
      </c>
      <c r="E1179" t="s">
        <v>2297</v>
      </c>
      <c r="F1179" s="71"/>
      <c r="G1179" s="74" t="s">
        <v>400</v>
      </c>
      <c r="H1179" s="71" t="str">
        <f>IF(Proc[[#This Row],[type]]="LFF (MDG-F)",MID(Proc[[#This Row],[Obj]],13,10),"")</f>
        <v/>
      </c>
      <c r="I1179" s="74" t="s">
        <v>3195</v>
      </c>
      <c r="J1179" s="71" t="b">
        <f>Proc[[#This Row],[Requested]]=Proc[[#This Row],[CurrentParent]]</f>
        <v>0</v>
      </c>
      <c r="K1179" s="71" t="str">
        <f>IF(Proc[[#This Row],[Author]]="Marcela Urrego",VLOOKUP(LEFT(Proc[[#This Row],[Requested]],1),Table3[#All],2,0),VLOOKUP(Proc[[#This Row],[Author]],Table4[],2,0))</f>
        <v>HC</v>
      </c>
      <c r="L1179" s="71" t="s">
        <v>2841</v>
      </c>
      <c r="M1179" s="81">
        <v>45779.37096064815</v>
      </c>
      <c r="N1179" s="81"/>
      <c r="O1179" s="81">
        <v>45784</v>
      </c>
      <c r="P1179" s="82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2" t="s">
        <v>496</v>
      </c>
      <c r="S1179" s="71"/>
    </row>
    <row r="1180" spans="1:19" hidden="1">
      <c r="A1180" s="74" t="s">
        <v>3193</v>
      </c>
      <c r="B1180" s="71" t="str">
        <f>IFERROR(VLOOKUP(Proc[[#This Row],[App]],Table2[],3,0),"open")</f>
        <v>ok</v>
      </c>
      <c r="C1180" s="74" t="s">
        <v>398</v>
      </c>
      <c r="D1180" t="s">
        <v>3186</v>
      </c>
      <c r="E1180" t="s">
        <v>2297</v>
      </c>
      <c r="F1180" s="71"/>
      <c r="G1180" s="74" t="s">
        <v>400</v>
      </c>
      <c r="H1180" s="71" t="str">
        <f>IF(Proc[[#This Row],[type]]="LFF (MDG-F)",MID(Proc[[#This Row],[Obj]],13,10),"")</f>
        <v/>
      </c>
      <c r="I1180" s="74" t="s">
        <v>3195</v>
      </c>
      <c r="J1180" s="71" t="b">
        <f>Proc[[#This Row],[Requested]]=Proc[[#This Row],[CurrentParent]]</f>
        <v>0</v>
      </c>
      <c r="K1180" s="71" t="str">
        <f>IF(Proc[[#This Row],[Author]]="Marcela Urrego",VLOOKUP(LEFT(Proc[[#This Row],[Requested]],1),Table3[#All],2,0),VLOOKUP(Proc[[#This Row],[Author]],Table4[],2,0))</f>
        <v>HC</v>
      </c>
      <c r="L1180" s="71" t="s">
        <v>2841</v>
      </c>
      <c r="M1180" s="81">
        <v>45779.37096064815</v>
      </c>
      <c r="N1180" s="81"/>
      <c r="O1180" s="81">
        <v>45784</v>
      </c>
      <c r="P1180" s="82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2" t="s">
        <v>496</v>
      </c>
      <c r="S1180" s="71"/>
    </row>
    <row r="1181" spans="1:19" hidden="1">
      <c r="A1181" s="74" t="s">
        <v>3193</v>
      </c>
      <c r="B1181" s="71" t="str">
        <f>IFERROR(VLOOKUP(Proc[[#This Row],[App]],Table2[],3,0),"open")</f>
        <v>ok</v>
      </c>
      <c r="C1181" s="74" t="s">
        <v>398</v>
      </c>
      <c r="D1181" t="s">
        <v>3187</v>
      </c>
      <c r="E1181" t="s">
        <v>3191</v>
      </c>
      <c r="F1181" s="71"/>
      <c r="G1181" s="74" t="s">
        <v>400</v>
      </c>
      <c r="H1181" s="71" t="str">
        <f>IF(Proc[[#This Row],[type]]="LFF (MDG-F)",MID(Proc[[#This Row],[Obj]],13,10),"")</f>
        <v/>
      </c>
      <c r="I1181" s="74" t="s">
        <v>3195</v>
      </c>
      <c r="J1181" s="71" t="b">
        <f>Proc[[#This Row],[Requested]]=Proc[[#This Row],[CurrentParent]]</f>
        <v>0</v>
      </c>
      <c r="K1181" s="71" t="str">
        <f>IF(Proc[[#This Row],[Author]]="Marcela Urrego",VLOOKUP(LEFT(Proc[[#This Row],[Requested]],1),Table3[#All],2,0),VLOOKUP(Proc[[#This Row],[Author]],Table4[],2,0))</f>
        <v>HC</v>
      </c>
      <c r="L1181" s="71" t="s">
        <v>2841</v>
      </c>
      <c r="M1181" s="81">
        <v>45779.37096064815</v>
      </c>
      <c r="N1181" s="81"/>
      <c r="O1181" s="81">
        <v>45784</v>
      </c>
      <c r="P1181" s="82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2" t="s">
        <v>496</v>
      </c>
      <c r="S1181" s="71"/>
    </row>
    <row r="1182" spans="1:19" hidden="1">
      <c r="A1182" s="74" t="s">
        <v>3193</v>
      </c>
      <c r="B1182" s="71" t="str">
        <f>IFERROR(VLOOKUP(Proc[[#This Row],[App]],Table2[],3,0),"open")</f>
        <v>ok</v>
      </c>
      <c r="C1182" s="74" t="s">
        <v>398</v>
      </c>
      <c r="D1182" t="s">
        <v>3188</v>
      </c>
      <c r="E1182" t="s">
        <v>3191</v>
      </c>
      <c r="F1182" s="71"/>
      <c r="G1182" s="74" t="s">
        <v>400</v>
      </c>
      <c r="H1182" s="71" t="str">
        <f>IF(Proc[[#This Row],[type]]="LFF (MDG-F)",MID(Proc[[#This Row],[Obj]],13,10),"")</f>
        <v/>
      </c>
      <c r="I1182" s="74" t="s">
        <v>3195</v>
      </c>
      <c r="J1182" s="71" t="b">
        <f>Proc[[#This Row],[Requested]]=Proc[[#This Row],[CurrentParent]]</f>
        <v>0</v>
      </c>
      <c r="K1182" s="71" t="str">
        <f>IF(Proc[[#This Row],[Author]]="Marcela Urrego",VLOOKUP(LEFT(Proc[[#This Row],[Requested]],1),Table3[#All],2,0),VLOOKUP(Proc[[#This Row],[Author]],Table4[],2,0))</f>
        <v>HC</v>
      </c>
      <c r="L1182" s="71" t="s">
        <v>2841</v>
      </c>
      <c r="M1182" s="81">
        <v>45779.37096064815</v>
      </c>
      <c r="N1182" s="81"/>
      <c r="O1182" s="81">
        <v>45784</v>
      </c>
      <c r="P1182" s="82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2" t="s">
        <v>496</v>
      </c>
      <c r="S1182" s="71"/>
    </row>
    <row r="1183" spans="1:19" hidden="1">
      <c r="A1183" s="74" t="s">
        <v>3193</v>
      </c>
      <c r="B1183" s="71" t="str">
        <f>IFERROR(VLOOKUP(Proc[[#This Row],[App]],Table2[],3,0),"open")</f>
        <v>ok</v>
      </c>
      <c r="C1183" s="74" t="s">
        <v>398</v>
      </c>
      <c r="D1183" t="s">
        <v>3189</v>
      </c>
      <c r="E1183" t="s">
        <v>3192</v>
      </c>
      <c r="F1183" s="71"/>
      <c r="G1183" s="74" t="s">
        <v>400</v>
      </c>
      <c r="H1183" s="71" t="str">
        <f>IF(Proc[[#This Row],[type]]="LFF (MDG-F)",MID(Proc[[#This Row],[Obj]],13,10),"")</f>
        <v/>
      </c>
      <c r="I1183" s="74" t="s">
        <v>3195</v>
      </c>
      <c r="J1183" s="71" t="b">
        <f>Proc[[#This Row],[Requested]]=Proc[[#This Row],[CurrentParent]]</f>
        <v>0</v>
      </c>
      <c r="K1183" s="71" t="str">
        <f>IF(Proc[[#This Row],[Author]]="Marcela Urrego",VLOOKUP(LEFT(Proc[[#This Row],[Requested]],1),Table3[#All],2,0),VLOOKUP(Proc[[#This Row],[Author]],Table4[],2,0))</f>
        <v>HC</v>
      </c>
      <c r="L1183" s="71" t="s">
        <v>2841</v>
      </c>
      <c r="M1183" s="81">
        <v>45779.37096064815</v>
      </c>
      <c r="N1183" s="81"/>
      <c r="O1183" s="81">
        <v>45784</v>
      </c>
      <c r="P1183" s="82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2" t="s">
        <v>496</v>
      </c>
      <c r="S1183" s="71"/>
    </row>
    <row r="1184" spans="1:19" hidden="1">
      <c r="A1184" s="74" t="s">
        <v>3193</v>
      </c>
      <c r="B1184" s="71" t="str">
        <f>IFERROR(VLOOKUP(Proc[[#This Row],[App]],Table2[],3,0),"open")</f>
        <v>ok</v>
      </c>
      <c r="C1184" s="74" t="s">
        <v>398</v>
      </c>
      <c r="D1184" t="s">
        <v>3190</v>
      </c>
      <c r="E1184" t="s">
        <v>2331</v>
      </c>
      <c r="F1184" s="71"/>
      <c r="G1184" s="74" t="s">
        <v>400</v>
      </c>
      <c r="H1184" s="71" t="str">
        <f>IF(Proc[[#This Row],[type]]="LFF (MDG-F)",MID(Proc[[#This Row],[Obj]],13,10),"")</f>
        <v/>
      </c>
      <c r="I1184" s="74" t="s">
        <v>3195</v>
      </c>
      <c r="J1184" s="71" t="b">
        <f>Proc[[#This Row],[Requested]]=Proc[[#This Row],[CurrentParent]]</f>
        <v>0</v>
      </c>
      <c r="K1184" s="71" t="str">
        <f>IF(Proc[[#This Row],[Author]]="Marcela Urrego",VLOOKUP(LEFT(Proc[[#This Row],[Requested]],1),Table3[#All],2,0),VLOOKUP(Proc[[#This Row],[Author]],Table4[],2,0))</f>
        <v>HC</v>
      </c>
      <c r="L1184" s="71" t="s">
        <v>2841</v>
      </c>
      <c r="M1184" s="81">
        <v>45779.37096064815</v>
      </c>
      <c r="N1184" s="81"/>
      <c r="O1184" s="81">
        <v>45784</v>
      </c>
      <c r="P1184" s="82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2" t="s">
        <v>496</v>
      </c>
      <c r="S1184" s="71"/>
    </row>
    <row r="1185" spans="1:19" hidden="1">
      <c r="A1185" t="s">
        <v>3196</v>
      </c>
      <c r="B1185" s="71" t="str">
        <f>IFERROR(VLOOKUP(Proc[[#This Row],[App]],Table2[],3,0),"open")</f>
        <v>ok</v>
      </c>
      <c r="C1185" t="s">
        <v>369</v>
      </c>
      <c r="D1185" t="s">
        <v>3197</v>
      </c>
      <c r="E1185" t="s">
        <v>3198</v>
      </c>
      <c r="F1185" s="71"/>
      <c r="G1185" t="s">
        <v>400</v>
      </c>
      <c r="H1185" s="71" t="str">
        <f>IF(Proc[[#This Row],[type]]="LFF (MDG-F)",MID(Proc[[#This Row],[Obj]],13,10),"")</f>
        <v/>
      </c>
      <c r="J1185" s="71" t="b">
        <f>Proc[[#This Row],[Requested]]=Proc[[#This Row],[CurrentParent]]</f>
        <v>0</v>
      </c>
      <c r="K1185" s="71" t="str">
        <f>IF(Proc[[#This Row],[Author]]="Marcela Urrego",VLOOKUP(LEFT(Proc[[#This Row],[Requested]],1),Table3[#All],2,0),VLOOKUP(Proc[[#This Row],[Author]],Table4[],2,0))</f>
        <v>LS</v>
      </c>
      <c r="L1185" s="71" t="s">
        <v>2841</v>
      </c>
      <c r="M1185" s="81">
        <v>45779.507777777777</v>
      </c>
      <c r="N1185" s="81">
        <v>45790</v>
      </c>
      <c r="O1185" s="81">
        <v>45790</v>
      </c>
      <c r="P1185" s="82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2" t="s">
        <v>3199</v>
      </c>
      <c r="S1185" s="71"/>
    </row>
    <row r="1186" spans="1:19" hidden="1">
      <c r="A1186" t="s">
        <v>3205</v>
      </c>
      <c r="B1186" s="71" t="str">
        <f>IFERROR(VLOOKUP(Proc[[#This Row],[App]],Table2[],3,0),"open")</f>
        <v>ok</v>
      </c>
      <c r="C1186" s="74" t="s">
        <v>369</v>
      </c>
      <c r="D1186" t="s">
        <v>3200</v>
      </c>
      <c r="E1186" t="s">
        <v>2903</v>
      </c>
      <c r="F1186" s="71" t="s">
        <v>426</v>
      </c>
      <c r="G1186" t="s">
        <v>400</v>
      </c>
      <c r="H1186" s="71" t="str">
        <f>IF(Proc[[#This Row],[type]]="LFF (MDG-F)",MID(Proc[[#This Row],[Obj]],13,10),"")</f>
        <v/>
      </c>
      <c r="J1186" s="71" t="b">
        <f>Proc[[#This Row],[Requested]]=Proc[[#This Row],[CurrentParent]]</f>
        <v>0</v>
      </c>
      <c r="K1186" s="71" t="str">
        <f>IF(Proc[[#This Row],[Author]]="Marcela Urrego",VLOOKUP(LEFT(Proc[[#This Row],[Requested]],1),Table3[#All],2,0),VLOOKUP(Proc[[#This Row],[Author]],Table4[],2,0))</f>
        <v>MGF</v>
      </c>
      <c r="L1186" s="71" t="s">
        <v>2841</v>
      </c>
      <c r="M1186" s="81">
        <v>45782.435740740744</v>
      </c>
      <c r="N1186" s="81">
        <v>45790</v>
      </c>
      <c r="O1186" s="81">
        <v>45790</v>
      </c>
      <c r="P1186" s="82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2" t="s">
        <v>1530</v>
      </c>
      <c r="S1186" s="71"/>
    </row>
    <row r="1187" spans="1:19" hidden="1">
      <c r="A1187" s="74" t="s">
        <v>3205</v>
      </c>
      <c r="B1187" s="71" t="str">
        <f>IFERROR(VLOOKUP(Proc[[#This Row],[App]],Table2[],3,0),"open")</f>
        <v>ok</v>
      </c>
      <c r="C1187" s="74" t="s">
        <v>369</v>
      </c>
      <c r="D1187" t="s">
        <v>3201</v>
      </c>
      <c r="E1187" t="s">
        <v>2903</v>
      </c>
      <c r="F1187" s="71" t="s">
        <v>429</v>
      </c>
      <c r="G1187" t="s">
        <v>406</v>
      </c>
      <c r="H1187" s="71" t="str">
        <f>IF(Proc[[#This Row],[type]]="LFF (MDG-F)",MID(Proc[[#This Row],[Obj]],13,10),"")</f>
        <v>2123GIT02F</v>
      </c>
      <c r="I1187" t="s">
        <v>3410</v>
      </c>
      <c r="J1187" s="71" t="b">
        <f>Proc[[#This Row],[Requested]]=Proc[[#This Row],[CurrentParent]]</f>
        <v>0</v>
      </c>
      <c r="K1187" s="71" t="str">
        <f>IF(Proc[[#This Row],[Author]]="Marcela Urrego",VLOOKUP(LEFT(Proc[[#This Row],[Requested]],1),Table3[#All],2,0),VLOOKUP(Proc[[#This Row],[Author]],Table4[],2,0))</f>
        <v>MGF</v>
      </c>
      <c r="L1187" s="71" t="s">
        <v>2841</v>
      </c>
      <c r="M1187" s="81">
        <v>45782.435740740744</v>
      </c>
      <c r="N1187" s="81">
        <v>45790</v>
      </c>
      <c r="O1187" s="81">
        <v>45790</v>
      </c>
      <c r="P1187" s="82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2" t="s">
        <v>1530</v>
      </c>
      <c r="S1187" s="71"/>
    </row>
    <row r="1188" spans="1:19" hidden="1">
      <c r="A1188" s="74" t="s">
        <v>3205</v>
      </c>
      <c r="B1188" s="71" t="str">
        <f>IFERROR(VLOOKUP(Proc[[#This Row],[App]],Table2[],3,0),"open")</f>
        <v>ok</v>
      </c>
      <c r="C1188" s="74" t="s">
        <v>369</v>
      </c>
      <c r="D1188" t="s">
        <v>3202</v>
      </c>
      <c r="E1188" t="s">
        <v>2903</v>
      </c>
      <c r="F1188" s="71" t="s">
        <v>3204</v>
      </c>
      <c r="G1188" s="74" t="s">
        <v>406</v>
      </c>
      <c r="H1188" s="71" t="str">
        <f>IF(Proc[[#This Row],[type]]="LFF (MDG-F)",MID(Proc[[#This Row],[Obj]],13,10),"")</f>
        <v>2123GIT01F</v>
      </c>
      <c r="I1188" s="74" t="s">
        <v>3410</v>
      </c>
      <c r="J1188" s="71" t="b">
        <f>Proc[[#This Row],[Requested]]=Proc[[#This Row],[CurrentParent]]</f>
        <v>0</v>
      </c>
      <c r="K1188" s="71" t="str">
        <f>IF(Proc[[#This Row],[Author]]="Marcela Urrego",VLOOKUP(LEFT(Proc[[#This Row],[Requested]],1),Table3[#All],2,0),VLOOKUP(Proc[[#This Row],[Author]],Table4[],2,0))</f>
        <v>MGF</v>
      </c>
      <c r="L1188" s="71" t="s">
        <v>2841</v>
      </c>
      <c r="M1188" s="81">
        <v>45782.435740740744</v>
      </c>
      <c r="N1188" s="81">
        <v>45790</v>
      </c>
      <c r="O1188" s="81">
        <v>45790</v>
      </c>
      <c r="P1188" s="82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2" t="s">
        <v>1530</v>
      </c>
      <c r="S1188" s="71"/>
    </row>
    <row r="1189" spans="1:19" hidden="1">
      <c r="A1189" s="74" t="s">
        <v>3205</v>
      </c>
      <c r="B1189" s="71" t="str">
        <f>IFERROR(VLOOKUP(Proc[[#This Row],[App]],Table2[],3,0),"open")</f>
        <v>ok</v>
      </c>
      <c r="C1189" s="74" t="s">
        <v>369</v>
      </c>
      <c r="D1189" t="s">
        <v>3203</v>
      </c>
      <c r="E1189" t="s">
        <v>2903</v>
      </c>
      <c r="F1189" s="71" t="s">
        <v>426</v>
      </c>
      <c r="G1189" s="74" t="s">
        <v>406</v>
      </c>
      <c r="H1189" s="71" t="str">
        <f>IF(Proc[[#This Row],[type]]="LFF (MDG-F)",MID(Proc[[#This Row],[Obj]],13,10),"")</f>
        <v>US10GIT01F</v>
      </c>
      <c r="I1189" s="74" t="s">
        <v>3410</v>
      </c>
      <c r="J1189" s="71" t="b">
        <f>Proc[[#This Row],[Requested]]=Proc[[#This Row],[CurrentParent]]</f>
        <v>0</v>
      </c>
      <c r="K1189" s="71" t="str">
        <f>IF(Proc[[#This Row],[Author]]="Marcela Urrego",VLOOKUP(LEFT(Proc[[#This Row],[Requested]],1),Table3[#All],2,0),VLOOKUP(Proc[[#This Row],[Author]],Table4[],2,0))</f>
        <v>MGF</v>
      </c>
      <c r="L1189" s="71" t="s">
        <v>2841</v>
      </c>
      <c r="M1189" s="81">
        <v>45782.435740740744</v>
      </c>
      <c r="N1189" s="81">
        <v>45790</v>
      </c>
      <c r="O1189" s="81">
        <v>45790</v>
      </c>
      <c r="P1189" s="82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2" t="s">
        <v>1530</v>
      </c>
      <c r="S1189" s="71"/>
    </row>
    <row r="1190" spans="1:19" hidden="1">
      <c r="A1190" t="s">
        <v>3206</v>
      </c>
      <c r="B1190" s="71" t="str">
        <f>IFERROR(VLOOKUP(Proc[[#This Row],[App]],Table2[],3,0),"open")</f>
        <v>ok</v>
      </c>
      <c r="C1190" s="74" t="s">
        <v>369</v>
      </c>
      <c r="D1190" t="s">
        <v>1478</v>
      </c>
      <c r="E1190" t="s">
        <v>3207</v>
      </c>
      <c r="F1190" s="71" t="s">
        <v>3208</v>
      </c>
      <c r="G1190" t="s">
        <v>400</v>
      </c>
      <c r="H1190" s="71" t="str">
        <f>IF(Proc[[#This Row],[type]]="LFF (MDG-F)",MID(Proc[[#This Row],[Obj]],13,10),"")</f>
        <v/>
      </c>
      <c r="J1190" s="71" t="b">
        <f>Proc[[#This Row],[Requested]]=Proc[[#This Row],[CurrentParent]]</f>
        <v>0</v>
      </c>
      <c r="K1190" s="71" t="str">
        <f>IF(Proc[[#This Row],[Author]]="Marcela Urrego",VLOOKUP(LEFT(Proc[[#This Row],[Requested]],1),Table3[#All],2,0),VLOOKUP(Proc[[#This Row],[Author]],Table4[],2,0))</f>
        <v>LS</v>
      </c>
      <c r="L1190" s="71" t="s">
        <v>2841</v>
      </c>
      <c r="M1190" s="81">
        <v>45782.437094907407</v>
      </c>
      <c r="N1190" s="81">
        <v>45790</v>
      </c>
      <c r="O1190" s="81">
        <v>45790</v>
      </c>
      <c r="P1190" s="82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2" t="s">
        <v>508</v>
      </c>
      <c r="S1190" s="71"/>
    </row>
    <row r="1191" spans="1:19" hidden="1">
      <c r="A1191" t="s">
        <v>3206</v>
      </c>
      <c r="B1191" s="71" t="str">
        <f>IFERROR(VLOOKUP(Proc[[#This Row],[App]],Table2[],3,0),"open")</f>
        <v>ok</v>
      </c>
      <c r="C1191" s="74" t="s">
        <v>369</v>
      </c>
      <c r="D1191" t="s">
        <v>1480</v>
      </c>
      <c r="E1191" t="s">
        <v>3207</v>
      </c>
      <c r="F1191" s="71" t="s">
        <v>3208</v>
      </c>
      <c r="G1191" s="74" t="s">
        <v>400</v>
      </c>
      <c r="H1191" s="71" t="str">
        <f>IF(Proc[[#This Row],[type]]="LFF (MDG-F)",MID(Proc[[#This Row],[Obj]],13,10),"")</f>
        <v/>
      </c>
      <c r="J1191" s="71" t="b">
        <f>Proc[[#This Row],[Requested]]=Proc[[#This Row],[CurrentParent]]</f>
        <v>0</v>
      </c>
      <c r="K1191" s="71" t="str">
        <f>IF(Proc[[#This Row],[Author]]="Marcela Urrego",VLOOKUP(LEFT(Proc[[#This Row],[Requested]],1),Table3[#All],2,0),VLOOKUP(Proc[[#This Row],[Author]],Table4[],2,0))</f>
        <v>LS</v>
      </c>
      <c r="L1191" s="71" t="s">
        <v>2841</v>
      </c>
      <c r="M1191" s="81">
        <v>45782.437094907407</v>
      </c>
      <c r="N1191" s="81">
        <v>45790</v>
      </c>
      <c r="O1191" s="81">
        <v>45790</v>
      </c>
      <c r="P1191" s="82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2" t="s">
        <v>508</v>
      </c>
      <c r="S1191" s="71"/>
    </row>
    <row r="1192" spans="1:19" hidden="1">
      <c r="A1192" t="s">
        <v>3209</v>
      </c>
      <c r="B1192" s="71" t="str">
        <f>IFERROR(VLOOKUP(Proc[[#This Row],[App]],Table2[],3,0),"open")</f>
        <v>ok</v>
      </c>
      <c r="C1192" s="74" t="s">
        <v>369</v>
      </c>
      <c r="D1192" t="s">
        <v>3136</v>
      </c>
      <c r="E1192" t="s">
        <v>3210</v>
      </c>
      <c r="F1192" s="71" t="s">
        <v>3211</v>
      </c>
      <c r="G1192" t="s">
        <v>400</v>
      </c>
      <c r="H1192" s="71" t="str">
        <f>IF(Proc[[#This Row],[type]]="LFF (MDG-F)",MID(Proc[[#This Row],[Obj]],13,10),"")</f>
        <v/>
      </c>
      <c r="J1192" s="71" t="b">
        <f>Proc[[#This Row],[Requested]]=Proc[[#This Row],[CurrentParent]]</f>
        <v>0</v>
      </c>
      <c r="K1192" s="71" t="str">
        <f>IF(Proc[[#This Row],[Author]]="Marcela Urrego",VLOOKUP(LEFT(Proc[[#This Row],[Requested]],1),Table3[#All],2,0),VLOOKUP(Proc[[#This Row],[Author]],Table4[],2,0))</f>
        <v>LS</v>
      </c>
      <c r="L1192" s="71" t="s">
        <v>2841</v>
      </c>
      <c r="M1192" s="81">
        <v>45782.455694444441</v>
      </c>
      <c r="N1192" s="81">
        <v>45790</v>
      </c>
      <c r="O1192" s="81">
        <v>45790</v>
      </c>
      <c r="P1192" s="82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2" t="s">
        <v>508</v>
      </c>
      <c r="S1192" s="71"/>
    </row>
    <row r="1193" spans="1:19" hidden="1">
      <c r="A1193" t="s">
        <v>3212</v>
      </c>
      <c r="B1193" s="71" t="str">
        <f>IFERROR(VLOOKUP(Proc[[#This Row],[App]],Table2[],3,0),"open")</f>
        <v>ok</v>
      </c>
      <c r="C1193" s="74" t="s">
        <v>369</v>
      </c>
      <c r="D1193" t="s">
        <v>3213</v>
      </c>
      <c r="E1193" t="s">
        <v>3314</v>
      </c>
      <c r="F1193" s="71" t="s">
        <v>3323</v>
      </c>
      <c r="G1193" s="74" t="s">
        <v>400</v>
      </c>
      <c r="H1193" s="71" t="str">
        <f>IF(Proc[[#This Row],[type]]="LFF (MDG-F)",MID(Proc[[#This Row],[Obj]],13,10),"")</f>
        <v/>
      </c>
      <c r="J1193" s="71" t="b">
        <f>Proc[[#This Row],[Requested]]=Proc[[#This Row],[CurrentParent]]</f>
        <v>0</v>
      </c>
      <c r="K1193" s="71" t="str">
        <f>IF(Proc[[#This Row],[Author]]="Marcela Urrego",VLOOKUP(LEFT(Proc[[#This Row],[Requested]],1),Table3[#All],2,0),VLOOKUP(Proc[[#This Row],[Author]],Table4[],2,0))</f>
        <v>HC</v>
      </c>
      <c r="L1193" s="71" t="s">
        <v>2841</v>
      </c>
      <c r="M1193" s="81">
        <v>45782.702824074076</v>
      </c>
      <c r="N1193" s="81">
        <v>45790</v>
      </c>
      <c r="O1193" s="81">
        <v>45790</v>
      </c>
      <c r="P1193" s="82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2" t="s">
        <v>411</v>
      </c>
      <c r="S1193" s="71"/>
    </row>
    <row r="1194" spans="1:19" hidden="1">
      <c r="A1194" s="74" t="s">
        <v>3212</v>
      </c>
      <c r="B1194" s="71" t="str">
        <f>IFERROR(VLOOKUP(Proc[[#This Row],[App]],Table2[],3,0),"open")</f>
        <v>ok</v>
      </c>
      <c r="C1194" s="74" t="s">
        <v>369</v>
      </c>
      <c r="D1194" t="s">
        <v>3214</v>
      </c>
      <c r="E1194" t="s">
        <v>3314</v>
      </c>
      <c r="F1194" s="71" t="s">
        <v>3324</v>
      </c>
      <c r="G1194" s="74" t="s">
        <v>400</v>
      </c>
      <c r="H1194" s="71" t="str">
        <f>IF(Proc[[#This Row],[type]]="LFF (MDG-F)",MID(Proc[[#This Row],[Obj]],13,10),"")</f>
        <v/>
      </c>
      <c r="J1194" s="71" t="b">
        <f>Proc[[#This Row],[Requested]]=Proc[[#This Row],[CurrentParent]]</f>
        <v>0</v>
      </c>
      <c r="K1194" s="71" t="str">
        <f>IF(Proc[[#This Row],[Author]]="Marcela Urrego",VLOOKUP(LEFT(Proc[[#This Row],[Requested]],1),Table3[#All],2,0),VLOOKUP(Proc[[#This Row],[Author]],Table4[],2,0))</f>
        <v>HC</v>
      </c>
      <c r="L1194" s="71" t="s">
        <v>2841</v>
      </c>
      <c r="M1194" s="81">
        <v>45782.702824074076</v>
      </c>
      <c r="N1194" s="81">
        <v>45790</v>
      </c>
      <c r="O1194" s="81">
        <v>45790</v>
      </c>
      <c r="P1194" s="82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2" t="s">
        <v>411</v>
      </c>
      <c r="S1194" s="71"/>
    </row>
    <row r="1195" spans="1:19" hidden="1">
      <c r="A1195" s="74" t="s">
        <v>3212</v>
      </c>
      <c r="B1195" s="71" t="str">
        <f>IFERROR(VLOOKUP(Proc[[#This Row],[App]],Table2[],3,0),"open")</f>
        <v>ok</v>
      </c>
      <c r="C1195" s="74" t="s">
        <v>369</v>
      </c>
      <c r="D1195" t="s">
        <v>3215</v>
      </c>
      <c r="E1195" t="s">
        <v>3314</v>
      </c>
      <c r="F1195" s="71" t="s">
        <v>3325</v>
      </c>
      <c r="G1195" s="74" t="s">
        <v>400</v>
      </c>
      <c r="H1195" s="71" t="str">
        <f>IF(Proc[[#This Row],[type]]="LFF (MDG-F)",MID(Proc[[#This Row],[Obj]],13,10),"")</f>
        <v/>
      </c>
      <c r="J1195" s="71" t="b">
        <f>Proc[[#This Row],[Requested]]=Proc[[#This Row],[CurrentParent]]</f>
        <v>0</v>
      </c>
      <c r="K1195" s="71" t="str">
        <f>IF(Proc[[#This Row],[Author]]="Marcela Urrego",VLOOKUP(LEFT(Proc[[#This Row],[Requested]],1),Table3[#All],2,0),VLOOKUP(Proc[[#This Row],[Author]],Table4[],2,0))</f>
        <v>HC</v>
      </c>
      <c r="L1195" s="71" t="s">
        <v>2841</v>
      </c>
      <c r="M1195" s="81">
        <v>45782.702824074076</v>
      </c>
      <c r="N1195" s="81">
        <v>45790</v>
      </c>
      <c r="O1195" s="81">
        <v>45790</v>
      </c>
      <c r="P1195" s="82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2" t="s">
        <v>411</v>
      </c>
      <c r="S1195" s="71"/>
    </row>
    <row r="1196" spans="1:19" hidden="1">
      <c r="A1196" s="74" t="s">
        <v>3212</v>
      </c>
      <c r="B1196" s="71" t="str">
        <f>IFERROR(VLOOKUP(Proc[[#This Row],[App]],Table2[],3,0),"open")</f>
        <v>ok</v>
      </c>
      <c r="C1196" s="74" t="s">
        <v>369</v>
      </c>
      <c r="D1196" t="s">
        <v>3216</v>
      </c>
      <c r="E1196" t="s">
        <v>3314</v>
      </c>
      <c r="F1196" s="71" t="s">
        <v>3326</v>
      </c>
      <c r="G1196" s="74" t="s">
        <v>400</v>
      </c>
      <c r="H1196" s="71" t="str">
        <f>IF(Proc[[#This Row],[type]]="LFF (MDG-F)",MID(Proc[[#This Row],[Obj]],13,10),"")</f>
        <v/>
      </c>
      <c r="J1196" s="71" t="b">
        <f>Proc[[#This Row],[Requested]]=Proc[[#This Row],[CurrentParent]]</f>
        <v>0</v>
      </c>
      <c r="K1196" s="71" t="str">
        <f>IF(Proc[[#This Row],[Author]]="Marcela Urrego",VLOOKUP(LEFT(Proc[[#This Row],[Requested]],1),Table3[#All],2,0),VLOOKUP(Proc[[#This Row],[Author]],Table4[],2,0))</f>
        <v>HC</v>
      </c>
      <c r="L1196" s="71" t="s">
        <v>2841</v>
      </c>
      <c r="M1196" s="81">
        <v>45782.702824074076</v>
      </c>
      <c r="N1196" s="81">
        <v>45790</v>
      </c>
      <c r="O1196" s="81">
        <v>45790</v>
      </c>
      <c r="P1196" s="82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2" t="s">
        <v>411</v>
      </c>
      <c r="S1196" s="71"/>
    </row>
    <row r="1197" spans="1:19" hidden="1">
      <c r="A1197" s="74" t="s">
        <v>3212</v>
      </c>
      <c r="B1197" s="71" t="str">
        <f>IFERROR(VLOOKUP(Proc[[#This Row],[App]],Table2[],3,0),"open")</f>
        <v>ok</v>
      </c>
      <c r="C1197" s="74" t="s">
        <v>369</v>
      </c>
      <c r="D1197" t="s">
        <v>3217</v>
      </c>
      <c r="E1197" t="s">
        <v>3314</v>
      </c>
      <c r="F1197" s="71" t="s">
        <v>3327</v>
      </c>
      <c r="G1197" s="74" t="s">
        <v>400</v>
      </c>
      <c r="H1197" s="71" t="str">
        <f>IF(Proc[[#This Row],[type]]="LFF (MDG-F)",MID(Proc[[#This Row],[Obj]],13,10),"")</f>
        <v/>
      </c>
      <c r="J1197" s="71" t="b">
        <f>Proc[[#This Row],[Requested]]=Proc[[#This Row],[CurrentParent]]</f>
        <v>0</v>
      </c>
      <c r="K1197" s="71" t="str">
        <f>IF(Proc[[#This Row],[Author]]="Marcela Urrego",VLOOKUP(LEFT(Proc[[#This Row],[Requested]],1),Table3[#All],2,0),VLOOKUP(Proc[[#This Row],[Author]],Table4[],2,0))</f>
        <v>HC</v>
      </c>
      <c r="L1197" s="71" t="s">
        <v>2841</v>
      </c>
      <c r="M1197" s="81">
        <v>45782.702824074076</v>
      </c>
      <c r="N1197" s="81">
        <v>45790</v>
      </c>
      <c r="O1197" s="81">
        <v>45790</v>
      </c>
      <c r="P1197" s="82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2" t="s">
        <v>411</v>
      </c>
      <c r="S1197" s="71"/>
    </row>
    <row r="1198" spans="1:19" hidden="1">
      <c r="A1198" s="74" t="s">
        <v>3212</v>
      </c>
      <c r="B1198" s="71" t="str">
        <f>IFERROR(VLOOKUP(Proc[[#This Row],[App]],Table2[],3,0),"open")</f>
        <v>ok</v>
      </c>
      <c r="C1198" s="74" t="s">
        <v>369</v>
      </c>
      <c r="D1198" t="s">
        <v>3218</v>
      </c>
      <c r="E1198" t="s">
        <v>3314</v>
      </c>
      <c r="F1198" s="71" t="s">
        <v>3328</v>
      </c>
      <c r="G1198" s="74" t="s">
        <v>400</v>
      </c>
      <c r="H1198" s="71" t="str">
        <f>IF(Proc[[#This Row],[type]]="LFF (MDG-F)",MID(Proc[[#This Row],[Obj]],13,10),"")</f>
        <v/>
      </c>
      <c r="J1198" s="71" t="b">
        <f>Proc[[#This Row],[Requested]]=Proc[[#This Row],[CurrentParent]]</f>
        <v>0</v>
      </c>
      <c r="K1198" s="71" t="str">
        <f>IF(Proc[[#This Row],[Author]]="Marcela Urrego",VLOOKUP(LEFT(Proc[[#This Row],[Requested]],1),Table3[#All],2,0),VLOOKUP(Proc[[#This Row],[Author]],Table4[],2,0))</f>
        <v>HC</v>
      </c>
      <c r="L1198" s="71" t="s">
        <v>2841</v>
      </c>
      <c r="M1198" s="81">
        <v>45782.702824074076</v>
      </c>
      <c r="N1198" s="81">
        <v>45790</v>
      </c>
      <c r="O1198" s="81">
        <v>45790</v>
      </c>
      <c r="P1198" s="82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2" t="s">
        <v>411</v>
      </c>
      <c r="S1198" s="71"/>
    </row>
    <row r="1199" spans="1:19" hidden="1">
      <c r="A1199" s="74" t="s">
        <v>3212</v>
      </c>
      <c r="B1199" s="71" t="str">
        <f>IFERROR(VLOOKUP(Proc[[#This Row],[App]],Table2[],3,0),"open")</f>
        <v>ok</v>
      </c>
      <c r="C1199" s="74" t="s">
        <v>369</v>
      </c>
      <c r="D1199" t="s">
        <v>3219</v>
      </c>
      <c r="E1199" t="s">
        <v>3314</v>
      </c>
      <c r="F1199" s="71" t="s">
        <v>3329</v>
      </c>
      <c r="G1199" s="74" t="s">
        <v>400</v>
      </c>
      <c r="H1199" s="71" t="str">
        <f>IF(Proc[[#This Row],[type]]="LFF (MDG-F)",MID(Proc[[#This Row],[Obj]],13,10),"")</f>
        <v/>
      </c>
      <c r="J1199" s="71" t="b">
        <f>Proc[[#This Row],[Requested]]=Proc[[#This Row],[CurrentParent]]</f>
        <v>0</v>
      </c>
      <c r="K1199" s="71" t="str">
        <f>IF(Proc[[#This Row],[Author]]="Marcela Urrego",VLOOKUP(LEFT(Proc[[#This Row],[Requested]],1),Table3[#All],2,0),VLOOKUP(Proc[[#This Row],[Author]],Table4[],2,0))</f>
        <v>HC</v>
      </c>
      <c r="L1199" s="71" t="s">
        <v>2841</v>
      </c>
      <c r="M1199" s="81">
        <v>45782.702824074076</v>
      </c>
      <c r="N1199" s="81">
        <v>45790</v>
      </c>
      <c r="O1199" s="81">
        <v>45790</v>
      </c>
      <c r="P1199" s="82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2" t="s">
        <v>411</v>
      </c>
      <c r="S1199" s="71"/>
    </row>
    <row r="1200" spans="1:19" hidden="1">
      <c r="A1200" s="74" t="s">
        <v>3212</v>
      </c>
      <c r="B1200" s="71" t="str">
        <f>IFERROR(VLOOKUP(Proc[[#This Row],[App]],Table2[],3,0),"open")</f>
        <v>ok</v>
      </c>
      <c r="C1200" s="74" t="s">
        <v>369</v>
      </c>
      <c r="D1200" t="s">
        <v>3220</v>
      </c>
      <c r="E1200" t="s">
        <v>3314</v>
      </c>
      <c r="F1200" s="71" t="s">
        <v>3330</v>
      </c>
      <c r="G1200" s="74" t="s">
        <v>400</v>
      </c>
      <c r="H1200" s="71" t="str">
        <f>IF(Proc[[#This Row],[type]]="LFF (MDG-F)",MID(Proc[[#This Row],[Obj]],13,10),"")</f>
        <v/>
      </c>
      <c r="J1200" s="71" t="b">
        <f>Proc[[#This Row],[Requested]]=Proc[[#This Row],[CurrentParent]]</f>
        <v>0</v>
      </c>
      <c r="K1200" s="71" t="str">
        <f>IF(Proc[[#This Row],[Author]]="Marcela Urrego",VLOOKUP(LEFT(Proc[[#This Row],[Requested]],1),Table3[#All],2,0),VLOOKUP(Proc[[#This Row],[Author]],Table4[],2,0))</f>
        <v>HC</v>
      </c>
      <c r="L1200" s="71" t="s">
        <v>2841</v>
      </c>
      <c r="M1200" s="81">
        <v>45782.702824074076</v>
      </c>
      <c r="N1200" s="81">
        <v>45790</v>
      </c>
      <c r="O1200" s="81">
        <v>45790</v>
      </c>
      <c r="P1200" s="82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2" t="s">
        <v>411</v>
      </c>
      <c r="S1200" s="71"/>
    </row>
    <row r="1201" spans="1:19" hidden="1">
      <c r="A1201" s="74" t="s">
        <v>3212</v>
      </c>
      <c r="B1201" s="71" t="str">
        <f>IFERROR(VLOOKUP(Proc[[#This Row],[App]],Table2[],3,0),"open")</f>
        <v>ok</v>
      </c>
      <c r="C1201" s="74" t="s">
        <v>369</v>
      </c>
      <c r="D1201" t="s">
        <v>3221</v>
      </c>
      <c r="E1201" t="s">
        <v>3314</v>
      </c>
      <c r="F1201" s="71" t="s">
        <v>3331</v>
      </c>
      <c r="G1201" s="74" t="s">
        <v>400</v>
      </c>
      <c r="H1201" s="71" t="str">
        <f>IF(Proc[[#This Row],[type]]="LFF (MDG-F)",MID(Proc[[#This Row],[Obj]],13,10),"")</f>
        <v/>
      </c>
      <c r="J1201" s="71" t="b">
        <f>Proc[[#This Row],[Requested]]=Proc[[#This Row],[CurrentParent]]</f>
        <v>0</v>
      </c>
      <c r="K1201" s="71" t="str">
        <f>IF(Proc[[#This Row],[Author]]="Marcela Urrego",VLOOKUP(LEFT(Proc[[#This Row],[Requested]],1),Table3[#All],2,0),VLOOKUP(Proc[[#This Row],[Author]],Table4[],2,0))</f>
        <v>HC</v>
      </c>
      <c r="L1201" s="71" t="s">
        <v>2841</v>
      </c>
      <c r="M1201" s="81">
        <v>45782.702824074076</v>
      </c>
      <c r="N1201" s="81">
        <v>45790</v>
      </c>
      <c r="O1201" s="81">
        <v>45790</v>
      </c>
      <c r="P1201" s="82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2" t="s">
        <v>411</v>
      </c>
      <c r="S1201" s="71"/>
    </row>
    <row r="1202" spans="1:19" hidden="1">
      <c r="A1202" s="74" t="s">
        <v>3212</v>
      </c>
      <c r="B1202" s="71" t="str">
        <f>IFERROR(VLOOKUP(Proc[[#This Row],[App]],Table2[],3,0),"open")</f>
        <v>ok</v>
      </c>
      <c r="C1202" s="74" t="s">
        <v>369</v>
      </c>
      <c r="D1202" t="s">
        <v>3222</v>
      </c>
      <c r="E1202" t="s">
        <v>3315</v>
      </c>
      <c r="F1202" s="71" t="s">
        <v>3332</v>
      </c>
      <c r="G1202" s="74" t="s">
        <v>400</v>
      </c>
      <c r="H1202" s="71" t="str">
        <f>IF(Proc[[#This Row],[type]]="LFF (MDG-F)",MID(Proc[[#This Row],[Obj]],13,10),"")</f>
        <v/>
      </c>
      <c r="J1202" s="71" t="b">
        <f>Proc[[#This Row],[Requested]]=Proc[[#This Row],[CurrentParent]]</f>
        <v>0</v>
      </c>
      <c r="K1202" s="71" t="str">
        <f>IF(Proc[[#This Row],[Author]]="Marcela Urrego",VLOOKUP(LEFT(Proc[[#This Row],[Requested]],1),Table3[#All],2,0),VLOOKUP(Proc[[#This Row],[Author]],Table4[],2,0))</f>
        <v>HC</v>
      </c>
      <c r="L1202" s="71" t="s">
        <v>2841</v>
      </c>
      <c r="M1202" s="81">
        <v>45782.702824074076</v>
      </c>
      <c r="N1202" s="81">
        <v>45790</v>
      </c>
      <c r="O1202" s="81">
        <v>45790</v>
      </c>
      <c r="P1202" s="82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2" t="s">
        <v>411</v>
      </c>
      <c r="S1202" s="71"/>
    </row>
    <row r="1203" spans="1:19" hidden="1">
      <c r="A1203" s="74" t="s">
        <v>3212</v>
      </c>
      <c r="B1203" s="71" t="str">
        <f>IFERROR(VLOOKUP(Proc[[#This Row],[App]],Table2[],3,0),"open")</f>
        <v>ok</v>
      </c>
      <c r="C1203" s="74" t="s">
        <v>369</v>
      </c>
      <c r="D1203" t="s">
        <v>3223</v>
      </c>
      <c r="E1203" t="s">
        <v>3315</v>
      </c>
      <c r="F1203" s="71" t="s">
        <v>3333</v>
      </c>
      <c r="G1203" s="74" t="s">
        <v>400</v>
      </c>
      <c r="H1203" s="71" t="str">
        <f>IF(Proc[[#This Row],[type]]="LFF (MDG-F)",MID(Proc[[#This Row],[Obj]],13,10),"")</f>
        <v/>
      </c>
      <c r="J1203" s="71" t="b">
        <f>Proc[[#This Row],[Requested]]=Proc[[#This Row],[CurrentParent]]</f>
        <v>0</v>
      </c>
      <c r="K1203" s="71" t="str">
        <f>IF(Proc[[#This Row],[Author]]="Marcela Urrego",VLOOKUP(LEFT(Proc[[#This Row],[Requested]],1),Table3[#All],2,0),VLOOKUP(Proc[[#This Row],[Author]],Table4[],2,0))</f>
        <v>HC</v>
      </c>
      <c r="L1203" s="71" t="s">
        <v>2841</v>
      </c>
      <c r="M1203" s="81">
        <v>45782.702824074076</v>
      </c>
      <c r="N1203" s="81">
        <v>45790</v>
      </c>
      <c r="O1203" s="81">
        <v>45790</v>
      </c>
      <c r="P1203" s="82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2" t="s">
        <v>411</v>
      </c>
      <c r="S1203" s="71"/>
    </row>
    <row r="1204" spans="1:19" hidden="1">
      <c r="A1204" s="74" t="s">
        <v>3212</v>
      </c>
      <c r="B1204" s="71" t="str">
        <f>IFERROR(VLOOKUP(Proc[[#This Row],[App]],Table2[],3,0),"open")</f>
        <v>ok</v>
      </c>
      <c r="C1204" s="74" t="s">
        <v>369</v>
      </c>
      <c r="D1204" t="s">
        <v>3224</v>
      </c>
      <c r="E1204" t="s">
        <v>3315</v>
      </c>
      <c r="F1204" s="71" t="s">
        <v>3334</v>
      </c>
      <c r="G1204" s="74" t="s">
        <v>400</v>
      </c>
      <c r="H1204" s="71" t="str">
        <f>IF(Proc[[#This Row],[type]]="LFF (MDG-F)",MID(Proc[[#This Row],[Obj]],13,10),"")</f>
        <v/>
      </c>
      <c r="J1204" s="71" t="b">
        <f>Proc[[#This Row],[Requested]]=Proc[[#This Row],[CurrentParent]]</f>
        <v>0</v>
      </c>
      <c r="K1204" s="71" t="str">
        <f>IF(Proc[[#This Row],[Author]]="Marcela Urrego",VLOOKUP(LEFT(Proc[[#This Row],[Requested]],1),Table3[#All],2,0),VLOOKUP(Proc[[#This Row],[Author]],Table4[],2,0))</f>
        <v>HC</v>
      </c>
      <c r="L1204" s="71" t="s">
        <v>2841</v>
      </c>
      <c r="M1204" s="81">
        <v>45782.702824074076</v>
      </c>
      <c r="N1204" s="81">
        <v>45790</v>
      </c>
      <c r="O1204" s="81">
        <v>45790</v>
      </c>
      <c r="P1204" s="82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2" t="s">
        <v>411</v>
      </c>
      <c r="S1204" s="71"/>
    </row>
    <row r="1205" spans="1:19" hidden="1">
      <c r="A1205" s="74" t="s">
        <v>3212</v>
      </c>
      <c r="B1205" s="71" t="str">
        <f>IFERROR(VLOOKUP(Proc[[#This Row],[App]],Table2[],3,0),"open")</f>
        <v>ok</v>
      </c>
      <c r="C1205" s="74" t="s">
        <v>369</v>
      </c>
      <c r="D1205" t="s">
        <v>3225</v>
      </c>
      <c r="E1205" t="s">
        <v>3315</v>
      </c>
      <c r="F1205" s="71" t="s">
        <v>3335</v>
      </c>
      <c r="G1205" s="74" t="s">
        <v>400</v>
      </c>
      <c r="H1205" s="71" t="str">
        <f>IF(Proc[[#This Row],[type]]="LFF (MDG-F)",MID(Proc[[#This Row],[Obj]],13,10),"")</f>
        <v/>
      </c>
      <c r="J1205" s="71" t="b">
        <f>Proc[[#This Row],[Requested]]=Proc[[#This Row],[CurrentParent]]</f>
        <v>0</v>
      </c>
      <c r="K1205" s="71" t="str">
        <f>IF(Proc[[#This Row],[Author]]="Marcela Urrego",VLOOKUP(LEFT(Proc[[#This Row],[Requested]],1),Table3[#All],2,0),VLOOKUP(Proc[[#This Row],[Author]],Table4[],2,0))</f>
        <v>HC</v>
      </c>
      <c r="L1205" s="71" t="s">
        <v>2841</v>
      </c>
      <c r="M1205" s="81">
        <v>45782.702824074076</v>
      </c>
      <c r="N1205" s="81">
        <v>45790</v>
      </c>
      <c r="O1205" s="81">
        <v>45790</v>
      </c>
      <c r="P1205" s="82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2" t="s">
        <v>411</v>
      </c>
      <c r="S1205" s="71"/>
    </row>
    <row r="1206" spans="1:19" hidden="1">
      <c r="A1206" s="74" t="s">
        <v>3212</v>
      </c>
      <c r="B1206" s="71" t="str">
        <f>IFERROR(VLOOKUP(Proc[[#This Row],[App]],Table2[],3,0),"open")</f>
        <v>ok</v>
      </c>
      <c r="C1206" s="74" t="s">
        <v>369</v>
      </c>
      <c r="D1206" t="s">
        <v>3226</v>
      </c>
      <c r="E1206" t="s">
        <v>3315</v>
      </c>
      <c r="F1206" s="71" t="s">
        <v>3336</v>
      </c>
      <c r="G1206" s="74" t="s">
        <v>400</v>
      </c>
      <c r="H1206" s="71" t="str">
        <f>IF(Proc[[#This Row],[type]]="LFF (MDG-F)",MID(Proc[[#This Row],[Obj]],13,10),"")</f>
        <v/>
      </c>
      <c r="J1206" s="71" t="b">
        <f>Proc[[#This Row],[Requested]]=Proc[[#This Row],[CurrentParent]]</f>
        <v>0</v>
      </c>
      <c r="K1206" s="71" t="str">
        <f>IF(Proc[[#This Row],[Author]]="Marcela Urrego",VLOOKUP(LEFT(Proc[[#This Row],[Requested]],1),Table3[#All],2,0),VLOOKUP(Proc[[#This Row],[Author]],Table4[],2,0))</f>
        <v>HC</v>
      </c>
      <c r="L1206" s="71" t="s">
        <v>2841</v>
      </c>
      <c r="M1206" s="81">
        <v>45782.702824074076</v>
      </c>
      <c r="N1206" s="81">
        <v>45790</v>
      </c>
      <c r="O1206" s="81">
        <v>45790</v>
      </c>
      <c r="P1206" s="82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2" t="s">
        <v>411</v>
      </c>
      <c r="S1206" s="71"/>
    </row>
    <row r="1207" spans="1:19" hidden="1">
      <c r="A1207" s="74" t="s">
        <v>3212</v>
      </c>
      <c r="B1207" s="71" t="str">
        <f>IFERROR(VLOOKUP(Proc[[#This Row],[App]],Table2[],3,0),"open")</f>
        <v>ok</v>
      </c>
      <c r="C1207" s="74" t="s">
        <v>369</v>
      </c>
      <c r="D1207" t="s">
        <v>3227</v>
      </c>
      <c r="E1207" t="s">
        <v>3315</v>
      </c>
      <c r="F1207" s="71" t="s">
        <v>3337</v>
      </c>
      <c r="G1207" s="74" t="s">
        <v>400</v>
      </c>
      <c r="H1207" s="71" t="str">
        <f>IF(Proc[[#This Row],[type]]="LFF (MDG-F)",MID(Proc[[#This Row],[Obj]],13,10),"")</f>
        <v/>
      </c>
      <c r="J1207" s="71" t="b">
        <f>Proc[[#This Row],[Requested]]=Proc[[#This Row],[CurrentParent]]</f>
        <v>0</v>
      </c>
      <c r="K1207" s="71" t="str">
        <f>IF(Proc[[#This Row],[Author]]="Marcela Urrego",VLOOKUP(LEFT(Proc[[#This Row],[Requested]],1),Table3[#All],2,0),VLOOKUP(Proc[[#This Row],[Author]],Table4[],2,0))</f>
        <v>HC</v>
      </c>
      <c r="L1207" s="71" t="s">
        <v>2841</v>
      </c>
      <c r="M1207" s="81">
        <v>45782.702824074076</v>
      </c>
      <c r="N1207" s="81">
        <v>45790</v>
      </c>
      <c r="O1207" s="81">
        <v>45790</v>
      </c>
      <c r="P1207" s="82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2" t="s">
        <v>411</v>
      </c>
      <c r="S1207" s="71"/>
    </row>
    <row r="1208" spans="1:19" hidden="1">
      <c r="A1208" s="74" t="s">
        <v>3212</v>
      </c>
      <c r="B1208" s="71" t="str">
        <f>IFERROR(VLOOKUP(Proc[[#This Row],[App]],Table2[],3,0),"open")</f>
        <v>ok</v>
      </c>
      <c r="C1208" s="74" t="s">
        <v>369</v>
      </c>
      <c r="D1208" t="s">
        <v>3228</v>
      </c>
      <c r="E1208" t="s">
        <v>3315</v>
      </c>
      <c r="F1208" s="71" t="s">
        <v>3338</v>
      </c>
      <c r="G1208" s="74" t="s">
        <v>400</v>
      </c>
      <c r="H1208" s="71" t="str">
        <f>IF(Proc[[#This Row],[type]]="LFF (MDG-F)",MID(Proc[[#This Row],[Obj]],13,10),"")</f>
        <v/>
      </c>
      <c r="J1208" s="71" t="b">
        <f>Proc[[#This Row],[Requested]]=Proc[[#This Row],[CurrentParent]]</f>
        <v>0</v>
      </c>
      <c r="K1208" s="71" t="str">
        <f>IF(Proc[[#This Row],[Author]]="Marcela Urrego",VLOOKUP(LEFT(Proc[[#This Row],[Requested]],1),Table3[#All],2,0),VLOOKUP(Proc[[#This Row],[Author]],Table4[],2,0))</f>
        <v>HC</v>
      </c>
      <c r="L1208" s="71" t="s">
        <v>2841</v>
      </c>
      <c r="M1208" s="81">
        <v>45782.702824074076</v>
      </c>
      <c r="N1208" s="81">
        <v>45790</v>
      </c>
      <c r="O1208" s="81">
        <v>45790</v>
      </c>
      <c r="P1208" s="82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2" t="s">
        <v>411</v>
      </c>
      <c r="S1208" s="71"/>
    </row>
    <row r="1209" spans="1:19" hidden="1">
      <c r="A1209" s="74" t="s">
        <v>3212</v>
      </c>
      <c r="B1209" s="71" t="str">
        <f>IFERROR(VLOOKUP(Proc[[#This Row],[App]],Table2[],3,0),"open")</f>
        <v>ok</v>
      </c>
      <c r="C1209" s="74" t="s">
        <v>369</v>
      </c>
      <c r="D1209" t="s">
        <v>3229</v>
      </c>
      <c r="E1209" t="s">
        <v>3315</v>
      </c>
      <c r="F1209" s="71" t="s">
        <v>3339</v>
      </c>
      <c r="G1209" s="74" t="s">
        <v>400</v>
      </c>
      <c r="H1209" s="71" t="str">
        <f>IF(Proc[[#This Row],[type]]="LFF (MDG-F)",MID(Proc[[#This Row],[Obj]],13,10),"")</f>
        <v/>
      </c>
      <c r="J1209" s="71" t="b">
        <f>Proc[[#This Row],[Requested]]=Proc[[#This Row],[CurrentParent]]</f>
        <v>0</v>
      </c>
      <c r="K1209" s="71" t="str">
        <f>IF(Proc[[#This Row],[Author]]="Marcela Urrego",VLOOKUP(LEFT(Proc[[#This Row],[Requested]],1),Table3[#All],2,0),VLOOKUP(Proc[[#This Row],[Author]],Table4[],2,0))</f>
        <v>HC</v>
      </c>
      <c r="L1209" s="71" t="s">
        <v>2841</v>
      </c>
      <c r="M1209" s="81">
        <v>45782.702824074076</v>
      </c>
      <c r="N1209" s="81">
        <v>45790</v>
      </c>
      <c r="O1209" s="81">
        <v>45790</v>
      </c>
      <c r="P1209" s="82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2" t="s">
        <v>411</v>
      </c>
      <c r="S1209" s="71"/>
    </row>
    <row r="1210" spans="1:19" hidden="1">
      <c r="A1210" s="74" t="s">
        <v>3212</v>
      </c>
      <c r="B1210" s="71" t="str">
        <f>IFERROR(VLOOKUP(Proc[[#This Row],[App]],Table2[],3,0),"open")</f>
        <v>ok</v>
      </c>
      <c r="C1210" s="74" t="s">
        <v>369</v>
      </c>
      <c r="D1210" t="s">
        <v>3230</v>
      </c>
      <c r="E1210" t="s">
        <v>3315</v>
      </c>
      <c r="F1210" s="71" t="s">
        <v>3340</v>
      </c>
      <c r="G1210" s="74" t="s">
        <v>400</v>
      </c>
      <c r="H1210" s="71" t="str">
        <f>IF(Proc[[#This Row],[type]]="LFF (MDG-F)",MID(Proc[[#This Row],[Obj]],13,10),"")</f>
        <v/>
      </c>
      <c r="J1210" s="71" t="b">
        <f>Proc[[#This Row],[Requested]]=Proc[[#This Row],[CurrentParent]]</f>
        <v>0</v>
      </c>
      <c r="K1210" s="71" t="str">
        <f>IF(Proc[[#This Row],[Author]]="Marcela Urrego",VLOOKUP(LEFT(Proc[[#This Row],[Requested]],1),Table3[#All],2,0),VLOOKUP(Proc[[#This Row],[Author]],Table4[],2,0))</f>
        <v>HC</v>
      </c>
      <c r="L1210" s="71" t="s">
        <v>2841</v>
      </c>
      <c r="M1210" s="81">
        <v>45782.702824074076</v>
      </c>
      <c r="N1210" s="81">
        <v>45790</v>
      </c>
      <c r="O1210" s="81">
        <v>45790</v>
      </c>
      <c r="P1210" s="82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2" t="s">
        <v>411</v>
      </c>
      <c r="S1210" s="71"/>
    </row>
    <row r="1211" spans="1:19" hidden="1">
      <c r="A1211" s="74" t="s">
        <v>3212</v>
      </c>
      <c r="B1211" s="71" t="str">
        <f>IFERROR(VLOOKUP(Proc[[#This Row],[App]],Table2[],3,0),"open")</f>
        <v>ok</v>
      </c>
      <c r="C1211" s="74" t="s">
        <v>369</v>
      </c>
      <c r="D1211" t="s">
        <v>3231</v>
      </c>
      <c r="E1211" t="s">
        <v>3315</v>
      </c>
      <c r="F1211" s="71" t="s">
        <v>3341</v>
      </c>
      <c r="G1211" s="74" t="s">
        <v>400</v>
      </c>
      <c r="H1211" s="71" t="str">
        <f>IF(Proc[[#This Row],[type]]="LFF (MDG-F)",MID(Proc[[#This Row],[Obj]],13,10),"")</f>
        <v/>
      </c>
      <c r="J1211" s="71" t="b">
        <f>Proc[[#This Row],[Requested]]=Proc[[#This Row],[CurrentParent]]</f>
        <v>0</v>
      </c>
      <c r="K1211" s="71" t="str">
        <f>IF(Proc[[#This Row],[Author]]="Marcela Urrego",VLOOKUP(LEFT(Proc[[#This Row],[Requested]],1),Table3[#All],2,0),VLOOKUP(Proc[[#This Row],[Author]],Table4[],2,0))</f>
        <v>HC</v>
      </c>
      <c r="L1211" s="71" t="s">
        <v>2841</v>
      </c>
      <c r="M1211" s="81">
        <v>45782.702824074076</v>
      </c>
      <c r="N1211" s="81">
        <v>45790</v>
      </c>
      <c r="O1211" s="81">
        <v>45790</v>
      </c>
      <c r="P1211" s="82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2" t="s">
        <v>411</v>
      </c>
      <c r="S1211" s="71"/>
    </row>
    <row r="1212" spans="1:19" hidden="1">
      <c r="A1212" s="74" t="s">
        <v>3212</v>
      </c>
      <c r="B1212" s="71" t="str">
        <f>IFERROR(VLOOKUP(Proc[[#This Row],[App]],Table2[],3,0),"open")</f>
        <v>ok</v>
      </c>
      <c r="C1212" s="74" t="s">
        <v>369</v>
      </c>
      <c r="D1212" t="s">
        <v>3232</v>
      </c>
      <c r="E1212" t="s">
        <v>3315</v>
      </c>
      <c r="F1212" s="71" t="s">
        <v>3342</v>
      </c>
      <c r="G1212" s="74" t="s">
        <v>400</v>
      </c>
      <c r="H1212" s="71" t="str">
        <f>IF(Proc[[#This Row],[type]]="LFF (MDG-F)",MID(Proc[[#This Row],[Obj]],13,10),"")</f>
        <v/>
      </c>
      <c r="J1212" s="71" t="b">
        <f>Proc[[#This Row],[Requested]]=Proc[[#This Row],[CurrentParent]]</f>
        <v>0</v>
      </c>
      <c r="K1212" s="71" t="str">
        <f>IF(Proc[[#This Row],[Author]]="Marcela Urrego",VLOOKUP(LEFT(Proc[[#This Row],[Requested]],1),Table3[#All],2,0),VLOOKUP(Proc[[#This Row],[Author]],Table4[],2,0))</f>
        <v>HC</v>
      </c>
      <c r="L1212" s="71" t="s">
        <v>2841</v>
      </c>
      <c r="M1212" s="81">
        <v>45782.702824074076</v>
      </c>
      <c r="N1212" s="81">
        <v>45790</v>
      </c>
      <c r="O1212" s="81">
        <v>45790</v>
      </c>
      <c r="P1212" s="82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2" t="s">
        <v>411</v>
      </c>
      <c r="S1212" s="71"/>
    </row>
    <row r="1213" spans="1:19" hidden="1">
      <c r="A1213" s="74" t="s">
        <v>3212</v>
      </c>
      <c r="B1213" s="71" t="str">
        <f>IFERROR(VLOOKUP(Proc[[#This Row],[App]],Table2[],3,0),"open")</f>
        <v>ok</v>
      </c>
      <c r="C1213" s="74" t="s">
        <v>369</v>
      </c>
      <c r="D1213" t="s">
        <v>3233</v>
      </c>
      <c r="E1213" t="s">
        <v>3315</v>
      </c>
      <c r="F1213" s="71" t="s">
        <v>3343</v>
      </c>
      <c r="G1213" s="74" t="s">
        <v>400</v>
      </c>
      <c r="H1213" s="71" t="str">
        <f>IF(Proc[[#This Row],[type]]="LFF (MDG-F)",MID(Proc[[#This Row],[Obj]],13,10),"")</f>
        <v/>
      </c>
      <c r="J1213" s="71" t="b">
        <f>Proc[[#This Row],[Requested]]=Proc[[#This Row],[CurrentParent]]</f>
        <v>0</v>
      </c>
      <c r="K1213" s="71" t="str">
        <f>IF(Proc[[#This Row],[Author]]="Marcela Urrego",VLOOKUP(LEFT(Proc[[#This Row],[Requested]],1),Table3[#All],2,0),VLOOKUP(Proc[[#This Row],[Author]],Table4[],2,0))</f>
        <v>HC</v>
      </c>
      <c r="L1213" s="71" t="s">
        <v>2841</v>
      </c>
      <c r="M1213" s="81">
        <v>45782.702824074076</v>
      </c>
      <c r="N1213" s="81">
        <v>45790</v>
      </c>
      <c r="O1213" s="81">
        <v>45790</v>
      </c>
      <c r="P1213" s="82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2" t="s">
        <v>411</v>
      </c>
      <c r="S1213" s="71"/>
    </row>
    <row r="1214" spans="1:19" hidden="1">
      <c r="A1214" s="74" t="s">
        <v>3212</v>
      </c>
      <c r="B1214" s="71" t="str">
        <f>IFERROR(VLOOKUP(Proc[[#This Row],[App]],Table2[],3,0),"open")</f>
        <v>ok</v>
      </c>
      <c r="C1214" s="74" t="s">
        <v>369</v>
      </c>
      <c r="D1214" t="s">
        <v>3234</v>
      </c>
      <c r="E1214" t="s">
        <v>3315</v>
      </c>
      <c r="F1214" s="71" t="s">
        <v>3344</v>
      </c>
      <c r="G1214" s="74" t="s">
        <v>400</v>
      </c>
      <c r="H1214" s="71" t="str">
        <f>IF(Proc[[#This Row],[type]]="LFF (MDG-F)",MID(Proc[[#This Row],[Obj]],13,10),"")</f>
        <v/>
      </c>
      <c r="J1214" s="71" t="b">
        <f>Proc[[#This Row],[Requested]]=Proc[[#This Row],[CurrentParent]]</f>
        <v>0</v>
      </c>
      <c r="K1214" s="71" t="str">
        <f>IF(Proc[[#This Row],[Author]]="Marcela Urrego",VLOOKUP(LEFT(Proc[[#This Row],[Requested]],1),Table3[#All],2,0),VLOOKUP(Proc[[#This Row],[Author]],Table4[],2,0))</f>
        <v>HC</v>
      </c>
      <c r="L1214" s="71" t="s">
        <v>2841</v>
      </c>
      <c r="M1214" s="81">
        <v>45782.702824074076</v>
      </c>
      <c r="N1214" s="81">
        <v>45790</v>
      </c>
      <c r="O1214" s="81">
        <v>45790</v>
      </c>
      <c r="P1214" s="82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2" t="s">
        <v>411</v>
      </c>
      <c r="S1214" s="71"/>
    </row>
    <row r="1215" spans="1:19" hidden="1">
      <c r="A1215" s="74" t="s">
        <v>3212</v>
      </c>
      <c r="B1215" s="71" t="str">
        <f>IFERROR(VLOOKUP(Proc[[#This Row],[App]],Table2[],3,0),"open")</f>
        <v>ok</v>
      </c>
      <c r="C1215" s="74" t="s">
        <v>369</v>
      </c>
      <c r="D1215" t="s">
        <v>3235</v>
      </c>
      <c r="E1215" t="s">
        <v>3316</v>
      </c>
      <c r="F1215" s="71" t="s">
        <v>3345</v>
      </c>
      <c r="G1215" s="74" t="s">
        <v>400</v>
      </c>
      <c r="H1215" s="71" t="str">
        <f>IF(Proc[[#This Row],[type]]="LFF (MDG-F)",MID(Proc[[#This Row],[Obj]],13,10),"")</f>
        <v/>
      </c>
      <c r="J1215" s="71" t="b">
        <f>Proc[[#This Row],[Requested]]=Proc[[#This Row],[CurrentParent]]</f>
        <v>0</v>
      </c>
      <c r="K1215" s="71" t="str">
        <f>IF(Proc[[#This Row],[Author]]="Marcela Urrego",VLOOKUP(LEFT(Proc[[#This Row],[Requested]],1),Table3[#All],2,0),VLOOKUP(Proc[[#This Row],[Author]],Table4[],2,0))</f>
        <v>HC</v>
      </c>
      <c r="L1215" s="71" t="s">
        <v>2841</v>
      </c>
      <c r="M1215" s="81">
        <v>45782.702824074076</v>
      </c>
      <c r="N1215" s="81">
        <v>45790</v>
      </c>
      <c r="O1215" s="81">
        <v>45790</v>
      </c>
      <c r="P1215" s="82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2" t="s">
        <v>411</v>
      </c>
      <c r="S1215" s="71"/>
    </row>
    <row r="1216" spans="1:19" hidden="1">
      <c r="A1216" s="74" t="s">
        <v>3212</v>
      </c>
      <c r="B1216" s="71" t="str">
        <f>IFERROR(VLOOKUP(Proc[[#This Row],[App]],Table2[],3,0),"open")</f>
        <v>ok</v>
      </c>
      <c r="C1216" s="74" t="s">
        <v>369</v>
      </c>
      <c r="D1216" t="s">
        <v>3236</v>
      </c>
      <c r="E1216" t="s">
        <v>3316</v>
      </c>
      <c r="F1216" s="71" t="s">
        <v>3346</v>
      </c>
      <c r="G1216" s="74" t="s">
        <v>400</v>
      </c>
      <c r="H1216" s="71" t="str">
        <f>IF(Proc[[#This Row],[type]]="LFF (MDG-F)",MID(Proc[[#This Row],[Obj]],13,10),"")</f>
        <v/>
      </c>
      <c r="J1216" s="71" t="b">
        <f>Proc[[#This Row],[Requested]]=Proc[[#This Row],[CurrentParent]]</f>
        <v>0</v>
      </c>
      <c r="K1216" s="71" t="str">
        <f>IF(Proc[[#This Row],[Author]]="Marcela Urrego",VLOOKUP(LEFT(Proc[[#This Row],[Requested]],1),Table3[#All],2,0),VLOOKUP(Proc[[#This Row],[Author]],Table4[],2,0))</f>
        <v>HC</v>
      </c>
      <c r="L1216" s="71" t="s">
        <v>2841</v>
      </c>
      <c r="M1216" s="81">
        <v>45782.702824074076</v>
      </c>
      <c r="N1216" s="81">
        <v>45790</v>
      </c>
      <c r="O1216" s="81">
        <v>45790</v>
      </c>
      <c r="P1216" s="82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2" t="s">
        <v>411</v>
      </c>
      <c r="S1216" s="71"/>
    </row>
    <row r="1217" spans="1:19" hidden="1">
      <c r="A1217" s="74" t="s">
        <v>3212</v>
      </c>
      <c r="B1217" s="71" t="str">
        <f>IFERROR(VLOOKUP(Proc[[#This Row],[App]],Table2[],3,0),"open")</f>
        <v>ok</v>
      </c>
      <c r="C1217" s="74" t="s">
        <v>369</v>
      </c>
      <c r="D1217" t="s">
        <v>3237</v>
      </c>
      <c r="E1217" t="s">
        <v>3316</v>
      </c>
      <c r="F1217" s="71" t="s">
        <v>3347</v>
      </c>
      <c r="G1217" s="74" t="s">
        <v>400</v>
      </c>
      <c r="H1217" s="71" t="str">
        <f>IF(Proc[[#This Row],[type]]="LFF (MDG-F)",MID(Proc[[#This Row],[Obj]],13,10),"")</f>
        <v/>
      </c>
      <c r="J1217" s="71" t="b">
        <f>Proc[[#This Row],[Requested]]=Proc[[#This Row],[CurrentParent]]</f>
        <v>0</v>
      </c>
      <c r="K1217" s="71" t="str">
        <f>IF(Proc[[#This Row],[Author]]="Marcela Urrego",VLOOKUP(LEFT(Proc[[#This Row],[Requested]],1),Table3[#All],2,0),VLOOKUP(Proc[[#This Row],[Author]],Table4[],2,0))</f>
        <v>HC</v>
      </c>
      <c r="L1217" s="71" t="s">
        <v>2841</v>
      </c>
      <c r="M1217" s="81">
        <v>45782.702824074076</v>
      </c>
      <c r="N1217" s="81">
        <v>45790</v>
      </c>
      <c r="O1217" s="81">
        <v>45790</v>
      </c>
      <c r="P1217" s="82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2" t="s">
        <v>411</v>
      </c>
      <c r="S1217" s="71"/>
    </row>
    <row r="1218" spans="1:19" hidden="1">
      <c r="A1218" s="74" t="s">
        <v>3212</v>
      </c>
      <c r="B1218" s="71" t="str">
        <f>IFERROR(VLOOKUP(Proc[[#This Row],[App]],Table2[],3,0),"open")</f>
        <v>ok</v>
      </c>
      <c r="C1218" s="74" t="s">
        <v>369</v>
      </c>
      <c r="D1218" t="s">
        <v>3238</v>
      </c>
      <c r="E1218" t="s">
        <v>3316</v>
      </c>
      <c r="F1218" s="71" t="s">
        <v>3348</v>
      </c>
      <c r="G1218" s="74" t="s">
        <v>400</v>
      </c>
      <c r="H1218" s="71" t="str">
        <f>IF(Proc[[#This Row],[type]]="LFF (MDG-F)",MID(Proc[[#This Row],[Obj]],13,10),"")</f>
        <v/>
      </c>
      <c r="J1218" s="71" t="b">
        <f>Proc[[#This Row],[Requested]]=Proc[[#This Row],[CurrentParent]]</f>
        <v>0</v>
      </c>
      <c r="K1218" s="71" t="str">
        <f>IF(Proc[[#This Row],[Author]]="Marcela Urrego",VLOOKUP(LEFT(Proc[[#This Row],[Requested]],1),Table3[#All],2,0),VLOOKUP(Proc[[#This Row],[Author]],Table4[],2,0))</f>
        <v>HC</v>
      </c>
      <c r="L1218" s="71" t="s">
        <v>2841</v>
      </c>
      <c r="M1218" s="81">
        <v>45782.702824074076</v>
      </c>
      <c r="N1218" s="81">
        <v>45790</v>
      </c>
      <c r="O1218" s="81">
        <v>45790</v>
      </c>
      <c r="P1218" s="82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2" t="s">
        <v>411</v>
      </c>
      <c r="S1218" s="71"/>
    </row>
    <row r="1219" spans="1:19" hidden="1">
      <c r="A1219" s="74" t="s">
        <v>3212</v>
      </c>
      <c r="B1219" s="71" t="str">
        <f>IFERROR(VLOOKUP(Proc[[#This Row],[App]],Table2[],3,0),"open")</f>
        <v>ok</v>
      </c>
      <c r="C1219" s="74" t="s">
        <v>369</v>
      </c>
      <c r="D1219" t="s">
        <v>3239</v>
      </c>
      <c r="E1219" t="s">
        <v>3316</v>
      </c>
      <c r="F1219" s="71" t="s">
        <v>3349</v>
      </c>
      <c r="G1219" s="74" t="s">
        <v>400</v>
      </c>
      <c r="H1219" s="71" t="str">
        <f>IF(Proc[[#This Row],[type]]="LFF (MDG-F)",MID(Proc[[#This Row],[Obj]],13,10),"")</f>
        <v/>
      </c>
      <c r="J1219" s="71" t="b">
        <f>Proc[[#This Row],[Requested]]=Proc[[#This Row],[CurrentParent]]</f>
        <v>0</v>
      </c>
      <c r="K1219" s="71" t="str">
        <f>IF(Proc[[#This Row],[Author]]="Marcela Urrego",VLOOKUP(LEFT(Proc[[#This Row],[Requested]],1),Table3[#All],2,0),VLOOKUP(Proc[[#This Row],[Author]],Table4[],2,0))</f>
        <v>HC</v>
      </c>
      <c r="L1219" s="71" t="s">
        <v>2841</v>
      </c>
      <c r="M1219" s="81">
        <v>45782.702824074076</v>
      </c>
      <c r="N1219" s="81">
        <v>45790</v>
      </c>
      <c r="O1219" s="81">
        <v>45790</v>
      </c>
      <c r="P1219" s="82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2" t="s">
        <v>411</v>
      </c>
      <c r="S1219" s="71"/>
    </row>
    <row r="1220" spans="1:19" hidden="1">
      <c r="A1220" s="74" t="s">
        <v>3212</v>
      </c>
      <c r="B1220" s="71" t="str">
        <f>IFERROR(VLOOKUP(Proc[[#This Row],[App]],Table2[],3,0),"open")</f>
        <v>ok</v>
      </c>
      <c r="C1220" s="74" t="s">
        <v>369</v>
      </c>
      <c r="D1220" t="s">
        <v>3240</v>
      </c>
      <c r="E1220" t="s">
        <v>3317</v>
      </c>
      <c r="F1220" s="71" t="s">
        <v>3350</v>
      </c>
      <c r="G1220" s="74" t="s">
        <v>400</v>
      </c>
      <c r="H1220" s="71" t="str">
        <f>IF(Proc[[#This Row],[type]]="LFF (MDG-F)",MID(Proc[[#This Row],[Obj]],13,10),"")</f>
        <v/>
      </c>
      <c r="J1220" s="71" t="b">
        <f>Proc[[#This Row],[Requested]]=Proc[[#This Row],[CurrentParent]]</f>
        <v>0</v>
      </c>
      <c r="K1220" s="71" t="str">
        <f>IF(Proc[[#This Row],[Author]]="Marcela Urrego",VLOOKUP(LEFT(Proc[[#This Row],[Requested]],1),Table3[#All],2,0),VLOOKUP(Proc[[#This Row],[Author]],Table4[],2,0))</f>
        <v>HC</v>
      </c>
      <c r="L1220" s="71" t="s">
        <v>2841</v>
      </c>
      <c r="M1220" s="81">
        <v>45782.702824074076</v>
      </c>
      <c r="N1220" s="81">
        <v>45790</v>
      </c>
      <c r="O1220" s="81">
        <v>45790</v>
      </c>
      <c r="P1220" s="82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2" t="s">
        <v>411</v>
      </c>
      <c r="S1220" s="71"/>
    </row>
    <row r="1221" spans="1:19" hidden="1">
      <c r="A1221" s="74" t="s">
        <v>3212</v>
      </c>
      <c r="B1221" s="71" t="str">
        <f>IFERROR(VLOOKUP(Proc[[#This Row],[App]],Table2[],3,0),"open")</f>
        <v>ok</v>
      </c>
      <c r="C1221" s="74" t="s">
        <v>369</v>
      </c>
      <c r="D1221" t="s">
        <v>3241</v>
      </c>
      <c r="E1221" t="s">
        <v>3317</v>
      </c>
      <c r="F1221" s="71" t="s">
        <v>3351</v>
      </c>
      <c r="G1221" s="74" t="s">
        <v>400</v>
      </c>
      <c r="H1221" s="71" t="str">
        <f>IF(Proc[[#This Row],[type]]="LFF (MDG-F)",MID(Proc[[#This Row],[Obj]],13,10),"")</f>
        <v/>
      </c>
      <c r="J1221" s="71" t="b">
        <f>Proc[[#This Row],[Requested]]=Proc[[#This Row],[CurrentParent]]</f>
        <v>0</v>
      </c>
      <c r="K1221" s="71" t="str">
        <f>IF(Proc[[#This Row],[Author]]="Marcela Urrego",VLOOKUP(LEFT(Proc[[#This Row],[Requested]],1),Table3[#All],2,0),VLOOKUP(Proc[[#This Row],[Author]],Table4[],2,0))</f>
        <v>HC</v>
      </c>
      <c r="L1221" s="71" t="s">
        <v>2841</v>
      </c>
      <c r="M1221" s="81">
        <v>45782.702824074076</v>
      </c>
      <c r="N1221" s="81">
        <v>45790</v>
      </c>
      <c r="O1221" s="81">
        <v>45790</v>
      </c>
      <c r="P1221" s="82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2" t="s">
        <v>411</v>
      </c>
      <c r="S1221" s="71"/>
    </row>
    <row r="1222" spans="1:19" hidden="1">
      <c r="A1222" s="74" t="s">
        <v>3212</v>
      </c>
      <c r="B1222" s="71" t="str">
        <f>IFERROR(VLOOKUP(Proc[[#This Row],[App]],Table2[],3,0),"open")</f>
        <v>ok</v>
      </c>
      <c r="C1222" s="74" t="s">
        <v>369</v>
      </c>
      <c r="D1222" t="s">
        <v>3242</v>
      </c>
      <c r="E1222" t="s">
        <v>3317</v>
      </c>
      <c r="F1222" s="71" t="s">
        <v>3352</v>
      </c>
      <c r="G1222" s="74" t="s">
        <v>400</v>
      </c>
      <c r="H1222" s="71" t="str">
        <f>IF(Proc[[#This Row],[type]]="LFF (MDG-F)",MID(Proc[[#This Row],[Obj]],13,10),"")</f>
        <v/>
      </c>
      <c r="J1222" s="71" t="b">
        <f>Proc[[#This Row],[Requested]]=Proc[[#This Row],[CurrentParent]]</f>
        <v>0</v>
      </c>
      <c r="K1222" s="71" t="str">
        <f>IF(Proc[[#This Row],[Author]]="Marcela Urrego",VLOOKUP(LEFT(Proc[[#This Row],[Requested]],1),Table3[#All],2,0),VLOOKUP(Proc[[#This Row],[Author]],Table4[],2,0))</f>
        <v>HC</v>
      </c>
      <c r="L1222" s="71" t="s">
        <v>2841</v>
      </c>
      <c r="M1222" s="81">
        <v>45782.702824074076</v>
      </c>
      <c r="N1222" s="81">
        <v>45790</v>
      </c>
      <c r="O1222" s="81">
        <v>45790</v>
      </c>
      <c r="P1222" s="82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2" t="s">
        <v>411</v>
      </c>
      <c r="S1222" s="71"/>
    </row>
    <row r="1223" spans="1:19" hidden="1">
      <c r="A1223" s="74" t="s">
        <v>3212</v>
      </c>
      <c r="B1223" s="71" t="str">
        <f>IFERROR(VLOOKUP(Proc[[#This Row],[App]],Table2[],3,0),"open")</f>
        <v>ok</v>
      </c>
      <c r="C1223" s="74" t="s">
        <v>369</v>
      </c>
      <c r="D1223" t="s">
        <v>3243</v>
      </c>
      <c r="E1223" t="s">
        <v>3317</v>
      </c>
      <c r="F1223" s="71" t="s">
        <v>3353</v>
      </c>
      <c r="G1223" s="74" t="s">
        <v>400</v>
      </c>
      <c r="H1223" s="71" t="str">
        <f>IF(Proc[[#This Row],[type]]="LFF (MDG-F)",MID(Proc[[#This Row],[Obj]],13,10),"")</f>
        <v/>
      </c>
      <c r="J1223" s="71" t="b">
        <f>Proc[[#This Row],[Requested]]=Proc[[#This Row],[CurrentParent]]</f>
        <v>0</v>
      </c>
      <c r="K1223" s="71" t="str">
        <f>IF(Proc[[#This Row],[Author]]="Marcela Urrego",VLOOKUP(LEFT(Proc[[#This Row],[Requested]],1),Table3[#All],2,0),VLOOKUP(Proc[[#This Row],[Author]],Table4[],2,0))</f>
        <v>HC</v>
      </c>
      <c r="L1223" s="71" t="s">
        <v>2841</v>
      </c>
      <c r="M1223" s="81">
        <v>45782.702824074076</v>
      </c>
      <c r="N1223" s="81">
        <v>45790</v>
      </c>
      <c r="O1223" s="81">
        <v>45790</v>
      </c>
      <c r="P1223" s="82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2" t="s">
        <v>411</v>
      </c>
      <c r="S1223" s="71"/>
    </row>
    <row r="1224" spans="1:19" hidden="1">
      <c r="A1224" s="74" t="s">
        <v>3212</v>
      </c>
      <c r="B1224" s="71" t="str">
        <f>IFERROR(VLOOKUP(Proc[[#This Row],[App]],Table2[],3,0),"open")</f>
        <v>ok</v>
      </c>
      <c r="C1224" s="74" t="s">
        <v>369</v>
      </c>
      <c r="D1224" t="s">
        <v>3244</v>
      </c>
      <c r="E1224" t="s">
        <v>3317</v>
      </c>
      <c r="F1224" s="71" t="s">
        <v>3354</v>
      </c>
      <c r="G1224" s="74" t="s">
        <v>400</v>
      </c>
      <c r="H1224" s="71" t="str">
        <f>IF(Proc[[#This Row],[type]]="LFF (MDG-F)",MID(Proc[[#This Row],[Obj]],13,10),"")</f>
        <v/>
      </c>
      <c r="J1224" s="71" t="b">
        <f>Proc[[#This Row],[Requested]]=Proc[[#This Row],[CurrentParent]]</f>
        <v>0</v>
      </c>
      <c r="K1224" s="71" t="str">
        <f>IF(Proc[[#This Row],[Author]]="Marcela Urrego",VLOOKUP(LEFT(Proc[[#This Row],[Requested]],1),Table3[#All],2,0),VLOOKUP(Proc[[#This Row],[Author]],Table4[],2,0))</f>
        <v>HC</v>
      </c>
      <c r="L1224" s="71" t="s">
        <v>2841</v>
      </c>
      <c r="M1224" s="81">
        <v>45782.702824074076</v>
      </c>
      <c r="N1224" s="81">
        <v>45790</v>
      </c>
      <c r="O1224" s="81">
        <v>45790</v>
      </c>
      <c r="P1224" s="82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2" t="s">
        <v>411</v>
      </c>
      <c r="S1224" s="71"/>
    </row>
    <row r="1225" spans="1:19" hidden="1">
      <c r="A1225" s="74" t="s">
        <v>3212</v>
      </c>
      <c r="B1225" s="71" t="str">
        <f>IFERROR(VLOOKUP(Proc[[#This Row],[App]],Table2[],3,0),"open")</f>
        <v>ok</v>
      </c>
      <c r="C1225" s="74" t="s">
        <v>369</v>
      </c>
      <c r="D1225" t="s">
        <v>3245</v>
      </c>
      <c r="E1225" t="s">
        <v>3317</v>
      </c>
      <c r="F1225" s="71" t="s">
        <v>3355</v>
      </c>
      <c r="G1225" s="74" t="s">
        <v>400</v>
      </c>
      <c r="H1225" s="71" t="str">
        <f>IF(Proc[[#This Row],[type]]="LFF (MDG-F)",MID(Proc[[#This Row],[Obj]],13,10),"")</f>
        <v/>
      </c>
      <c r="J1225" s="71" t="b">
        <f>Proc[[#This Row],[Requested]]=Proc[[#This Row],[CurrentParent]]</f>
        <v>0</v>
      </c>
      <c r="K1225" s="71" t="str">
        <f>IF(Proc[[#This Row],[Author]]="Marcela Urrego",VLOOKUP(LEFT(Proc[[#This Row],[Requested]],1),Table3[#All],2,0),VLOOKUP(Proc[[#This Row],[Author]],Table4[],2,0))</f>
        <v>HC</v>
      </c>
      <c r="L1225" s="71" t="s">
        <v>2841</v>
      </c>
      <c r="M1225" s="81">
        <v>45782.702824074076</v>
      </c>
      <c r="N1225" s="81">
        <v>45790</v>
      </c>
      <c r="O1225" s="81">
        <v>45790</v>
      </c>
      <c r="P1225" s="82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2" t="s">
        <v>411</v>
      </c>
      <c r="S1225" s="71"/>
    </row>
    <row r="1226" spans="1:19" hidden="1">
      <c r="A1226" s="74" t="s">
        <v>3212</v>
      </c>
      <c r="B1226" s="71" t="str">
        <f>IFERROR(VLOOKUP(Proc[[#This Row],[App]],Table2[],3,0),"open")</f>
        <v>ok</v>
      </c>
      <c r="C1226" s="74" t="s">
        <v>369</v>
      </c>
      <c r="D1226" t="s">
        <v>3246</v>
      </c>
      <c r="E1226" t="s">
        <v>3317</v>
      </c>
      <c r="F1226" s="71" t="s">
        <v>3356</v>
      </c>
      <c r="G1226" s="74" t="s">
        <v>400</v>
      </c>
      <c r="H1226" s="71" t="str">
        <f>IF(Proc[[#This Row],[type]]="LFF (MDG-F)",MID(Proc[[#This Row],[Obj]],13,10),"")</f>
        <v/>
      </c>
      <c r="J1226" s="71" t="b">
        <f>Proc[[#This Row],[Requested]]=Proc[[#This Row],[CurrentParent]]</f>
        <v>0</v>
      </c>
      <c r="K1226" s="71" t="str">
        <f>IF(Proc[[#This Row],[Author]]="Marcela Urrego",VLOOKUP(LEFT(Proc[[#This Row],[Requested]],1),Table3[#All],2,0),VLOOKUP(Proc[[#This Row],[Author]],Table4[],2,0))</f>
        <v>HC</v>
      </c>
      <c r="L1226" s="71" t="s">
        <v>2841</v>
      </c>
      <c r="M1226" s="81">
        <v>45782.702824074076</v>
      </c>
      <c r="N1226" s="81">
        <v>45790</v>
      </c>
      <c r="O1226" s="81">
        <v>45790</v>
      </c>
      <c r="P1226" s="82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2" t="s">
        <v>411</v>
      </c>
      <c r="S1226" s="71"/>
    </row>
    <row r="1227" spans="1:19" hidden="1">
      <c r="A1227" s="74" t="s">
        <v>3212</v>
      </c>
      <c r="B1227" s="71" t="str">
        <f>IFERROR(VLOOKUP(Proc[[#This Row],[App]],Table2[],3,0),"open")</f>
        <v>ok</v>
      </c>
      <c r="C1227" s="74" t="s">
        <v>369</v>
      </c>
      <c r="D1227" t="s">
        <v>3247</v>
      </c>
      <c r="E1227" t="s">
        <v>3317</v>
      </c>
      <c r="F1227" s="71" t="s">
        <v>3357</v>
      </c>
      <c r="G1227" s="74" t="s">
        <v>400</v>
      </c>
      <c r="H1227" s="71" t="str">
        <f>IF(Proc[[#This Row],[type]]="LFF (MDG-F)",MID(Proc[[#This Row],[Obj]],13,10),"")</f>
        <v/>
      </c>
      <c r="J1227" s="71" t="b">
        <f>Proc[[#This Row],[Requested]]=Proc[[#This Row],[CurrentParent]]</f>
        <v>0</v>
      </c>
      <c r="K1227" s="71" t="str">
        <f>IF(Proc[[#This Row],[Author]]="Marcela Urrego",VLOOKUP(LEFT(Proc[[#This Row],[Requested]],1),Table3[#All],2,0),VLOOKUP(Proc[[#This Row],[Author]],Table4[],2,0))</f>
        <v>HC</v>
      </c>
      <c r="L1227" s="71" t="s">
        <v>2841</v>
      </c>
      <c r="M1227" s="81">
        <v>45782.702824074076</v>
      </c>
      <c r="N1227" s="81">
        <v>45790</v>
      </c>
      <c r="O1227" s="81">
        <v>45790</v>
      </c>
      <c r="P1227" s="82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2" t="s">
        <v>411</v>
      </c>
      <c r="S1227" s="71"/>
    </row>
    <row r="1228" spans="1:19" hidden="1">
      <c r="A1228" s="74" t="s">
        <v>3212</v>
      </c>
      <c r="B1228" s="71" t="str">
        <f>IFERROR(VLOOKUP(Proc[[#This Row],[App]],Table2[],3,0),"open")</f>
        <v>ok</v>
      </c>
      <c r="C1228" s="74" t="s">
        <v>369</v>
      </c>
      <c r="D1228" t="s">
        <v>3248</v>
      </c>
      <c r="E1228" t="s">
        <v>3318</v>
      </c>
      <c r="F1228" s="71" t="s">
        <v>3358</v>
      </c>
      <c r="G1228" s="74" t="s">
        <v>400</v>
      </c>
      <c r="H1228" s="71" t="str">
        <f>IF(Proc[[#This Row],[type]]="LFF (MDG-F)",MID(Proc[[#This Row],[Obj]],13,10),"")</f>
        <v/>
      </c>
      <c r="J1228" s="71" t="b">
        <f>Proc[[#This Row],[Requested]]=Proc[[#This Row],[CurrentParent]]</f>
        <v>0</v>
      </c>
      <c r="K1228" s="71" t="str">
        <f>IF(Proc[[#This Row],[Author]]="Marcela Urrego",VLOOKUP(LEFT(Proc[[#This Row],[Requested]],1),Table3[#All],2,0),VLOOKUP(Proc[[#This Row],[Author]],Table4[],2,0))</f>
        <v>HC</v>
      </c>
      <c r="L1228" s="71" t="s">
        <v>2841</v>
      </c>
      <c r="M1228" s="81">
        <v>45782.702824074076</v>
      </c>
      <c r="N1228" s="81">
        <v>45790</v>
      </c>
      <c r="O1228" s="81">
        <v>45790</v>
      </c>
      <c r="P1228" s="82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2" t="s">
        <v>411</v>
      </c>
      <c r="S1228" s="71"/>
    </row>
    <row r="1229" spans="1:19" hidden="1">
      <c r="A1229" s="74" t="s">
        <v>3212</v>
      </c>
      <c r="B1229" s="71" t="str">
        <f>IFERROR(VLOOKUP(Proc[[#This Row],[App]],Table2[],3,0),"open")</f>
        <v>ok</v>
      </c>
      <c r="C1229" s="74" t="s">
        <v>369</v>
      </c>
      <c r="D1229" t="s">
        <v>3249</v>
      </c>
      <c r="E1229" t="s">
        <v>3318</v>
      </c>
      <c r="F1229" s="71" t="s">
        <v>3359</v>
      </c>
      <c r="G1229" s="74" t="s">
        <v>400</v>
      </c>
      <c r="H1229" s="71" t="str">
        <f>IF(Proc[[#This Row],[type]]="LFF (MDG-F)",MID(Proc[[#This Row],[Obj]],13,10),"")</f>
        <v/>
      </c>
      <c r="J1229" s="71" t="b">
        <f>Proc[[#This Row],[Requested]]=Proc[[#This Row],[CurrentParent]]</f>
        <v>0</v>
      </c>
      <c r="K1229" s="71" t="str">
        <f>IF(Proc[[#This Row],[Author]]="Marcela Urrego",VLOOKUP(LEFT(Proc[[#This Row],[Requested]],1),Table3[#All],2,0),VLOOKUP(Proc[[#This Row],[Author]],Table4[],2,0))</f>
        <v>HC</v>
      </c>
      <c r="L1229" s="71" t="s">
        <v>2841</v>
      </c>
      <c r="M1229" s="81">
        <v>45782.702824074076</v>
      </c>
      <c r="N1229" s="81">
        <v>45790</v>
      </c>
      <c r="O1229" s="81">
        <v>45790</v>
      </c>
      <c r="P1229" s="82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2" t="s">
        <v>411</v>
      </c>
      <c r="S1229" s="71"/>
    </row>
    <row r="1230" spans="1:19" hidden="1">
      <c r="A1230" s="74" t="s">
        <v>3212</v>
      </c>
      <c r="B1230" s="71" t="str">
        <f>IFERROR(VLOOKUP(Proc[[#This Row],[App]],Table2[],3,0),"open")</f>
        <v>ok</v>
      </c>
      <c r="C1230" s="74" t="s">
        <v>369</v>
      </c>
      <c r="D1230" t="s">
        <v>3250</v>
      </c>
      <c r="E1230" t="s">
        <v>3318</v>
      </c>
      <c r="F1230" s="71" t="s">
        <v>3360</v>
      </c>
      <c r="G1230" s="74" t="s">
        <v>400</v>
      </c>
      <c r="H1230" s="71" t="str">
        <f>IF(Proc[[#This Row],[type]]="LFF (MDG-F)",MID(Proc[[#This Row],[Obj]],13,10),"")</f>
        <v/>
      </c>
      <c r="J1230" s="71" t="b">
        <f>Proc[[#This Row],[Requested]]=Proc[[#This Row],[CurrentParent]]</f>
        <v>0</v>
      </c>
      <c r="K1230" s="71" t="str">
        <f>IF(Proc[[#This Row],[Author]]="Marcela Urrego",VLOOKUP(LEFT(Proc[[#This Row],[Requested]],1),Table3[#All],2,0),VLOOKUP(Proc[[#This Row],[Author]],Table4[],2,0))</f>
        <v>HC</v>
      </c>
      <c r="L1230" s="71" t="s">
        <v>2841</v>
      </c>
      <c r="M1230" s="81">
        <v>45782.702824074076</v>
      </c>
      <c r="N1230" s="81">
        <v>45790</v>
      </c>
      <c r="O1230" s="81">
        <v>45790</v>
      </c>
      <c r="P1230" s="82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2" t="s">
        <v>411</v>
      </c>
      <c r="S1230" s="71"/>
    </row>
    <row r="1231" spans="1:19" hidden="1">
      <c r="A1231" s="74" t="s">
        <v>3212</v>
      </c>
      <c r="B1231" s="71" t="str">
        <f>IFERROR(VLOOKUP(Proc[[#This Row],[App]],Table2[],3,0),"open")</f>
        <v>ok</v>
      </c>
      <c r="C1231" s="74" t="s">
        <v>369</v>
      </c>
      <c r="D1231" t="s">
        <v>3251</v>
      </c>
      <c r="E1231" t="s">
        <v>3318</v>
      </c>
      <c r="F1231" s="71" t="s">
        <v>3361</v>
      </c>
      <c r="G1231" s="74" t="s">
        <v>400</v>
      </c>
      <c r="H1231" s="71" t="str">
        <f>IF(Proc[[#This Row],[type]]="LFF (MDG-F)",MID(Proc[[#This Row],[Obj]],13,10),"")</f>
        <v/>
      </c>
      <c r="J1231" s="71" t="b">
        <f>Proc[[#This Row],[Requested]]=Proc[[#This Row],[CurrentParent]]</f>
        <v>0</v>
      </c>
      <c r="K1231" s="71" t="str">
        <f>IF(Proc[[#This Row],[Author]]="Marcela Urrego",VLOOKUP(LEFT(Proc[[#This Row],[Requested]],1),Table3[#All],2,0),VLOOKUP(Proc[[#This Row],[Author]],Table4[],2,0))</f>
        <v>HC</v>
      </c>
      <c r="L1231" s="71" t="s">
        <v>2841</v>
      </c>
      <c r="M1231" s="81">
        <v>45782.702824074076</v>
      </c>
      <c r="N1231" s="81">
        <v>45790</v>
      </c>
      <c r="O1231" s="81">
        <v>45790</v>
      </c>
      <c r="P1231" s="82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2" t="s">
        <v>411</v>
      </c>
      <c r="S1231" s="71"/>
    </row>
    <row r="1232" spans="1:19" hidden="1">
      <c r="A1232" s="74" t="s">
        <v>3212</v>
      </c>
      <c r="B1232" s="71" t="str">
        <f>IFERROR(VLOOKUP(Proc[[#This Row],[App]],Table2[],3,0),"open")</f>
        <v>ok</v>
      </c>
      <c r="C1232" s="74" t="s">
        <v>369</v>
      </c>
      <c r="D1232" t="s">
        <v>3252</v>
      </c>
      <c r="E1232" t="s">
        <v>3318</v>
      </c>
      <c r="F1232" s="71" t="s">
        <v>3362</v>
      </c>
      <c r="G1232" s="74" t="s">
        <v>400</v>
      </c>
      <c r="H1232" s="71" t="str">
        <f>IF(Proc[[#This Row],[type]]="LFF (MDG-F)",MID(Proc[[#This Row],[Obj]],13,10),"")</f>
        <v/>
      </c>
      <c r="J1232" s="71" t="b">
        <f>Proc[[#This Row],[Requested]]=Proc[[#This Row],[CurrentParent]]</f>
        <v>0</v>
      </c>
      <c r="K1232" s="71" t="str">
        <f>IF(Proc[[#This Row],[Author]]="Marcela Urrego",VLOOKUP(LEFT(Proc[[#This Row],[Requested]],1),Table3[#All],2,0),VLOOKUP(Proc[[#This Row],[Author]],Table4[],2,0))</f>
        <v>HC</v>
      </c>
      <c r="L1232" s="71" t="s">
        <v>2841</v>
      </c>
      <c r="M1232" s="81">
        <v>45782.702824074076</v>
      </c>
      <c r="N1232" s="81">
        <v>45790</v>
      </c>
      <c r="O1232" s="81">
        <v>45790</v>
      </c>
      <c r="P1232" s="82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2" t="s">
        <v>411</v>
      </c>
      <c r="S1232" s="71"/>
    </row>
    <row r="1233" spans="1:19" hidden="1">
      <c r="A1233" s="74" t="s">
        <v>3212</v>
      </c>
      <c r="B1233" s="71" t="str">
        <f>IFERROR(VLOOKUP(Proc[[#This Row],[App]],Table2[],3,0),"open")</f>
        <v>ok</v>
      </c>
      <c r="C1233" s="74" t="s">
        <v>369</v>
      </c>
      <c r="D1233" t="s">
        <v>3253</v>
      </c>
      <c r="E1233" t="s">
        <v>3319</v>
      </c>
      <c r="F1233" s="71" t="s">
        <v>3363</v>
      </c>
      <c r="G1233" s="74" t="s">
        <v>400</v>
      </c>
      <c r="H1233" s="71" t="str">
        <f>IF(Proc[[#This Row],[type]]="LFF (MDG-F)",MID(Proc[[#This Row],[Obj]],13,10),"")</f>
        <v/>
      </c>
      <c r="J1233" s="71" t="b">
        <f>Proc[[#This Row],[Requested]]=Proc[[#This Row],[CurrentParent]]</f>
        <v>0</v>
      </c>
      <c r="K1233" s="71" t="str">
        <f>IF(Proc[[#This Row],[Author]]="Marcela Urrego",VLOOKUP(LEFT(Proc[[#This Row],[Requested]],1),Table3[#All],2,0),VLOOKUP(Proc[[#This Row],[Author]],Table4[],2,0))</f>
        <v>HC</v>
      </c>
      <c r="L1233" s="71" t="s">
        <v>2841</v>
      </c>
      <c r="M1233" s="81">
        <v>45782.702824074076</v>
      </c>
      <c r="N1233" s="81">
        <v>45790</v>
      </c>
      <c r="O1233" s="81">
        <v>45790</v>
      </c>
      <c r="P1233" s="82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2" t="s">
        <v>411</v>
      </c>
      <c r="S1233" s="71"/>
    </row>
    <row r="1234" spans="1:19" hidden="1">
      <c r="A1234" s="74" t="s">
        <v>3212</v>
      </c>
      <c r="B1234" s="71" t="str">
        <f>IFERROR(VLOOKUP(Proc[[#This Row],[App]],Table2[],3,0),"open")</f>
        <v>ok</v>
      </c>
      <c r="C1234" s="74" t="s">
        <v>369</v>
      </c>
      <c r="D1234" t="s">
        <v>3254</v>
      </c>
      <c r="E1234" t="s">
        <v>3319</v>
      </c>
      <c r="F1234" s="71" t="s">
        <v>3364</v>
      </c>
      <c r="G1234" s="74" t="s">
        <v>400</v>
      </c>
      <c r="H1234" s="71" t="str">
        <f>IF(Proc[[#This Row],[type]]="LFF (MDG-F)",MID(Proc[[#This Row],[Obj]],13,10),"")</f>
        <v/>
      </c>
      <c r="J1234" s="71" t="b">
        <f>Proc[[#This Row],[Requested]]=Proc[[#This Row],[CurrentParent]]</f>
        <v>0</v>
      </c>
      <c r="K1234" s="71" t="str">
        <f>IF(Proc[[#This Row],[Author]]="Marcela Urrego",VLOOKUP(LEFT(Proc[[#This Row],[Requested]],1),Table3[#All],2,0),VLOOKUP(Proc[[#This Row],[Author]],Table4[],2,0))</f>
        <v>HC</v>
      </c>
      <c r="L1234" s="71" t="s">
        <v>2841</v>
      </c>
      <c r="M1234" s="81">
        <v>45782.702824074076</v>
      </c>
      <c r="N1234" s="81">
        <v>45790</v>
      </c>
      <c r="O1234" s="81">
        <v>45790</v>
      </c>
      <c r="P1234" s="82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2" t="s">
        <v>411</v>
      </c>
      <c r="S1234" s="71"/>
    </row>
    <row r="1235" spans="1:19" hidden="1">
      <c r="A1235" s="74" t="s">
        <v>3212</v>
      </c>
      <c r="B1235" s="71" t="str">
        <f>IFERROR(VLOOKUP(Proc[[#This Row],[App]],Table2[],3,0),"open")</f>
        <v>ok</v>
      </c>
      <c r="C1235" s="74" t="s">
        <v>369</v>
      </c>
      <c r="D1235" t="s">
        <v>3255</v>
      </c>
      <c r="E1235" t="s">
        <v>3320</v>
      </c>
      <c r="F1235" s="71" t="s">
        <v>3365</v>
      </c>
      <c r="G1235" s="74" t="s">
        <v>400</v>
      </c>
      <c r="H1235" s="71" t="str">
        <f>IF(Proc[[#This Row],[type]]="LFF (MDG-F)",MID(Proc[[#This Row],[Obj]],13,10),"")</f>
        <v/>
      </c>
      <c r="J1235" s="71" t="b">
        <f>Proc[[#This Row],[Requested]]=Proc[[#This Row],[CurrentParent]]</f>
        <v>0</v>
      </c>
      <c r="K1235" s="71" t="str">
        <f>IF(Proc[[#This Row],[Author]]="Marcela Urrego",VLOOKUP(LEFT(Proc[[#This Row],[Requested]],1),Table3[#All],2,0),VLOOKUP(Proc[[#This Row],[Author]],Table4[],2,0))</f>
        <v>HC</v>
      </c>
      <c r="L1235" s="71" t="s">
        <v>2841</v>
      </c>
      <c r="M1235" s="81">
        <v>45782.702824074076</v>
      </c>
      <c r="N1235" s="81">
        <v>45790</v>
      </c>
      <c r="O1235" s="81">
        <v>45790</v>
      </c>
      <c r="P1235" s="82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2" t="s">
        <v>411</v>
      </c>
      <c r="S1235" s="71"/>
    </row>
    <row r="1236" spans="1:19" hidden="1">
      <c r="A1236" s="74" t="s">
        <v>3212</v>
      </c>
      <c r="B1236" s="71" t="str">
        <f>IFERROR(VLOOKUP(Proc[[#This Row],[App]],Table2[],3,0),"open")</f>
        <v>ok</v>
      </c>
      <c r="C1236" s="74" t="s">
        <v>369</v>
      </c>
      <c r="D1236" t="s">
        <v>3256</v>
      </c>
      <c r="E1236" t="s">
        <v>3320</v>
      </c>
      <c r="F1236" s="71" t="s">
        <v>3366</v>
      </c>
      <c r="G1236" s="74" t="s">
        <v>400</v>
      </c>
      <c r="H1236" s="71" t="str">
        <f>IF(Proc[[#This Row],[type]]="LFF (MDG-F)",MID(Proc[[#This Row],[Obj]],13,10),"")</f>
        <v/>
      </c>
      <c r="J1236" s="71" t="b">
        <f>Proc[[#This Row],[Requested]]=Proc[[#This Row],[CurrentParent]]</f>
        <v>0</v>
      </c>
      <c r="K1236" s="71" t="str">
        <f>IF(Proc[[#This Row],[Author]]="Marcela Urrego",VLOOKUP(LEFT(Proc[[#This Row],[Requested]],1),Table3[#All],2,0),VLOOKUP(Proc[[#This Row],[Author]],Table4[],2,0))</f>
        <v>HC</v>
      </c>
      <c r="L1236" s="71" t="s">
        <v>2841</v>
      </c>
      <c r="M1236" s="81">
        <v>45782.702824074076</v>
      </c>
      <c r="N1236" s="81">
        <v>45790</v>
      </c>
      <c r="O1236" s="81">
        <v>45790</v>
      </c>
      <c r="P1236" s="82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2" t="s">
        <v>411</v>
      </c>
      <c r="S1236" s="71"/>
    </row>
    <row r="1237" spans="1:19" hidden="1">
      <c r="A1237" s="74" t="s">
        <v>3212</v>
      </c>
      <c r="B1237" s="71" t="str">
        <f>IFERROR(VLOOKUP(Proc[[#This Row],[App]],Table2[],3,0),"open")</f>
        <v>ok</v>
      </c>
      <c r="C1237" s="74" t="s">
        <v>369</v>
      </c>
      <c r="D1237" t="s">
        <v>3257</v>
      </c>
      <c r="E1237" t="s">
        <v>3320</v>
      </c>
      <c r="F1237" s="71" t="s">
        <v>3367</v>
      </c>
      <c r="G1237" s="74" t="s">
        <v>400</v>
      </c>
      <c r="H1237" s="71" t="str">
        <f>IF(Proc[[#This Row],[type]]="LFF (MDG-F)",MID(Proc[[#This Row],[Obj]],13,10),"")</f>
        <v/>
      </c>
      <c r="J1237" s="71" t="b">
        <f>Proc[[#This Row],[Requested]]=Proc[[#This Row],[CurrentParent]]</f>
        <v>0</v>
      </c>
      <c r="K1237" s="71" t="str">
        <f>IF(Proc[[#This Row],[Author]]="Marcela Urrego",VLOOKUP(LEFT(Proc[[#This Row],[Requested]],1),Table3[#All],2,0),VLOOKUP(Proc[[#This Row],[Author]],Table4[],2,0))</f>
        <v>HC</v>
      </c>
      <c r="L1237" s="71" t="s">
        <v>2841</v>
      </c>
      <c r="M1237" s="81">
        <v>45782.702824074076</v>
      </c>
      <c r="N1237" s="81">
        <v>45790</v>
      </c>
      <c r="O1237" s="81">
        <v>45790</v>
      </c>
      <c r="P1237" s="82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2" t="s">
        <v>411</v>
      </c>
      <c r="S1237" s="71"/>
    </row>
    <row r="1238" spans="1:19" hidden="1">
      <c r="A1238" s="74" t="s">
        <v>3212</v>
      </c>
      <c r="B1238" s="71" t="str">
        <f>IFERROR(VLOOKUP(Proc[[#This Row],[App]],Table2[],3,0),"open")</f>
        <v>ok</v>
      </c>
      <c r="C1238" s="74" t="s">
        <v>369</v>
      </c>
      <c r="D1238" t="s">
        <v>3258</v>
      </c>
      <c r="E1238" t="s">
        <v>3320</v>
      </c>
      <c r="F1238" s="71" t="s">
        <v>3368</v>
      </c>
      <c r="G1238" s="74" t="s">
        <v>400</v>
      </c>
      <c r="H1238" s="71" t="str">
        <f>IF(Proc[[#This Row],[type]]="LFF (MDG-F)",MID(Proc[[#This Row],[Obj]],13,10),"")</f>
        <v/>
      </c>
      <c r="J1238" s="71" t="b">
        <f>Proc[[#This Row],[Requested]]=Proc[[#This Row],[CurrentParent]]</f>
        <v>0</v>
      </c>
      <c r="K1238" s="71" t="str">
        <f>IF(Proc[[#This Row],[Author]]="Marcela Urrego",VLOOKUP(LEFT(Proc[[#This Row],[Requested]],1),Table3[#All],2,0),VLOOKUP(Proc[[#This Row],[Author]],Table4[],2,0))</f>
        <v>HC</v>
      </c>
      <c r="L1238" s="71" t="s">
        <v>2841</v>
      </c>
      <c r="M1238" s="81">
        <v>45782.702824074076</v>
      </c>
      <c r="N1238" s="81">
        <v>45790</v>
      </c>
      <c r="O1238" s="81">
        <v>45790</v>
      </c>
      <c r="P1238" s="82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2" t="s">
        <v>411</v>
      </c>
      <c r="S1238" s="71"/>
    </row>
    <row r="1239" spans="1:19" hidden="1">
      <c r="A1239" s="74" t="s">
        <v>3212</v>
      </c>
      <c r="B1239" s="71" t="str">
        <f>IFERROR(VLOOKUP(Proc[[#This Row],[App]],Table2[],3,0),"open")</f>
        <v>ok</v>
      </c>
      <c r="C1239" s="74" t="s">
        <v>369</v>
      </c>
      <c r="D1239" t="s">
        <v>3259</v>
      </c>
      <c r="E1239" t="s">
        <v>3321</v>
      </c>
      <c r="F1239" s="71" t="s">
        <v>3369</v>
      </c>
      <c r="G1239" s="74" t="s">
        <v>400</v>
      </c>
      <c r="H1239" s="71" t="str">
        <f>IF(Proc[[#This Row],[type]]="LFF (MDG-F)",MID(Proc[[#This Row],[Obj]],13,10),"")</f>
        <v/>
      </c>
      <c r="J1239" s="71" t="b">
        <f>Proc[[#This Row],[Requested]]=Proc[[#This Row],[CurrentParent]]</f>
        <v>0</v>
      </c>
      <c r="K1239" s="71" t="str">
        <f>IF(Proc[[#This Row],[Author]]="Marcela Urrego",VLOOKUP(LEFT(Proc[[#This Row],[Requested]],1),Table3[#All],2,0),VLOOKUP(Proc[[#This Row],[Author]],Table4[],2,0))</f>
        <v>HC</v>
      </c>
      <c r="L1239" s="71" t="s">
        <v>2841</v>
      </c>
      <c r="M1239" s="81">
        <v>45782.702824074076</v>
      </c>
      <c r="N1239" s="81">
        <v>45790</v>
      </c>
      <c r="O1239" s="81">
        <v>45790</v>
      </c>
      <c r="P1239" s="82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2" t="s">
        <v>411</v>
      </c>
      <c r="S1239" s="71"/>
    </row>
    <row r="1240" spans="1:19" hidden="1">
      <c r="A1240" s="74" t="s">
        <v>3212</v>
      </c>
      <c r="B1240" s="71" t="str">
        <f>IFERROR(VLOOKUP(Proc[[#This Row],[App]],Table2[],3,0),"open")</f>
        <v>ok</v>
      </c>
      <c r="C1240" s="74" t="s">
        <v>369</v>
      </c>
      <c r="D1240" t="s">
        <v>3260</v>
      </c>
      <c r="E1240" t="s">
        <v>3321</v>
      </c>
      <c r="F1240" s="71" t="s">
        <v>3370</v>
      </c>
      <c r="G1240" s="74" t="s">
        <v>400</v>
      </c>
      <c r="H1240" s="71" t="str">
        <f>IF(Proc[[#This Row],[type]]="LFF (MDG-F)",MID(Proc[[#This Row],[Obj]],13,10),"")</f>
        <v/>
      </c>
      <c r="J1240" s="71" t="b">
        <f>Proc[[#This Row],[Requested]]=Proc[[#This Row],[CurrentParent]]</f>
        <v>0</v>
      </c>
      <c r="K1240" s="71" t="str">
        <f>IF(Proc[[#This Row],[Author]]="Marcela Urrego",VLOOKUP(LEFT(Proc[[#This Row],[Requested]],1),Table3[#All],2,0),VLOOKUP(Proc[[#This Row],[Author]],Table4[],2,0))</f>
        <v>HC</v>
      </c>
      <c r="L1240" s="71" t="s">
        <v>2841</v>
      </c>
      <c r="M1240" s="81">
        <v>45782.702824074076</v>
      </c>
      <c r="N1240" s="81">
        <v>45790</v>
      </c>
      <c r="O1240" s="81">
        <v>45790</v>
      </c>
      <c r="P1240" s="82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2" t="s">
        <v>411</v>
      </c>
      <c r="S1240" s="71"/>
    </row>
    <row r="1241" spans="1:19" hidden="1">
      <c r="A1241" s="74" t="s">
        <v>3212</v>
      </c>
      <c r="B1241" s="71" t="str">
        <f>IFERROR(VLOOKUP(Proc[[#This Row],[App]],Table2[],3,0),"open")</f>
        <v>ok</v>
      </c>
      <c r="C1241" s="74" t="s">
        <v>369</v>
      </c>
      <c r="D1241" t="s">
        <v>3261</v>
      </c>
      <c r="E1241" t="s">
        <v>3321</v>
      </c>
      <c r="F1241" s="71" t="s">
        <v>3371</v>
      </c>
      <c r="G1241" s="74" t="s">
        <v>400</v>
      </c>
      <c r="H1241" s="71" t="str">
        <f>IF(Proc[[#This Row],[type]]="LFF (MDG-F)",MID(Proc[[#This Row],[Obj]],13,10),"")</f>
        <v/>
      </c>
      <c r="J1241" s="71" t="b">
        <f>Proc[[#This Row],[Requested]]=Proc[[#This Row],[CurrentParent]]</f>
        <v>0</v>
      </c>
      <c r="K1241" s="71" t="str">
        <f>IF(Proc[[#This Row],[Author]]="Marcela Urrego",VLOOKUP(LEFT(Proc[[#This Row],[Requested]],1),Table3[#All],2,0),VLOOKUP(Proc[[#This Row],[Author]],Table4[],2,0))</f>
        <v>HC</v>
      </c>
      <c r="L1241" s="71" t="s">
        <v>2841</v>
      </c>
      <c r="M1241" s="81">
        <v>45782.702824074076</v>
      </c>
      <c r="N1241" s="81">
        <v>45790</v>
      </c>
      <c r="O1241" s="81">
        <v>45790</v>
      </c>
      <c r="P1241" s="82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2" t="s">
        <v>411</v>
      </c>
      <c r="S1241" s="71"/>
    </row>
    <row r="1242" spans="1:19" hidden="1">
      <c r="A1242" s="74" t="s">
        <v>3212</v>
      </c>
      <c r="B1242" s="71" t="str">
        <f>IFERROR(VLOOKUP(Proc[[#This Row],[App]],Table2[],3,0),"open")</f>
        <v>ok</v>
      </c>
      <c r="C1242" s="74" t="s">
        <v>369</v>
      </c>
      <c r="D1242" t="s">
        <v>3262</v>
      </c>
      <c r="E1242" t="s">
        <v>3321</v>
      </c>
      <c r="F1242" s="71" t="s">
        <v>3372</v>
      </c>
      <c r="G1242" s="74" t="s">
        <v>400</v>
      </c>
      <c r="H1242" s="71" t="str">
        <f>IF(Proc[[#This Row],[type]]="LFF (MDG-F)",MID(Proc[[#This Row],[Obj]],13,10),"")</f>
        <v/>
      </c>
      <c r="J1242" s="71" t="b">
        <f>Proc[[#This Row],[Requested]]=Proc[[#This Row],[CurrentParent]]</f>
        <v>0</v>
      </c>
      <c r="K1242" s="71" t="str">
        <f>IF(Proc[[#This Row],[Author]]="Marcela Urrego",VLOOKUP(LEFT(Proc[[#This Row],[Requested]],1),Table3[#All],2,0),VLOOKUP(Proc[[#This Row],[Author]],Table4[],2,0))</f>
        <v>HC</v>
      </c>
      <c r="L1242" s="71" t="s">
        <v>2841</v>
      </c>
      <c r="M1242" s="81">
        <v>45782.702824074076</v>
      </c>
      <c r="N1242" s="81">
        <v>45790</v>
      </c>
      <c r="O1242" s="81">
        <v>45790</v>
      </c>
      <c r="P1242" s="82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2" t="s">
        <v>411</v>
      </c>
      <c r="S1242" s="71"/>
    </row>
    <row r="1243" spans="1:19" hidden="1">
      <c r="A1243" s="74" t="s">
        <v>3212</v>
      </c>
      <c r="B1243" s="71" t="str">
        <f>IFERROR(VLOOKUP(Proc[[#This Row],[App]],Table2[],3,0),"open")</f>
        <v>ok</v>
      </c>
      <c r="C1243" s="74" t="s">
        <v>369</v>
      </c>
      <c r="D1243" t="s">
        <v>3263</v>
      </c>
      <c r="E1243" t="s">
        <v>3321</v>
      </c>
      <c r="F1243" s="71" t="s">
        <v>3373</v>
      </c>
      <c r="G1243" s="74" t="s">
        <v>400</v>
      </c>
      <c r="H1243" s="71" t="str">
        <f>IF(Proc[[#This Row],[type]]="LFF (MDG-F)",MID(Proc[[#This Row],[Obj]],13,10),"")</f>
        <v/>
      </c>
      <c r="J1243" s="71" t="b">
        <f>Proc[[#This Row],[Requested]]=Proc[[#This Row],[CurrentParent]]</f>
        <v>0</v>
      </c>
      <c r="K1243" s="71" t="str">
        <f>IF(Proc[[#This Row],[Author]]="Marcela Urrego",VLOOKUP(LEFT(Proc[[#This Row],[Requested]],1),Table3[#All],2,0),VLOOKUP(Proc[[#This Row],[Author]],Table4[],2,0))</f>
        <v>HC</v>
      </c>
      <c r="L1243" s="71" t="s">
        <v>2841</v>
      </c>
      <c r="M1243" s="81">
        <v>45782.702824074076</v>
      </c>
      <c r="N1243" s="81">
        <v>45790</v>
      </c>
      <c r="O1243" s="81">
        <v>45790</v>
      </c>
      <c r="P1243" s="82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2" t="s">
        <v>411</v>
      </c>
      <c r="S1243" s="71"/>
    </row>
    <row r="1244" spans="1:19" hidden="1">
      <c r="A1244" s="74" t="s">
        <v>3212</v>
      </c>
      <c r="B1244" s="71" t="str">
        <f>IFERROR(VLOOKUP(Proc[[#This Row],[App]],Table2[],3,0),"open")</f>
        <v>ok</v>
      </c>
      <c r="C1244" s="74" t="s">
        <v>369</v>
      </c>
      <c r="D1244" t="s">
        <v>3264</v>
      </c>
      <c r="E1244" t="s">
        <v>3321</v>
      </c>
      <c r="F1244" s="71" t="s">
        <v>3374</v>
      </c>
      <c r="G1244" s="74" t="s">
        <v>400</v>
      </c>
      <c r="H1244" s="71" t="str">
        <f>IF(Proc[[#This Row],[type]]="LFF (MDG-F)",MID(Proc[[#This Row],[Obj]],13,10),"")</f>
        <v/>
      </c>
      <c r="J1244" s="71" t="b">
        <f>Proc[[#This Row],[Requested]]=Proc[[#This Row],[CurrentParent]]</f>
        <v>0</v>
      </c>
      <c r="K1244" s="71" t="str">
        <f>IF(Proc[[#This Row],[Author]]="Marcela Urrego",VLOOKUP(LEFT(Proc[[#This Row],[Requested]],1),Table3[#All],2,0),VLOOKUP(Proc[[#This Row],[Author]],Table4[],2,0))</f>
        <v>HC</v>
      </c>
      <c r="L1244" s="71" t="s">
        <v>2841</v>
      </c>
      <c r="M1244" s="81">
        <v>45782.702824074076</v>
      </c>
      <c r="N1244" s="81">
        <v>45790</v>
      </c>
      <c r="O1244" s="81">
        <v>45790</v>
      </c>
      <c r="P1244" s="82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2" t="s">
        <v>411</v>
      </c>
      <c r="S1244" s="71"/>
    </row>
    <row r="1245" spans="1:19" hidden="1">
      <c r="A1245" s="74" t="s">
        <v>3212</v>
      </c>
      <c r="B1245" s="71" t="str">
        <f>IFERROR(VLOOKUP(Proc[[#This Row],[App]],Table2[],3,0),"open")</f>
        <v>ok</v>
      </c>
      <c r="C1245" s="74" t="s">
        <v>369</v>
      </c>
      <c r="D1245" t="s">
        <v>3265</v>
      </c>
      <c r="E1245" t="s">
        <v>3321</v>
      </c>
      <c r="F1245" s="71" t="s">
        <v>3375</v>
      </c>
      <c r="G1245" s="74" t="s">
        <v>400</v>
      </c>
      <c r="H1245" s="71" t="str">
        <f>IF(Proc[[#This Row],[type]]="LFF (MDG-F)",MID(Proc[[#This Row],[Obj]],13,10),"")</f>
        <v/>
      </c>
      <c r="J1245" s="71" t="b">
        <f>Proc[[#This Row],[Requested]]=Proc[[#This Row],[CurrentParent]]</f>
        <v>0</v>
      </c>
      <c r="K1245" s="71" t="str">
        <f>IF(Proc[[#This Row],[Author]]="Marcela Urrego",VLOOKUP(LEFT(Proc[[#This Row],[Requested]],1),Table3[#All],2,0),VLOOKUP(Proc[[#This Row],[Author]],Table4[],2,0))</f>
        <v>HC</v>
      </c>
      <c r="L1245" s="71" t="s">
        <v>2841</v>
      </c>
      <c r="M1245" s="81">
        <v>45782.702824074076</v>
      </c>
      <c r="N1245" s="81">
        <v>45790</v>
      </c>
      <c r="O1245" s="81">
        <v>45790</v>
      </c>
      <c r="P1245" s="82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2" t="s">
        <v>411</v>
      </c>
      <c r="S1245" s="71"/>
    </row>
    <row r="1246" spans="1:19" hidden="1">
      <c r="A1246" s="74" t="s">
        <v>3212</v>
      </c>
      <c r="B1246" s="71" t="str">
        <f>IFERROR(VLOOKUP(Proc[[#This Row],[App]],Table2[],3,0),"open")</f>
        <v>ok</v>
      </c>
      <c r="C1246" s="74" t="s">
        <v>369</v>
      </c>
      <c r="D1246" t="s">
        <v>3266</v>
      </c>
      <c r="E1246" t="s">
        <v>3321</v>
      </c>
      <c r="F1246" s="71" t="s">
        <v>3376</v>
      </c>
      <c r="G1246" s="74" t="s">
        <v>400</v>
      </c>
      <c r="H1246" s="71" t="str">
        <f>IF(Proc[[#This Row],[type]]="LFF (MDG-F)",MID(Proc[[#This Row],[Obj]],13,10),"")</f>
        <v/>
      </c>
      <c r="J1246" s="71" t="b">
        <f>Proc[[#This Row],[Requested]]=Proc[[#This Row],[CurrentParent]]</f>
        <v>0</v>
      </c>
      <c r="K1246" s="71" t="str">
        <f>IF(Proc[[#This Row],[Author]]="Marcela Urrego",VLOOKUP(LEFT(Proc[[#This Row],[Requested]],1),Table3[#All],2,0),VLOOKUP(Proc[[#This Row],[Author]],Table4[],2,0))</f>
        <v>HC</v>
      </c>
      <c r="L1246" s="71" t="s">
        <v>2841</v>
      </c>
      <c r="M1246" s="81">
        <v>45782.702824074076</v>
      </c>
      <c r="N1246" s="81">
        <v>45790</v>
      </c>
      <c r="O1246" s="81">
        <v>45790</v>
      </c>
      <c r="P1246" s="82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2" t="s">
        <v>411</v>
      </c>
      <c r="S1246" s="71"/>
    </row>
    <row r="1247" spans="1:19" hidden="1">
      <c r="A1247" s="74" t="s">
        <v>3212</v>
      </c>
      <c r="B1247" s="71" t="str">
        <f>IFERROR(VLOOKUP(Proc[[#This Row],[App]],Table2[],3,0),"open")</f>
        <v>ok</v>
      </c>
      <c r="C1247" s="74" t="s">
        <v>369</v>
      </c>
      <c r="D1247" t="s">
        <v>3267</v>
      </c>
      <c r="E1247" t="s">
        <v>3321</v>
      </c>
      <c r="F1247" s="71" t="s">
        <v>3377</v>
      </c>
      <c r="G1247" s="74" t="s">
        <v>400</v>
      </c>
      <c r="H1247" s="71" t="str">
        <f>IF(Proc[[#This Row],[type]]="LFF (MDG-F)",MID(Proc[[#This Row],[Obj]],13,10),"")</f>
        <v/>
      </c>
      <c r="J1247" s="71" t="b">
        <f>Proc[[#This Row],[Requested]]=Proc[[#This Row],[CurrentParent]]</f>
        <v>0</v>
      </c>
      <c r="K1247" s="71" t="str">
        <f>IF(Proc[[#This Row],[Author]]="Marcela Urrego",VLOOKUP(LEFT(Proc[[#This Row],[Requested]],1),Table3[#All],2,0),VLOOKUP(Proc[[#This Row],[Author]],Table4[],2,0))</f>
        <v>HC</v>
      </c>
      <c r="L1247" s="71" t="s">
        <v>2841</v>
      </c>
      <c r="M1247" s="81">
        <v>45782.702824074076</v>
      </c>
      <c r="N1247" s="81">
        <v>45790</v>
      </c>
      <c r="O1247" s="81">
        <v>45790</v>
      </c>
      <c r="P1247" s="82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2" t="s">
        <v>411</v>
      </c>
      <c r="S1247" s="71"/>
    </row>
    <row r="1248" spans="1:19" hidden="1">
      <c r="A1248" s="74" t="s">
        <v>3212</v>
      </c>
      <c r="B1248" s="71" t="str">
        <f>IFERROR(VLOOKUP(Proc[[#This Row],[App]],Table2[],3,0),"open")</f>
        <v>ok</v>
      </c>
      <c r="C1248" s="74" t="s">
        <v>369</v>
      </c>
      <c r="D1248" t="s">
        <v>3268</v>
      </c>
      <c r="E1248" t="s">
        <v>3321</v>
      </c>
      <c r="F1248" s="71" t="s">
        <v>3377</v>
      </c>
      <c r="G1248" s="74" t="s">
        <v>400</v>
      </c>
      <c r="H1248" s="71" t="str">
        <f>IF(Proc[[#This Row],[type]]="LFF (MDG-F)",MID(Proc[[#This Row],[Obj]],13,10),"")</f>
        <v/>
      </c>
      <c r="J1248" s="71" t="b">
        <f>Proc[[#This Row],[Requested]]=Proc[[#This Row],[CurrentParent]]</f>
        <v>0</v>
      </c>
      <c r="K1248" s="71" t="str">
        <f>IF(Proc[[#This Row],[Author]]="Marcela Urrego",VLOOKUP(LEFT(Proc[[#This Row],[Requested]],1),Table3[#All],2,0),VLOOKUP(Proc[[#This Row],[Author]],Table4[],2,0))</f>
        <v>HC</v>
      </c>
      <c r="L1248" s="71" t="s">
        <v>2841</v>
      </c>
      <c r="M1248" s="81">
        <v>45782.702824074076</v>
      </c>
      <c r="N1248" s="81">
        <v>45790</v>
      </c>
      <c r="O1248" s="81">
        <v>45790</v>
      </c>
      <c r="P1248" s="82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2" t="s">
        <v>411</v>
      </c>
      <c r="S1248" s="71"/>
    </row>
    <row r="1249" spans="1:19" hidden="1">
      <c r="A1249" s="74" t="s">
        <v>3212</v>
      </c>
      <c r="B1249" s="71" t="str">
        <f>IFERROR(VLOOKUP(Proc[[#This Row],[App]],Table2[],3,0),"open")</f>
        <v>ok</v>
      </c>
      <c r="C1249" s="74" t="s">
        <v>369</v>
      </c>
      <c r="D1249" t="s">
        <v>3269</v>
      </c>
      <c r="E1249" t="s">
        <v>3321</v>
      </c>
      <c r="F1249" s="71" t="s">
        <v>3378</v>
      </c>
      <c r="G1249" s="74" t="s">
        <v>400</v>
      </c>
      <c r="H1249" s="71" t="str">
        <f>IF(Proc[[#This Row],[type]]="LFF (MDG-F)",MID(Proc[[#This Row],[Obj]],13,10),"")</f>
        <v/>
      </c>
      <c r="J1249" s="71" t="b">
        <f>Proc[[#This Row],[Requested]]=Proc[[#This Row],[CurrentParent]]</f>
        <v>0</v>
      </c>
      <c r="K1249" s="71" t="str">
        <f>IF(Proc[[#This Row],[Author]]="Marcela Urrego",VLOOKUP(LEFT(Proc[[#This Row],[Requested]],1),Table3[#All],2,0),VLOOKUP(Proc[[#This Row],[Author]],Table4[],2,0))</f>
        <v>HC</v>
      </c>
      <c r="L1249" s="71" t="s">
        <v>2841</v>
      </c>
      <c r="M1249" s="81">
        <v>45782.702824074076</v>
      </c>
      <c r="N1249" s="81">
        <v>45790</v>
      </c>
      <c r="O1249" s="81">
        <v>45790</v>
      </c>
      <c r="P1249" s="82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2" t="s">
        <v>411</v>
      </c>
      <c r="S1249" s="71"/>
    </row>
    <row r="1250" spans="1:19" hidden="1">
      <c r="A1250" s="74" t="s">
        <v>3212</v>
      </c>
      <c r="B1250" s="71" t="str">
        <f>IFERROR(VLOOKUP(Proc[[#This Row],[App]],Table2[],3,0),"open")</f>
        <v>ok</v>
      </c>
      <c r="C1250" s="74" t="s">
        <v>369</v>
      </c>
      <c r="D1250" t="s">
        <v>3270</v>
      </c>
      <c r="E1250" t="s">
        <v>3321</v>
      </c>
      <c r="F1250" s="71" t="s">
        <v>3379</v>
      </c>
      <c r="G1250" s="74" t="s">
        <v>400</v>
      </c>
      <c r="H1250" s="71" t="str">
        <f>IF(Proc[[#This Row],[type]]="LFF (MDG-F)",MID(Proc[[#This Row],[Obj]],13,10),"")</f>
        <v/>
      </c>
      <c r="J1250" s="71" t="b">
        <f>Proc[[#This Row],[Requested]]=Proc[[#This Row],[CurrentParent]]</f>
        <v>0</v>
      </c>
      <c r="K1250" s="71" t="str">
        <f>IF(Proc[[#This Row],[Author]]="Marcela Urrego",VLOOKUP(LEFT(Proc[[#This Row],[Requested]],1),Table3[#All],2,0),VLOOKUP(Proc[[#This Row],[Author]],Table4[],2,0))</f>
        <v>HC</v>
      </c>
      <c r="L1250" s="71" t="s">
        <v>2841</v>
      </c>
      <c r="M1250" s="81">
        <v>45782.702824074076</v>
      </c>
      <c r="N1250" s="81">
        <v>45790</v>
      </c>
      <c r="O1250" s="81">
        <v>45790</v>
      </c>
      <c r="P1250" s="82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2" t="s">
        <v>411</v>
      </c>
      <c r="S1250" s="71"/>
    </row>
    <row r="1251" spans="1:19" hidden="1">
      <c r="A1251" s="74" t="s">
        <v>3212</v>
      </c>
      <c r="B1251" s="71" t="str">
        <f>IFERROR(VLOOKUP(Proc[[#This Row],[App]],Table2[],3,0),"open")</f>
        <v>ok</v>
      </c>
      <c r="C1251" s="74" t="s">
        <v>369</v>
      </c>
      <c r="D1251" t="s">
        <v>3271</v>
      </c>
      <c r="E1251" t="s">
        <v>3321</v>
      </c>
      <c r="F1251" s="71" t="s">
        <v>3380</v>
      </c>
      <c r="G1251" s="74" t="s">
        <v>400</v>
      </c>
      <c r="H1251" s="71" t="str">
        <f>IF(Proc[[#This Row],[type]]="LFF (MDG-F)",MID(Proc[[#This Row],[Obj]],13,10),"")</f>
        <v/>
      </c>
      <c r="J1251" s="71" t="b">
        <f>Proc[[#This Row],[Requested]]=Proc[[#This Row],[CurrentParent]]</f>
        <v>0</v>
      </c>
      <c r="K1251" s="71" t="str">
        <f>IF(Proc[[#This Row],[Author]]="Marcela Urrego",VLOOKUP(LEFT(Proc[[#This Row],[Requested]],1),Table3[#All],2,0),VLOOKUP(Proc[[#This Row],[Author]],Table4[],2,0))</f>
        <v>HC</v>
      </c>
      <c r="L1251" s="71" t="s">
        <v>2841</v>
      </c>
      <c r="M1251" s="81">
        <v>45782.702824074076</v>
      </c>
      <c r="N1251" s="81">
        <v>45790</v>
      </c>
      <c r="O1251" s="81">
        <v>45790</v>
      </c>
      <c r="P1251" s="82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2" t="s">
        <v>411</v>
      </c>
      <c r="S1251" s="71"/>
    </row>
    <row r="1252" spans="1:19" hidden="1">
      <c r="A1252" s="74" t="s">
        <v>3212</v>
      </c>
      <c r="B1252" s="71" t="str">
        <f>IFERROR(VLOOKUP(Proc[[#This Row],[App]],Table2[],3,0),"open")</f>
        <v>ok</v>
      </c>
      <c r="C1252" s="74" t="s">
        <v>369</v>
      </c>
      <c r="D1252" t="s">
        <v>3272</v>
      </c>
      <c r="E1252" t="s">
        <v>3321</v>
      </c>
      <c r="F1252" s="71" t="s">
        <v>3381</v>
      </c>
      <c r="G1252" s="74" t="s">
        <v>400</v>
      </c>
      <c r="H1252" s="71" t="str">
        <f>IF(Proc[[#This Row],[type]]="LFF (MDG-F)",MID(Proc[[#This Row],[Obj]],13,10),"")</f>
        <v/>
      </c>
      <c r="J1252" s="71" t="b">
        <f>Proc[[#This Row],[Requested]]=Proc[[#This Row],[CurrentParent]]</f>
        <v>0</v>
      </c>
      <c r="K1252" s="71" t="str">
        <f>IF(Proc[[#This Row],[Author]]="Marcela Urrego",VLOOKUP(LEFT(Proc[[#This Row],[Requested]],1),Table3[#All],2,0),VLOOKUP(Proc[[#This Row],[Author]],Table4[],2,0))</f>
        <v>HC</v>
      </c>
      <c r="L1252" s="71" t="s">
        <v>2841</v>
      </c>
      <c r="M1252" s="81">
        <v>45782.702824074076</v>
      </c>
      <c r="N1252" s="81">
        <v>45790</v>
      </c>
      <c r="O1252" s="81">
        <v>45790</v>
      </c>
      <c r="P1252" s="82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2" t="s">
        <v>411</v>
      </c>
      <c r="S1252" s="71"/>
    </row>
    <row r="1253" spans="1:19" hidden="1">
      <c r="A1253" s="74" t="s">
        <v>3212</v>
      </c>
      <c r="B1253" s="71" t="str">
        <f>IFERROR(VLOOKUP(Proc[[#This Row],[App]],Table2[],3,0),"open")</f>
        <v>ok</v>
      </c>
      <c r="C1253" s="74" t="s">
        <v>369</v>
      </c>
      <c r="D1253" t="s">
        <v>3273</v>
      </c>
      <c r="E1253" t="s">
        <v>3321</v>
      </c>
      <c r="F1253" s="71" t="s">
        <v>3382</v>
      </c>
      <c r="G1253" s="74" t="s">
        <v>400</v>
      </c>
      <c r="H1253" s="71" t="str">
        <f>IF(Proc[[#This Row],[type]]="LFF (MDG-F)",MID(Proc[[#This Row],[Obj]],13,10),"")</f>
        <v/>
      </c>
      <c r="J1253" s="71" t="b">
        <f>Proc[[#This Row],[Requested]]=Proc[[#This Row],[CurrentParent]]</f>
        <v>0</v>
      </c>
      <c r="K1253" s="71" t="str">
        <f>IF(Proc[[#This Row],[Author]]="Marcela Urrego",VLOOKUP(LEFT(Proc[[#This Row],[Requested]],1),Table3[#All],2,0),VLOOKUP(Proc[[#This Row],[Author]],Table4[],2,0))</f>
        <v>HC</v>
      </c>
      <c r="L1253" s="71" t="s">
        <v>2841</v>
      </c>
      <c r="M1253" s="81">
        <v>45782.702824074076</v>
      </c>
      <c r="N1253" s="81">
        <v>45790</v>
      </c>
      <c r="O1253" s="81">
        <v>45790</v>
      </c>
      <c r="P1253" s="82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2" t="s">
        <v>411</v>
      </c>
      <c r="S1253" s="71"/>
    </row>
    <row r="1254" spans="1:19" hidden="1">
      <c r="A1254" s="74" t="s">
        <v>3212</v>
      </c>
      <c r="B1254" s="71" t="str">
        <f>IFERROR(VLOOKUP(Proc[[#This Row],[App]],Table2[],3,0),"open")</f>
        <v>ok</v>
      </c>
      <c r="C1254" s="74" t="s">
        <v>369</v>
      </c>
      <c r="D1254" t="s">
        <v>3274</v>
      </c>
      <c r="E1254" t="s">
        <v>3321</v>
      </c>
      <c r="F1254" s="71" t="s">
        <v>3383</v>
      </c>
      <c r="G1254" s="74" t="s">
        <v>400</v>
      </c>
      <c r="H1254" s="71" t="str">
        <f>IF(Proc[[#This Row],[type]]="LFF (MDG-F)",MID(Proc[[#This Row],[Obj]],13,10),"")</f>
        <v/>
      </c>
      <c r="J1254" s="71" t="b">
        <f>Proc[[#This Row],[Requested]]=Proc[[#This Row],[CurrentParent]]</f>
        <v>0</v>
      </c>
      <c r="K1254" s="71" t="str">
        <f>IF(Proc[[#This Row],[Author]]="Marcela Urrego",VLOOKUP(LEFT(Proc[[#This Row],[Requested]],1),Table3[#All],2,0),VLOOKUP(Proc[[#This Row],[Author]],Table4[],2,0))</f>
        <v>HC</v>
      </c>
      <c r="L1254" s="71" t="s">
        <v>2841</v>
      </c>
      <c r="M1254" s="81">
        <v>45782.702824074076</v>
      </c>
      <c r="N1254" s="81">
        <v>45790</v>
      </c>
      <c r="O1254" s="81">
        <v>45790</v>
      </c>
      <c r="P1254" s="82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2" t="s">
        <v>411</v>
      </c>
      <c r="S1254" s="71"/>
    </row>
    <row r="1255" spans="1:19" hidden="1">
      <c r="A1255" s="74" t="s">
        <v>3212</v>
      </c>
      <c r="B1255" s="71" t="str">
        <f>IFERROR(VLOOKUP(Proc[[#This Row],[App]],Table2[],3,0),"open")</f>
        <v>ok</v>
      </c>
      <c r="C1255" s="74" t="s">
        <v>369</v>
      </c>
      <c r="D1255" t="s">
        <v>3275</v>
      </c>
      <c r="E1255" t="s">
        <v>3321</v>
      </c>
      <c r="F1255" s="71" t="s">
        <v>3384</v>
      </c>
      <c r="G1255" s="74" t="s">
        <v>400</v>
      </c>
      <c r="H1255" s="71" t="str">
        <f>IF(Proc[[#This Row],[type]]="LFF (MDG-F)",MID(Proc[[#This Row],[Obj]],13,10),"")</f>
        <v/>
      </c>
      <c r="J1255" s="71" t="b">
        <f>Proc[[#This Row],[Requested]]=Proc[[#This Row],[CurrentParent]]</f>
        <v>0</v>
      </c>
      <c r="K1255" s="71" t="str">
        <f>IF(Proc[[#This Row],[Author]]="Marcela Urrego",VLOOKUP(LEFT(Proc[[#This Row],[Requested]],1),Table3[#All],2,0),VLOOKUP(Proc[[#This Row],[Author]],Table4[],2,0))</f>
        <v>HC</v>
      </c>
      <c r="L1255" s="71" t="s">
        <v>2841</v>
      </c>
      <c r="M1255" s="81">
        <v>45782.702824074076</v>
      </c>
      <c r="N1255" s="81">
        <v>45790</v>
      </c>
      <c r="O1255" s="81">
        <v>45790</v>
      </c>
      <c r="P1255" s="82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2" t="s">
        <v>411</v>
      </c>
      <c r="S1255" s="71"/>
    </row>
    <row r="1256" spans="1:19" hidden="1">
      <c r="A1256" s="74" t="s">
        <v>3212</v>
      </c>
      <c r="B1256" s="71" t="str">
        <f>IFERROR(VLOOKUP(Proc[[#This Row],[App]],Table2[],3,0),"open")</f>
        <v>ok</v>
      </c>
      <c r="C1256" s="74" t="s">
        <v>369</v>
      </c>
      <c r="D1256" t="s">
        <v>3276</v>
      </c>
      <c r="E1256" t="s">
        <v>3321</v>
      </c>
      <c r="F1256" s="71" t="s">
        <v>3385</v>
      </c>
      <c r="G1256" s="74" t="s">
        <v>400</v>
      </c>
      <c r="H1256" s="71" t="str">
        <f>IF(Proc[[#This Row],[type]]="LFF (MDG-F)",MID(Proc[[#This Row],[Obj]],13,10),"")</f>
        <v/>
      </c>
      <c r="J1256" s="71" t="b">
        <f>Proc[[#This Row],[Requested]]=Proc[[#This Row],[CurrentParent]]</f>
        <v>0</v>
      </c>
      <c r="K1256" s="71" t="str">
        <f>IF(Proc[[#This Row],[Author]]="Marcela Urrego",VLOOKUP(LEFT(Proc[[#This Row],[Requested]],1),Table3[#All],2,0),VLOOKUP(Proc[[#This Row],[Author]],Table4[],2,0))</f>
        <v>HC</v>
      </c>
      <c r="L1256" s="71" t="s">
        <v>2841</v>
      </c>
      <c r="M1256" s="81">
        <v>45782.702824074076</v>
      </c>
      <c r="N1256" s="81">
        <v>45790</v>
      </c>
      <c r="O1256" s="81">
        <v>45790</v>
      </c>
      <c r="P1256" s="82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2" t="s">
        <v>411</v>
      </c>
      <c r="S1256" s="71"/>
    </row>
    <row r="1257" spans="1:19" hidden="1">
      <c r="A1257" s="74" t="s">
        <v>3212</v>
      </c>
      <c r="B1257" s="71" t="str">
        <f>IFERROR(VLOOKUP(Proc[[#This Row],[App]],Table2[],3,0),"open")</f>
        <v>ok</v>
      </c>
      <c r="C1257" s="74" t="s">
        <v>369</v>
      </c>
      <c r="D1257" t="s">
        <v>3277</v>
      </c>
      <c r="E1257" t="s">
        <v>3321</v>
      </c>
      <c r="F1257" s="71" t="s">
        <v>3386</v>
      </c>
      <c r="G1257" s="74" t="s">
        <v>400</v>
      </c>
      <c r="H1257" s="71" t="str">
        <f>IF(Proc[[#This Row],[type]]="LFF (MDG-F)",MID(Proc[[#This Row],[Obj]],13,10),"")</f>
        <v/>
      </c>
      <c r="J1257" s="71" t="b">
        <f>Proc[[#This Row],[Requested]]=Proc[[#This Row],[CurrentParent]]</f>
        <v>0</v>
      </c>
      <c r="K1257" s="71" t="str">
        <f>IF(Proc[[#This Row],[Author]]="Marcela Urrego",VLOOKUP(LEFT(Proc[[#This Row],[Requested]],1),Table3[#All],2,0),VLOOKUP(Proc[[#This Row],[Author]],Table4[],2,0))</f>
        <v>HC</v>
      </c>
      <c r="L1257" s="71" t="s">
        <v>2841</v>
      </c>
      <c r="M1257" s="81">
        <v>45782.702824074076</v>
      </c>
      <c r="N1257" s="81">
        <v>45790</v>
      </c>
      <c r="O1257" s="81">
        <v>45790</v>
      </c>
      <c r="P1257" s="82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2" t="s">
        <v>411</v>
      </c>
      <c r="S1257" s="71"/>
    </row>
    <row r="1258" spans="1:19" hidden="1">
      <c r="A1258" s="74" t="s">
        <v>3212</v>
      </c>
      <c r="B1258" s="71" t="str">
        <f>IFERROR(VLOOKUP(Proc[[#This Row],[App]],Table2[],3,0),"open")</f>
        <v>ok</v>
      </c>
      <c r="C1258" s="74" t="s">
        <v>369</v>
      </c>
      <c r="D1258" t="s">
        <v>3278</v>
      </c>
      <c r="E1258" t="s">
        <v>3322</v>
      </c>
      <c r="F1258" s="71" t="s">
        <v>3387</v>
      </c>
      <c r="G1258" s="74" t="s">
        <v>400</v>
      </c>
      <c r="H1258" s="71" t="str">
        <f>IF(Proc[[#This Row],[type]]="LFF (MDG-F)",MID(Proc[[#This Row],[Obj]],13,10),"")</f>
        <v/>
      </c>
      <c r="J1258" s="71" t="b">
        <f>Proc[[#This Row],[Requested]]=Proc[[#This Row],[CurrentParent]]</f>
        <v>0</v>
      </c>
      <c r="K1258" s="71" t="str">
        <f>IF(Proc[[#This Row],[Author]]="Marcela Urrego",VLOOKUP(LEFT(Proc[[#This Row],[Requested]],1),Table3[#All],2,0),VLOOKUP(Proc[[#This Row],[Author]],Table4[],2,0))</f>
        <v>HC</v>
      </c>
      <c r="L1258" s="71" t="s">
        <v>2841</v>
      </c>
      <c r="M1258" s="81">
        <v>45782.702824074076</v>
      </c>
      <c r="N1258" s="81">
        <v>45790</v>
      </c>
      <c r="O1258" s="81">
        <v>45790</v>
      </c>
      <c r="P1258" s="82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2" t="s">
        <v>411</v>
      </c>
      <c r="S1258" s="71"/>
    </row>
    <row r="1259" spans="1:19" hidden="1">
      <c r="A1259" s="74" t="s">
        <v>3212</v>
      </c>
      <c r="B1259" s="71" t="str">
        <f>IFERROR(VLOOKUP(Proc[[#This Row],[App]],Table2[],3,0),"open")</f>
        <v>ok</v>
      </c>
      <c r="C1259" s="74" t="s">
        <v>369</v>
      </c>
      <c r="D1259" t="s">
        <v>3279</v>
      </c>
      <c r="E1259" t="s">
        <v>3322</v>
      </c>
      <c r="F1259" s="71" t="s">
        <v>3388</v>
      </c>
      <c r="G1259" s="74" t="s">
        <v>400</v>
      </c>
      <c r="H1259" s="71" t="str">
        <f>IF(Proc[[#This Row],[type]]="LFF (MDG-F)",MID(Proc[[#This Row],[Obj]],13,10),"")</f>
        <v/>
      </c>
      <c r="J1259" s="71" t="b">
        <f>Proc[[#This Row],[Requested]]=Proc[[#This Row],[CurrentParent]]</f>
        <v>0</v>
      </c>
      <c r="K1259" s="71" t="str">
        <f>IF(Proc[[#This Row],[Author]]="Marcela Urrego",VLOOKUP(LEFT(Proc[[#This Row],[Requested]],1),Table3[#All],2,0),VLOOKUP(Proc[[#This Row],[Author]],Table4[],2,0))</f>
        <v>HC</v>
      </c>
      <c r="L1259" s="71" t="s">
        <v>2841</v>
      </c>
      <c r="M1259" s="81">
        <v>45782.702824074076</v>
      </c>
      <c r="N1259" s="81">
        <v>45790</v>
      </c>
      <c r="O1259" s="81">
        <v>45790</v>
      </c>
      <c r="P1259" s="82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2" t="s">
        <v>411</v>
      </c>
      <c r="S1259" s="71"/>
    </row>
    <row r="1260" spans="1:19" hidden="1">
      <c r="A1260" s="74" t="s">
        <v>3212</v>
      </c>
      <c r="B1260" s="71" t="str">
        <f>IFERROR(VLOOKUP(Proc[[#This Row],[App]],Table2[],3,0),"open")</f>
        <v>ok</v>
      </c>
      <c r="C1260" s="74" t="s">
        <v>369</v>
      </c>
      <c r="D1260" t="s">
        <v>3280</v>
      </c>
      <c r="E1260" t="s">
        <v>3322</v>
      </c>
      <c r="F1260" s="71" t="s">
        <v>3389</v>
      </c>
      <c r="G1260" s="74" t="s">
        <v>400</v>
      </c>
      <c r="H1260" s="71" t="str">
        <f>IF(Proc[[#This Row],[type]]="LFF (MDG-F)",MID(Proc[[#This Row],[Obj]],13,10),"")</f>
        <v/>
      </c>
      <c r="J1260" s="71" t="b">
        <f>Proc[[#This Row],[Requested]]=Proc[[#This Row],[CurrentParent]]</f>
        <v>0</v>
      </c>
      <c r="K1260" s="71" t="str">
        <f>IF(Proc[[#This Row],[Author]]="Marcela Urrego",VLOOKUP(LEFT(Proc[[#This Row],[Requested]],1),Table3[#All],2,0),VLOOKUP(Proc[[#This Row],[Author]],Table4[],2,0))</f>
        <v>HC</v>
      </c>
      <c r="L1260" s="71" t="s">
        <v>2841</v>
      </c>
      <c r="M1260" s="81">
        <v>45782.702824074076</v>
      </c>
      <c r="N1260" s="81">
        <v>45790</v>
      </c>
      <c r="O1260" s="81">
        <v>45790</v>
      </c>
      <c r="P1260" s="82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2" t="s">
        <v>411</v>
      </c>
      <c r="S1260" s="71"/>
    </row>
    <row r="1261" spans="1:19" hidden="1">
      <c r="A1261" s="74" t="s">
        <v>3212</v>
      </c>
      <c r="B1261" s="71" t="str">
        <f>IFERROR(VLOOKUP(Proc[[#This Row],[App]],Table2[],3,0),"open")</f>
        <v>ok</v>
      </c>
      <c r="C1261" s="74" t="s">
        <v>369</v>
      </c>
      <c r="D1261" t="s">
        <v>3281</v>
      </c>
      <c r="E1261" t="s">
        <v>3322</v>
      </c>
      <c r="F1261" s="71" t="s">
        <v>3389</v>
      </c>
      <c r="G1261" s="74" t="s">
        <v>400</v>
      </c>
      <c r="H1261" s="71" t="str">
        <f>IF(Proc[[#This Row],[type]]="LFF (MDG-F)",MID(Proc[[#This Row],[Obj]],13,10),"")</f>
        <v/>
      </c>
      <c r="J1261" s="71" t="b">
        <f>Proc[[#This Row],[Requested]]=Proc[[#This Row],[CurrentParent]]</f>
        <v>0</v>
      </c>
      <c r="K1261" s="71" t="str">
        <f>IF(Proc[[#This Row],[Author]]="Marcela Urrego",VLOOKUP(LEFT(Proc[[#This Row],[Requested]],1),Table3[#All],2,0),VLOOKUP(Proc[[#This Row],[Author]],Table4[],2,0))</f>
        <v>HC</v>
      </c>
      <c r="L1261" s="71" t="s">
        <v>2841</v>
      </c>
      <c r="M1261" s="81">
        <v>45782.702824074076</v>
      </c>
      <c r="N1261" s="81">
        <v>45790</v>
      </c>
      <c r="O1261" s="81">
        <v>45790</v>
      </c>
      <c r="P1261" s="82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2" t="s">
        <v>411</v>
      </c>
      <c r="S1261" s="71"/>
    </row>
    <row r="1262" spans="1:19" hidden="1">
      <c r="A1262" s="74" t="s">
        <v>3212</v>
      </c>
      <c r="B1262" s="71" t="str">
        <f>IFERROR(VLOOKUP(Proc[[#This Row],[App]],Table2[],3,0),"open")</f>
        <v>ok</v>
      </c>
      <c r="C1262" s="74" t="s">
        <v>369</v>
      </c>
      <c r="D1262" t="s">
        <v>3282</v>
      </c>
      <c r="E1262" t="s">
        <v>3322</v>
      </c>
      <c r="F1262" s="71" t="s">
        <v>3389</v>
      </c>
      <c r="G1262" s="74" t="s">
        <v>400</v>
      </c>
      <c r="H1262" s="71" t="str">
        <f>IF(Proc[[#This Row],[type]]="LFF (MDG-F)",MID(Proc[[#This Row],[Obj]],13,10),"")</f>
        <v/>
      </c>
      <c r="J1262" s="71" t="b">
        <f>Proc[[#This Row],[Requested]]=Proc[[#This Row],[CurrentParent]]</f>
        <v>0</v>
      </c>
      <c r="K1262" s="71" t="str">
        <f>IF(Proc[[#This Row],[Author]]="Marcela Urrego",VLOOKUP(LEFT(Proc[[#This Row],[Requested]],1),Table3[#All],2,0),VLOOKUP(Proc[[#This Row],[Author]],Table4[],2,0))</f>
        <v>HC</v>
      </c>
      <c r="L1262" s="71" t="s">
        <v>2841</v>
      </c>
      <c r="M1262" s="81">
        <v>45782.702824074076</v>
      </c>
      <c r="N1262" s="81">
        <v>45790</v>
      </c>
      <c r="O1262" s="81">
        <v>45790</v>
      </c>
      <c r="P1262" s="82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2" t="s">
        <v>411</v>
      </c>
      <c r="S1262" s="71"/>
    </row>
    <row r="1263" spans="1:19" hidden="1">
      <c r="A1263" s="74" t="s">
        <v>3212</v>
      </c>
      <c r="B1263" s="71" t="str">
        <f>IFERROR(VLOOKUP(Proc[[#This Row],[App]],Table2[],3,0),"open")</f>
        <v>ok</v>
      </c>
      <c r="C1263" s="74" t="s">
        <v>369</v>
      </c>
      <c r="D1263" t="s">
        <v>3283</v>
      </c>
      <c r="E1263" t="s">
        <v>3322</v>
      </c>
      <c r="F1263" s="71" t="s">
        <v>3390</v>
      </c>
      <c r="G1263" s="74" t="s">
        <v>400</v>
      </c>
      <c r="H1263" s="71" t="str">
        <f>IF(Proc[[#This Row],[type]]="LFF (MDG-F)",MID(Proc[[#This Row],[Obj]],13,10),"")</f>
        <v/>
      </c>
      <c r="J1263" s="71" t="b">
        <f>Proc[[#This Row],[Requested]]=Proc[[#This Row],[CurrentParent]]</f>
        <v>0</v>
      </c>
      <c r="K1263" s="71" t="str">
        <f>IF(Proc[[#This Row],[Author]]="Marcela Urrego",VLOOKUP(LEFT(Proc[[#This Row],[Requested]],1),Table3[#All],2,0),VLOOKUP(Proc[[#This Row],[Author]],Table4[],2,0))</f>
        <v>HC</v>
      </c>
      <c r="L1263" s="71" t="s">
        <v>2841</v>
      </c>
      <c r="M1263" s="81">
        <v>45782.702824074076</v>
      </c>
      <c r="N1263" s="81">
        <v>45790</v>
      </c>
      <c r="O1263" s="81">
        <v>45790</v>
      </c>
      <c r="P1263" s="82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2" t="s">
        <v>411</v>
      </c>
      <c r="S1263" s="71"/>
    </row>
    <row r="1264" spans="1:19" hidden="1">
      <c r="A1264" s="74" t="s">
        <v>3212</v>
      </c>
      <c r="B1264" s="71" t="str">
        <f>IFERROR(VLOOKUP(Proc[[#This Row],[App]],Table2[],3,0),"open")</f>
        <v>ok</v>
      </c>
      <c r="C1264" s="74" t="s">
        <v>369</v>
      </c>
      <c r="D1264" t="s">
        <v>3284</v>
      </c>
      <c r="E1264" t="s">
        <v>3322</v>
      </c>
      <c r="F1264" s="71" t="s">
        <v>3390</v>
      </c>
      <c r="G1264" s="74" t="s">
        <v>400</v>
      </c>
      <c r="H1264" s="71" t="str">
        <f>IF(Proc[[#This Row],[type]]="LFF (MDG-F)",MID(Proc[[#This Row],[Obj]],13,10),"")</f>
        <v/>
      </c>
      <c r="J1264" s="71" t="b">
        <f>Proc[[#This Row],[Requested]]=Proc[[#This Row],[CurrentParent]]</f>
        <v>0</v>
      </c>
      <c r="K1264" s="71" t="str">
        <f>IF(Proc[[#This Row],[Author]]="Marcela Urrego",VLOOKUP(LEFT(Proc[[#This Row],[Requested]],1),Table3[#All],2,0),VLOOKUP(Proc[[#This Row],[Author]],Table4[],2,0))</f>
        <v>HC</v>
      </c>
      <c r="L1264" s="71" t="s">
        <v>2841</v>
      </c>
      <c r="M1264" s="81">
        <v>45782.702824074076</v>
      </c>
      <c r="N1264" s="81">
        <v>45790</v>
      </c>
      <c r="O1264" s="81">
        <v>45790</v>
      </c>
      <c r="P1264" s="82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2" t="s">
        <v>411</v>
      </c>
      <c r="S1264" s="71"/>
    </row>
    <row r="1265" spans="1:19" hidden="1">
      <c r="A1265" s="74" t="s">
        <v>3212</v>
      </c>
      <c r="B1265" s="71" t="str">
        <f>IFERROR(VLOOKUP(Proc[[#This Row],[App]],Table2[],3,0),"open")</f>
        <v>ok</v>
      </c>
      <c r="C1265" s="74" t="s">
        <v>369</v>
      </c>
      <c r="D1265" t="s">
        <v>3285</v>
      </c>
      <c r="E1265" t="s">
        <v>3322</v>
      </c>
      <c r="F1265" s="71" t="s">
        <v>3391</v>
      </c>
      <c r="G1265" s="74" t="s">
        <v>400</v>
      </c>
      <c r="H1265" s="71" t="str">
        <f>IF(Proc[[#This Row],[type]]="LFF (MDG-F)",MID(Proc[[#This Row],[Obj]],13,10),"")</f>
        <v/>
      </c>
      <c r="J1265" s="71" t="b">
        <f>Proc[[#This Row],[Requested]]=Proc[[#This Row],[CurrentParent]]</f>
        <v>0</v>
      </c>
      <c r="K1265" s="71" t="str">
        <f>IF(Proc[[#This Row],[Author]]="Marcela Urrego",VLOOKUP(LEFT(Proc[[#This Row],[Requested]],1),Table3[#All],2,0),VLOOKUP(Proc[[#This Row],[Author]],Table4[],2,0))</f>
        <v>HC</v>
      </c>
      <c r="L1265" s="71" t="s">
        <v>2841</v>
      </c>
      <c r="M1265" s="81">
        <v>45782.702824074076</v>
      </c>
      <c r="N1265" s="81">
        <v>45790</v>
      </c>
      <c r="O1265" s="81">
        <v>45790</v>
      </c>
      <c r="P1265" s="82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2" t="s">
        <v>411</v>
      </c>
      <c r="S1265" s="71"/>
    </row>
    <row r="1266" spans="1:19" hidden="1">
      <c r="A1266" s="74" t="s">
        <v>3212</v>
      </c>
      <c r="B1266" s="71" t="str">
        <f>IFERROR(VLOOKUP(Proc[[#This Row],[App]],Table2[],3,0),"open")</f>
        <v>ok</v>
      </c>
      <c r="C1266" s="74" t="s">
        <v>369</v>
      </c>
      <c r="D1266" t="s">
        <v>3286</v>
      </c>
      <c r="E1266" t="s">
        <v>3322</v>
      </c>
      <c r="F1266" s="71" t="s">
        <v>3392</v>
      </c>
      <c r="G1266" s="74" t="s">
        <v>400</v>
      </c>
      <c r="H1266" s="71" t="str">
        <f>IF(Proc[[#This Row],[type]]="LFF (MDG-F)",MID(Proc[[#This Row],[Obj]],13,10),"")</f>
        <v/>
      </c>
      <c r="J1266" s="71" t="b">
        <f>Proc[[#This Row],[Requested]]=Proc[[#This Row],[CurrentParent]]</f>
        <v>0</v>
      </c>
      <c r="K1266" s="71" t="str">
        <f>IF(Proc[[#This Row],[Author]]="Marcela Urrego",VLOOKUP(LEFT(Proc[[#This Row],[Requested]],1),Table3[#All],2,0),VLOOKUP(Proc[[#This Row],[Author]],Table4[],2,0))</f>
        <v>HC</v>
      </c>
      <c r="L1266" s="71" t="s">
        <v>2841</v>
      </c>
      <c r="M1266" s="81">
        <v>45782.702824074076</v>
      </c>
      <c r="N1266" s="81">
        <v>45790</v>
      </c>
      <c r="O1266" s="81">
        <v>45790</v>
      </c>
      <c r="P1266" s="82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2" t="s">
        <v>411</v>
      </c>
      <c r="S1266" s="71"/>
    </row>
    <row r="1267" spans="1:19" hidden="1">
      <c r="A1267" s="74" t="s">
        <v>3212</v>
      </c>
      <c r="B1267" s="71" t="str">
        <f>IFERROR(VLOOKUP(Proc[[#This Row],[App]],Table2[],3,0),"open")</f>
        <v>ok</v>
      </c>
      <c r="C1267" s="74" t="s">
        <v>369</v>
      </c>
      <c r="D1267" t="s">
        <v>3287</v>
      </c>
      <c r="E1267" t="s">
        <v>3322</v>
      </c>
      <c r="F1267" s="71" t="s">
        <v>3392</v>
      </c>
      <c r="G1267" s="74" t="s">
        <v>400</v>
      </c>
      <c r="H1267" s="71" t="str">
        <f>IF(Proc[[#This Row],[type]]="LFF (MDG-F)",MID(Proc[[#This Row],[Obj]],13,10),"")</f>
        <v/>
      </c>
      <c r="J1267" s="71" t="b">
        <f>Proc[[#This Row],[Requested]]=Proc[[#This Row],[CurrentParent]]</f>
        <v>0</v>
      </c>
      <c r="K1267" s="71" t="str">
        <f>IF(Proc[[#This Row],[Author]]="Marcela Urrego",VLOOKUP(LEFT(Proc[[#This Row],[Requested]],1),Table3[#All],2,0),VLOOKUP(Proc[[#This Row],[Author]],Table4[],2,0))</f>
        <v>HC</v>
      </c>
      <c r="L1267" s="71" t="s">
        <v>2841</v>
      </c>
      <c r="M1267" s="81">
        <v>45782.702824074076</v>
      </c>
      <c r="N1267" s="81">
        <v>45790</v>
      </c>
      <c r="O1267" s="81">
        <v>45790</v>
      </c>
      <c r="P1267" s="82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2" t="s">
        <v>411</v>
      </c>
      <c r="S1267" s="71"/>
    </row>
    <row r="1268" spans="1:19" hidden="1">
      <c r="A1268" s="74" t="s">
        <v>3212</v>
      </c>
      <c r="B1268" s="71" t="str">
        <f>IFERROR(VLOOKUP(Proc[[#This Row],[App]],Table2[],3,0),"open")</f>
        <v>ok</v>
      </c>
      <c r="C1268" s="74" t="s">
        <v>369</v>
      </c>
      <c r="D1268" t="s">
        <v>3288</v>
      </c>
      <c r="E1268" t="s">
        <v>3322</v>
      </c>
      <c r="F1268" s="71" t="s">
        <v>3393</v>
      </c>
      <c r="G1268" s="74" t="s">
        <v>400</v>
      </c>
      <c r="H1268" s="71" t="str">
        <f>IF(Proc[[#This Row],[type]]="LFF (MDG-F)",MID(Proc[[#This Row],[Obj]],13,10),"")</f>
        <v/>
      </c>
      <c r="J1268" s="71" t="b">
        <f>Proc[[#This Row],[Requested]]=Proc[[#This Row],[CurrentParent]]</f>
        <v>0</v>
      </c>
      <c r="K1268" s="71" t="str">
        <f>IF(Proc[[#This Row],[Author]]="Marcela Urrego",VLOOKUP(LEFT(Proc[[#This Row],[Requested]],1),Table3[#All],2,0),VLOOKUP(Proc[[#This Row],[Author]],Table4[],2,0))</f>
        <v>HC</v>
      </c>
      <c r="L1268" s="71" t="s">
        <v>2841</v>
      </c>
      <c r="M1268" s="81">
        <v>45782.702824074076</v>
      </c>
      <c r="N1268" s="81">
        <v>45790</v>
      </c>
      <c r="O1268" s="81">
        <v>45790</v>
      </c>
      <c r="P1268" s="82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2" t="s">
        <v>411</v>
      </c>
      <c r="S1268" s="71"/>
    </row>
    <row r="1269" spans="1:19" hidden="1">
      <c r="A1269" s="74" t="s">
        <v>3212</v>
      </c>
      <c r="B1269" s="71" t="str">
        <f>IFERROR(VLOOKUP(Proc[[#This Row],[App]],Table2[],3,0),"open")</f>
        <v>ok</v>
      </c>
      <c r="C1269" s="74" t="s">
        <v>369</v>
      </c>
      <c r="D1269" t="s">
        <v>3289</v>
      </c>
      <c r="E1269" t="s">
        <v>3322</v>
      </c>
      <c r="F1269" s="71" t="s">
        <v>3394</v>
      </c>
      <c r="G1269" s="74" t="s">
        <v>400</v>
      </c>
      <c r="H1269" s="71" t="str">
        <f>IF(Proc[[#This Row],[type]]="LFF (MDG-F)",MID(Proc[[#This Row],[Obj]],13,10),"")</f>
        <v/>
      </c>
      <c r="J1269" s="71" t="b">
        <f>Proc[[#This Row],[Requested]]=Proc[[#This Row],[CurrentParent]]</f>
        <v>0</v>
      </c>
      <c r="K1269" s="71" t="str">
        <f>IF(Proc[[#This Row],[Author]]="Marcela Urrego",VLOOKUP(LEFT(Proc[[#This Row],[Requested]],1),Table3[#All],2,0),VLOOKUP(Proc[[#This Row],[Author]],Table4[],2,0))</f>
        <v>HC</v>
      </c>
      <c r="L1269" s="71" t="s">
        <v>2841</v>
      </c>
      <c r="M1269" s="81">
        <v>45782.702824074076</v>
      </c>
      <c r="N1269" s="81">
        <v>45790</v>
      </c>
      <c r="O1269" s="81">
        <v>45790</v>
      </c>
      <c r="P1269" s="82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2" t="s">
        <v>411</v>
      </c>
      <c r="S1269" s="71"/>
    </row>
    <row r="1270" spans="1:19" hidden="1">
      <c r="A1270" s="74" t="s">
        <v>3212</v>
      </c>
      <c r="B1270" s="71" t="str">
        <f>IFERROR(VLOOKUP(Proc[[#This Row],[App]],Table2[],3,0),"open")</f>
        <v>ok</v>
      </c>
      <c r="C1270" s="74" t="s">
        <v>369</v>
      </c>
      <c r="D1270" t="s">
        <v>3290</v>
      </c>
      <c r="E1270" t="s">
        <v>3322</v>
      </c>
      <c r="F1270" s="71" t="s">
        <v>3395</v>
      </c>
      <c r="G1270" s="74" t="s">
        <v>400</v>
      </c>
      <c r="H1270" s="71" t="str">
        <f>IF(Proc[[#This Row],[type]]="LFF (MDG-F)",MID(Proc[[#This Row],[Obj]],13,10),"")</f>
        <v/>
      </c>
      <c r="J1270" s="71" t="b">
        <f>Proc[[#This Row],[Requested]]=Proc[[#This Row],[CurrentParent]]</f>
        <v>0</v>
      </c>
      <c r="K1270" s="71" t="str">
        <f>IF(Proc[[#This Row],[Author]]="Marcela Urrego",VLOOKUP(LEFT(Proc[[#This Row],[Requested]],1),Table3[#All],2,0),VLOOKUP(Proc[[#This Row],[Author]],Table4[],2,0))</f>
        <v>HC</v>
      </c>
      <c r="L1270" s="71" t="s">
        <v>2841</v>
      </c>
      <c r="M1270" s="81">
        <v>45782.702824074076</v>
      </c>
      <c r="N1270" s="81">
        <v>45790</v>
      </c>
      <c r="O1270" s="81">
        <v>45790</v>
      </c>
      <c r="P1270" s="82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2" t="s">
        <v>411</v>
      </c>
      <c r="S1270" s="71"/>
    </row>
    <row r="1271" spans="1:19" hidden="1">
      <c r="A1271" s="74" t="s">
        <v>3212</v>
      </c>
      <c r="B1271" s="71" t="str">
        <f>IFERROR(VLOOKUP(Proc[[#This Row],[App]],Table2[],3,0),"open")</f>
        <v>ok</v>
      </c>
      <c r="C1271" s="74" t="s">
        <v>369</v>
      </c>
      <c r="D1271" t="s">
        <v>3291</v>
      </c>
      <c r="E1271" t="s">
        <v>3322</v>
      </c>
      <c r="F1271" s="71" t="s">
        <v>3396</v>
      </c>
      <c r="G1271" s="74" t="s">
        <v>400</v>
      </c>
      <c r="H1271" s="71" t="str">
        <f>IF(Proc[[#This Row],[type]]="LFF (MDG-F)",MID(Proc[[#This Row],[Obj]],13,10),"")</f>
        <v/>
      </c>
      <c r="J1271" s="71" t="b">
        <f>Proc[[#This Row],[Requested]]=Proc[[#This Row],[CurrentParent]]</f>
        <v>0</v>
      </c>
      <c r="K1271" s="71" t="str">
        <f>IF(Proc[[#This Row],[Author]]="Marcela Urrego",VLOOKUP(LEFT(Proc[[#This Row],[Requested]],1),Table3[#All],2,0),VLOOKUP(Proc[[#This Row],[Author]],Table4[],2,0))</f>
        <v>HC</v>
      </c>
      <c r="L1271" s="71" t="s">
        <v>2841</v>
      </c>
      <c r="M1271" s="81">
        <v>45782.702824074076</v>
      </c>
      <c r="N1271" s="81">
        <v>45790</v>
      </c>
      <c r="O1271" s="81">
        <v>45790</v>
      </c>
      <c r="P1271" s="82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2" t="s">
        <v>411</v>
      </c>
      <c r="S1271" s="71"/>
    </row>
    <row r="1272" spans="1:19" hidden="1">
      <c r="A1272" s="74" t="s">
        <v>3212</v>
      </c>
      <c r="B1272" s="71" t="str">
        <f>IFERROR(VLOOKUP(Proc[[#This Row],[App]],Table2[],3,0),"open")</f>
        <v>ok</v>
      </c>
      <c r="C1272" s="74" t="s">
        <v>369</v>
      </c>
      <c r="D1272" t="s">
        <v>3292</v>
      </c>
      <c r="E1272" t="s">
        <v>3322</v>
      </c>
      <c r="F1272" s="71" t="s">
        <v>3396</v>
      </c>
      <c r="G1272" s="74" t="s">
        <v>400</v>
      </c>
      <c r="H1272" s="71" t="str">
        <f>IF(Proc[[#This Row],[type]]="LFF (MDG-F)",MID(Proc[[#This Row],[Obj]],13,10),"")</f>
        <v/>
      </c>
      <c r="J1272" s="71" t="b">
        <f>Proc[[#This Row],[Requested]]=Proc[[#This Row],[CurrentParent]]</f>
        <v>0</v>
      </c>
      <c r="K1272" s="71" t="str">
        <f>IF(Proc[[#This Row],[Author]]="Marcela Urrego",VLOOKUP(LEFT(Proc[[#This Row],[Requested]],1),Table3[#All],2,0),VLOOKUP(Proc[[#This Row],[Author]],Table4[],2,0))</f>
        <v>HC</v>
      </c>
      <c r="L1272" s="71" t="s">
        <v>2841</v>
      </c>
      <c r="M1272" s="81">
        <v>45782.702824074076</v>
      </c>
      <c r="N1272" s="81">
        <v>45790</v>
      </c>
      <c r="O1272" s="81">
        <v>45790</v>
      </c>
      <c r="P1272" s="82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2" t="s">
        <v>411</v>
      </c>
      <c r="S1272" s="71"/>
    </row>
    <row r="1273" spans="1:19" hidden="1">
      <c r="A1273" s="74" t="s">
        <v>3212</v>
      </c>
      <c r="B1273" s="71" t="str">
        <f>IFERROR(VLOOKUP(Proc[[#This Row],[App]],Table2[],3,0),"open")</f>
        <v>ok</v>
      </c>
      <c r="C1273" s="74" t="s">
        <v>369</v>
      </c>
      <c r="D1273" t="s">
        <v>3293</v>
      </c>
      <c r="E1273" t="s">
        <v>3322</v>
      </c>
      <c r="F1273" s="71" t="s">
        <v>3396</v>
      </c>
      <c r="G1273" s="74" t="s">
        <v>400</v>
      </c>
      <c r="H1273" s="71" t="str">
        <f>IF(Proc[[#This Row],[type]]="LFF (MDG-F)",MID(Proc[[#This Row],[Obj]],13,10),"")</f>
        <v/>
      </c>
      <c r="J1273" s="71" t="b">
        <f>Proc[[#This Row],[Requested]]=Proc[[#This Row],[CurrentParent]]</f>
        <v>0</v>
      </c>
      <c r="K1273" s="71" t="str">
        <f>IF(Proc[[#This Row],[Author]]="Marcela Urrego",VLOOKUP(LEFT(Proc[[#This Row],[Requested]],1),Table3[#All],2,0),VLOOKUP(Proc[[#This Row],[Author]],Table4[],2,0))</f>
        <v>HC</v>
      </c>
      <c r="L1273" s="71" t="s">
        <v>2841</v>
      </c>
      <c r="M1273" s="81">
        <v>45782.702824074076</v>
      </c>
      <c r="N1273" s="81">
        <v>45790</v>
      </c>
      <c r="O1273" s="81">
        <v>45790</v>
      </c>
      <c r="P1273" s="82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2" t="s">
        <v>411</v>
      </c>
      <c r="S1273" s="71"/>
    </row>
    <row r="1274" spans="1:19" hidden="1">
      <c r="A1274" s="74" t="s">
        <v>3212</v>
      </c>
      <c r="B1274" s="71" t="str">
        <f>IFERROR(VLOOKUP(Proc[[#This Row],[App]],Table2[],3,0),"open")</f>
        <v>ok</v>
      </c>
      <c r="C1274" s="74" t="s">
        <v>369</v>
      </c>
      <c r="D1274" t="s">
        <v>3294</v>
      </c>
      <c r="E1274" t="s">
        <v>3322</v>
      </c>
      <c r="F1274" s="71" t="s">
        <v>3396</v>
      </c>
      <c r="G1274" s="74" t="s">
        <v>400</v>
      </c>
      <c r="H1274" s="71" t="str">
        <f>IF(Proc[[#This Row],[type]]="LFF (MDG-F)",MID(Proc[[#This Row],[Obj]],13,10),"")</f>
        <v/>
      </c>
      <c r="J1274" s="71" t="b">
        <f>Proc[[#This Row],[Requested]]=Proc[[#This Row],[CurrentParent]]</f>
        <v>0</v>
      </c>
      <c r="K1274" s="71" t="str">
        <f>IF(Proc[[#This Row],[Author]]="Marcela Urrego",VLOOKUP(LEFT(Proc[[#This Row],[Requested]],1),Table3[#All],2,0),VLOOKUP(Proc[[#This Row],[Author]],Table4[],2,0))</f>
        <v>HC</v>
      </c>
      <c r="L1274" s="71" t="s">
        <v>2841</v>
      </c>
      <c r="M1274" s="81">
        <v>45782.702824074076</v>
      </c>
      <c r="N1274" s="81">
        <v>45790</v>
      </c>
      <c r="O1274" s="81">
        <v>45790</v>
      </c>
      <c r="P1274" s="82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2" t="s">
        <v>411</v>
      </c>
      <c r="S1274" s="71"/>
    </row>
    <row r="1275" spans="1:19" hidden="1">
      <c r="A1275" s="74" t="s">
        <v>3212</v>
      </c>
      <c r="B1275" s="71" t="str">
        <f>IFERROR(VLOOKUP(Proc[[#This Row],[App]],Table2[],3,0),"open")</f>
        <v>ok</v>
      </c>
      <c r="C1275" s="74" t="s">
        <v>369</v>
      </c>
      <c r="D1275" t="s">
        <v>3295</v>
      </c>
      <c r="E1275" t="s">
        <v>3322</v>
      </c>
      <c r="F1275" s="71" t="s">
        <v>3397</v>
      </c>
      <c r="G1275" s="74" t="s">
        <v>400</v>
      </c>
      <c r="H1275" s="71" t="str">
        <f>IF(Proc[[#This Row],[type]]="LFF (MDG-F)",MID(Proc[[#This Row],[Obj]],13,10),"")</f>
        <v/>
      </c>
      <c r="J1275" s="71" t="b">
        <f>Proc[[#This Row],[Requested]]=Proc[[#This Row],[CurrentParent]]</f>
        <v>0</v>
      </c>
      <c r="K1275" s="71" t="str">
        <f>IF(Proc[[#This Row],[Author]]="Marcela Urrego",VLOOKUP(LEFT(Proc[[#This Row],[Requested]],1),Table3[#All],2,0),VLOOKUP(Proc[[#This Row],[Author]],Table4[],2,0))</f>
        <v>HC</v>
      </c>
      <c r="L1275" s="71" t="s">
        <v>2841</v>
      </c>
      <c r="M1275" s="81">
        <v>45782.702824074076</v>
      </c>
      <c r="N1275" s="81">
        <v>45790</v>
      </c>
      <c r="O1275" s="81">
        <v>45790</v>
      </c>
      <c r="P1275" s="82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2" t="s">
        <v>411</v>
      </c>
      <c r="S1275" s="71"/>
    </row>
    <row r="1276" spans="1:19" hidden="1">
      <c r="A1276" s="74" t="s">
        <v>3212</v>
      </c>
      <c r="B1276" s="71" t="str">
        <f>IFERROR(VLOOKUP(Proc[[#This Row],[App]],Table2[],3,0),"open")</f>
        <v>ok</v>
      </c>
      <c r="C1276" s="74" t="s">
        <v>369</v>
      </c>
      <c r="D1276" t="s">
        <v>3296</v>
      </c>
      <c r="E1276" t="s">
        <v>3322</v>
      </c>
      <c r="F1276" s="71" t="s">
        <v>3397</v>
      </c>
      <c r="G1276" s="74" t="s">
        <v>400</v>
      </c>
      <c r="H1276" s="71" t="str">
        <f>IF(Proc[[#This Row],[type]]="LFF (MDG-F)",MID(Proc[[#This Row],[Obj]],13,10),"")</f>
        <v/>
      </c>
      <c r="J1276" s="71" t="b">
        <f>Proc[[#This Row],[Requested]]=Proc[[#This Row],[CurrentParent]]</f>
        <v>0</v>
      </c>
      <c r="K1276" s="71" t="str">
        <f>IF(Proc[[#This Row],[Author]]="Marcela Urrego",VLOOKUP(LEFT(Proc[[#This Row],[Requested]],1),Table3[#All],2,0),VLOOKUP(Proc[[#This Row],[Author]],Table4[],2,0))</f>
        <v>HC</v>
      </c>
      <c r="L1276" s="71" t="s">
        <v>2841</v>
      </c>
      <c r="M1276" s="81">
        <v>45782.702824074076</v>
      </c>
      <c r="N1276" s="81">
        <v>45790</v>
      </c>
      <c r="O1276" s="81">
        <v>45790</v>
      </c>
      <c r="P1276" s="82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2" t="s">
        <v>411</v>
      </c>
      <c r="S1276" s="71"/>
    </row>
    <row r="1277" spans="1:19" hidden="1">
      <c r="A1277" s="74" t="s">
        <v>3212</v>
      </c>
      <c r="B1277" s="71" t="str">
        <f>IFERROR(VLOOKUP(Proc[[#This Row],[App]],Table2[],3,0),"open")</f>
        <v>ok</v>
      </c>
      <c r="C1277" s="74" t="s">
        <v>369</v>
      </c>
      <c r="D1277" t="s">
        <v>3297</v>
      </c>
      <c r="E1277" t="s">
        <v>3322</v>
      </c>
      <c r="F1277" s="71" t="s">
        <v>3398</v>
      </c>
      <c r="G1277" s="74" t="s">
        <v>400</v>
      </c>
      <c r="H1277" s="71" t="str">
        <f>IF(Proc[[#This Row],[type]]="LFF (MDG-F)",MID(Proc[[#This Row],[Obj]],13,10),"")</f>
        <v/>
      </c>
      <c r="J1277" s="71" t="b">
        <f>Proc[[#This Row],[Requested]]=Proc[[#This Row],[CurrentParent]]</f>
        <v>0</v>
      </c>
      <c r="K1277" s="71" t="str">
        <f>IF(Proc[[#This Row],[Author]]="Marcela Urrego",VLOOKUP(LEFT(Proc[[#This Row],[Requested]],1),Table3[#All],2,0),VLOOKUP(Proc[[#This Row],[Author]],Table4[],2,0))</f>
        <v>HC</v>
      </c>
      <c r="L1277" s="71" t="s">
        <v>2841</v>
      </c>
      <c r="M1277" s="81">
        <v>45782.702824074076</v>
      </c>
      <c r="N1277" s="81">
        <v>45790</v>
      </c>
      <c r="O1277" s="81">
        <v>45790</v>
      </c>
      <c r="P1277" s="82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2" t="s">
        <v>411</v>
      </c>
      <c r="S1277" s="71"/>
    </row>
    <row r="1278" spans="1:19" hidden="1">
      <c r="A1278" s="74" t="s">
        <v>3212</v>
      </c>
      <c r="B1278" s="71" t="str">
        <f>IFERROR(VLOOKUP(Proc[[#This Row],[App]],Table2[],3,0),"open")</f>
        <v>ok</v>
      </c>
      <c r="C1278" s="74" t="s">
        <v>369</v>
      </c>
      <c r="D1278" t="s">
        <v>3298</v>
      </c>
      <c r="E1278" t="s">
        <v>3322</v>
      </c>
      <c r="F1278" s="71" t="s">
        <v>3399</v>
      </c>
      <c r="G1278" s="74" t="s">
        <v>400</v>
      </c>
      <c r="H1278" s="71" t="str">
        <f>IF(Proc[[#This Row],[type]]="LFF (MDG-F)",MID(Proc[[#This Row],[Obj]],13,10),"")</f>
        <v/>
      </c>
      <c r="J1278" s="71" t="b">
        <f>Proc[[#This Row],[Requested]]=Proc[[#This Row],[CurrentParent]]</f>
        <v>0</v>
      </c>
      <c r="K1278" s="71" t="str">
        <f>IF(Proc[[#This Row],[Author]]="Marcela Urrego",VLOOKUP(LEFT(Proc[[#This Row],[Requested]],1),Table3[#All],2,0),VLOOKUP(Proc[[#This Row],[Author]],Table4[],2,0))</f>
        <v>HC</v>
      </c>
      <c r="L1278" s="71" t="s">
        <v>2841</v>
      </c>
      <c r="M1278" s="81">
        <v>45782.702824074076</v>
      </c>
      <c r="N1278" s="81">
        <v>45790</v>
      </c>
      <c r="O1278" s="81">
        <v>45790</v>
      </c>
      <c r="P1278" s="82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2" t="s">
        <v>411</v>
      </c>
      <c r="S1278" s="71"/>
    </row>
    <row r="1279" spans="1:19" hidden="1">
      <c r="A1279" s="74" t="s">
        <v>3212</v>
      </c>
      <c r="B1279" s="71" t="str">
        <f>IFERROR(VLOOKUP(Proc[[#This Row],[App]],Table2[],3,0),"open")</f>
        <v>ok</v>
      </c>
      <c r="C1279" s="74" t="s">
        <v>369</v>
      </c>
      <c r="D1279" t="s">
        <v>3299</v>
      </c>
      <c r="E1279" t="s">
        <v>3322</v>
      </c>
      <c r="F1279" s="71" t="s">
        <v>3399</v>
      </c>
      <c r="G1279" s="74" t="s">
        <v>400</v>
      </c>
      <c r="H1279" s="71" t="str">
        <f>IF(Proc[[#This Row],[type]]="LFF (MDG-F)",MID(Proc[[#This Row],[Obj]],13,10),"")</f>
        <v/>
      </c>
      <c r="J1279" s="71" t="b">
        <f>Proc[[#This Row],[Requested]]=Proc[[#This Row],[CurrentParent]]</f>
        <v>0</v>
      </c>
      <c r="K1279" s="71" t="str">
        <f>IF(Proc[[#This Row],[Author]]="Marcela Urrego",VLOOKUP(LEFT(Proc[[#This Row],[Requested]],1),Table3[#All],2,0),VLOOKUP(Proc[[#This Row],[Author]],Table4[],2,0))</f>
        <v>HC</v>
      </c>
      <c r="L1279" s="71" t="s">
        <v>2841</v>
      </c>
      <c r="M1279" s="81">
        <v>45782.702824074076</v>
      </c>
      <c r="N1279" s="81">
        <v>45790</v>
      </c>
      <c r="O1279" s="81">
        <v>45790</v>
      </c>
      <c r="P1279" s="82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2" t="s">
        <v>411</v>
      </c>
      <c r="S1279" s="71"/>
    </row>
    <row r="1280" spans="1:19" hidden="1">
      <c r="A1280" s="74" t="s">
        <v>3212</v>
      </c>
      <c r="B1280" s="71" t="str">
        <f>IFERROR(VLOOKUP(Proc[[#This Row],[App]],Table2[],3,0),"open")</f>
        <v>ok</v>
      </c>
      <c r="C1280" s="74" t="s">
        <v>369</v>
      </c>
      <c r="D1280" t="s">
        <v>3300</v>
      </c>
      <c r="E1280" t="s">
        <v>3322</v>
      </c>
      <c r="F1280" s="71" t="s">
        <v>3399</v>
      </c>
      <c r="G1280" s="74" t="s">
        <v>400</v>
      </c>
      <c r="H1280" s="71" t="str">
        <f>IF(Proc[[#This Row],[type]]="LFF (MDG-F)",MID(Proc[[#This Row],[Obj]],13,10),"")</f>
        <v/>
      </c>
      <c r="J1280" s="71" t="b">
        <f>Proc[[#This Row],[Requested]]=Proc[[#This Row],[CurrentParent]]</f>
        <v>0</v>
      </c>
      <c r="K1280" s="71" t="str">
        <f>IF(Proc[[#This Row],[Author]]="Marcela Urrego",VLOOKUP(LEFT(Proc[[#This Row],[Requested]],1),Table3[#All],2,0),VLOOKUP(Proc[[#This Row],[Author]],Table4[],2,0))</f>
        <v>HC</v>
      </c>
      <c r="L1280" s="71" t="s">
        <v>2841</v>
      </c>
      <c r="M1280" s="81">
        <v>45782.702824074076</v>
      </c>
      <c r="N1280" s="81">
        <v>45790</v>
      </c>
      <c r="O1280" s="81">
        <v>45790</v>
      </c>
      <c r="P1280" s="82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2" t="s">
        <v>411</v>
      </c>
      <c r="S1280" s="71"/>
    </row>
    <row r="1281" spans="1:19" hidden="1">
      <c r="A1281" s="74" t="s">
        <v>3212</v>
      </c>
      <c r="B1281" s="71" t="str">
        <f>IFERROR(VLOOKUP(Proc[[#This Row],[App]],Table2[],3,0),"open")</f>
        <v>ok</v>
      </c>
      <c r="C1281" s="74" t="s">
        <v>369</v>
      </c>
      <c r="D1281" t="s">
        <v>3301</v>
      </c>
      <c r="E1281" t="s">
        <v>3322</v>
      </c>
      <c r="F1281" s="71" t="s">
        <v>3399</v>
      </c>
      <c r="G1281" s="74" t="s">
        <v>400</v>
      </c>
      <c r="H1281" s="71" t="str">
        <f>IF(Proc[[#This Row],[type]]="LFF (MDG-F)",MID(Proc[[#This Row],[Obj]],13,10),"")</f>
        <v/>
      </c>
      <c r="J1281" s="71" t="b">
        <f>Proc[[#This Row],[Requested]]=Proc[[#This Row],[CurrentParent]]</f>
        <v>0</v>
      </c>
      <c r="K1281" s="71" t="str">
        <f>IF(Proc[[#This Row],[Author]]="Marcela Urrego",VLOOKUP(LEFT(Proc[[#This Row],[Requested]],1),Table3[#All],2,0),VLOOKUP(Proc[[#This Row],[Author]],Table4[],2,0))</f>
        <v>HC</v>
      </c>
      <c r="L1281" s="71" t="s">
        <v>2841</v>
      </c>
      <c r="M1281" s="81">
        <v>45782.702824074076</v>
      </c>
      <c r="N1281" s="81">
        <v>45790</v>
      </c>
      <c r="O1281" s="81">
        <v>45790</v>
      </c>
      <c r="P1281" s="82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2" t="s">
        <v>411</v>
      </c>
      <c r="S1281" s="71"/>
    </row>
    <row r="1282" spans="1:19" hidden="1">
      <c r="A1282" s="74" t="s">
        <v>3212</v>
      </c>
      <c r="B1282" s="71" t="str">
        <f>IFERROR(VLOOKUP(Proc[[#This Row],[App]],Table2[],3,0),"open")</f>
        <v>ok</v>
      </c>
      <c r="C1282" s="74" t="s">
        <v>369</v>
      </c>
      <c r="D1282" t="s">
        <v>3302</v>
      </c>
      <c r="E1282" t="s">
        <v>3322</v>
      </c>
      <c r="F1282" s="71" t="s">
        <v>3400</v>
      </c>
      <c r="G1282" s="74" t="s">
        <v>400</v>
      </c>
      <c r="H1282" s="71" t="str">
        <f>IF(Proc[[#This Row],[type]]="LFF (MDG-F)",MID(Proc[[#This Row],[Obj]],13,10),"")</f>
        <v/>
      </c>
      <c r="J1282" s="71" t="b">
        <f>Proc[[#This Row],[Requested]]=Proc[[#This Row],[CurrentParent]]</f>
        <v>0</v>
      </c>
      <c r="K1282" s="71" t="str">
        <f>IF(Proc[[#This Row],[Author]]="Marcela Urrego",VLOOKUP(LEFT(Proc[[#This Row],[Requested]],1),Table3[#All],2,0),VLOOKUP(Proc[[#This Row],[Author]],Table4[],2,0))</f>
        <v>HC</v>
      </c>
      <c r="L1282" s="71" t="s">
        <v>2841</v>
      </c>
      <c r="M1282" s="81">
        <v>45782.702824074076</v>
      </c>
      <c r="N1282" s="81">
        <v>45790</v>
      </c>
      <c r="O1282" s="81">
        <v>45790</v>
      </c>
      <c r="P1282" s="82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2" t="s">
        <v>411</v>
      </c>
      <c r="S1282" s="71"/>
    </row>
    <row r="1283" spans="1:19" hidden="1">
      <c r="A1283" s="74" t="s">
        <v>3212</v>
      </c>
      <c r="B1283" s="71" t="str">
        <f>IFERROR(VLOOKUP(Proc[[#This Row],[App]],Table2[],3,0),"open")</f>
        <v>ok</v>
      </c>
      <c r="C1283" s="74" t="s">
        <v>369</v>
      </c>
      <c r="D1283" t="s">
        <v>3303</v>
      </c>
      <c r="E1283" t="s">
        <v>3322</v>
      </c>
      <c r="F1283" s="71" t="s">
        <v>3400</v>
      </c>
      <c r="G1283" s="74" t="s">
        <v>400</v>
      </c>
      <c r="H1283" s="71" t="str">
        <f>IF(Proc[[#This Row],[type]]="LFF (MDG-F)",MID(Proc[[#This Row],[Obj]],13,10),"")</f>
        <v/>
      </c>
      <c r="J1283" s="71" t="b">
        <f>Proc[[#This Row],[Requested]]=Proc[[#This Row],[CurrentParent]]</f>
        <v>0</v>
      </c>
      <c r="K1283" s="71" t="str">
        <f>IF(Proc[[#This Row],[Author]]="Marcela Urrego",VLOOKUP(LEFT(Proc[[#This Row],[Requested]],1),Table3[#All],2,0),VLOOKUP(Proc[[#This Row],[Author]],Table4[],2,0))</f>
        <v>HC</v>
      </c>
      <c r="L1283" s="71" t="s">
        <v>2841</v>
      </c>
      <c r="M1283" s="81">
        <v>45782.702824074076</v>
      </c>
      <c r="N1283" s="81">
        <v>45790</v>
      </c>
      <c r="O1283" s="81">
        <v>45790</v>
      </c>
      <c r="P1283" s="82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2" t="s">
        <v>411</v>
      </c>
      <c r="S1283" s="71"/>
    </row>
    <row r="1284" spans="1:19" hidden="1">
      <c r="A1284" s="74" t="s">
        <v>3212</v>
      </c>
      <c r="B1284" s="71" t="str">
        <f>IFERROR(VLOOKUP(Proc[[#This Row],[App]],Table2[],3,0),"open")</f>
        <v>ok</v>
      </c>
      <c r="C1284" s="74" t="s">
        <v>369</v>
      </c>
      <c r="D1284" t="s">
        <v>3304</v>
      </c>
      <c r="E1284" t="s">
        <v>3322</v>
      </c>
      <c r="F1284" s="71" t="s">
        <v>3401</v>
      </c>
      <c r="G1284" s="74" t="s">
        <v>400</v>
      </c>
      <c r="H1284" s="71" t="str">
        <f>IF(Proc[[#This Row],[type]]="LFF (MDG-F)",MID(Proc[[#This Row],[Obj]],13,10),"")</f>
        <v/>
      </c>
      <c r="J1284" s="71" t="b">
        <f>Proc[[#This Row],[Requested]]=Proc[[#This Row],[CurrentParent]]</f>
        <v>0</v>
      </c>
      <c r="K1284" s="71" t="str">
        <f>IF(Proc[[#This Row],[Author]]="Marcela Urrego",VLOOKUP(LEFT(Proc[[#This Row],[Requested]],1),Table3[#All],2,0),VLOOKUP(Proc[[#This Row],[Author]],Table4[],2,0))</f>
        <v>HC</v>
      </c>
      <c r="L1284" s="71" t="s">
        <v>2841</v>
      </c>
      <c r="M1284" s="81">
        <v>45782.702824074076</v>
      </c>
      <c r="N1284" s="81">
        <v>45790</v>
      </c>
      <c r="O1284" s="81">
        <v>45790</v>
      </c>
      <c r="P1284" s="82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2" t="s">
        <v>411</v>
      </c>
      <c r="S1284" s="71"/>
    </row>
    <row r="1285" spans="1:19" hidden="1">
      <c r="A1285" s="74" t="s">
        <v>3212</v>
      </c>
      <c r="B1285" s="71" t="str">
        <f>IFERROR(VLOOKUP(Proc[[#This Row],[App]],Table2[],3,0),"open")</f>
        <v>ok</v>
      </c>
      <c r="C1285" s="74" t="s">
        <v>369</v>
      </c>
      <c r="D1285" t="s">
        <v>3305</v>
      </c>
      <c r="E1285" t="s">
        <v>3322</v>
      </c>
      <c r="F1285" s="71" t="s">
        <v>3402</v>
      </c>
      <c r="G1285" s="74" t="s">
        <v>400</v>
      </c>
      <c r="H1285" s="71" t="str">
        <f>IF(Proc[[#This Row],[type]]="LFF (MDG-F)",MID(Proc[[#This Row],[Obj]],13,10),"")</f>
        <v/>
      </c>
      <c r="J1285" s="71" t="b">
        <f>Proc[[#This Row],[Requested]]=Proc[[#This Row],[CurrentParent]]</f>
        <v>0</v>
      </c>
      <c r="K1285" s="71" t="str">
        <f>IF(Proc[[#This Row],[Author]]="Marcela Urrego",VLOOKUP(LEFT(Proc[[#This Row],[Requested]],1),Table3[#All],2,0),VLOOKUP(Proc[[#This Row],[Author]],Table4[],2,0))</f>
        <v>HC</v>
      </c>
      <c r="L1285" s="71" t="s">
        <v>2841</v>
      </c>
      <c r="M1285" s="81">
        <v>45782.702824074076</v>
      </c>
      <c r="N1285" s="81">
        <v>45790</v>
      </c>
      <c r="O1285" s="81">
        <v>45790</v>
      </c>
      <c r="P1285" s="82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2" t="s">
        <v>411</v>
      </c>
      <c r="S1285" s="71"/>
    </row>
    <row r="1286" spans="1:19" hidden="1">
      <c r="A1286" s="74" t="s">
        <v>3212</v>
      </c>
      <c r="B1286" s="71" t="str">
        <f>IFERROR(VLOOKUP(Proc[[#This Row],[App]],Table2[],3,0),"open")</f>
        <v>ok</v>
      </c>
      <c r="C1286" s="74" t="s">
        <v>369</v>
      </c>
      <c r="D1286" t="s">
        <v>3306</v>
      </c>
      <c r="E1286" t="s">
        <v>3322</v>
      </c>
      <c r="F1286" s="71" t="s">
        <v>3403</v>
      </c>
      <c r="G1286" s="74" t="s">
        <v>400</v>
      </c>
      <c r="H1286" s="71" t="str">
        <f>IF(Proc[[#This Row],[type]]="LFF (MDG-F)",MID(Proc[[#This Row],[Obj]],13,10),"")</f>
        <v/>
      </c>
      <c r="J1286" s="71" t="b">
        <f>Proc[[#This Row],[Requested]]=Proc[[#This Row],[CurrentParent]]</f>
        <v>0</v>
      </c>
      <c r="K1286" s="71" t="str">
        <f>IF(Proc[[#This Row],[Author]]="Marcela Urrego",VLOOKUP(LEFT(Proc[[#This Row],[Requested]],1),Table3[#All],2,0),VLOOKUP(Proc[[#This Row],[Author]],Table4[],2,0))</f>
        <v>HC</v>
      </c>
      <c r="L1286" s="71" t="s">
        <v>2841</v>
      </c>
      <c r="M1286" s="81">
        <v>45782.702824074076</v>
      </c>
      <c r="N1286" s="81">
        <v>45790</v>
      </c>
      <c r="O1286" s="81">
        <v>45790</v>
      </c>
      <c r="P1286" s="82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2" t="s">
        <v>411</v>
      </c>
      <c r="S1286" s="71"/>
    </row>
    <row r="1287" spans="1:19" hidden="1">
      <c r="A1287" s="74" t="s">
        <v>3212</v>
      </c>
      <c r="B1287" s="71" t="str">
        <f>IFERROR(VLOOKUP(Proc[[#This Row],[App]],Table2[],3,0),"open")</f>
        <v>ok</v>
      </c>
      <c r="C1287" s="74" t="s">
        <v>369</v>
      </c>
      <c r="D1287" t="s">
        <v>3307</v>
      </c>
      <c r="E1287" t="s">
        <v>3322</v>
      </c>
      <c r="F1287" s="71" t="s">
        <v>3403</v>
      </c>
      <c r="G1287" s="74" t="s">
        <v>400</v>
      </c>
      <c r="H1287" s="71" t="str">
        <f>IF(Proc[[#This Row],[type]]="LFF (MDG-F)",MID(Proc[[#This Row],[Obj]],13,10),"")</f>
        <v/>
      </c>
      <c r="J1287" s="71" t="b">
        <f>Proc[[#This Row],[Requested]]=Proc[[#This Row],[CurrentParent]]</f>
        <v>0</v>
      </c>
      <c r="K1287" s="71" t="str">
        <f>IF(Proc[[#This Row],[Author]]="Marcela Urrego",VLOOKUP(LEFT(Proc[[#This Row],[Requested]],1),Table3[#All],2,0),VLOOKUP(Proc[[#This Row],[Author]],Table4[],2,0))</f>
        <v>HC</v>
      </c>
      <c r="L1287" s="71" t="s">
        <v>2841</v>
      </c>
      <c r="M1287" s="81">
        <v>45782.702824074076</v>
      </c>
      <c r="N1287" s="81">
        <v>45790</v>
      </c>
      <c r="O1287" s="81">
        <v>45790</v>
      </c>
      <c r="P1287" s="82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2" t="s">
        <v>411</v>
      </c>
      <c r="S1287" s="71"/>
    </row>
    <row r="1288" spans="1:19" hidden="1">
      <c r="A1288" s="74" t="s">
        <v>3212</v>
      </c>
      <c r="B1288" s="71" t="str">
        <f>IFERROR(VLOOKUP(Proc[[#This Row],[App]],Table2[],3,0),"open")</f>
        <v>ok</v>
      </c>
      <c r="C1288" s="74" t="s">
        <v>369</v>
      </c>
      <c r="D1288" t="s">
        <v>3308</v>
      </c>
      <c r="E1288" t="s">
        <v>3322</v>
      </c>
      <c r="F1288" s="71" t="s">
        <v>3403</v>
      </c>
      <c r="G1288" s="74" t="s">
        <v>400</v>
      </c>
      <c r="H1288" s="71" t="str">
        <f>IF(Proc[[#This Row],[type]]="LFF (MDG-F)",MID(Proc[[#This Row],[Obj]],13,10),"")</f>
        <v/>
      </c>
      <c r="J1288" s="71" t="b">
        <f>Proc[[#This Row],[Requested]]=Proc[[#This Row],[CurrentParent]]</f>
        <v>0</v>
      </c>
      <c r="K1288" s="71" t="str">
        <f>IF(Proc[[#This Row],[Author]]="Marcela Urrego",VLOOKUP(LEFT(Proc[[#This Row],[Requested]],1),Table3[#All],2,0),VLOOKUP(Proc[[#This Row],[Author]],Table4[],2,0))</f>
        <v>HC</v>
      </c>
      <c r="L1288" s="71" t="s">
        <v>2841</v>
      </c>
      <c r="M1288" s="81">
        <v>45782.702824074076</v>
      </c>
      <c r="N1288" s="81">
        <v>45790</v>
      </c>
      <c r="O1288" s="81">
        <v>45790</v>
      </c>
      <c r="P1288" s="82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2" t="s">
        <v>411</v>
      </c>
      <c r="S1288" s="71"/>
    </row>
    <row r="1289" spans="1:19" hidden="1">
      <c r="A1289" s="74" t="s">
        <v>3212</v>
      </c>
      <c r="B1289" s="71" t="str">
        <f>IFERROR(VLOOKUP(Proc[[#This Row],[App]],Table2[],3,0),"open")</f>
        <v>ok</v>
      </c>
      <c r="C1289" s="74" t="s">
        <v>369</v>
      </c>
      <c r="D1289" t="s">
        <v>3309</v>
      </c>
      <c r="E1289" t="s">
        <v>3322</v>
      </c>
      <c r="F1289" s="71" t="s">
        <v>3404</v>
      </c>
      <c r="G1289" s="74" t="s">
        <v>400</v>
      </c>
      <c r="H1289" s="71" t="str">
        <f>IF(Proc[[#This Row],[type]]="LFF (MDG-F)",MID(Proc[[#This Row],[Obj]],13,10),"")</f>
        <v/>
      </c>
      <c r="J1289" s="71" t="b">
        <f>Proc[[#This Row],[Requested]]=Proc[[#This Row],[CurrentParent]]</f>
        <v>0</v>
      </c>
      <c r="K1289" s="71" t="str">
        <f>IF(Proc[[#This Row],[Author]]="Marcela Urrego",VLOOKUP(LEFT(Proc[[#This Row],[Requested]],1),Table3[#All],2,0),VLOOKUP(Proc[[#This Row],[Author]],Table4[],2,0))</f>
        <v>HC</v>
      </c>
      <c r="L1289" s="71" t="s">
        <v>2841</v>
      </c>
      <c r="M1289" s="81">
        <v>45782.702824074076</v>
      </c>
      <c r="N1289" s="81">
        <v>45790</v>
      </c>
      <c r="O1289" s="81">
        <v>45790</v>
      </c>
      <c r="P1289" s="82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2" t="s">
        <v>411</v>
      </c>
      <c r="S1289" s="71"/>
    </row>
    <row r="1290" spans="1:19" hidden="1">
      <c r="A1290" s="74" t="s">
        <v>3212</v>
      </c>
      <c r="B1290" s="71" t="str">
        <f>IFERROR(VLOOKUP(Proc[[#This Row],[App]],Table2[],3,0),"open")</f>
        <v>ok</v>
      </c>
      <c r="C1290" s="74" t="s">
        <v>369</v>
      </c>
      <c r="D1290" t="s">
        <v>3310</v>
      </c>
      <c r="E1290" t="s">
        <v>3322</v>
      </c>
      <c r="F1290" s="71" t="s">
        <v>3404</v>
      </c>
      <c r="G1290" s="74" t="s">
        <v>400</v>
      </c>
      <c r="H1290" s="71" t="str">
        <f>IF(Proc[[#This Row],[type]]="LFF (MDG-F)",MID(Proc[[#This Row],[Obj]],13,10),"")</f>
        <v/>
      </c>
      <c r="J1290" s="71" t="b">
        <f>Proc[[#This Row],[Requested]]=Proc[[#This Row],[CurrentParent]]</f>
        <v>0</v>
      </c>
      <c r="K1290" s="71" t="str">
        <f>IF(Proc[[#This Row],[Author]]="Marcela Urrego",VLOOKUP(LEFT(Proc[[#This Row],[Requested]],1),Table3[#All],2,0),VLOOKUP(Proc[[#This Row],[Author]],Table4[],2,0))</f>
        <v>HC</v>
      </c>
      <c r="L1290" s="71" t="s">
        <v>2841</v>
      </c>
      <c r="M1290" s="81">
        <v>45782.702824074076</v>
      </c>
      <c r="N1290" s="81">
        <v>45790</v>
      </c>
      <c r="O1290" s="81">
        <v>45790</v>
      </c>
      <c r="P1290" s="82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2" t="s">
        <v>411</v>
      </c>
      <c r="S1290" s="71"/>
    </row>
    <row r="1291" spans="1:19" hidden="1">
      <c r="A1291" s="74" t="s">
        <v>3212</v>
      </c>
      <c r="B1291" s="71" t="str">
        <f>IFERROR(VLOOKUP(Proc[[#This Row],[App]],Table2[],3,0),"open")</f>
        <v>ok</v>
      </c>
      <c r="C1291" s="74" t="s">
        <v>369</v>
      </c>
      <c r="D1291" t="s">
        <v>3311</v>
      </c>
      <c r="E1291" t="s">
        <v>3322</v>
      </c>
      <c r="F1291" s="71" t="s">
        <v>3405</v>
      </c>
      <c r="G1291" s="74" t="s">
        <v>400</v>
      </c>
      <c r="H1291" s="71" t="str">
        <f>IF(Proc[[#This Row],[type]]="LFF (MDG-F)",MID(Proc[[#This Row],[Obj]],13,10),"")</f>
        <v/>
      </c>
      <c r="J1291" s="71" t="b">
        <f>Proc[[#This Row],[Requested]]=Proc[[#This Row],[CurrentParent]]</f>
        <v>0</v>
      </c>
      <c r="K1291" s="71" t="str">
        <f>IF(Proc[[#This Row],[Author]]="Marcela Urrego",VLOOKUP(LEFT(Proc[[#This Row],[Requested]],1),Table3[#All],2,0),VLOOKUP(Proc[[#This Row],[Author]],Table4[],2,0))</f>
        <v>HC</v>
      </c>
      <c r="L1291" s="71" t="s">
        <v>2841</v>
      </c>
      <c r="M1291" s="81">
        <v>45782.702824074076</v>
      </c>
      <c r="N1291" s="81">
        <v>45790</v>
      </c>
      <c r="O1291" s="81">
        <v>45790</v>
      </c>
      <c r="P1291" s="82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2" t="s">
        <v>411</v>
      </c>
      <c r="S1291" s="71"/>
    </row>
    <row r="1292" spans="1:19" hidden="1">
      <c r="A1292" s="74" t="s">
        <v>3212</v>
      </c>
      <c r="B1292" s="71" t="str">
        <f>IFERROR(VLOOKUP(Proc[[#This Row],[App]],Table2[],3,0),"open")</f>
        <v>ok</v>
      </c>
      <c r="C1292" s="74" t="s">
        <v>369</v>
      </c>
      <c r="D1292" t="s">
        <v>3312</v>
      </c>
      <c r="E1292" t="s">
        <v>3322</v>
      </c>
      <c r="F1292" s="71" t="s">
        <v>3406</v>
      </c>
      <c r="G1292" s="74" t="s">
        <v>400</v>
      </c>
      <c r="H1292" s="71" t="str">
        <f>IF(Proc[[#This Row],[type]]="LFF (MDG-F)",MID(Proc[[#This Row],[Obj]],13,10),"")</f>
        <v/>
      </c>
      <c r="J1292" s="71" t="b">
        <f>Proc[[#This Row],[Requested]]=Proc[[#This Row],[CurrentParent]]</f>
        <v>0</v>
      </c>
      <c r="K1292" s="71" t="str">
        <f>IF(Proc[[#This Row],[Author]]="Marcela Urrego",VLOOKUP(LEFT(Proc[[#This Row],[Requested]],1),Table3[#All],2,0),VLOOKUP(Proc[[#This Row],[Author]],Table4[],2,0))</f>
        <v>HC</v>
      </c>
      <c r="L1292" s="71" t="s">
        <v>2841</v>
      </c>
      <c r="M1292" s="81">
        <v>45782.702824074076</v>
      </c>
      <c r="N1292" s="81">
        <v>45790</v>
      </c>
      <c r="O1292" s="81">
        <v>45790</v>
      </c>
      <c r="P1292" s="82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2" t="s">
        <v>411</v>
      </c>
      <c r="S1292" s="71"/>
    </row>
    <row r="1293" spans="1:19" hidden="1">
      <c r="A1293" s="74" t="s">
        <v>3212</v>
      </c>
      <c r="B1293" s="71" t="str">
        <f>IFERROR(VLOOKUP(Proc[[#This Row],[App]],Table2[],3,0),"open")</f>
        <v>ok</v>
      </c>
      <c r="C1293" s="74" t="s">
        <v>369</v>
      </c>
      <c r="D1293" t="s">
        <v>3313</v>
      </c>
      <c r="E1293" t="s">
        <v>3322</v>
      </c>
      <c r="F1293" s="71" t="s">
        <v>3406</v>
      </c>
      <c r="G1293" s="74" t="s">
        <v>400</v>
      </c>
      <c r="H1293" s="71" t="str">
        <f>IF(Proc[[#This Row],[type]]="LFF (MDG-F)",MID(Proc[[#This Row],[Obj]],13,10),"")</f>
        <v/>
      </c>
      <c r="J1293" s="71" t="b">
        <f>Proc[[#This Row],[Requested]]=Proc[[#This Row],[CurrentParent]]</f>
        <v>0</v>
      </c>
      <c r="K1293" s="71" t="str">
        <f>IF(Proc[[#This Row],[Author]]="Marcela Urrego",VLOOKUP(LEFT(Proc[[#This Row],[Requested]],1),Table3[#All],2,0),VLOOKUP(Proc[[#This Row],[Author]],Table4[],2,0))</f>
        <v>HC</v>
      </c>
      <c r="L1293" s="71" t="s">
        <v>2841</v>
      </c>
      <c r="M1293" s="81">
        <v>45782.702824074076</v>
      </c>
      <c r="N1293" s="81">
        <v>45790</v>
      </c>
      <c r="O1293" s="81">
        <v>45790</v>
      </c>
      <c r="P1293" s="82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2" t="s">
        <v>411</v>
      </c>
      <c r="S1293" s="71"/>
    </row>
    <row r="1294" spans="1:19" hidden="1">
      <c r="A1294" t="s">
        <v>3409</v>
      </c>
      <c r="B1294" s="71" t="str">
        <f>IFERROR(VLOOKUP(Proc[[#This Row],[App]],Table2[],3,0),"open")</f>
        <v>ok</v>
      </c>
      <c r="C1294" s="74" t="s">
        <v>369</v>
      </c>
      <c r="D1294" t="s">
        <v>3407</v>
      </c>
      <c r="E1294" t="s">
        <v>3408</v>
      </c>
      <c r="F1294" s="71" t="s">
        <v>1957</v>
      </c>
      <c r="G1294" s="74" t="s">
        <v>400</v>
      </c>
      <c r="H1294" s="71" t="str">
        <f>IF(Proc[[#This Row],[type]]="LFF (MDG-F)",MID(Proc[[#This Row],[Obj]],13,10),"")</f>
        <v/>
      </c>
      <c r="J1294" s="71" t="b">
        <f>Proc[[#This Row],[Requested]]=Proc[[#This Row],[CurrentParent]]</f>
        <v>0</v>
      </c>
      <c r="K1294" s="71" t="str">
        <f>IF(Proc[[#This Row],[Author]]="Marcela Urrego",VLOOKUP(LEFT(Proc[[#This Row],[Requested]],1),Table3[#All],2,0),VLOOKUP(Proc[[#This Row],[Author]],Table4[],2,0))</f>
        <v>MGF</v>
      </c>
      <c r="L1294" s="71" t="s">
        <v>2841</v>
      </c>
      <c r="M1294" s="81">
        <v>45783.524351851855</v>
      </c>
      <c r="N1294" s="81">
        <v>45790</v>
      </c>
      <c r="O1294" s="81">
        <v>45790</v>
      </c>
      <c r="P1294" s="82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2" t="s">
        <v>538</v>
      </c>
      <c r="S1294" s="71"/>
    </row>
    <row r="1295" spans="1:19" hidden="1">
      <c r="A1295" t="s">
        <v>3411</v>
      </c>
      <c r="B1295" s="71" t="str">
        <f>IFERROR(VLOOKUP(Proc[[#This Row],[App]],Table2[],3,0),"open")</f>
        <v>ok</v>
      </c>
      <c r="C1295" t="s">
        <v>369</v>
      </c>
      <c r="D1295" t="s">
        <v>3412</v>
      </c>
      <c r="E1295" t="s">
        <v>3413</v>
      </c>
      <c r="F1295" s="71" t="s">
        <v>1098</v>
      </c>
      <c r="G1295" s="74" t="s">
        <v>400</v>
      </c>
      <c r="H1295" s="71" t="str">
        <f>IF(Proc[[#This Row],[type]]="LFF (MDG-F)",MID(Proc[[#This Row],[Obj]],13,10),"")</f>
        <v/>
      </c>
      <c r="J1295" s="71" t="b">
        <f>Proc[[#This Row],[Requested]]=Proc[[#This Row],[CurrentParent]]</f>
        <v>0</v>
      </c>
      <c r="K1295" s="71" t="str">
        <f>IF(Proc[[#This Row],[Author]]="Marcela Urrego",VLOOKUP(LEFT(Proc[[#This Row],[Requested]],1),Table3[#All],2,0),VLOOKUP(Proc[[#This Row],[Author]],Table4[],2,0))</f>
        <v>MGF</v>
      </c>
      <c r="L1295" s="71" t="s">
        <v>2841</v>
      </c>
      <c r="M1295" s="81">
        <v>45785.703668981485</v>
      </c>
      <c r="N1295" s="81">
        <v>45790</v>
      </c>
      <c r="O1295" s="81">
        <v>45790</v>
      </c>
      <c r="P1295" s="82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2" t="s">
        <v>1112</v>
      </c>
      <c r="S1295" s="71"/>
    </row>
    <row r="1296" spans="1:19" hidden="1">
      <c r="A1296" s="74" t="s">
        <v>3411</v>
      </c>
      <c r="B1296" s="71" t="str">
        <f>IFERROR(VLOOKUP(Proc[[#This Row],[App]],Table2[],3,0),"open")</f>
        <v>ok</v>
      </c>
      <c r="C1296" s="74" t="s">
        <v>377</v>
      </c>
      <c r="D1296" t="s">
        <v>2143</v>
      </c>
      <c r="E1296" t="s">
        <v>763</v>
      </c>
      <c r="F1296" s="71" t="s">
        <v>1098</v>
      </c>
      <c r="G1296" t="s">
        <v>406</v>
      </c>
      <c r="H1296" s="71" t="str">
        <f>IF(Proc[[#This Row],[type]]="LFF (MDG-F)",MID(Proc[[#This Row],[Obj]],13,10),"")</f>
        <v>US20Z01000</v>
      </c>
      <c r="I1296" t="s">
        <v>850</v>
      </c>
      <c r="J1296" s="71" t="b">
        <f>Proc[[#This Row],[Requested]]=Proc[[#This Row],[CurrentParent]]</f>
        <v>0</v>
      </c>
      <c r="K1296" s="71" t="str">
        <f>IF(Proc[[#This Row],[Author]]="Marcela Urrego",VLOOKUP(LEFT(Proc[[#This Row],[Requested]],1),Table3[#All],2,0),VLOOKUP(Proc[[#This Row],[Author]],Table4[],2,0))</f>
        <v>MGF</v>
      </c>
      <c r="L1296" s="71" t="s">
        <v>2841</v>
      </c>
      <c r="M1296" s="81">
        <v>45785.703668981485</v>
      </c>
      <c r="N1296" s="81"/>
      <c r="O1296" s="81">
        <v>45790</v>
      </c>
      <c r="P1296" s="82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2" t="s">
        <v>1112</v>
      </c>
      <c r="S1296" s="71"/>
    </row>
    <row r="1297" spans="1:19" hidden="1">
      <c r="A1297" t="s">
        <v>3414</v>
      </c>
      <c r="B1297" s="71" t="str">
        <f>IFERROR(VLOOKUP(Proc[[#This Row],[App]],Table2[],3,0),"open")</f>
        <v>ok</v>
      </c>
      <c r="C1297" s="74" t="s">
        <v>369</v>
      </c>
      <c r="D1297" t="s">
        <v>3415</v>
      </c>
      <c r="E1297" t="s">
        <v>3416</v>
      </c>
      <c r="F1297" s="71" t="s">
        <v>3417</v>
      </c>
      <c r="G1297" s="74" t="s">
        <v>400</v>
      </c>
      <c r="H1297" s="71" t="str">
        <f>IF(Proc[[#This Row],[type]]="LFF (MDG-F)",MID(Proc[[#This Row],[Obj]],13,10),"")</f>
        <v/>
      </c>
      <c r="J1297" s="71" t="b">
        <f>Proc[[#This Row],[Requested]]=Proc[[#This Row],[CurrentParent]]</f>
        <v>0</v>
      </c>
      <c r="K1297" s="71" t="str">
        <f>IF(Proc[[#This Row],[Author]]="Marcela Urrego",VLOOKUP(LEFT(Proc[[#This Row],[Requested]],1),Table3[#All],2,0),VLOOKUP(Proc[[#This Row],[Author]],Table4[],2,0))</f>
        <v>MGF</v>
      </c>
      <c r="L1297" s="71" t="s">
        <v>2841</v>
      </c>
      <c r="M1297" s="81">
        <v>45785.653692129628</v>
      </c>
      <c r="N1297" s="81">
        <v>45790</v>
      </c>
      <c r="O1297" s="81">
        <v>45790</v>
      </c>
      <c r="P1297" s="82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2" t="s">
        <v>1530</v>
      </c>
      <c r="S1297" s="71"/>
    </row>
    <row r="1298" spans="1:19" hidden="1">
      <c r="A1298" t="s">
        <v>3418</v>
      </c>
      <c r="B1298" s="71" t="str">
        <f>IFERROR(VLOOKUP(Proc[[#This Row],[App]],Table2[],3,0),"open")</f>
        <v>ok</v>
      </c>
      <c r="C1298" s="74" t="s">
        <v>369</v>
      </c>
      <c r="D1298" t="s">
        <v>3419</v>
      </c>
      <c r="E1298" t="s">
        <v>3420</v>
      </c>
      <c r="F1298" s="71" t="s">
        <v>494</v>
      </c>
      <c r="G1298" s="74" t="s">
        <v>400</v>
      </c>
      <c r="H1298" s="71" t="str">
        <f>IF(Proc[[#This Row],[type]]="LFF (MDG-F)",MID(Proc[[#This Row],[Obj]],13,10),"")</f>
        <v/>
      </c>
      <c r="J1298" s="71" t="b">
        <f>Proc[[#This Row],[Requested]]=Proc[[#This Row],[CurrentParent]]</f>
        <v>0</v>
      </c>
      <c r="K1298" s="71" t="str">
        <f>IF(Proc[[#This Row],[Author]]="Marcela Urrego",VLOOKUP(LEFT(Proc[[#This Row],[Requested]],1),Table3[#All],2,0),VLOOKUP(Proc[[#This Row],[Author]],Table4[],2,0))</f>
        <v>MGF</v>
      </c>
      <c r="L1298" s="71" t="s">
        <v>2841</v>
      </c>
      <c r="M1298" s="81">
        <v>45785.598506944443</v>
      </c>
      <c r="N1298" s="81">
        <v>45790</v>
      </c>
      <c r="O1298" s="81">
        <v>45790</v>
      </c>
      <c r="P1298" s="82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2" t="s">
        <v>538</v>
      </c>
      <c r="S1298" s="71"/>
    </row>
    <row r="1299" spans="1:19">
      <c r="A1299" t="s">
        <v>3462</v>
      </c>
      <c r="B1299" s="71" t="str">
        <f>IFERROR(VLOOKUP(Proc[[#This Row],[App]],Table2[],3,0),"open")</f>
        <v>open</v>
      </c>
      <c r="C1299" t="s">
        <v>370</v>
      </c>
      <c r="D1299" t="s">
        <v>3421</v>
      </c>
      <c r="E1299" t="s">
        <v>3422</v>
      </c>
      <c r="F1299" s="71"/>
      <c r="G1299" s="74" t="s">
        <v>400</v>
      </c>
      <c r="H1299" s="71" t="str">
        <f>IF(Proc[[#This Row],[type]]="LFF (MDG-F)",MID(Proc[[#This Row],[Obj]],13,10),"")</f>
        <v/>
      </c>
      <c r="I1299" t="s">
        <v>3458</v>
      </c>
      <c r="J1299" s="71" t="b">
        <f>Proc[[#This Row],[Requested]]=Proc[[#This Row],[CurrentParent]]</f>
        <v>0</v>
      </c>
      <c r="K1299" s="71" t="str">
        <f>IF(Proc[[#This Row],[Author]]="Marcela Urrego",VLOOKUP(LEFT(Proc[[#This Row],[Requested]],1),Table3[#All],2,0),VLOOKUP(Proc[[#This Row],[Author]],Table4[],2,0))</f>
        <v>LS</v>
      </c>
      <c r="L1299" s="71" t="s">
        <v>2841</v>
      </c>
      <c r="M1299" s="81">
        <v>45789.517060185186</v>
      </c>
      <c r="N1299" s="81"/>
      <c r="O1299" s="81"/>
      <c r="P1299" s="82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1</v>
      </c>
      <c r="R1299" s="82" t="s">
        <v>508</v>
      </c>
      <c r="S1299" s="71"/>
    </row>
    <row r="1300" spans="1:19">
      <c r="A1300" s="74" t="s">
        <v>3462</v>
      </c>
      <c r="B1300" s="71" t="str">
        <f>IFERROR(VLOOKUP(Proc[[#This Row],[App]],Table2[],3,0),"open")</f>
        <v>open</v>
      </c>
      <c r="C1300" s="74" t="s">
        <v>370</v>
      </c>
      <c r="D1300" t="s">
        <v>3423</v>
      </c>
      <c r="E1300" t="s">
        <v>3422</v>
      </c>
      <c r="F1300" s="71"/>
      <c r="G1300" s="74" t="s">
        <v>400</v>
      </c>
      <c r="H1300" s="71" t="str">
        <f>IF(Proc[[#This Row],[type]]="LFF (MDG-F)",MID(Proc[[#This Row],[Obj]],13,10),"")</f>
        <v/>
      </c>
      <c r="I1300" t="s">
        <v>3458</v>
      </c>
      <c r="J1300" s="71" t="b">
        <f>Proc[[#This Row],[Requested]]=Proc[[#This Row],[CurrentParent]]</f>
        <v>0</v>
      </c>
      <c r="K1300" s="71" t="str">
        <f>IF(Proc[[#This Row],[Author]]="Marcela Urrego",VLOOKUP(LEFT(Proc[[#This Row],[Requested]],1),Table3[#All],2,0),VLOOKUP(Proc[[#This Row],[Author]],Table4[],2,0))</f>
        <v>LS</v>
      </c>
      <c r="L1300" s="71" t="s">
        <v>2841</v>
      </c>
      <c r="M1300" s="81">
        <v>45789.517060185186</v>
      </c>
      <c r="N1300" s="81"/>
      <c r="O1300" s="81"/>
      <c r="P1300" s="82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1</v>
      </c>
      <c r="R1300" s="82" t="s">
        <v>508</v>
      </c>
      <c r="S1300" s="71"/>
    </row>
    <row r="1301" spans="1:19">
      <c r="A1301" s="74" t="s">
        <v>3462</v>
      </c>
      <c r="B1301" s="71" t="str">
        <f>IFERROR(VLOOKUP(Proc[[#This Row],[App]],Table2[],3,0),"open")</f>
        <v>open</v>
      </c>
      <c r="C1301" s="74" t="s">
        <v>370</v>
      </c>
      <c r="D1301" t="s">
        <v>3424</v>
      </c>
      <c r="E1301" t="s">
        <v>3422</v>
      </c>
      <c r="F1301" s="71"/>
      <c r="G1301" s="74" t="s">
        <v>400</v>
      </c>
      <c r="H1301" s="71" t="str">
        <f>IF(Proc[[#This Row],[type]]="LFF (MDG-F)",MID(Proc[[#This Row],[Obj]],13,10),"")</f>
        <v/>
      </c>
      <c r="I1301" t="s">
        <v>3458</v>
      </c>
      <c r="J1301" s="71" t="b">
        <f>Proc[[#This Row],[Requested]]=Proc[[#This Row],[CurrentParent]]</f>
        <v>0</v>
      </c>
      <c r="K1301" s="71" t="str">
        <f>IF(Proc[[#This Row],[Author]]="Marcela Urrego",VLOOKUP(LEFT(Proc[[#This Row],[Requested]],1),Table3[#All],2,0),VLOOKUP(Proc[[#This Row],[Author]],Table4[],2,0))</f>
        <v>LS</v>
      </c>
      <c r="L1301" s="71" t="s">
        <v>2841</v>
      </c>
      <c r="M1301" s="81">
        <v>45789.517060185186</v>
      </c>
      <c r="N1301" s="81"/>
      <c r="O1301" s="81"/>
      <c r="P1301" s="82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1</v>
      </c>
      <c r="R1301" s="82" t="s">
        <v>508</v>
      </c>
      <c r="S1301" s="71"/>
    </row>
    <row r="1302" spans="1:19">
      <c r="A1302" s="74" t="s">
        <v>3462</v>
      </c>
      <c r="B1302" s="71" t="str">
        <f>IFERROR(VLOOKUP(Proc[[#This Row],[App]],Table2[],3,0),"open")</f>
        <v>open</v>
      </c>
      <c r="C1302" s="74" t="s">
        <v>370</v>
      </c>
      <c r="D1302" t="s">
        <v>3425</v>
      </c>
      <c r="E1302" t="s">
        <v>3422</v>
      </c>
      <c r="F1302" s="71"/>
      <c r="G1302" s="74" t="s">
        <v>400</v>
      </c>
      <c r="H1302" s="71" t="str">
        <f>IF(Proc[[#This Row],[type]]="LFF (MDG-F)",MID(Proc[[#This Row],[Obj]],13,10),"")</f>
        <v/>
      </c>
      <c r="I1302" t="s">
        <v>3458</v>
      </c>
      <c r="J1302" s="71" t="b">
        <f>Proc[[#This Row],[Requested]]=Proc[[#This Row],[CurrentParent]]</f>
        <v>0</v>
      </c>
      <c r="K1302" s="71" t="str">
        <f>IF(Proc[[#This Row],[Author]]="Marcela Urrego",VLOOKUP(LEFT(Proc[[#This Row],[Requested]],1),Table3[#All],2,0),VLOOKUP(Proc[[#This Row],[Author]],Table4[],2,0))</f>
        <v>LS</v>
      </c>
      <c r="L1302" s="71" t="s">
        <v>2841</v>
      </c>
      <c r="M1302" s="81">
        <v>45789.517060185186</v>
      </c>
      <c r="N1302" s="81"/>
      <c r="O1302" s="81"/>
      <c r="P1302" s="82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1</v>
      </c>
      <c r="R1302" s="82" t="s">
        <v>508</v>
      </c>
      <c r="S1302" s="71"/>
    </row>
    <row r="1303" spans="1:19">
      <c r="A1303" s="74" t="s">
        <v>3462</v>
      </c>
      <c r="B1303" s="71" t="str">
        <f>IFERROR(VLOOKUP(Proc[[#This Row],[App]],Table2[],3,0),"open")</f>
        <v>open</v>
      </c>
      <c r="C1303" s="74" t="s">
        <v>370</v>
      </c>
      <c r="D1303" t="s">
        <v>3426</v>
      </c>
      <c r="E1303" t="s">
        <v>3422</v>
      </c>
      <c r="F1303" s="71"/>
      <c r="G1303" s="74" t="s">
        <v>400</v>
      </c>
      <c r="H1303" s="71" t="str">
        <f>IF(Proc[[#This Row],[type]]="LFF (MDG-F)",MID(Proc[[#This Row],[Obj]],13,10),"")</f>
        <v/>
      </c>
      <c r="I1303" t="s">
        <v>3459</v>
      </c>
      <c r="J1303" s="71" t="b">
        <f>Proc[[#This Row],[Requested]]=Proc[[#This Row],[CurrentParent]]</f>
        <v>0</v>
      </c>
      <c r="K1303" s="71" t="str">
        <f>IF(Proc[[#This Row],[Author]]="Marcela Urrego",VLOOKUP(LEFT(Proc[[#This Row],[Requested]],1),Table3[#All],2,0),VLOOKUP(Proc[[#This Row],[Author]],Table4[],2,0))</f>
        <v>LS</v>
      </c>
      <c r="L1303" s="71" t="s">
        <v>2841</v>
      </c>
      <c r="M1303" s="81">
        <v>45789.517060185186</v>
      </c>
      <c r="N1303" s="81"/>
      <c r="O1303" s="81"/>
      <c r="P1303" s="82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1</v>
      </c>
      <c r="R1303" s="82" t="s">
        <v>508</v>
      </c>
      <c r="S1303" s="71"/>
    </row>
    <row r="1304" spans="1:19">
      <c r="A1304" s="74" t="s">
        <v>3462</v>
      </c>
      <c r="B1304" s="71" t="str">
        <f>IFERROR(VLOOKUP(Proc[[#This Row],[App]],Table2[],3,0),"open")</f>
        <v>open</v>
      </c>
      <c r="C1304" s="74" t="s">
        <v>370</v>
      </c>
      <c r="D1304" t="s">
        <v>3427</v>
      </c>
      <c r="E1304" t="s">
        <v>3422</v>
      </c>
      <c r="F1304" s="71"/>
      <c r="G1304" s="74" t="s">
        <v>400</v>
      </c>
      <c r="H1304" s="71" t="str">
        <f>IF(Proc[[#This Row],[type]]="LFF (MDG-F)",MID(Proc[[#This Row],[Obj]],13,10),"")</f>
        <v/>
      </c>
      <c r="I1304" t="s">
        <v>3459</v>
      </c>
      <c r="J1304" s="71" t="b">
        <f>Proc[[#This Row],[Requested]]=Proc[[#This Row],[CurrentParent]]</f>
        <v>0</v>
      </c>
      <c r="K1304" s="71" t="str">
        <f>IF(Proc[[#This Row],[Author]]="Marcela Urrego",VLOOKUP(LEFT(Proc[[#This Row],[Requested]],1),Table3[#All],2,0),VLOOKUP(Proc[[#This Row],[Author]],Table4[],2,0))</f>
        <v>LS</v>
      </c>
      <c r="L1304" s="71" t="s">
        <v>2841</v>
      </c>
      <c r="M1304" s="81">
        <v>45789.517060185186</v>
      </c>
      <c r="N1304" s="81"/>
      <c r="O1304" s="81"/>
      <c r="P1304" s="82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1</v>
      </c>
      <c r="R1304" s="82" t="s">
        <v>508</v>
      </c>
      <c r="S1304" s="71"/>
    </row>
    <row r="1305" spans="1:19">
      <c r="A1305" s="74" t="s">
        <v>3462</v>
      </c>
      <c r="B1305" s="71" t="str">
        <f>IFERROR(VLOOKUP(Proc[[#This Row],[App]],Table2[],3,0),"open")</f>
        <v>open</v>
      </c>
      <c r="C1305" s="74" t="s">
        <v>370</v>
      </c>
      <c r="D1305" t="s">
        <v>3428</v>
      </c>
      <c r="E1305" t="s">
        <v>3422</v>
      </c>
      <c r="F1305" s="71"/>
      <c r="G1305" s="74" t="s">
        <v>400</v>
      </c>
      <c r="H1305" s="71" t="str">
        <f>IF(Proc[[#This Row],[type]]="LFF (MDG-F)",MID(Proc[[#This Row],[Obj]],13,10),"")</f>
        <v/>
      </c>
      <c r="I1305" t="s">
        <v>3459</v>
      </c>
      <c r="J1305" s="71" t="b">
        <f>Proc[[#This Row],[Requested]]=Proc[[#This Row],[CurrentParent]]</f>
        <v>0</v>
      </c>
      <c r="K1305" s="71" t="str">
        <f>IF(Proc[[#This Row],[Author]]="Marcela Urrego",VLOOKUP(LEFT(Proc[[#This Row],[Requested]],1),Table3[#All],2,0),VLOOKUP(Proc[[#This Row],[Author]],Table4[],2,0))</f>
        <v>LS</v>
      </c>
      <c r="L1305" s="71" t="s">
        <v>2841</v>
      </c>
      <c r="M1305" s="81">
        <v>45789.517060185186</v>
      </c>
      <c r="N1305" s="81"/>
      <c r="O1305" s="81"/>
      <c r="P1305" s="82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1</v>
      </c>
      <c r="R1305" s="82" t="s">
        <v>508</v>
      </c>
      <c r="S1305" s="71"/>
    </row>
    <row r="1306" spans="1:19">
      <c r="A1306" s="74" t="s">
        <v>3462</v>
      </c>
      <c r="B1306" s="71" t="str">
        <f>IFERROR(VLOOKUP(Proc[[#This Row],[App]],Table2[],3,0),"open")</f>
        <v>open</v>
      </c>
      <c r="C1306" s="74" t="s">
        <v>370</v>
      </c>
      <c r="D1306" t="s">
        <v>3429</v>
      </c>
      <c r="E1306" t="s">
        <v>3422</v>
      </c>
      <c r="F1306" s="71"/>
      <c r="G1306" s="74" t="s">
        <v>400</v>
      </c>
      <c r="H1306" s="71" t="str">
        <f>IF(Proc[[#This Row],[type]]="LFF (MDG-F)",MID(Proc[[#This Row],[Obj]],13,10),"")</f>
        <v/>
      </c>
      <c r="I1306" t="s">
        <v>3459</v>
      </c>
      <c r="J1306" s="71" t="b">
        <f>Proc[[#This Row],[Requested]]=Proc[[#This Row],[CurrentParent]]</f>
        <v>0</v>
      </c>
      <c r="K1306" s="71" t="str">
        <f>IF(Proc[[#This Row],[Author]]="Marcela Urrego",VLOOKUP(LEFT(Proc[[#This Row],[Requested]],1),Table3[#All],2,0),VLOOKUP(Proc[[#This Row],[Author]],Table4[],2,0))</f>
        <v>LS</v>
      </c>
      <c r="L1306" s="71" t="s">
        <v>2841</v>
      </c>
      <c r="M1306" s="81">
        <v>45789.517060185186</v>
      </c>
      <c r="N1306" s="81"/>
      <c r="O1306" s="81"/>
      <c r="P1306" s="82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1</v>
      </c>
      <c r="R1306" s="82" t="s">
        <v>508</v>
      </c>
      <c r="S1306" s="71"/>
    </row>
    <row r="1307" spans="1:19">
      <c r="A1307" s="74" t="s">
        <v>3462</v>
      </c>
      <c r="B1307" s="71" t="str">
        <f>IFERROR(VLOOKUP(Proc[[#This Row],[App]],Table2[],3,0),"open")</f>
        <v>open</v>
      </c>
      <c r="C1307" s="74" t="s">
        <v>370</v>
      </c>
      <c r="D1307" t="s">
        <v>3430</v>
      </c>
      <c r="E1307" t="s">
        <v>3422</v>
      </c>
      <c r="F1307" s="71"/>
      <c r="G1307" s="74" t="s">
        <v>400</v>
      </c>
      <c r="H1307" s="71" t="str">
        <f>IF(Proc[[#This Row],[type]]="LFF (MDG-F)",MID(Proc[[#This Row],[Obj]],13,10),"")</f>
        <v/>
      </c>
      <c r="I1307" t="s">
        <v>3459</v>
      </c>
      <c r="J1307" s="71" t="b">
        <f>Proc[[#This Row],[Requested]]=Proc[[#This Row],[CurrentParent]]</f>
        <v>0</v>
      </c>
      <c r="K1307" s="71" t="str">
        <f>IF(Proc[[#This Row],[Author]]="Marcela Urrego",VLOOKUP(LEFT(Proc[[#This Row],[Requested]],1),Table3[#All],2,0),VLOOKUP(Proc[[#This Row],[Author]],Table4[],2,0))</f>
        <v>LS</v>
      </c>
      <c r="L1307" s="71" t="s">
        <v>2841</v>
      </c>
      <c r="M1307" s="81">
        <v>45789.517060185186</v>
      </c>
      <c r="N1307" s="81"/>
      <c r="O1307" s="81"/>
      <c r="P1307" s="82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1</v>
      </c>
      <c r="R1307" s="82" t="s">
        <v>508</v>
      </c>
      <c r="S1307" s="71"/>
    </row>
    <row r="1308" spans="1:19">
      <c r="A1308" s="74" t="s">
        <v>3462</v>
      </c>
      <c r="B1308" s="71" t="str">
        <f>IFERROR(VLOOKUP(Proc[[#This Row],[App]],Table2[],3,0),"open")</f>
        <v>open</v>
      </c>
      <c r="C1308" s="74" t="s">
        <v>370</v>
      </c>
      <c r="D1308" t="s">
        <v>3431</v>
      </c>
      <c r="E1308" t="s">
        <v>3422</v>
      </c>
      <c r="F1308" s="71"/>
      <c r="G1308" s="74" t="s">
        <v>400</v>
      </c>
      <c r="H1308" s="71" t="str">
        <f>IF(Proc[[#This Row],[type]]="LFF (MDG-F)",MID(Proc[[#This Row],[Obj]],13,10),"")</f>
        <v/>
      </c>
      <c r="I1308" t="s">
        <v>3459</v>
      </c>
      <c r="J1308" s="71" t="b">
        <f>Proc[[#This Row],[Requested]]=Proc[[#This Row],[CurrentParent]]</f>
        <v>0</v>
      </c>
      <c r="K1308" s="71" t="str">
        <f>IF(Proc[[#This Row],[Author]]="Marcela Urrego",VLOOKUP(LEFT(Proc[[#This Row],[Requested]],1),Table3[#All],2,0),VLOOKUP(Proc[[#This Row],[Author]],Table4[],2,0))</f>
        <v>LS</v>
      </c>
      <c r="L1308" s="71" t="s">
        <v>2841</v>
      </c>
      <c r="M1308" s="81">
        <v>45789.517060185186</v>
      </c>
      <c r="N1308" s="81"/>
      <c r="O1308" s="81"/>
      <c r="P1308" s="82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1</v>
      </c>
      <c r="R1308" s="82" t="s">
        <v>508</v>
      </c>
      <c r="S1308" s="71"/>
    </row>
    <row r="1309" spans="1:19">
      <c r="A1309" s="74" t="s">
        <v>3462</v>
      </c>
      <c r="B1309" s="71" t="str">
        <f>IFERROR(VLOOKUP(Proc[[#This Row],[App]],Table2[],3,0),"open")</f>
        <v>open</v>
      </c>
      <c r="C1309" s="74" t="s">
        <v>370</v>
      </c>
      <c r="D1309" t="s">
        <v>3432</v>
      </c>
      <c r="E1309" t="s">
        <v>3422</v>
      </c>
      <c r="F1309" s="71"/>
      <c r="G1309" s="74" t="s">
        <v>400</v>
      </c>
      <c r="H1309" s="71" t="str">
        <f>IF(Proc[[#This Row],[type]]="LFF (MDG-F)",MID(Proc[[#This Row],[Obj]],13,10),"")</f>
        <v/>
      </c>
      <c r="I1309" t="s">
        <v>3459</v>
      </c>
      <c r="J1309" s="71" t="b">
        <f>Proc[[#This Row],[Requested]]=Proc[[#This Row],[CurrentParent]]</f>
        <v>0</v>
      </c>
      <c r="K1309" s="71" t="str">
        <f>IF(Proc[[#This Row],[Author]]="Marcela Urrego",VLOOKUP(LEFT(Proc[[#This Row],[Requested]],1),Table3[#All],2,0),VLOOKUP(Proc[[#This Row],[Author]],Table4[],2,0))</f>
        <v>LS</v>
      </c>
      <c r="L1309" s="71" t="s">
        <v>2841</v>
      </c>
      <c r="M1309" s="81">
        <v>45789.517060185186</v>
      </c>
      <c r="N1309" s="81"/>
      <c r="O1309" s="81"/>
      <c r="P1309" s="82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1</v>
      </c>
      <c r="R1309" s="82" t="s">
        <v>508</v>
      </c>
      <c r="S1309" s="71"/>
    </row>
    <row r="1310" spans="1:19">
      <c r="A1310" s="74" t="s">
        <v>3462</v>
      </c>
      <c r="B1310" s="71" t="str">
        <f>IFERROR(VLOOKUP(Proc[[#This Row],[App]],Table2[],3,0),"open")</f>
        <v>open</v>
      </c>
      <c r="C1310" s="74" t="s">
        <v>370</v>
      </c>
      <c r="D1310" t="s">
        <v>3433</v>
      </c>
      <c r="E1310" t="s">
        <v>3422</v>
      </c>
      <c r="F1310" s="71"/>
      <c r="G1310" s="74" t="s">
        <v>400</v>
      </c>
      <c r="H1310" s="71" t="str">
        <f>IF(Proc[[#This Row],[type]]="LFF (MDG-F)",MID(Proc[[#This Row],[Obj]],13,10),"")</f>
        <v/>
      </c>
      <c r="I1310" t="s">
        <v>3459</v>
      </c>
      <c r="J1310" s="71" t="b">
        <f>Proc[[#This Row],[Requested]]=Proc[[#This Row],[CurrentParent]]</f>
        <v>0</v>
      </c>
      <c r="K1310" s="71" t="str">
        <f>IF(Proc[[#This Row],[Author]]="Marcela Urrego",VLOOKUP(LEFT(Proc[[#This Row],[Requested]],1),Table3[#All],2,0),VLOOKUP(Proc[[#This Row],[Author]],Table4[],2,0))</f>
        <v>LS</v>
      </c>
      <c r="L1310" s="71" t="s">
        <v>2841</v>
      </c>
      <c r="M1310" s="81">
        <v>45789.517060185186</v>
      </c>
      <c r="N1310" s="81"/>
      <c r="O1310" s="81"/>
      <c r="P1310" s="82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1</v>
      </c>
      <c r="R1310" s="82" t="s">
        <v>508</v>
      </c>
      <c r="S1310" s="71"/>
    </row>
    <row r="1311" spans="1:19">
      <c r="A1311" s="74" t="s">
        <v>3462</v>
      </c>
      <c r="B1311" s="71" t="str">
        <f>IFERROR(VLOOKUP(Proc[[#This Row],[App]],Table2[],3,0),"open")</f>
        <v>open</v>
      </c>
      <c r="C1311" s="74" t="s">
        <v>370</v>
      </c>
      <c r="D1311" t="s">
        <v>3434</v>
      </c>
      <c r="E1311" t="s">
        <v>3422</v>
      </c>
      <c r="F1311" s="71"/>
      <c r="G1311" s="74" t="s">
        <v>400</v>
      </c>
      <c r="H1311" s="71" t="str">
        <f>IF(Proc[[#This Row],[type]]="LFF (MDG-F)",MID(Proc[[#This Row],[Obj]],13,10),"")</f>
        <v/>
      </c>
      <c r="I1311" t="s">
        <v>3459</v>
      </c>
      <c r="J1311" s="71" t="b">
        <f>Proc[[#This Row],[Requested]]=Proc[[#This Row],[CurrentParent]]</f>
        <v>0</v>
      </c>
      <c r="K1311" s="71" t="str">
        <f>IF(Proc[[#This Row],[Author]]="Marcela Urrego",VLOOKUP(LEFT(Proc[[#This Row],[Requested]],1),Table3[#All],2,0),VLOOKUP(Proc[[#This Row],[Author]],Table4[],2,0))</f>
        <v>LS</v>
      </c>
      <c r="L1311" s="71" t="s">
        <v>2841</v>
      </c>
      <c r="M1311" s="81">
        <v>45789.517060185186</v>
      </c>
      <c r="N1311" s="81"/>
      <c r="O1311" s="81"/>
      <c r="P1311" s="82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1</v>
      </c>
      <c r="R1311" s="82" t="s">
        <v>508</v>
      </c>
      <c r="S1311" s="71"/>
    </row>
    <row r="1312" spans="1:19">
      <c r="A1312" s="74" t="s">
        <v>3462</v>
      </c>
      <c r="B1312" s="71" t="str">
        <f>IFERROR(VLOOKUP(Proc[[#This Row],[App]],Table2[],3,0),"open")</f>
        <v>open</v>
      </c>
      <c r="C1312" s="74" t="s">
        <v>370</v>
      </c>
      <c r="D1312" t="s">
        <v>3435</v>
      </c>
      <c r="E1312" t="s">
        <v>3422</v>
      </c>
      <c r="F1312" s="71"/>
      <c r="G1312" s="74" t="s">
        <v>400</v>
      </c>
      <c r="H1312" s="71" t="str">
        <f>IF(Proc[[#This Row],[type]]="LFF (MDG-F)",MID(Proc[[#This Row],[Obj]],13,10),"")</f>
        <v/>
      </c>
      <c r="I1312" t="s">
        <v>3459</v>
      </c>
      <c r="J1312" s="71" t="b">
        <f>Proc[[#This Row],[Requested]]=Proc[[#This Row],[CurrentParent]]</f>
        <v>0</v>
      </c>
      <c r="K1312" s="71" t="str">
        <f>IF(Proc[[#This Row],[Author]]="Marcela Urrego",VLOOKUP(LEFT(Proc[[#This Row],[Requested]],1),Table3[#All],2,0),VLOOKUP(Proc[[#This Row],[Author]],Table4[],2,0))</f>
        <v>LS</v>
      </c>
      <c r="L1312" s="71" t="s">
        <v>2841</v>
      </c>
      <c r="M1312" s="81">
        <v>45789.517060185186</v>
      </c>
      <c r="N1312" s="81"/>
      <c r="O1312" s="81"/>
      <c r="P1312" s="82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1</v>
      </c>
      <c r="R1312" s="82" t="s">
        <v>508</v>
      </c>
      <c r="S1312" s="71"/>
    </row>
    <row r="1313" spans="1:19">
      <c r="A1313" s="74" t="s">
        <v>3462</v>
      </c>
      <c r="B1313" s="71" t="str">
        <f>IFERROR(VLOOKUP(Proc[[#This Row],[App]],Table2[],3,0),"open")</f>
        <v>open</v>
      </c>
      <c r="C1313" s="74" t="s">
        <v>370</v>
      </c>
      <c r="D1313" t="s">
        <v>3436</v>
      </c>
      <c r="E1313" t="s">
        <v>3422</v>
      </c>
      <c r="F1313" s="71"/>
      <c r="G1313" s="74" t="s">
        <v>400</v>
      </c>
      <c r="H1313" s="71" t="str">
        <f>IF(Proc[[#This Row],[type]]="LFF (MDG-F)",MID(Proc[[#This Row],[Obj]],13,10),"")</f>
        <v/>
      </c>
      <c r="I1313" t="s">
        <v>3459</v>
      </c>
      <c r="J1313" s="71" t="b">
        <f>Proc[[#This Row],[Requested]]=Proc[[#This Row],[CurrentParent]]</f>
        <v>0</v>
      </c>
      <c r="K1313" s="71" t="str">
        <f>IF(Proc[[#This Row],[Author]]="Marcela Urrego",VLOOKUP(LEFT(Proc[[#This Row],[Requested]],1),Table3[#All],2,0),VLOOKUP(Proc[[#This Row],[Author]],Table4[],2,0))</f>
        <v>LS</v>
      </c>
      <c r="L1313" s="71" t="s">
        <v>2841</v>
      </c>
      <c r="M1313" s="81">
        <v>45789.517060185186</v>
      </c>
      <c r="N1313" s="81"/>
      <c r="O1313" s="81"/>
      <c r="P1313" s="82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1</v>
      </c>
      <c r="R1313" s="82" t="s">
        <v>508</v>
      </c>
      <c r="S1313" s="71"/>
    </row>
    <row r="1314" spans="1:19">
      <c r="A1314" s="74" t="s">
        <v>3462</v>
      </c>
      <c r="B1314" s="71" t="str">
        <f>IFERROR(VLOOKUP(Proc[[#This Row],[App]],Table2[],3,0),"open")</f>
        <v>open</v>
      </c>
      <c r="C1314" s="74" t="s">
        <v>370</v>
      </c>
      <c r="D1314" t="s">
        <v>3437</v>
      </c>
      <c r="E1314" t="s">
        <v>3422</v>
      </c>
      <c r="F1314" s="71"/>
      <c r="G1314" s="74" t="s">
        <v>400</v>
      </c>
      <c r="H1314" s="71" t="str">
        <f>IF(Proc[[#This Row],[type]]="LFF (MDG-F)",MID(Proc[[#This Row],[Obj]],13,10),"")</f>
        <v/>
      </c>
      <c r="I1314" t="s">
        <v>3459</v>
      </c>
      <c r="J1314" s="71" t="b">
        <f>Proc[[#This Row],[Requested]]=Proc[[#This Row],[CurrentParent]]</f>
        <v>0</v>
      </c>
      <c r="K1314" s="71" t="str">
        <f>IF(Proc[[#This Row],[Author]]="Marcela Urrego",VLOOKUP(LEFT(Proc[[#This Row],[Requested]],1),Table3[#All],2,0),VLOOKUP(Proc[[#This Row],[Author]],Table4[],2,0))</f>
        <v>LS</v>
      </c>
      <c r="L1314" s="71" t="s">
        <v>2841</v>
      </c>
      <c r="M1314" s="81">
        <v>45789.517060185186</v>
      </c>
      <c r="N1314" s="81"/>
      <c r="O1314" s="81"/>
      <c r="P1314" s="82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1</v>
      </c>
      <c r="R1314" s="82" t="s">
        <v>508</v>
      </c>
      <c r="S1314" s="71"/>
    </row>
    <row r="1315" spans="1:19">
      <c r="A1315" s="74" t="s">
        <v>3462</v>
      </c>
      <c r="B1315" s="71" t="str">
        <f>IFERROR(VLOOKUP(Proc[[#This Row],[App]],Table2[],3,0),"open")</f>
        <v>open</v>
      </c>
      <c r="C1315" s="74" t="s">
        <v>370</v>
      </c>
      <c r="D1315" t="s">
        <v>3438</v>
      </c>
      <c r="E1315" t="s">
        <v>3422</v>
      </c>
      <c r="F1315" s="71"/>
      <c r="G1315" s="74" t="s">
        <v>400</v>
      </c>
      <c r="H1315" s="71" t="str">
        <f>IF(Proc[[#This Row],[type]]="LFF (MDG-F)",MID(Proc[[#This Row],[Obj]],13,10),"")</f>
        <v/>
      </c>
      <c r="I1315" t="s">
        <v>3460</v>
      </c>
      <c r="J1315" s="71" t="b">
        <f>Proc[[#This Row],[Requested]]=Proc[[#This Row],[CurrentParent]]</f>
        <v>0</v>
      </c>
      <c r="K1315" s="71" t="str">
        <f>IF(Proc[[#This Row],[Author]]="Marcela Urrego",VLOOKUP(LEFT(Proc[[#This Row],[Requested]],1),Table3[#All],2,0),VLOOKUP(Proc[[#This Row],[Author]],Table4[],2,0))</f>
        <v>LS</v>
      </c>
      <c r="L1315" s="71" t="s">
        <v>2841</v>
      </c>
      <c r="M1315" s="81">
        <v>45789.517060185186</v>
      </c>
      <c r="N1315" s="81"/>
      <c r="O1315" s="81"/>
      <c r="P1315" s="82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1</v>
      </c>
      <c r="R1315" s="82" t="s">
        <v>508</v>
      </c>
      <c r="S1315" s="71"/>
    </row>
    <row r="1316" spans="1:19">
      <c r="A1316" s="74" t="s">
        <v>3462</v>
      </c>
      <c r="B1316" s="71" t="str">
        <f>IFERROR(VLOOKUP(Proc[[#This Row],[App]],Table2[],3,0),"open")</f>
        <v>open</v>
      </c>
      <c r="C1316" s="74" t="s">
        <v>370</v>
      </c>
      <c r="D1316" t="s">
        <v>3439</v>
      </c>
      <c r="E1316" t="s">
        <v>3422</v>
      </c>
      <c r="F1316" s="71"/>
      <c r="G1316" s="74" t="s">
        <v>400</v>
      </c>
      <c r="H1316" s="71" t="str">
        <f>IF(Proc[[#This Row],[type]]="LFF (MDG-F)",MID(Proc[[#This Row],[Obj]],13,10),"")</f>
        <v/>
      </c>
      <c r="I1316" t="s">
        <v>3460</v>
      </c>
      <c r="J1316" s="71" t="b">
        <f>Proc[[#This Row],[Requested]]=Proc[[#This Row],[CurrentParent]]</f>
        <v>0</v>
      </c>
      <c r="K1316" s="71" t="str">
        <f>IF(Proc[[#This Row],[Author]]="Marcela Urrego",VLOOKUP(LEFT(Proc[[#This Row],[Requested]],1),Table3[#All],2,0),VLOOKUP(Proc[[#This Row],[Author]],Table4[],2,0))</f>
        <v>LS</v>
      </c>
      <c r="L1316" s="71" t="s">
        <v>2841</v>
      </c>
      <c r="M1316" s="81">
        <v>45789.517060185186</v>
      </c>
      <c r="N1316" s="81"/>
      <c r="O1316" s="81"/>
      <c r="P1316" s="82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1</v>
      </c>
      <c r="R1316" s="82" t="s">
        <v>508</v>
      </c>
      <c r="S1316" s="71"/>
    </row>
    <row r="1317" spans="1:19">
      <c r="A1317" s="74" t="s">
        <v>3462</v>
      </c>
      <c r="B1317" s="71" t="str">
        <f>IFERROR(VLOOKUP(Proc[[#This Row],[App]],Table2[],3,0),"open")</f>
        <v>open</v>
      </c>
      <c r="C1317" s="74" t="s">
        <v>370</v>
      </c>
      <c r="D1317" t="s">
        <v>3440</v>
      </c>
      <c r="E1317" t="s">
        <v>3422</v>
      </c>
      <c r="F1317" s="71"/>
      <c r="G1317" s="74" t="s">
        <v>400</v>
      </c>
      <c r="H1317" s="71" t="str">
        <f>IF(Proc[[#This Row],[type]]="LFF (MDG-F)",MID(Proc[[#This Row],[Obj]],13,10),"")</f>
        <v/>
      </c>
      <c r="I1317" t="s">
        <v>3460</v>
      </c>
      <c r="J1317" s="71" t="b">
        <f>Proc[[#This Row],[Requested]]=Proc[[#This Row],[CurrentParent]]</f>
        <v>0</v>
      </c>
      <c r="K1317" s="71" t="str">
        <f>IF(Proc[[#This Row],[Author]]="Marcela Urrego",VLOOKUP(LEFT(Proc[[#This Row],[Requested]],1),Table3[#All],2,0),VLOOKUP(Proc[[#This Row],[Author]],Table4[],2,0))</f>
        <v>LS</v>
      </c>
      <c r="L1317" s="71" t="s">
        <v>2841</v>
      </c>
      <c r="M1317" s="81">
        <v>45789.517060185186</v>
      </c>
      <c r="N1317" s="81"/>
      <c r="O1317" s="81"/>
      <c r="P1317" s="82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1</v>
      </c>
      <c r="R1317" s="82" t="s">
        <v>508</v>
      </c>
      <c r="S1317" s="71"/>
    </row>
    <row r="1318" spans="1:19">
      <c r="A1318" s="74" t="s">
        <v>3462</v>
      </c>
      <c r="B1318" s="71" t="str">
        <f>IFERROR(VLOOKUP(Proc[[#This Row],[App]],Table2[],3,0),"open")</f>
        <v>open</v>
      </c>
      <c r="C1318" s="74" t="s">
        <v>370</v>
      </c>
      <c r="D1318" t="s">
        <v>3441</v>
      </c>
      <c r="E1318" t="s">
        <v>3422</v>
      </c>
      <c r="F1318" s="71"/>
      <c r="G1318" s="74" t="s">
        <v>400</v>
      </c>
      <c r="H1318" s="71" t="str">
        <f>IF(Proc[[#This Row],[type]]="LFF (MDG-F)",MID(Proc[[#This Row],[Obj]],13,10),"")</f>
        <v/>
      </c>
      <c r="I1318" t="s">
        <v>3460</v>
      </c>
      <c r="J1318" s="71" t="b">
        <f>Proc[[#This Row],[Requested]]=Proc[[#This Row],[CurrentParent]]</f>
        <v>0</v>
      </c>
      <c r="K1318" s="71" t="str">
        <f>IF(Proc[[#This Row],[Author]]="Marcela Urrego",VLOOKUP(LEFT(Proc[[#This Row],[Requested]],1),Table3[#All],2,0),VLOOKUP(Proc[[#This Row],[Author]],Table4[],2,0))</f>
        <v>LS</v>
      </c>
      <c r="L1318" s="71" t="s">
        <v>2841</v>
      </c>
      <c r="M1318" s="81">
        <v>45789.517060185186</v>
      </c>
      <c r="N1318" s="81"/>
      <c r="O1318" s="81"/>
      <c r="P1318" s="82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1</v>
      </c>
      <c r="R1318" s="82" t="s">
        <v>508</v>
      </c>
      <c r="S1318" s="71"/>
    </row>
    <row r="1319" spans="1:19">
      <c r="A1319" s="74" t="s">
        <v>3462</v>
      </c>
      <c r="B1319" s="71" t="str">
        <f>IFERROR(VLOOKUP(Proc[[#This Row],[App]],Table2[],3,0),"open")</f>
        <v>open</v>
      </c>
      <c r="C1319" s="74" t="s">
        <v>370</v>
      </c>
      <c r="D1319" t="s">
        <v>3442</v>
      </c>
      <c r="E1319" t="s">
        <v>3422</v>
      </c>
      <c r="F1319" s="71"/>
      <c r="G1319" s="74" t="s">
        <v>400</v>
      </c>
      <c r="H1319" s="71" t="str">
        <f>IF(Proc[[#This Row],[type]]="LFF (MDG-F)",MID(Proc[[#This Row],[Obj]],13,10),"")</f>
        <v/>
      </c>
      <c r="I1319" t="s">
        <v>3460</v>
      </c>
      <c r="J1319" s="71" t="b">
        <f>Proc[[#This Row],[Requested]]=Proc[[#This Row],[CurrentParent]]</f>
        <v>0</v>
      </c>
      <c r="K1319" s="71" t="str">
        <f>IF(Proc[[#This Row],[Author]]="Marcela Urrego",VLOOKUP(LEFT(Proc[[#This Row],[Requested]],1),Table3[#All],2,0),VLOOKUP(Proc[[#This Row],[Author]],Table4[],2,0))</f>
        <v>LS</v>
      </c>
      <c r="L1319" s="71" t="s">
        <v>2841</v>
      </c>
      <c r="M1319" s="81">
        <v>45789.517060185186</v>
      </c>
      <c r="N1319" s="81"/>
      <c r="O1319" s="81"/>
      <c r="P1319" s="82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1</v>
      </c>
      <c r="R1319" s="82" t="s">
        <v>508</v>
      </c>
      <c r="S1319" s="71"/>
    </row>
    <row r="1320" spans="1:19">
      <c r="A1320" s="74" t="s">
        <v>3462</v>
      </c>
      <c r="B1320" s="71" t="str">
        <f>IFERROR(VLOOKUP(Proc[[#This Row],[App]],Table2[],3,0),"open")</f>
        <v>open</v>
      </c>
      <c r="C1320" s="74" t="s">
        <v>370</v>
      </c>
      <c r="D1320" t="s">
        <v>3443</v>
      </c>
      <c r="E1320" t="s">
        <v>3422</v>
      </c>
      <c r="F1320" s="71"/>
      <c r="G1320" s="74" t="s">
        <v>400</v>
      </c>
      <c r="H1320" s="71" t="str">
        <f>IF(Proc[[#This Row],[type]]="LFF (MDG-F)",MID(Proc[[#This Row],[Obj]],13,10),"")</f>
        <v/>
      </c>
      <c r="I1320" t="s">
        <v>3460</v>
      </c>
      <c r="J1320" s="71" t="b">
        <f>Proc[[#This Row],[Requested]]=Proc[[#This Row],[CurrentParent]]</f>
        <v>0</v>
      </c>
      <c r="K1320" s="71" t="str">
        <f>IF(Proc[[#This Row],[Author]]="Marcela Urrego",VLOOKUP(LEFT(Proc[[#This Row],[Requested]],1),Table3[#All],2,0),VLOOKUP(Proc[[#This Row],[Author]],Table4[],2,0))</f>
        <v>LS</v>
      </c>
      <c r="L1320" s="71" t="s">
        <v>2841</v>
      </c>
      <c r="M1320" s="81">
        <v>45789.517060185186</v>
      </c>
      <c r="N1320" s="81"/>
      <c r="O1320" s="81"/>
      <c r="P1320" s="82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1</v>
      </c>
      <c r="R1320" s="82" t="s">
        <v>508</v>
      </c>
      <c r="S1320" s="71"/>
    </row>
    <row r="1321" spans="1:19">
      <c r="A1321" s="74" t="s">
        <v>3462</v>
      </c>
      <c r="B1321" s="71" t="str">
        <f>IFERROR(VLOOKUP(Proc[[#This Row],[App]],Table2[],3,0),"open")</f>
        <v>open</v>
      </c>
      <c r="C1321" s="74" t="s">
        <v>370</v>
      </c>
      <c r="D1321" t="s">
        <v>3444</v>
      </c>
      <c r="E1321" t="s">
        <v>3422</v>
      </c>
      <c r="F1321" s="71"/>
      <c r="G1321" s="74" t="s">
        <v>400</v>
      </c>
      <c r="H1321" s="71" t="str">
        <f>IF(Proc[[#This Row],[type]]="LFF (MDG-F)",MID(Proc[[#This Row],[Obj]],13,10),"")</f>
        <v/>
      </c>
      <c r="I1321" t="s">
        <v>3460</v>
      </c>
      <c r="J1321" s="71" t="b">
        <f>Proc[[#This Row],[Requested]]=Proc[[#This Row],[CurrentParent]]</f>
        <v>0</v>
      </c>
      <c r="K1321" s="71" t="str">
        <f>IF(Proc[[#This Row],[Author]]="Marcela Urrego",VLOOKUP(LEFT(Proc[[#This Row],[Requested]],1),Table3[#All],2,0),VLOOKUP(Proc[[#This Row],[Author]],Table4[],2,0))</f>
        <v>LS</v>
      </c>
      <c r="L1321" s="71" t="s">
        <v>2841</v>
      </c>
      <c r="M1321" s="81">
        <v>45789.517060185186</v>
      </c>
      <c r="N1321" s="81"/>
      <c r="O1321" s="81"/>
      <c r="P1321" s="82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1</v>
      </c>
      <c r="R1321" s="82" t="s">
        <v>508</v>
      </c>
      <c r="S1321" s="71"/>
    </row>
    <row r="1322" spans="1:19">
      <c r="A1322" s="74" t="s">
        <v>3462</v>
      </c>
      <c r="B1322" s="71" t="str">
        <f>IFERROR(VLOOKUP(Proc[[#This Row],[App]],Table2[],3,0),"open")</f>
        <v>open</v>
      </c>
      <c r="C1322" s="74" t="s">
        <v>370</v>
      </c>
      <c r="D1322" t="s">
        <v>3445</v>
      </c>
      <c r="E1322" t="s">
        <v>3422</v>
      </c>
      <c r="F1322" s="71"/>
      <c r="G1322" s="74" t="s">
        <v>400</v>
      </c>
      <c r="H1322" s="71" t="str">
        <f>IF(Proc[[#This Row],[type]]="LFF (MDG-F)",MID(Proc[[#This Row],[Obj]],13,10),"")</f>
        <v/>
      </c>
      <c r="I1322" t="s">
        <v>3460</v>
      </c>
      <c r="J1322" s="71" t="b">
        <f>Proc[[#This Row],[Requested]]=Proc[[#This Row],[CurrentParent]]</f>
        <v>0</v>
      </c>
      <c r="K1322" s="71" t="str">
        <f>IF(Proc[[#This Row],[Author]]="Marcela Urrego",VLOOKUP(LEFT(Proc[[#This Row],[Requested]],1),Table3[#All],2,0),VLOOKUP(Proc[[#This Row],[Author]],Table4[],2,0))</f>
        <v>LS</v>
      </c>
      <c r="L1322" s="71" t="s">
        <v>2841</v>
      </c>
      <c r="M1322" s="81">
        <v>45789.517060185186</v>
      </c>
      <c r="N1322" s="81"/>
      <c r="O1322" s="81"/>
      <c r="P1322" s="82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1</v>
      </c>
      <c r="R1322" s="82" t="s">
        <v>508</v>
      </c>
      <c r="S1322" s="71"/>
    </row>
    <row r="1323" spans="1:19">
      <c r="A1323" s="74" t="s">
        <v>3462</v>
      </c>
      <c r="B1323" s="71" t="str">
        <f>IFERROR(VLOOKUP(Proc[[#This Row],[App]],Table2[],3,0),"open")</f>
        <v>open</v>
      </c>
      <c r="C1323" s="74" t="s">
        <v>370</v>
      </c>
      <c r="D1323" t="s">
        <v>3446</v>
      </c>
      <c r="E1323" t="s">
        <v>3422</v>
      </c>
      <c r="F1323" s="71"/>
      <c r="G1323" s="74" t="s">
        <v>400</v>
      </c>
      <c r="H1323" s="71" t="str">
        <f>IF(Proc[[#This Row],[type]]="LFF (MDG-F)",MID(Proc[[#This Row],[Obj]],13,10),"")</f>
        <v/>
      </c>
      <c r="I1323" t="s">
        <v>3460</v>
      </c>
      <c r="J1323" s="71" t="b">
        <f>Proc[[#This Row],[Requested]]=Proc[[#This Row],[CurrentParent]]</f>
        <v>0</v>
      </c>
      <c r="K1323" s="71" t="str">
        <f>IF(Proc[[#This Row],[Author]]="Marcela Urrego",VLOOKUP(LEFT(Proc[[#This Row],[Requested]],1),Table3[#All],2,0),VLOOKUP(Proc[[#This Row],[Author]],Table4[],2,0))</f>
        <v>LS</v>
      </c>
      <c r="L1323" s="71" t="s">
        <v>2841</v>
      </c>
      <c r="M1323" s="81">
        <v>45789.517060185186</v>
      </c>
      <c r="N1323" s="81"/>
      <c r="O1323" s="81"/>
      <c r="P1323" s="82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1</v>
      </c>
      <c r="R1323" s="82" t="s">
        <v>508</v>
      </c>
      <c r="S1323" s="71"/>
    </row>
    <row r="1324" spans="1:19">
      <c r="A1324" s="74" t="s">
        <v>3462</v>
      </c>
      <c r="B1324" s="71" t="str">
        <f>IFERROR(VLOOKUP(Proc[[#This Row],[App]],Table2[],3,0),"open")</f>
        <v>open</v>
      </c>
      <c r="C1324" s="74" t="s">
        <v>370</v>
      </c>
      <c r="D1324" t="s">
        <v>3447</v>
      </c>
      <c r="E1324" t="s">
        <v>3422</v>
      </c>
      <c r="F1324" s="71"/>
      <c r="G1324" s="74" t="s">
        <v>400</v>
      </c>
      <c r="H1324" s="71" t="str">
        <f>IF(Proc[[#This Row],[type]]="LFF (MDG-F)",MID(Proc[[#This Row],[Obj]],13,10),"")</f>
        <v/>
      </c>
      <c r="I1324" t="s">
        <v>3460</v>
      </c>
      <c r="J1324" s="71" t="b">
        <f>Proc[[#This Row],[Requested]]=Proc[[#This Row],[CurrentParent]]</f>
        <v>0</v>
      </c>
      <c r="K1324" s="71" t="str">
        <f>IF(Proc[[#This Row],[Author]]="Marcela Urrego",VLOOKUP(LEFT(Proc[[#This Row],[Requested]],1),Table3[#All],2,0),VLOOKUP(Proc[[#This Row],[Author]],Table4[],2,0))</f>
        <v>LS</v>
      </c>
      <c r="L1324" s="71" t="s">
        <v>2841</v>
      </c>
      <c r="M1324" s="81">
        <v>45789.517060185186</v>
      </c>
      <c r="N1324" s="81"/>
      <c r="O1324" s="81"/>
      <c r="P1324" s="82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1</v>
      </c>
      <c r="R1324" s="82" t="s">
        <v>508</v>
      </c>
      <c r="S1324" s="71"/>
    </row>
    <row r="1325" spans="1:19">
      <c r="A1325" s="74" t="s">
        <v>3462</v>
      </c>
      <c r="B1325" s="71" t="str">
        <f>IFERROR(VLOOKUP(Proc[[#This Row],[App]],Table2[],3,0),"open")</f>
        <v>open</v>
      </c>
      <c r="C1325" s="74" t="s">
        <v>370</v>
      </c>
      <c r="D1325" t="s">
        <v>3448</v>
      </c>
      <c r="E1325" t="s">
        <v>3422</v>
      </c>
      <c r="F1325" s="71"/>
      <c r="G1325" s="74" t="s">
        <v>400</v>
      </c>
      <c r="H1325" s="71" t="str">
        <f>IF(Proc[[#This Row],[type]]="LFF (MDG-F)",MID(Proc[[#This Row],[Obj]],13,10),"")</f>
        <v/>
      </c>
      <c r="I1325" t="s">
        <v>3460</v>
      </c>
      <c r="J1325" s="71" t="b">
        <f>Proc[[#This Row],[Requested]]=Proc[[#This Row],[CurrentParent]]</f>
        <v>0</v>
      </c>
      <c r="K1325" s="71" t="str">
        <f>IF(Proc[[#This Row],[Author]]="Marcela Urrego",VLOOKUP(LEFT(Proc[[#This Row],[Requested]],1),Table3[#All],2,0),VLOOKUP(Proc[[#This Row],[Author]],Table4[],2,0))</f>
        <v>LS</v>
      </c>
      <c r="L1325" s="71" t="s">
        <v>2841</v>
      </c>
      <c r="M1325" s="81">
        <v>45789.517060185186</v>
      </c>
      <c r="N1325" s="81"/>
      <c r="O1325" s="81"/>
      <c r="P1325" s="82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1</v>
      </c>
      <c r="R1325" s="82" t="s">
        <v>508</v>
      </c>
      <c r="S1325" s="71"/>
    </row>
    <row r="1326" spans="1:19">
      <c r="A1326" s="74" t="s">
        <v>3462</v>
      </c>
      <c r="B1326" s="71" t="str">
        <f>IFERROR(VLOOKUP(Proc[[#This Row],[App]],Table2[],3,0),"open")</f>
        <v>open</v>
      </c>
      <c r="C1326" s="74" t="s">
        <v>370</v>
      </c>
      <c r="D1326" t="s">
        <v>3449</v>
      </c>
      <c r="E1326" t="s">
        <v>3422</v>
      </c>
      <c r="F1326" s="71"/>
      <c r="G1326" s="74" t="s">
        <v>400</v>
      </c>
      <c r="H1326" s="71" t="str">
        <f>IF(Proc[[#This Row],[type]]="LFF (MDG-F)",MID(Proc[[#This Row],[Obj]],13,10),"")</f>
        <v/>
      </c>
      <c r="I1326" t="s">
        <v>3461</v>
      </c>
      <c r="J1326" s="71" t="b">
        <f>Proc[[#This Row],[Requested]]=Proc[[#This Row],[CurrentParent]]</f>
        <v>0</v>
      </c>
      <c r="K1326" s="71" t="str">
        <f>IF(Proc[[#This Row],[Author]]="Marcela Urrego",VLOOKUP(LEFT(Proc[[#This Row],[Requested]],1),Table3[#All],2,0),VLOOKUP(Proc[[#This Row],[Author]],Table4[],2,0))</f>
        <v>LS</v>
      </c>
      <c r="L1326" s="71" t="s">
        <v>2841</v>
      </c>
      <c r="M1326" s="81">
        <v>45789.517060185186</v>
      </c>
      <c r="N1326" s="81"/>
      <c r="O1326" s="81"/>
      <c r="P1326" s="82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1</v>
      </c>
      <c r="R1326" s="82" t="s">
        <v>508</v>
      </c>
      <c r="S1326" s="71"/>
    </row>
    <row r="1327" spans="1:19">
      <c r="A1327" s="74" t="s">
        <v>3462</v>
      </c>
      <c r="B1327" s="71" t="str">
        <f>IFERROR(VLOOKUP(Proc[[#This Row],[App]],Table2[],3,0),"open")</f>
        <v>open</v>
      </c>
      <c r="C1327" s="74" t="s">
        <v>370</v>
      </c>
      <c r="D1327" t="s">
        <v>3450</v>
      </c>
      <c r="E1327" t="s">
        <v>3422</v>
      </c>
      <c r="F1327" s="71"/>
      <c r="G1327" s="74" t="s">
        <v>400</v>
      </c>
      <c r="H1327" s="71" t="str">
        <f>IF(Proc[[#This Row],[type]]="LFF (MDG-F)",MID(Proc[[#This Row],[Obj]],13,10),"")</f>
        <v/>
      </c>
      <c r="I1327" t="s">
        <v>3461</v>
      </c>
      <c r="J1327" s="71" t="b">
        <f>Proc[[#This Row],[Requested]]=Proc[[#This Row],[CurrentParent]]</f>
        <v>0</v>
      </c>
      <c r="K1327" s="71" t="str">
        <f>IF(Proc[[#This Row],[Author]]="Marcela Urrego",VLOOKUP(LEFT(Proc[[#This Row],[Requested]],1),Table3[#All],2,0),VLOOKUP(Proc[[#This Row],[Author]],Table4[],2,0))</f>
        <v>LS</v>
      </c>
      <c r="L1327" s="71" t="s">
        <v>2841</v>
      </c>
      <c r="M1327" s="81">
        <v>45789.517060185186</v>
      </c>
      <c r="N1327" s="81"/>
      <c r="O1327" s="81"/>
      <c r="P1327" s="82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1</v>
      </c>
      <c r="R1327" s="82" t="s">
        <v>508</v>
      </c>
      <c r="S1327" s="71"/>
    </row>
    <row r="1328" spans="1:19">
      <c r="A1328" s="74" t="s">
        <v>3462</v>
      </c>
      <c r="B1328" s="71" t="str">
        <f>IFERROR(VLOOKUP(Proc[[#This Row],[App]],Table2[],3,0),"open")</f>
        <v>open</v>
      </c>
      <c r="C1328" s="74" t="s">
        <v>370</v>
      </c>
      <c r="D1328" t="s">
        <v>3451</v>
      </c>
      <c r="E1328" t="s">
        <v>3422</v>
      </c>
      <c r="F1328" s="71"/>
      <c r="G1328" s="74" t="s">
        <v>400</v>
      </c>
      <c r="H1328" s="71" t="str">
        <f>IF(Proc[[#This Row],[type]]="LFF (MDG-F)",MID(Proc[[#This Row],[Obj]],13,10),"")</f>
        <v/>
      </c>
      <c r="I1328" t="s">
        <v>3461</v>
      </c>
      <c r="J1328" s="71" t="b">
        <f>Proc[[#This Row],[Requested]]=Proc[[#This Row],[CurrentParent]]</f>
        <v>0</v>
      </c>
      <c r="K1328" s="71" t="str">
        <f>IF(Proc[[#This Row],[Author]]="Marcela Urrego",VLOOKUP(LEFT(Proc[[#This Row],[Requested]],1),Table3[#All],2,0),VLOOKUP(Proc[[#This Row],[Author]],Table4[],2,0))</f>
        <v>LS</v>
      </c>
      <c r="L1328" s="71" t="s">
        <v>2841</v>
      </c>
      <c r="M1328" s="81">
        <v>45789.517060185186</v>
      </c>
      <c r="N1328" s="81"/>
      <c r="O1328" s="81"/>
      <c r="P1328" s="82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1</v>
      </c>
      <c r="R1328" s="82" t="s">
        <v>508</v>
      </c>
      <c r="S1328" s="71"/>
    </row>
    <row r="1329" spans="1:19">
      <c r="A1329" s="74" t="s">
        <v>3462</v>
      </c>
      <c r="B1329" s="71" t="str">
        <f>IFERROR(VLOOKUP(Proc[[#This Row],[App]],Table2[],3,0),"open")</f>
        <v>open</v>
      </c>
      <c r="C1329" s="74" t="s">
        <v>370</v>
      </c>
      <c r="D1329" t="s">
        <v>3452</v>
      </c>
      <c r="E1329" t="s">
        <v>3422</v>
      </c>
      <c r="F1329" s="71"/>
      <c r="G1329" s="74" t="s">
        <v>400</v>
      </c>
      <c r="H1329" s="71" t="str">
        <f>IF(Proc[[#This Row],[type]]="LFF (MDG-F)",MID(Proc[[#This Row],[Obj]],13,10),"")</f>
        <v/>
      </c>
      <c r="I1329" t="s">
        <v>3461</v>
      </c>
      <c r="J1329" s="71" t="b">
        <f>Proc[[#This Row],[Requested]]=Proc[[#This Row],[CurrentParent]]</f>
        <v>0</v>
      </c>
      <c r="K1329" s="71" t="str">
        <f>IF(Proc[[#This Row],[Author]]="Marcela Urrego",VLOOKUP(LEFT(Proc[[#This Row],[Requested]],1),Table3[#All],2,0),VLOOKUP(Proc[[#This Row],[Author]],Table4[],2,0))</f>
        <v>LS</v>
      </c>
      <c r="L1329" s="71" t="s">
        <v>2841</v>
      </c>
      <c r="M1329" s="81">
        <v>45789.517060185186</v>
      </c>
      <c r="N1329" s="81"/>
      <c r="O1329" s="81"/>
      <c r="P1329" s="82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1</v>
      </c>
      <c r="R1329" s="82" t="s">
        <v>508</v>
      </c>
      <c r="S1329" s="71"/>
    </row>
    <row r="1330" spans="1:19">
      <c r="A1330" s="74" t="s">
        <v>3462</v>
      </c>
      <c r="B1330" s="71" t="str">
        <f>IFERROR(VLOOKUP(Proc[[#This Row],[App]],Table2[],3,0),"open")</f>
        <v>open</v>
      </c>
      <c r="C1330" s="74" t="s">
        <v>370</v>
      </c>
      <c r="D1330" t="s">
        <v>3453</v>
      </c>
      <c r="E1330" t="s">
        <v>3422</v>
      </c>
      <c r="F1330" s="71"/>
      <c r="G1330" s="74" t="s">
        <v>400</v>
      </c>
      <c r="H1330" s="71" t="str">
        <f>IF(Proc[[#This Row],[type]]="LFF (MDG-F)",MID(Proc[[#This Row],[Obj]],13,10),"")</f>
        <v/>
      </c>
      <c r="I1330" t="s">
        <v>3461</v>
      </c>
      <c r="J1330" s="71" t="b">
        <f>Proc[[#This Row],[Requested]]=Proc[[#This Row],[CurrentParent]]</f>
        <v>0</v>
      </c>
      <c r="K1330" s="71" t="str">
        <f>IF(Proc[[#This Row],[Author]]="Marcela Urrego",VLOOKUP(LEFT(Proc[[#This Row],[Requested]],1),Table3[#All],2,0),VLOOKUP(Proc[[#This Row],[Author]],Table4[],2,0))</f>
        <v>LS</v>
      </c>
      <c r="L1330" s="71" t="s">
        <v>2841</v>
      </c>
      <c r="M1330" s="81">
        <v>45789.517060185186</v>
      </c>
      <c r="N1330" s="81"/>
      <c r="O1330" s="81"/>
      <c r="P1330" s="82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1</v>
      </c>
      <c r="R1330" s="82" t="s">
        <v>508</v>
      </c>
      <c r="S1330" s="71"/>
    </row>
    <row r="1331" spans="1:19">
      <c r="A1331" s="74" t="s">
        <v>3462</v>
      </c>
      <c r="B1331" s="71" t="str">
        <f>IFERROR(VLOOKUP(Proc[[#This Row],[App]],Table2[],3,0),"open")</f>
        <v>open</v>
      </c>
      <c r="C1331" s="74" t="s">
        <v>370</v>
      </c>
      <c r="D1331" t="s">
        <v>3454</v>
      </c>
      <c r="E1331" t="s">
        <v>3422</v>
      </c>
      <c r="F1331" s="71"/>
      <c r="G1331" s="74" t="s">
        <v>400</v>
      </c>
      <c r="H1331" s="71" t="str">
        <f>IF(Proc[[#This Row],[type]]="LFF (MDG-F)",MID(Proc[[#This Row],[Obj]],13,10),"")</f>
        <v/>
      </c>
      <c r="I1331" t="s">
        <v>3461</v>
      </c>
      <c r="J1331" s="71" t="b">
        <f>Proc[[#This Row],[Requested]]=Proc[[#This Row],[CurrentParent]]</f>
        <v>0</v>
      </c>
      <c r="K1331" s="71" t="str">
        <f>IF(Proc[[#This Row],[Author]]="Marcela Urrego",VLOOKUP(LEFT(Proc[[#This Row],[Requested]],1),Table3[#All],2,0),VLOOKUP(Proc[[#This Row],[Author]],Table4[],2,0))</f>
        <v>LS</v>
      </c>
      <c r="L1331" s="71" t="s">
        <v>2841</v>
      </c>
      <c r="M1331" s="81">
        <v>45789.517060185186</v>
      </c>
      <c r="N1331" s="81"/>
      <c r="O1331" s="81"/>
      <c r="P1331" s="82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1</v>
      </c>
      <c r="R1331" s="82" t="s">
        <v>508</v>
      </c>
      <c r="S1331" s="71"/>
    </row>
    <row r="1332" spans="1:19">
      <c r="A1332" s="74" t="s">
        <v>3462</v>
      </c>
      <c r="B1332" s="71" t="str">
        <f>IFERROR(VLOOKUP(Proc[[#This Row],[App]],Table2[],3,0),"open")</f>
        <v>open</v>
      </c>
      <c r="C1332" s="74" t="s">
        <v>370</v>
      </c>
      <c r="D1332" t="s">
        <v>3455</v>
      </c>
      <c r="E1332" t="s">
        <v>3422</v>
      </c>
      <c r="F1332" s="71"/>
      <c r="G1332" s="74" t="s">
        <v>400</v>
      </c>
      <c r="H1332" s="71" t="str">
        <f>IF(Proc[[#This Row],[type]]="LFF (MDG-F)",MID(Proc[[#This Row],[Obj]],13,10),"")</f>
        <v/>
      </c>
      <c r="I1332" t="s">
        <v>3461</v>
      </c>
      <c r="J1332" s="71" t="b">
        <f>Proc[[#This Row],[Requested]]=Proc[[#This Row],[CurrentParent]]</f>
        <v>0</v>
      </c>
      <c r="K1332" s="71" t="str">
        <f>IF(Proc[[#This Row],[Author]]="Marcela Urrego",VLOOKUP(LEFT(Proc[[#This Row],[Requested]],1),Table3[#All],2,0),VLOOKUP(Proc[[#This Row],[Author]],Table4[],2,0))</f>
        <v>LS</v>
      </c>
      <c r="L1332" s="71" t="s">
        <v>2841</v>
      </c>
      <c r="M1332" s="81">
        <v>45789.517060185186</v>
      </c>
      <c r="N1332" s="81"/>
      <c r="O1332" s="81"/>
      <c r="P1332" s="82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1</v>
      </c>
      <c r="R1332" s="82" t="s">
        <v>508</v>
      </c>
      <c r="S1332" s="71"/>
    </row>
    <row r="1333" spans="1:19">
      <c r="A1333" s="74" t="s">
        <v>3462</v>
      </c>
      <c r="B1333" s="71" t="str">
        <f>IFERROR(VLOOKUP(Proc[[#This Row],[App]],Table2[],3,0),"open")</f>
        <v>open</v>
      </c>
      <c r="C1333" s="74" t="s">
        <v>370</v>
      </c>
      <c r="D1333" t="s">
        <v>3456</v>
      </c>
      <c r="E1333" t="s">
        <v>3422</v>
      </c>
      <c r="F1333" s="71"/>
      <c r="G1333" s="74" t="s">
        <v>400</v>
      </c>
      <c r="H1333" s="71" t="str">
        <f>IF(Proc[[#This Row],[type]]="LFF (MDG-F)",MID(Proc[[#This Row],[Obj]],13,10),"")</f>
        <v/>
      </c>
      <c r="I1333" t="s">
        <v>3461</v>
      </c>
      <c r="J1333" s="71" t="b">
        <f>Proc[[#This Row],[Requested]]=Proc[[#This Row],[CurrentParent]]</f>
        <v>0</v>
      </c>
      <c r="K1333" s="71" t="str">
        <f>IF(Proc[[#This Row],[Author]]="Marcela Urrego",VLOOKUP(LEFT(Proc[[#This Row],[Requested]],1),Table3[#All],2,0),VLOOKUP(Proc[[#This Row],[Author]],Table4[],2,0))</f>
        <v>LS</v>
      </c>
      <c r="L1333" s="71" t="s">
        <v>2841</v>
      </c>
      <c r="M1333" s="81">
        <v>45789.517060185186</v>
      </c>
      <c r="N1333" s="81"/>
      <c r="O1333" s="81"/>
      <c r="P1333" s="82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1</v>
      </c>
      <c r="R1333" s="82" t="s">
        <v>508</v>
      </c>
      <c r="S1333" s="71"/>
    </row>
    <row r="1334" spans="1:19">
      <c r="A1334" s="74" t="s">
        <v>3462</v>
      </c>
      <c r="B1334" s="71" t="str">
        <f>IFERROR(VLOOKUP(Proc[[#This Row],[App]],Table2[],3,0),"open")</f>
        <v>open</v>
      </c>
      <c r="C1334" s="74" t="s">
        <v>370</v>
      </c>
      <c r="D1334" t="s">
        <v>3457</v>
      </c>
      <c r="E1334" t="s">
        <v>3422</v>
      </c>
      <c r="F1334" s="71"/>
      <c r="G1334" s="74" t="s">
        <v>400</v>
      </c>
      <c r="H1334" s="71" t="str">
        <f>IF(Proc[[#This Row],[type]]="LFF (MDG-F)",MID(Proc[[#This Row],[Obj]],13,10),"")</f>
        <v/>
      </c>
      <c r="I1334" t="s">
        <v>3461</v>
      </c>
      <c r="J1334" s="71" t="b">
        <f>Proc[[#This Row],[Requested]]=Proc[[#This Row],[CurrentParent]]</f>
        <v>0</v>
      </c>
      <c r="K1334" s="71" t="str">
        <f>IF(Proc[[#This Row],[Author]]="Marcela Urrego",VLOOKUP(LEFT(Proc[[#This Row],[Requested]],1),Table3[#All],2,0),VLOOKUP(Proc[[#This Row],[Author]],Table4[],2,0))</f>
        <v>LS</v>
      </c>
      <c r="L1334" s="71" t="s">
        <v>2841</v>
      </c>
      <c r="M1334" s="81">
        <v>45789.517060185186</v>
      </c>
      <c r="N1334" s="81"/>
      <c r="O1334" s="81"/>
      <c r="P1334" s="82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1</v>
      </c>
      <c r="R1334" s="82" t="s">
        <v>508</v>
      </c>
      <c r="S1334" s="71"/>
    </row>
    <row r="1335" spans="1:19" hidden="1">
      <c r="A1335" t="s">
        <v>3480</v>
      </c>
      <c r="B1335" s="71" t="str">
        <f>IFERROR(VLOOKUP(Proc[[#This Row],[App]],Table2[],3,0),"open")</f>
        <v>ok</v>
      </c>
      <c r="C1335" s="74" t="s">
        <v>369</v>
      </c>
      <c r="D1335" t="s">
        <v>3463</v>
      </c>
      <c r="E1335" t="s">
        <v>2878</v>
      </c>
      <c r="F1335" s="71"/>
      <c r="G1335" s="74" t="s">
        <v>400</v>
      </c>
      <c r="H1335" s="71" t="str">
        <f>IF(Proc[[#This Row],[type]]="LFF (MDG-F)",MID(Proc[[#This Row],[Obj]],13,10),"")</f>
        <v/>
      </c>
      <c r="J1335" s="71" t="b">
        <f>Proc[[#This Row],[Requested]]=Proc[[#This Row],[CurrentParent]]</f>
        <v>0</v>
      </c>
      <c r="K1335" s="71" t="str">
        <f>IF(Proc[[#This Row],[Author]]="Marcela Urrego",VLOOKUP(LEFT(Proc[[#This Row],[Requested]],1),Table3[#All],2,0),VLOOKUP(Proc[[#This Row],[Author]],Table4[],2,0))</f>
        <v>LS</v>
      </c>
      <c r="L1335" s="71" t="s">
        <v>2841</v>
      </c>
      <c r="M1335" s="81">
        <v>45789.484120370369</v>
      </c>
      <c r="N1335" s="81">
        <v>45790</v>
      </c>
      <c r="O1335" s="81">
        <v>45790</v>
      </c>
      <c r="P1335" s="82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2" t="s">
        <v>508</v>
      </c>
      <c r="S1335" s="71"/>
    </row>
    <row r="1336" spans="1:19" hidden="1">
      <c r="A1336" s="74" t="s">
        <v>3480</v>
      </c>
      <c r="B1336" s="71" t="str">
        <f>IFERROR(VLOOKUP(Proc[[#This Row],[App]],Table2[],3,0),"open")</f>
        <v>ok</v>
      </c>
      <c r="C1336" s="74" t="s">
        <v>369</v>
      </c>
      <c r="D1336" t="s">
        <v>3464</v>
      </c>
      <c r="E1336" t="s">
        <v>2878</v>
      </c>
      <c r="F1336" s="71"/>
      <c r="G1336" s="74" t="s">
        <v>400</v>
      </c>
      <c r="H1336" s="71" t="str">
        <f>IF(Proc[[#This Row],[type]]="LFF (MDG-F)",MID(Proc[[#This Row],[Obj]],13,10),"")</f>
        <v/>
      </c>
      <c r="J1336" s="71" t="b">
        <f>Proc[[#This Row],[Requested]]=Proc[[#This Row],[CurrentParent]]</f>
        <v>0</v>
      </c>
      <c r="K1336" s="71" t="str">
        <f>IF(Proc[[#This Row],[Author]]="Marcela Urrego",VLOOKUP(LEFT(Proc[[#This Row],[Requested]],1),Table3[#All],2,0),VLOOKUP(Proc[[#This Row],[Author]],Table4[],2,0))</f>
        <v>LS</v>
      </c>
      <c r="L1336" s="71" t="s">
        <v>2841</v>
      </c>
      <c r="M1336" s="81">
        <v>45789.484120370369</v>
      </c>
      <c r="N1336" s="81">
        <v>45790</v>
      </c>
      <c r="O1336" s="81">
        <v>45790</v>
      </c>
      <c r="P1336" s="82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2" t="s">
        <v>508</v>
      </c>
      <c r="S1336" s="71"/>
    </row>
    <row r="1337" spans="1:19" hidden="1">
      <c r="A1337" s="74" t="s">
        <v>3480</v>
      </c>
      <c r="B1337" s="71" t="str">
        <f>IFERROR(VLOOKUP(Proc[[#This Row],[App]],Table2[],3,0),"open")</f>
        <v>ok</v>
      </c>
      <c r="C1337" s="74" t="s">
        <v>369</v>
      </c>
      <c r="D1337" t="s">
        <v>3465</v>
      </c>
      <c r="E1337" t="s">
        <v>2878</v>
      </c>
      <c r="F1337" s="71"/>
      <c r="G1337" s="74" t="s">
        <v>400</v>
      </c>
      <c r="H1337" s="71" t="str">
        <f>IF(Proc[[#This Row],[type]]="LFF (MDG-F)",MID(Proc[[#This Row],[Obj]],13,10),"")</f>
        <v/>
      </c>
      <c r="J1337" s="71" t="b">
        <f>Proc[[#This Row],[Requested]]=Proc[[#This Row],[CurrentParent]]</f>
        <v>0</v>
      </c>
      <c r="K1337" s="71" t="str">
        <f>IF(Proc[[#This Row],[Author]]="Marcela Urrego",VLOOKUP(LEFT(Proc[[#This Row],[Requested]],1),Table3[#All],2,0),VLOOKUP(Proc[[#This Row],[Author]],Table4[],2,0))</f>
        <v>LS</v>
      </c>
      <c r="L1337" s="71" t="s">
        <v>2841</v>
      </c>
      <c r="M1337" s="81">
        <v>45789.484120370369</v>
      </c>
      <c r="N1337" s="81">
        <v>45790</v>
      </c>
      <c r="O1337" s="81">
        <v>45790</v>
      </c>
      <c r="P1337" s="82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2" t="s">
        <v>508</v>
      </c>
      <c r="S1337" s="71"/>
    </row>
    <row r="1338" spans="1:19" hidden="1">
      <c r="A1338" s="74" t="s">
        <v>3480</v>
      </c>
      <c r="B1338" s="71" t="str">
        <f>IFERROR(VLOOKUP(Proc[[#This Row],[App]],Table2[],3,0),"open")</f>
        <v>ok</v>
      </c>
      <c r="C1338" s="74" t="s">
        <v>369</v>
      </c>
      <c r="D1338" t="s">
        <v>3466</v>
      </c>
      <c r="E1338" t="s">
        <v>418</v>
      </c>
      <c r="F1338" s="71"/>
      <c r="G1338" s="74" t="s">
        <v>400</v>
      </c>
      <c r="H1338" s="71" t="str">
        <f>IF(Proc[[#This Row],[type]]="LFF (MDG-F)",MID(Proc[[#This Row],[Obj]],13,10),"")</f>
        <v/>
      </c>
      <c r="J1338" s="71" t="b">
        <f>Proc[[#This Row],[Requested]]=Proc[[#This Row],[CurrentParent]]</f>
        <v>0</v>
      </c>
      <c r="K1338" s="71" t="str">
        <f>IF(Proc[[#This Row],[Author]]="Marcela Urrego",VLOOKUP(LEFT(Proc[[#This Row],[Requested]],1),Table3[#All],2,0),VLOOKUP(Proc[[#This Row],[Author]],Table4[],2,0))</f>
        <v>LS</v>
      </c>
      <c r="L1338" s="71" t="s">
        <v>2841</v>
      </c>
      <c r="M1338" s="81">
        <v>45789.484120370369</v>
      </c>
      <c r="N1338" s="81">
        <v>45790</v>
      </c>
      <c r="O1338" s="81">
        <v>45790</v>
      </c>
      <c r="P1338" s="82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2" t="s">
        <v>508</v>
      </c>
      <c r="S1338" s="71"/>
    </row>
    <row r="1339" spans="1:19" hidden="1">
      <c r="A1339" s="74" t="s">
        <v>3480</v>
      </c>
      <c r="B1339" s="71" t="str">
        <f>IFERROR(VLOOKUP(Proc[[#This Row],[App]],Table2[],3,0),"open")</f>
        <v>ok</v>
      </c>
      <c r="C1339" s="74" t="s">
        <v>369</v>
      </c>
      <c r="D1339" t="s">
        <v>3467</v>
      </c>
      <c r="E1339" t="s">
        <v>418</v>
      </c>
      <c r="F1339" s="71"/>
      <c r="G1339" s="74" t="s">
        <v>400</v>
      </c>
      <c r="H1339" s="71" t="str">
        <f>IF(Proc[[#This Row],[type]]="LFF (MDG-F)",MID(Proc[[#This Row],[Obj]],13,10),"")</f>
        <v/>
      </c>
      <c r="J1339" s="71" t="b">
        <f>Proc[[#This Row],[Requested]]=Proc[[#This Row],[CurrentParent]]</f>
        <v>0</v>
      </c>
      <c r="K1339" s="71" t="str">
        <f>IF(Proc[[#This Row],[Author]]="Marcela Urrego",VLOOKUP(LEFT(Proc[[#This Row],[Requested]],1),Table3[#All],2,0),VLOOKUP(Proc[[#This Row],[Author]],Table4[],2,0))</f>
        <v>LS</v>
      </c>
      <c r="L1339" s="71" t="s">
        <v>2841</v>
      </c>
      <c r="M1339" s="81">
        <v>45789.484120370369</v>
      </c>
      <c r="N1339" s="81">
        <v>45790</v>
      </c>
      <c r="O1339" s="81">
        <v>45790</v>
      </c>
      <c r="P1339" s="82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2" t="s">
        <v>508</v>
      </c>
      <c r="S1339" s="71"/>
    </row>
    <row r="1340" spans="1:19" hidden="1">
      <c r="A1340" s="74" t="s">
        <v>3480</v>
      </c>
      <c r="B1340" s="71" t="str">
        <f>IFERROR(VLOOKUP(Proc[[#This Row],[App]],Table2[],3,0),"open")</f>
        <v>ok</v>
      </c>
      <c r="C1340" s="74" t="s">
        <v>369</v>
      </c>
      <c r="D1340" t="s">
        <v>3468</v>
      </c>
      <c r="E1340" t="s">
        <v>418</v>
      </c>
      <c r="F1340" s="71"/>
      <c r="G1340" s="74" t="s">
        <v>400</v>
      </c>
      <c r="H1340" s="71" t="str">
        <f>IF(Proc[[#This Row],[type]]="LFF (MDG-F)",MID(Proc[[#This Row],[Obj]],13,10),"")</f>
        <v/>
      </c>
      <c r="J1340" s="71" t="b">
        <f>Proc[[#This Row],[Requested]]=Proc[[#This Row],[CurrentParent]]</f>
        <v>0</v>
      </c>
      <c r="K1340" s="71" t="str">
        <f>IF(Proc[[#This Row],[Author]]="Marcela Urrego",VLOOKUP(LEFT(Proc[[#This Row],[Requested]],1),Table3[#All],2,0),VLOOKUP(Proc[[#This Row],[Author]],Table4[],2,0))</f>
        <v>LS</v>
      </c>
      <c r="L1340" s="71" t="s">
        <v>2841</v>
      </c>
      <c r="M1340" s="81">
        <v>45789.484120370369</v>
      </c>
      <c r="N1340" s="81">
        <v>45790</v>
      </c>
      <c r="O1340" s="81">
        <v>45790</v>
      </c>
      <c r="P1340" s="82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2" t="s">
        <v>508</v>
      </c>
      <c r="S1340" s="71"/>
    </row>
    <row r="1341" spans="1:19" hidden="1">
      <c r="A1341" s="74" t="s">
        <v>3480</v>
      </c>
      <c r="B1341" s="71" t="str">
        <f>IFERROR(VLOOKUP(Proc[[#This Row],[App]],Table2[],3,0),"open")</f>
        <v>ok</v>
      </c>
      <c r="C1341" s="74" t="s">
        <v>369</v>
      </c>
      <c r="D1341" t="s">
        <v>3469</v>
      </c>
      <c r="E1341" t="s">
        <v>418</v>
      </c>
      <c r="F1341" s="71"/>
      <c r="G1341" s="74" t="s">
        <v>400</v>
      </c>
      <c r="H1341" s="71" t="str">
        <f>IF(Proc[[#This Row],[type]]="LFF (MDG-F)",MID(Proc[[#This Row],[Obj]],13,10),"")</f>
        <v/>
      </c>
      <c r="J1341" s="71" t="b">
        <f>Proc[[#This Row],[Requested]]=Proc[[#This Row],[CurrentParent]]</f>
        <v>0</v>
      </c>
      <c r="K1341" s="71" t="str">
        <f>IF(Proc[[#This Row],[Author]]="Marcela Urrego",VLOOKUP(LEFT(Proc[[#This Row],[Requested]],1),Table3[#All],2,0),VLOOKUP(Proc[[#This Row],[Author]],Table4[],2,0))</f>
        <v>LS</v>
      </c>
      <c r="L1341" s="71" t="s">
        <v>2841</v>
      </c>
      <c r="M1341" s="81">
        <v>45789.484120370369</v>
      </c>
      <c r="N1341" s="81">
        <v>45790</v>
      </c>
      <c r="O1341" s="81">
        <v>45790</v>
      </c>
      <c r="P1341" s="82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2" t="s">
        <v>508</v>
      </c>
      <c r="S1341" s="71"/>
    </row>
    <row r="1342" spans="1:19" hidden="1">
      <c r="A1342" s="74" t="s">
        <v>3480</v>
      </c>
      <c r="B1342" s="71" t="str">
        <f>IFERROR(VLOOKUP(Proc[[#This Row],[App]],Table2[],3,0),"open")</f>
        <v>ok</v>
      </c>
      <c r="C1342" s="74" t="s">
        <v>369</v>
      </c>
      <c r="D1342" t="s">
        <v>3470</v>
      </c>
      <c r="E1342" t="s">
        <v>418</v>
      </c>
      <c r="F1342" s="71"/>
      <c r="G1342" s="74" t="s">
        <v>400</v>
      </c>
      <c r="H1342" s="71" t="str">
        <f>IF(Proc[[#This Row],[type]]="LFF (MDG-F)",MID(Proc[[#This Row],[Obj]],13,10),"")</f>
        <v/>
      </c>
      <c r="J1342" s="71" t="b">
        <f>Proc[[#This Row],[Requested]]=Proc[[#This Row],[CurrentParent]]</f>
        <v>0</v>
      </c>
      <c r="K1342" s="71" t="str">
        <f>IF(Proc[[#This Row],[Author]]="Marcela Urrego",VLOOKUP(LEFT(Proc[[#This Row],[Requested]],1),Table3[#All],2,0),VLOOKUP(Proc[[#This Row],[Author]],Table4[],2,0))</f>
        <v>LS</v>
      </c>
      <c r="L1342" s="71" t="s">
        <v>2841</v>
      </c>
      <c r="M1342" s="81">
        <v>45789.484120370369</v>
      </c>
      <c r="N1342" s="81">
        <v>45790</v>
      </c>
      <c r="O1342" s="81">
        <v>45790</v>
      </c>
      <c r="P1342" s="82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2" t="s">
        <v>508</v>
      </c>
      <c r="S1342" s="71"/>
    </row>
    <row r="1343" spans="1:19" hidden="1">
      <c r="A1343" s="74" t="s">
        <v>3480</v>
      </c>
      <c r="B1343" s="71" t="str">
        <f>IFERROR(VLOOKUP(Proc[[#This Row],[App]],Table2[],3,0),"open")</f>
        <v>ok</v>
      </c>
      <c r="C1343" s="74" t="s">
        <v>369</v>
      </c>
      <c r="D1343" t="s">
        <v>3471</v>
      </c>
      <c r="E1343" t="s">
        <v>418</v>
      </c>
      <c r="F1343" s="71"/>
      <c r="G1343" s="74" t="s">
        <v>400</v>
      </c>
      <c r="H1343" s="71" t="str">
        <f>IF(Proc[[#This Row],[type]]="LFF (MDG-F)",MID(Proc[[#This Row],[Obj]],13,10),"")</f>
        <v/>
      </c>
      <c r="J1343" s="71" t="b">
        <f>Proc[[#This Row],[Requested]]=Proc[[#This Row],[CurrentParent]]</f>
        <v>0</v>
      </c>
      <c r="K1343" s="71" t="str">
        <f>IF(Proc[[#This Row],[Author]]="Marcela Urrego",VLOOKUP(LEFT(Proc[[#This Row],[Requested]],1),Table3[#All],2,0),VLOOKUP(Proc[[#This Row],[Author]],Table4[],2,0))</f>
        <v>LS</v>
      </c>
      <c r="L1343" s="71" t="s">
        <v>2841</v>
      </c>
      <c r="M1343" s="81">
        <v>45789.484120370369</v>
      </c>
      <c r="N1343" s="81">
        <v>45790</v>
      </c>
      <c r="O1343" s="81">
        <v>45790</v>
      </c>
      <c r="P1343" s="82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2" t="s">
        <v>508</v>
      </c>
      <c r="S1343" s="71"/>
    </row>
    <row r="1344" spans="1:19" hidden="1">
      <c r="A1344" s="74" t="s">
        <v>3480</v>
      </c>
      <c r="B1344" s="71" t="str">
        <f>IFERROR(VLOOKUP(Proc[[#This Row],[App]],Table2[],3,0),"open")</f>
        <v>ok</v>
      </c>
      <c r="C1344" s="74" t="s">
        <v>369</v>
      </c>
      <c r="D1344" t="s">
        <v>3472</v>
      </c>
      <c r="E1344" t="s">
        <v>418</v>
      </c>
      <c r="F1344" s="71"/>
      <c r="G1344" s="74" t="s">
        <v>400</v>
      </c>
      <c r="H1344" s="71" t="str">
        <f>IF(Proc[[#This Row],[type]]="LFF (MDG-F)",MID(Proc[[#This Row],[Obj]],13,10),"")</f>
        <v/>
      </c>
      <c r="J1344" s="71" t="b">
        <f>Proc[[#This Row],[Requested]]=Proc[[#This Row],[CurrentParent]]</f>
        <v>0</v>
      </c>
      <c r="K1344" s="71" t="str">
        <f>IF(Proc[[#This Row],[Author]]="Marcela Urrego",VLOOKUP(LEFT(Proc[[#This Row],[Requested]],1),Table3[#All],2,0),VLOOKUP(Proc[[#This Row],[Author]],Table4[],2,0))</f>
        <v>LS</v>
      </c>
      <c r="L1344" s="71" t="s">
        <v>2841</v>
      </c>
      <c r="M1344" s="81">
        <v>45789.484120370369</v>
      </c>
      <c r="N1344" s="81">
        <v>45790</v>
      </c>
      <c r="O1344" s="81">
        <v>45790</v>
      </c>
      <c r="P1344" s="82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2" t="s">
        <v>508</v>
      </c>
      <c r="S1344" s="71"/>
    </row>
    <row r="1345" spans="1:19" hidden="1">
      <c r="A1345" s="74" t="s">
        <v>3480</v>
      </c>
      <c r="B1345" s="71" t="str">
        <f>IFERROR(VLOOKUP(Proc[[#This Row],[App]],Table2[],3,0),"open")</f>
        <v>ok</v>
      </c>
      <c r="C1345" s="74" t="s">
        <v>369</v>
      </c>
      <c r="D1345" t="s">
        <v>3473</v>
      </c>
      <c r="E1345" t="s">
        <v>418</v>
      </c>
      <c r="F1345" s="71"/>
      <c r="G1345" s="74" t="s">
        <v>400</v>
      </c>
      <c r="H1345" s="71" t="str">
        <f>IF(Proc[[#This Row],[type]]="LFF (MDG-F)",MID(Proc[[#This Row],[Obj]],13,10),"")</f>
        <v/>
      </c>
      <c r="J1345" s="71" t="b">
        <f>Proc[[#This Row],[Requested]]=Proc[[#This Row],[CurrentParent]]</f>
        <v>0</v>
      </c>
      <c r="K1345" s="71" t="str">
        <f>IF(Proc[[#This Row],[Author]]="Marcela Urrego",VLOOKUP(LEFT(Proc[[#This Row],[Requested]],1),Table3[#All],2,0),VLOOKUP(Proc[[#This Row],[Author]],Table4[],2,0))</f>
        <v>LS</v>
      </c>
      <c r="L1345" s="71" t="s">
        <v>2841</v>
      </c>
      <c r="M1345" s="81">
        <v>45789.484120370369</v>
      </c>
      <c r="N1345" s="81">
        <v>45790</v>
      </c>
      <c r="O1345" s="81">
        <v>45790</v>
      </c>
      <c r="P1345" s="82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2" t="s">
        <v>508</v>
      </c>
      <c r="S1345" s="71"/>
    </row>
    <row r="1346" spans="1:19" hidden="1">
      <c r="A1346" s="74" t="s">
        <v>3480</v>
      </c>
      <c r="B1346" s="71" t="str">
        <f>IFERROR(VLOOKUP(Proc[[#This Row],[App]],Table2[],3,0),"open")</f>
        <v>ok</v>
      </c>
      <c r="C1346" s="74" t="s">
        <v>369</v>
      </c>
      <c r="D1346" t="s">
        <v>3474</v>
      </c>
      <c r="E1346" t="s">
        <v>418</v>
      </c>
      <c r="F1346" s="71"/>
      <c r="G1346" s="74" t="s">
        <v>400</v>
      </c>
      <c r="H1346" s="71" t="str">
        <f>IF(Proc[[#This Row],[type]]="LFF (MDG-F)",MID(Proc[[#This Row],[Obj]],13,10),"")</f>
        <v/>
      </c>
      <c r="J1346" s="71" t="b">
        <f>Proc[[#This Row],[Requested]]=Proc[[#This Row],[CurrentParent]]</f>
        <v>0</v>
      </c>
      <c r="K1346" s="71" t="str">
        <f>IF(Proc[[#This Row],[Author]]="Marcela Urrego",VLOOKUP(LEFT(Proc[[#This Row],[Requested]],1),Table3[#All],2,0),VLOOKUP(Proc[[#This Row],[Author]],Table4[],2,0))</f>
        <v>LS</v>
      </c>
      <c r="L1346" s="71" t="s">
        <v>2841</v>
      </c>
      <c r="M1346" s="81">
        <v>45789.484120370369</v>
      </c>
      <c r="N1346" s="81">
        <v>45790</v>
      </c>
      <c r="O1346" s="81">
        <v>45790</v>
      </c>
      <c r="P1346" s="82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2" t="s">
        <v>508</v>
      </c>
      <c r="S1346" s="71"/>
    </row>
    <row r="1347" spans="1:19" hidden="1">
      <c r="A1347" s="74" t="s">
        <v>3480</v>
      </c>
      <c r="B1347" s="71" t="str">
        <f>IFERROR(VLOOKUP(Proc[[#This Row],[App]],Table2[],3,0),"open")</f>
        <v>ok</v>
      </c>
      <c r="C1347" s="74" t="s">
        <v>369</v>
      </c>
      <c r="D1347" t="s">
        <v>3475</v>
      </c>
      <c r="E1347" t="s">
        <v>418</v>
      </c>
      <c r="F1347" s="71"/>
      <c r="G1347" s="74" t="s">
        <v>400</v>
      </c>
      <c r="H1347" s="71" t="str">
        <f>IF(Proc[[#This Row],[type]]="LFF (MDG-F)",MID(Proc[[#This Row],[Obj]],13,10),"")</f>
        <v/>
      </c>
      <c r="J1347" s="71" t="b">
        <f>Proc[[#This Row],[Requested]]=Proc[[#This Row],[CurrentParent]]</f>
        <v>0</v>
      </c>
      <c r="K1347" s="71" t="str">
        <f>IF(Proc[[#This Row],[Author]]="Marcela Urrego",VLOOKUP(LEFT(Proc[[#This Row],[Requested]],1),Table3[#All],2,0),VLOOKUP(Proc[[#This Row],[Author]],Table4[],2,0))</f>
        <v>LS</v>
      </c>
      <c r="L1347" s="71" t="s">
        <v>2841</v>
      </c>
      <c r="M1347" s="81">
        <v>45789.484120370369</v>
      </c>
      <c r="N1347" s="81">
        <v>45790</v>
      </c>
      <c r="O1347" s="81">
        <v>45790</v>
      </c>
      <c r="P1347" s="82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2" t="s">
        <v>508</v>
      </c>
      <c r="S1347" s="71"/>
    </row>
    <row r="1348" spans="1:19" hidden="1">
      <c r="A1348" s="74" t="s">
        <v>3480</v>
      </c>
      <c r="B1348" s="71" t="str">
        <f>IFERROR(VLOOKUP(Proc[[#This Row],[App]],Table2[],3,0),"open")</f>
        <v>ok</v>
      </c>
      <c r="C1348" s="74" t="s">
        <v>369</v>
      </c>
      <c r="D1348" t="s">
        <v>3476</v>
      </c>
      <c r="E1348" t="s">
        <v>418</v>
      </c>
      <c r="F1348" s="71"/>
      <c r="G1348" s="74" t="s">
        <v>400</v>
      </c>
      <c r="H1348" s="71" t="str">
        <f>IF(Proc[[#This Row],[type]]="LFF (MDG-F)",MID(Proc[[#This Row],[Obj]],13,10),"")</f>
        <v/>
      </c>
      <c r="J1348" s="71" t="b">
        <f>Proc[[#This Row],[Requested]]=Proc[[#This Row],[CurrentParent]]</f>
        <v>0</v>
      </c>
      <c r="K1348" s="71" t="str">
        <f>IF(Proc[[#This Row],[Author]]="Marcela Urrego",VLOOKUP(LEFT(Proc[[#This Row],[Requested]],1),Table3[#All],2,0),VLOOKUP(Proc[[#This Row],[Author]],Table4[],2,0))</f>
        <v>LS</v>
      </c>
      <c r="L1348" s="71" t="s">
        <v>2841</v>
      </c>
      <c r="M1348" s="81">
        <v>45789.484120370369</v>
      </c>
      <c r="N1348" s="81">
        <v>45790</v>
      </c>
      <c r="O1348" s="81">
        <v>45790</v>
      </c>
      <c r="P1348" s="82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2" t="s">
        <v>508</v>
      </c>
      <c r="S1348" s="71"/>
    </row>
    <row r="1349" spans="1:19" hidden="1">
      <c r="A1349" s="74" t="s">
        <v>3480</v>
      </c>
      <c r="B1349" s="71" t="str">
        <f>IFERROR(VLOOKUP(Proc[[#This Row],[App]],Table2[],3,0),"open")</f>
        <v>ok</v>
      </c>
      <c r="C1349" s="74" t="s">
        <v>369</v>
      </c>
      <c r="D1349" t="s">
        <v>3477</v>
      </c>
      <c r="E1349" t="s">
        <v>418</v>
      </c>
      <c r="F1349" s="71"/>
      <c r="G1349" s="74" t="s">
        <v>400</v>
      </c>
      <c r="H1349" s="71" t="str">
        <f>IF(Proc[[#This Row],[type]]="LFF (MDG-F)",MID(Proc[[#This Row],[Obj]],13,10),"")</f>
        <v/>
      </c>
      <c r="J1349" s="71" t="b">
        <f>Proc[[#This Row],[Requested]]=Proc[[#This Row],[CurrentParent]]</f>
        <v>0</v>
      </c>
      <c r="K1349" s="71" t="str">
        <f>IF(Proc[[#This Row],[Author]]="Marcela Urrego",VLOOKUP(LEFT(Proc[[#This Row],[Requested]],1),Table3[#All],2,0),VLOOKUP(Proc[[#This Row],[Author]],Table4[],2,0))</f>
        <v>LS</v>
      </c>
      <c r="L1349" s="71" t="s">
        <v>2841</v>
      </c>
      <c r="M1349" s="81">
        <v>45789.484120370369</v>
      </c>
      <c r="N1349" s="81">
        <v>45790</v>
      </c>
      <c r="O1349" s="81">
        <v>45790</v>
      </c>
      <c r="P1349" s="82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2" t="s">
        <v>508</v>
      </c>
      <c r="S1349" s="71"/>
    </row>
    <row r="1350" spans="1:19" hidden="1">
      <c r="A1350" s="74" t="s">
        <v>3480</v>
      </c>
      <c r="B1350" s="71" t="str">
        <f>IFERROR(VLOOKUP(Proc[[#This Row],[App]],Table2[],3,0),"open")</f>
        <v>ok</v>
      </c>
      <c r="C1350" s="74" t="s">
        <v>369</v>
      </c>
      <c r="D1350" t="s">
        <v>3478</v>
      </c>
      <c r="E1350" t="s">
        <v>418</v>
      </c>
      <c r="F1350" s="71"/>
      <c r="G1350" s="74" t="s">
        <v>400</v>
      </c>
      <c r="H1350" s="71" t="str">
        <f>IF(Proc[[#This Row],[type]]="LFF (MDG-F)",MID(Proc[[#This Row],[Obj]],13,10),"")</f>
        <v/>
      </c>
      <c r="J1350" s="71" t="b">
        <f>Proc[[#This Row],[Requested]]=Proc[[#This Row],[CurrentParent]]</f>
        <v>0</v>
      </c>
      <c r="K1350" s="71" t="str">
        <f>IF(Proc[[#This Row],[Author]]="Marcela Urrego",VLOOKUP(LEFT(Proc[[#This Row],[Requested]],1),Table3[#All],2,0),VLOOKUP(Proc[[#This Row],[Author]],Table4[],2,0))</f>
        <v>LS</v>
      </c>
      <c r="L1350" s="71" t="s">
        <v>2841</v>
      </c>
      <c r="M1350" s="81">
        <v>45789.484120370369</v>
      </c>
      <c r="N1350" s="81">
        <v>45790</v>
      </c>
      <c r="O1350" s="81">
        <v>45790</v>
      </c>
      <c r="P1350" s="82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2" t="s">
        <v>508</v>
      </c>
      <c r="S1350" s="71"/>
    </row>
    <row r="1351" spans="1:19" hidden="1">
      <c r="A1351" s="74" t="s">
        <v>3480</v>
      </c>
      <c r="B1351" s="71" t="str">
        <f>IFERROR(VLOOKUP(Proc[[#This Row],[App]],Table2[],3,0),"open")</f>
        <v>ok</v>
      </c>
      <c r="C1351" s="74" t="s">
        <v>369</v>
      </c>
      <c r="D1351" t="s">
        <v>3479</v>
      </c>
      <c r="E1351" t="s">
        <v>418</v>
      </c>
      <c r="F1351" s="71"/>
      <c r="G1351" s="74" t="s">
        <v>400</v>
      </c>
      <c r="H1351" s="71" t="str">
        <f>IF(Proc[[#This Row],[type]]="LFF (MDG-F)",MID(Proc[[#This Row],[Obj]],13,10),"")</f>
        <v/>
      </c>
      <c r="J1351" s="71" t="b">
        <f>Proc[[#This Row],[Requested]]=Proc[[#This Row],[CurrentParent]]</f>
        <v>0</v>
      </c>
      <c r="K1351" s="71" t="str">
        <f>IF(Proc[[#This Row],[Author]]="Marcela Urrego",VLOOKUP(LEFT(Proc[[#This Row],[Requested]],1),Table3[#All],2,0),VLOOKUP(Proc[[#This Row],[Author]],Table4[],2,0))</f>
        <v>LS</v>
      </c>
      <c r="L1351" s="71" t="s">
        <v>2841</v>
      </c>
      <c r="M1351" s="81">
        <v>45789.484120370369</v>
      </c>
      <c r="N1351" s="81">
        <v>45790</v>
      </c>
      <c r="O1351" s="81">
        <v>45790</v>
      </c>
      <c r="P1351" s="82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2" t="s">
        <v>508</v>
      </c>
      <c r="S1351" s="71"/>
    </row>
    <row r="1352" spans="1:19" hidden="1">
      <c r="A1352" t="s">
        <v>3481</v>
      </c>
      <c r="B1352" s="71" t="str">
        <f>IFERROR(VLOOKUP(Proc[[#This Row],[App]],Table2[],3,0),"open")</f>
        <v>ok</v>
      </c>
      <c r="C1352" s="74" t="s">
        <v>369</v>
      </c>
      <c r="D1352" t="s">
        <v>3197</v>
      </c>
      <c r="E1352" t="s">
        <v>3198</v>
      </c>
      <c r="F1352" s="71"/>
      <c r="G1352" s="74" t="s">
        <v>400</v>
      </c>
      <c r="H1352" s="71" t="str">
        <f>IF(Proc[[#This Row],[type]]="LFF (MDG-F)",MID(Proc[[#This Row],[Obj]],13,10),"")</f>
        <v/>
      </c>
      <c r="J1352" s="71" t="b">
        <f>Proc[[#This Row],[Requested]]=Proc[[#This Row],[CurrentParent]]</f>
        <v>0</v>
      </c>
      <c r="K1352" s="71" t="str">
        <f>IF(Proc[[#This Row],[Author]]="Marcela Urrego",VLOOKUP(LEFT(Proc[[#This Row],[Requested]],1),Table3[#All],2,0),VLOOKUP(Proc[[#This Row],[Author]],Table4[],2,0))</f>
        <v>LS</v>
      </c>
      <c r="L1352" s="71" t="s">
        <v>2841</v>
      </c>
      <c r="M1352" s="81">
        <v>45790.126087962963</v>
      </c>
      <c r="N1352" s="81">
        <v>45790</v>
      </c>
      <c r="O1352" s="81">
        <v>45790</v>
      </c>
      <c r="P1352" s="82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2" t="s">
        <v>508</v>
      </c>
      <c r="S1352" s="71"/>
    </row>
    <row r="1353" spans="1:19">
      <c r="A1353" t="s">
        <v>3482</v>
      </c>
      <c r="B1353" s="71" t="str">
        <f>IFERROR(VLOOKUP(Proc[[#This Row],[App]],Table2[],3,0),"open")</f>
        <v>open</v>
      </c>
      <c r="C1353" s="74" t="s">
        <v>370</v>
      </c>
      <c r="D1353" t="s">
        <v>3483</v>
      </c>
      <c r="E1353" t="s">
        <v>3561</v>
      </c>
      <c r="F1353" s="71"/>
      <c r="G1353" s="74" t="s">
        <v>400</v>
      </c>
      <c r="H1353" s="71" t="str">
        <f>IF(Proc[[#This Row],[type]]="LFF (MDG-F)",MID(Proc[[#This Row],[Obj]],13,10),"")</f>
        <v/>
      </c>
      <c r="J1353" s="71" t="b">
        <f>Proc[[#This Row],[Requested]]=Proc[[#This Row],[CurrentParent]]</f>
        <v>0</v>
      </c>
      <c r="K1353" s="71" t="str">
        <f>IF(Proc[[#This Row],[Author]]="Marcela Urrego",VLOOKUP(LEFT(Proc[[#This Row],[Requested]],1),Table3[#All],2,0),VLOOKUP(Proc[[#This Row],[Author]],Table4[],2,0))</f>
        <v>LS</v>
      </c>
      <c r="L1353" s="71" t="s">
        <v>2841</v>
      </c>
      <c r="M1353" s="81">
        <v>45790.144409722219</v>
      </c>
      <c r="N1353" s="81"/>
      <c r="O1353" s="81"/>
      <c r="P1353" s="82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0</v>
      </c>
      <c r="R1353" s="82" t="s">
        <v>508</v>
      </c>
      <c r="S1353" s="71"/>
    </row>
    <row r="1354" spans="1:19">
      <c r="A1354" s="74" t="s">
        <v>3482</v>
      </c>
      <c r="B1354" s="71" t="str">
        <f>IFERROR(VLOOKUP(Proc[[#This Row],[App]],Table2[],3,0),"open")</f>
        <v>open</v>
      </c>
      <c r="C1354" s="74" t="s">
        <v>370</v>
      </c>
      <c r="D1354" t="s">
        <v>3484</v>
      </c>
      <c r="E1354" t="s">
        <v>3562</v>
      </c>
      <c r="F1354" s="71"/>
      <c r="G1354" s="74" t="s">
        <v>400</v>
      </c>
      <c r="H1354" s="71" t="str">
        <f>IF(Proc[[#This Row],[type]]="LFF (MDG-F)",MID(Proc[[#This Row],[Obj]],13,10),"")</f>
        <v/>
      </c>
      <c r="J1354" s="71" t="b">
        <f>Proc[[#This Row],[Requested]]=Proc[[#This Row],[CurrentParent]]</f>
        <v>0</v>
      </c>
      <c r="K1354" s="71" t="str">
        <f>IF(Proc[[#This Row],[Author]]="Marcela Urrego",VLOOKUP(LEFT(Proc[[#This Row],[Requested]],1),Table3[#All],2,0),VLOOKUP(Proc[[#This Row],[Author]],Table4[],2,0))</f>
        <v>LS</v>
      </c>
      <c r="L1354" s="71" t="s">
        <v>2841</v>
      </c>
      <c r="M1354" s="81">
        <v>45790.144409722219</v>
      </c>
      <c r="N1354" s="81"/>
      <c r="O1354" s="81"/>
      <c r="P1354" s="82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0</v>
      </c>
      <c r="R1354" s="82" t="s">
        <v>508</v>
      </c>
      <c r="S1354" s="71"/>
    </row>
    <row r="1355" spans="1:19">
      <c r="A1355" s="74" t="s">
        <v>3482</v>
      </c>
      <c r="B1355" s="71" t="str">
        <f>IFERROR(VLOOKUP(Proc[[#This Row],[App]],Table2[],3,0),"open")</f>
        <v>open</v>
      </c>
      <c r="C1355" s="74" t="s">
        <v>370</v>
      </c>
      <c r="D1355" t="s">
        <v>3485</v>
      </c>
      <c r="E1355" t="s">
        <v>3563</v>
      </c>
      <c r="F1355" s="71"/>
      <c r="G1355" s="74" t="s">
        <v>400</v>
      </c>
      <c r="H1355" s="71" t="str">
        <f>IF(Proc[[#This Row],[type]]="LFF (MDG-F)",MID(Proc[[#This Row],[Obj]],13,10),"")</f>
        <v/>
      </c>
      <c r="J1355" s="71" t="b">
        <f>Proc[[#This Row],[Requested]]=Proc[[#This Row],[CurrentParent]]</f>
        <v>0</v>
      </c>
      <c r="K1355" s="71" t="str">
        <f>IF(Proc[[#This Row],[Author]]="Marcela Urrego",VLOOKUP(LEFT(Proc[[#This Row],[Requested]],1),Table3[#All],2,0),VLOOKUP(Proc[[#This Row],[Author]],Table4[],2,0))</f>
        <v>LS</v>
      </c>
      <c r="L1355" s="71" t="s">
        <v>2841</v>
      </c>
      <c r="M1355" s="81">
        <v>45790.144409722219</v>
      </c>
      <c r="N1355" s="81"/>
      <c r="O1355" s="81"/>
      <c r="P1355" s="82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0</v>
      </c>
      <c r="R1355" s="82" t="s">
        <v>508</v>
      </c>
      <c r="S1355" s="71"/>
    </row>
    <row r="1356" spans="1:19">
      <c r="A1356" s="74" t="s">
        <v>3482</v>
      </c>
      <c r="B1356" s="71" t="str">
        <f>IFERROR(VLOOKUP(Proc[[#This Row],[App]],Table2[],3,0),"open")</f>
        <v>open</v>
      </c>
      <c r="C1356" s="74" t="s">
        <v>370</v>
      </c>
      <c r="D1356" t="s">
        <v>3486</v>
      </c>
      <c r="E1356" t="s">
        <v>3564</v>
      </c>
      <c r="F1356" s="71"/>
      <c r="G1356" s="74" t="s">
        <v>400</v>
      </c>
      <c r="H1356" s="71" t="str">
        <f>IF(Proc[[#This Row],[type]]="LFF (MDG-F)",MID(Proc[[#This Row],[Obj]],13,10),"")</f>
        <v/>
      </c>
      <c r="J1356" s="71" t="b">
        <f>Proc[[#This Row],[Requested]]=Proc[[#This Row],[CurrentParent]]</f>
        <v>0</v>
      </c>
      <c r="K1356" s="71" t="str">
        <f>IF(Proc[[#This Row],[Author]]="Marcela Urrego",VLOOKUP(LEFT(Proc[[#This Row],[Requested]],1),Table3[#All],2,0),VLOOKUP(Proc[[#This Row],[Author]],Table4[],2,0))</f>
        <v>LS</v>
      </c>
      <c r="L1356" s="71" t="s">
        <v>2841</v>
      </c>
      <c r="M1356" s="81">
        <v>45790.144409722219</v>
      </c>
      <c r="N1356" s="81"/>
      <c r="O1356" s="81"/>
      <c r="P1356" s="82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0</v>
      </c>
      <c r="R1356" s="82" t="s">
        <v>508</v>
      </c>
      <c r="S1356" s="71"/>
    </row>
    <row r="1357" spans="1:19">
      <c r="A1357" s="74" t="s">
        <v>3482</v>
      </c>
      <c r="B1357" s="71" t="str">
        <f>IFERROR(VLOOKUP(Proc[[#This Row],[App]],Table2[],3,0),"open")</f>
        <v>open</v>
      </c>
      <c r="C1357" s="74" t="s">
        <v>370</v>
      </c>
      <c r="D1357" t="s">
        <v>3487</v>
      </c>
      <c r="E1357" t="s">
        <v>2665</v>
      </c>
      <c r="F1357" s="71"/>
      <c r="G1357" s="74" t="s">
        <v>400</v>
      </c>
      <c r="H1357" s="71" t="str">
        <f>IF(Proc[[#This Row],[type]]="LFF (MDG-F)",MID(Proc[[#This Row],[Obj]],13,10),"")</f>
        <v/>
      </c>
      <c r="J1357" s="71" t="b">
        <f>Proc[[#This Row],[Requested]]=Proc[[#This Row],[CurrentParent]]</f>
        <v>0</v>
      </c>
      <c r="K1357" s="71" t="str">
        <f>IF(Proc[[#This Row],[Author]]="Marcela Urrego",VLOOKUP(LEFT(Proc[[#This Row],[Requested]],1),Table3[#All],2,0),VLOOKUP(Proc[[#This Row],[Author]],Table4[],2,0))</f>
        <v>LS</v>
      </c>
      <c r="L1357" s="71" t="s">
        <v>2841</v>
      </c>
      <c r="M1357" s="81">
        <v>45790.144409722219</v>
      </c>
      <c r="N1357" s="81"/>
      <c r="O1357" s="81"/>
      <c r="P1357" s="82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0</v>
      </c>
      <c r="R1357" s="82" t="s">
        <v>508</v>
      </c>
      <c r="S1357" s="71"/>
    </row>
    <row r="1358" spans="1:19">
      <c r="A1358" s="74" t="s">
        <v>3482</v>
      </c>
      <c r="B1358" s="71" t="str">
        <f>IFERROR(VLOOKUP(Proc[[#This Row],[App]],Table2[],3,0),"open")</f>
        <v>open</v>
      </c>
      <c r="C1358" s="74" t="s">
        <v>370</v>
      </c>
      <c r="D1358" t="s">
        <v>3488</v>
      </c>
      <c r="E1358" t="s">
        <v>3565</v>
      </c>
      <c r="F1358" s="71"/>
      <c r="G1358" s="74" t="s">
        <v>400</v>
      </c>
      <c r="H1358" s="71" t="str">
        <f>IF(Proc[[#This Row],[type]]="LFF (MDG-F)",MID(Proc[[#This Row],[Obj]],13,10),"")</f>
        <v/>
      </c>
      <c r="J1358" s="71" t="b">
        <f>Proc[[#This Row],[Requested]]=Proc[[#This Row],[CurrentParent]]</f>
        <v>0</v>
      </c>
      <c r="K1358" s="71" t="str">
        <f>IF(Proc[[#This Row],[Author]]="Marcela Urrego",VLOOKUP(LEFT(Proc[[#This Row],[Requested]],1),Table3[#All],2,0),VLOOKUP(Proc[[#This Row],[Author]],Table4[],2,0))</f>
        <v>LS</v>
      </c>
      <c r="L1358" s="71" t="s">
        <v>2841</v>
      </c>
      <c r="M1358" s="81">
        <v>45790.144409722219</v>
      </c>
      <c r="N1358" s="81"/>
      <c r="O1358" s="81"/>
      <c r="P1358" s="82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0</v>
      </c>
      <c r="R1358" s="82" t="s">
        <v>508</v>
      </c>
      <c r="S1358" s="71"/>
    </row>
    <row r="1359" spans="1:19">
      <c r="A1359" s="74" t="s">
        <v>3482</v>
      </c>
      <c r="B1359" s="71" t="str">
        <f>IFERROR(VLOOKUP(Proc[[#This Row],[App]],Table2[],3,0),"open")</f>
        <v>open</v>
      </c>
      <c r="C1359" s="74" t="s">
        <v>370</v>
      </c>
      <c r="D1359" t="s">
        <v>3489</v>
      </c>
      <c r="E1359" t="s">
        <v>3561</v>
      </c>
      <c r="F1359" s="71"/>
      <c r="G1359" t="s">
        <v>400</v>
      </c>
      <c r="H1359" s="71" t="str">
        <f>IF(Proc[[#This Row],[type]]="LFF (MDG-F)",MID(Proc[[#This Row],[Obj]],13,10),"")</f>
        <v/>
      </c>
      <c r="J1359" s="71" t="b">
        <f>Proc[[#This Row],[Requested]]=Proc[[#This Row],[CurrentParent]]</f>
        <v>0</v>
      </c>
      <c r="K1359" s="71" t="str">
        <f>IF(Proc[[#This Row],[Author]]="Marcela Urrego",VLOOKUP(LEFT(Proc[[#This Row],[Requested]],1),Table3[#All],2,0),VLOOKUP(Proc[[#This Row],[Author]],Table4[],2,0))</f>
        <v>LS</v>
      </c>
      <c r="L1359" s="71" t="s">
        <v>2841</v>
      </c>
      <c r="M1359" s="81">
        <v>45790.144409722219</v>
      </c>
      <c r="N1359" s="81"/>
      <c r="O1359" s="81"/>
      <c r="P1359" s="82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0</v>
      </c>
      <c r="R1359" s="82" t="s">
        <v>508</v>
      </c>
      <c r="S1359" s="71"/>
    </row>
    <row r="1360" spans="1:19">
      <c r="A1360" s="74" t="s">
        <v>3482</v>
      </c>
      <c r="B1360" s="71" t="str">
        <f>IFERROR(VLOOKUP(Proc[[#This Row],[App]],Table2[],3,0),"open")</f>
        <v>open</v>
      </c>
      <c r="C1360" s="74" t="s">
        <v>375</v>
      </c>
      <c r="D1360" t="s">
        <v>3490</v>
      </c>
      <c r="E1360" t="s">
        <v>3566</v>
      </c>
      <c r="F1360" s="71"/>
      <c r="G1360" t="s">
        <v>406</v>
      </c>
      <c r="H1360" s="71" t="str">
        <f>IF(Proc[[#This Row],[type]]="LFF (MDG-F)",MID(Proc[[#This Row],[Obj]],13,10),"")</f>
        <v>DE10OF0003</v>
      </c>
      <c r="I1360" t="s">
        <v>3578</v>
      </c>
      <c r="J1360" s="71" t="b">
        <f>Proc[[#This Row],[Requested]]=Proc[[#This Row],[CurrentParent]]</f>
        <v>0</v>
      </c>
      <c r="K1360" s="71" t="str">
        <f>IF(Proc[[#This Row],[Author]]="Marcela Urrego",VLOOKUP(LEFT(Proc[[#This Row],[Requested]],1),Table3[#All],2,0),VLOOKUP(Proc[[#This Row],[Author]],Table4[],2,0))</f>
        <v>LS</v>
      </c>
      <c r="L1360" s="71" t="s">
        <v>2841</v>
      </c>
      <c r="M1360" s="81">
        <v>45790.144409722219</v>
      </c>
      <c r="N1360" s="81"/>
      <c r="O1360" s="81"/>
      <c r="P1360" s="82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0</v>
      </c>
      <c r="R1360" s="82" t="s">
        <v>508</v>
      </c>
      <c r="S1360" s="71"/>
    </row>
    <row r="1361" spans="1:19">
      <c r="A1361" s="74" t="s">
        <v>3482</v>
      </c>
      <c r="B1361" s="71" t="str">
        <f>IFERROR(VLOOKUP(Proc[[#This Row],[App]],Table2[],3,0),"open")</f>
        <v>open</v>
      </c>
      <c r="C1361" s="74" t="s">
        <v>375</v>
      </c>
      <c r="D1361" t="s">
        <v>3491</v>
      </c>
      <c r="E1361" t="s">
        <v>3565</v>
      </c>
      <c r="F1361" s="71"/>
      <c r="G1361" s="74" t="s">
        <v>406</v>
      </c>
      <c r="H1361" s="71" t="str">
        <f>IF(Proc[[#This Row],[type]]="LFF (MDG-F)",MID(Proc[[#This Row],[Obj]],13,10),"")</f>
        <v>1756OF0001</v>
      </c>
      <c r="I1361" t="s">
        <v>3578</v>
      </c>
      <c r="J1361" s="71" t="b">
        <f>Proc[[#This Row],[Requested]]=Proc[[#This Row],[CurrentParent]]</f>
        <v>0</v>
      </c>
      <c r="K1361" s="71" t="str">
        <f>IF(Proc[[#This Row],[Author]]="Marcela Urrego",VLOOKUP(LEFT(Proc[[#This Row],[Requested]],1),Table3[#All],2,0),VLOOKUP(Proc[[#This Row],[Author]],Table4[],2,0))</f>
        <v>LS</v>
      </c>
      <c r="L1361" s="71" t="s">
        <v>2841</v>
      </c>
      <c r="M1361" s="81">
        <v>45790.144409722219</v>
      </c>
      <c r="N1361" s="81"/>
      <c r="O1361" s="81"/>
      <c r="P1361" s="82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0</v>
      </c>
      <c r="R1361" s="82" t="s">
        <v>508</v>
      </c>
      <c r="S1361" s="71"/>
    </row>
    <row r="1362" spans="1:19">
      <c r="A1362" s="74" t="s">
        <v>3482</v>
      </c>
      <c r="B1362" s="71" t="str">
        <f>IFERROR(VLOOKUP(Proc[[#This Row],[App]],Table2[],3,0),"open")</f>
        <v>open</v>
      </c>
      <c r="C1362" s="74" t="s">
        <v>375</v>
      </c>
      <c r="D1362" t="s">
        <v>3492</v>
      </c>
      <c r="E1362" t="s">
        <v>3561</v>
      </c>
      <c r="F1362" s="71"/>
      <c r="G1362" s="74" t="s">
        <v>406</v>
      </c>
      <c r="H1362" s="71" t="str">
        <f>IF(Proc[[#This Row],[type]]="LFF (MDG-F)",MID(Proc[[#This Row],[Obj]],13,10),"")</f>
        <v>1756OF0006</v>
      </c>
      <c r="I1362" t="s">
        <v>3578</v>
      </c>
      <c r="J1362" s="71" t="b">
        <f>Proc[[#This Row],[Requested]]=Proc[[#This Row],[CurrentParent]]</f>
        <v>0</v>
      </c>
      <c r="K1362" s="71" t="str">
        <f>IF(Proc[[#This Row],[Author]]="Marcela Urrego",VLOOKUP(LEFT(Proc[[#This Row],[Requested]],1),Table3[#All],2,0),VLOOKUP(Proc[[#This Row],[Author]],Table4[],2,0))</f>
        <v>LS</v>
      </c>
      <c r="L1362" s="71" t="s">
        <v>2841</v>
      </c>
      <c r="M1362" s="81">
        <v>45790.144409722219</v>
      </c>
      <c r="N1362" s="81"/>
      <c r="O1362" s="81"/>
      <c r="P1362" s="82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0</v>
      </c>
      <c r="R1362" s="82" t="s">
        <v>508</v>
      </c>
      <c r="S1362" s="71"/>
    </row>
    <row r="1363" spans="1:19">
      <c r="A1363" s="74" t="s">
        <v>3482</v>
      </c>
      <c r="B1363" s="71" t="str">
        <f>IFERROR(VLOOKUP(Proc[[#This Row],[App]],Table2[],3,0),"open")</f>
        <v>open</v>
      </c>
      <c r="C1363" s="74" t="s">
        <v>375</v>
      </c>
      <c r="D1363" t="s">
        <v>3493</v>
      </c>
      <c r="E1363" t="s">
        <v>3567</v>
      </c>
      <c r="F1363" s="71"/>
      <c r="G1363" s="74" t="s">
        <v>406</v>
      </c>
      <c r="H1363" s="71" t="str">
        <f>IF(Proc[[#This Row],[type]]="LFF (MDG-F)",MID(Proc[[#This Row],[Obj]],13,10),"")</f>
        <v>1756OF7061</v>
      </c>
      <c r="I1363" t="s">
        <v>3578</v>
      </c>
      <c r="J1363" s="71" t="b">
        <f>Proc[[#This Row],[Requested]]=Proc[[#This Row],[CurrentParent]]</f>
        <v>0</v>
      </c>
      <c r="K1363" s="71" t="str">
        <f>IF(Proc[[#This Row],[Author]]="Marcela Urrego",VLOOKUP(LEFT(Proc[[#This Row],[Requested]],1),Table3[#All],2,0),VLOOKUP(Proc[[#This Row],[Author]],Table4[],2,0))</f>
        <v>LS</v>
      </c>
      <c r="L1363" s="71" t="s">
        <v>2841</v>
      </c>
      <c r="M1363" s="81">
        <v>45790.144409722219</v>
      </c>
      <c r="N1363" s="81"/>
      <c r="O1363" s="81"/>
      <c r="P1363" s="82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0</v>
      </c>
      <c r="R1363" s="82" t="s">
        <v>508</v>
      </c>
      <c r="S1363" s="71"/>
    </row>
    <row r="1364" spans="1:19">
      <c r="A1364" s="74" t="s">
        <v>3482</v>
      </c>
      <c r="B1364" s="71" t="str">
        <f>IFERROR(VLOOKUP(Proc[[#This Row],[App]],Table2[],3,0),"open")</f>
        <v>open</v>
      </c>
      <c r="C1364" s="74" t="s">
        <v>375</v>
      </c>
      <c r="D1364" t="s">
        <v>3494</v>
      </c>
      <c r="E1364" t="s">
        <v>3564</v>
      </c>
      <c r="F1364" s="71"/>
      <c r="G1364" s="74" t="s">
        <v>406</v>
      </c>
      <c r="H1364" s="71" t="str">
        <f>IF(Proc[[#This Row],[type]]="LFF (MDG-F)",MID(Proc[[#This Row],[Obj]],13,10),"")</f>
        <v>1756OF7094</v>
      </c>
      <c r="I1364" t="s">
        <v>3578</v>
      </c>
      <c r="J1364" s="71" t="b">
        <f>Proc[[#This Row],[Requested]]=Proc[[#This Row],[CurrentParent]]</f>
        <v>0</v>
      </c>
      <c r="K1364" s="71" t="str">
        <f>IF(Proc[[#This Row],[Author]]="Marcela Urrego",VLOOKUP(LEFT(Proc[[#This Row],[Requested]],1),Table3[#All],2,0),VLOOKUP(Proc[[#This Row],[Author]],Table4[],2,0))</f>
        <v>LS</v>
      </c>
      <c r="L1364" s="71" t="s">
        <v>2841</v>
      </c>
      <c r="M1364" s="81">
        <v>45790.144409722219</v>
      </c>
      <c r="N1364" s="81"/>
      <c r="O1364" s="81"/>
      <c r="P1364" s="82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0</v>
      </c>
      <c r="R1364" s="82" t="s">
        <v>508</v>
      </c>
      <c r="S1364" s="71"/>
    </row>
    <row r="1365" spans="1:19">
      <c r="A1365" s="74" t="s">
        <v>3482</v>
      </c>
      <c r="B1365" s="71" t="str">
        <f>IFERROR(VLOOKUP(Proc[[#This Row],[App]],Table2[],3,0),"open")</f>
        <v>open</v>
      </c>
      <c r="C1365" s="74" t="s">
        <v>375</v>
      </c>
      <c r="D1365" t="s">
        <v>3495</v>
      </c>
      <c r="E1365" t="s">
        <v>3568</v>
      </c>
      <c r="F1365" s="71"/>
      <c r="G1365" s="74" t="s">
        <v>406</v>
      </c>
      <c r="H1365" s="71" t="str">
        <f>IF(Proc[[#This Row],[type]]="LFF (MDG-F)",MID(Proc[[#This Row],[Obj]],13,10),"")</f>
        <v>2148OF0261</v>
      </c>
      <c r="I1365" t="s">
        <v>3578</v>
      </c>
      <c r="J1365" s="71" t="b">
        <f>Proc[[#This Row],[Requested]]=Proc[[#This Row],[CurrentParent]]</f>
        <v>0</v>
      </c>
      <c r="K1365" s="71" t="str">
        <f>IF(Proc[[#This Row],[Author]]="Marcela Urrego",VLOOKUP(LEFT(Proc[[#This Row],[Requested]],1),Table3[#All],2,0),VLOOKUP(Proc[[#This Row],[Author]],Table4[],2,0))</f>
        <v>LS</v>
      </c>
      <c r="L1365" s="71" t="s">
        <v>2841</v>
      </c>
      <c r="M1365" s="81">
        <v>45790.144409722219</v>
      </c>
      <c r="N1365" s="81"/>
      <c r="O1365" s="81"/>
      <c r="P1365" s="82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0</v>
      </c>
      <c r="R1365" s="82" t="s">
        <v>508</v>
      </c>
      <c r="S1365" s="71"/>
    </row>
    <row r="1366" spans="1:19">
      <c r="A1366" s="74" t="s">
        <v>3482</v>
      </c>
      <c r="B1366" s="71" t="str">
        <f>IFERROR(VLOOKUP(Proc[[#This Row],[App]],Table2[],3,0),"open")</f>
        <v>open</v>
      </c>
      <c r="C1366" s="74" t="s">
        <v>370</v>
      </c>
      <c r="D1366" t="s">
        <v>3496</v>
      </c>
      <c r="E1366" t="s">
        <v>3564</v>
      </c>
      <c r="F1366" s="71"/>
      <c r="G1366" s="74" t="s">
        <v>400</v>
      </c>
      <c r="H1366" s="71" t="str">
        <f>IF(Proc[[#This Row],[type]]="LFF (MDG-F)",MID(Proc[[#This Row],[Obj]],13,10),"")</f>
        <v/>
      </c>
      <c r="J1366" s="71" t="b">
        <f>Proc[[#This Row],[Requested]]=Proc[[#This Row],[CurrentParent]]</f>
        <v>0</v>
      </c>
      <c r="K1366" s="71" t="str">
        <f>IF(Proc[[#This Row],[Author]]="Marcela Urrego",VLOOKUP(LEFT(Proc[[#This Row],[Requested]],1),Table3[#All],2,0),VLOOKUP(Proc[[#This Row],[Author]],Table4[],2,0))</f>
        <v>LS</v>
      </c>
      <c r="L1366" s="71" t="s">
        <v>2841</v>
      </c>
      <c r="M1366" s="81">
        <v>45790.144409722219</v>
      </c>
      <c r="N1366" s="81"/>
      <c r="O1366" s="81"/>
      <c r="P1366" s="82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0</v>
      </c>
      <c r="R1366" s="82" t="s">
        <v>508</v>
      </c>
      <c r="S1366" s="71"/>
    </row>
    <row r="1367" spans="1:19">
      <c r="A1367" s="74" t="s">
        <v>3482</v>
      </c>
      <c r="B1367" s="71" t="str">
        <f>IFERROR(VLOOKUP(Proc[[#This Row],[App]],Table2[],3,0),"open")</f>
        <v>open</v>
      </c>
      <c r="C1367" s="74" t="s">
        <v>370</v>
      </c>
      <c r="D1367" t="s">
        <v>3497</v>
      </c>
      <c r="E1367" t="s">
        <v>3564</v>
      </c>
      <c r="F1367" s="71"/>
      <c r="G1367" s="74" t="s">
        <v>400</v>
      </c>
      <c r="H1367" s="71" t="str">
        <f>IF(Proc[[#This Row],[type]]="LFF (MDG-F)",MID(Proc[[#This Row],[Obj]],13,10),"")</f>
        <v/>
      </c>
      <c r="J1367" s="71" t="b">
        <f>Proc[[#This Row],[Requested]]=Proc[[#This Row],[CurrentParent]]</f>
        <v>0</v>
      </c>
      <c r="K1367" s="71" t="str">
        <f>IF(Proc[[#This Row],[Author]]="Marcela Urrego",VLOOKUP(LEFT(Proc[[#This Row],[Requested]],1),Table3[#All],2,0),VLOOKUP(Proc[[#This Row],[Author]],Table4[],2,0))</f>
        <v>LS</v>
      </c>
      <c r="L1367" s="71" t="s">
        <v>2841</v>
      </c>
      <c r="M1367" s="81">
        <v>45790.144409722219</v>
      </c>
      <c r="N1367" s="81"/>
      <c r="O1367" s="81"/>
      <c r="P1367" s="82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0</v>
      </c>
      <c r="R1367" s="82" t="s">
        <v>508</v>
      </c>
      <c r="S1367" s="71"/>
    </row>
    <row r="1368" spans="1:19">
      <c r="A1368" s="74" t="s">
        <v>3482</v>
      </c>
      <c r="B1368" s="71" t="str">
        <f>IFERROR(VLOOKUP(Proc[[#This Row],[App]],Table2[],3,0),"open")</f>
        <v>open</v>
      </c>
      <c r="C1368" s="74" t="s">
        <v>370</v>
      </c>
      <c r="D1368" t="s">
        <v>3498</v>
      </c>
      <c r="E1368" t="s">
        <v>3562</v>
      </c>
      <c r="F1368" s="71"/>
      <c r="G1368" s="74" t="s">
        <v>400</v>
      </c>
      <c r="H1368" s="71" t="str">
        <f>IF(Proc[[#This Row],[type]]="LFF (MDG-F)",MID(Proc[[#This Row],[Obj]],13,10),"")</f>
        <v/>
      </c>
      <c r="J1368" s="71" t="b">
        <f>Proc[[#This Row],[Requested]]=Proc[[#This Row],[CurrentParent]]</f>
        <v>0</v>
      </c>
      <c r="K1368" s="71" t="str">
        <f>IF(Proc[[#This Row],[Author]]="Marcela Urrego",VLOOKUP(LEFT(Proc[[#This Row],[Requested]],1),Table3[#All],2,0),VLOOKUP(Proc[[#This Row],[Author]],Table4[],2,0))</f>
        <v>LS</v>
      </c>
      <c r="L1368" s="71" t="s">
        <v>2841</v>
      </c>
      <c r="M1368" s="81">
        <v>45790.144409722219</v>
      </c>
      <c r="N1368" s="81"/>
      <c r="O1368" s="81"/>
      <c r="P1368" s="82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0</v>
      </c>
      <c r="R1368" s="82" t="s">
        <v>508</v>
      </c>
      <c r="S1368" s="71"/>
    </row>
    <row r="1369" spans="1:19">
      <c r="A1369" s="74" t="s">
        <v>3482</v>
      </c>
      <c r="B1369" s="71" t="str">
        <f>IFERROR(VLOOKUP(Proc[[#This Row],[App]],Table2[],3,0),"open")</f>
        <v>open</v>
      </c>
      <c r="C1369" s="74" t="s">
        <v>370</v>
      </c>
      <c r="D1369" t="s">
        <v>3499</v>
      </c>
      <c r="E1369" t="s">
        <v>3561</v>
      </c>
      <c r="F1369" s="71"/>
      <c r="G1369" s="74" t="s">
        <v>400</v>
      </c>
      <c r="H1369" s="71" t="str">
        <f>IF(Proc[[#This Row],[type]]="LFF (MDG-F)",MID(Proc[[#This Row],[Obj]],13,10),"")</f>
        <v/>
      </c>
      <c r="J1369" s="71" t="b">
        <f>Proc[[#This Row],[Requested]]=Proc[[#This Row],[CurrentParent]]</f>
        <v>0</v>
      </c>
      <c r="K1369" s="71" t="str">
        <f>IF(Proc[[#This Row],[Author]]="Marcela Urrego",VLOOKUP(LEFT(Proc[[#This Row],[Requested]],1),Table3[#All],2,0),VLOOKUP(Proc[[#This Row],[Author]],Table4[],2,0))</f>
        <v>LS</v>
      </c>
      <c r="L1369" s="71" t="s">
        <v>2841</v>
      </c>
      <c r="M1369" s="81">
        <v>45790.144409722219</v>
      </c>
      <c r="N1369" s="81"/>
      <c r="O1369" s="81"/>
      <c r="P1369" s="82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0</v>
      </c>
      <c r="R1369" s="82" t="s">
        <v>508</v>
      </c>
      <c r="S1369" s="71"/>
    </row>
    <row r="1370" spans="1:19">
      <c r="A1370" s="74" t="s">
        <v>3482</v>
      </c>
      <c r="B1370" s="71" t="str">
        <f>IFERROR(VLOOKUP(Proc[[#This Row],[App]],Table2[],3,0),"open")</f>
        <v>open</v>
      </c>
      <c r="C1370" s="74" t="s">
        <v>370</v>
      </c>
      <c r="D1370" t="s">
        <v>3500</v>
      </c>
      <c r="E1370" t="s">
        <v>3567</v>
      </c>
      <c r="F1370" s="71"/>
      <c r="G1370" s="74" t="s">
        <v>400</v>
      </c>
      <c r="H1370" s="71" t="str">
        <f>IF(Proc[[#This Row],[type]]="LFF (MDG-F)",MID(Proc[[#This Row],[Obj]],13,10),"")</f>
        <v/>
      </c>
      <c r="J1370" s="71" t="b">
        <f>Proc[[#This Row],[Requested]]=Proc[[#This Row],[CurrentParent]]</f>
        <v>0</v>
      </c>
      <c r="K1370" s="71" t="str">
        <f>IF(Proc[[#This Row],[Author]]="Marcela Urrego",VLOOKUP(LEFT(Proc[[#This Row],[Requested]],1),Table3[#All],2,0),VLOOKUP(Proc[[#This Row],[Author]],Table4[],2,0))</f>
        <v>LS</v>
      </c>
      <c r="L1370" s="71" t="s">
        <v>2841</v>
      </c>
      <c r="M1370" s="81">
        <v>45790.144409722219</v>
      </c>
      <c r="N1370" s="81"/>
      <c r="O1370" s="81"/>
      <c r="P1370" s="82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0</v>
      </c>
      <c r="R1370" s="82" t="s">
        <v>508</v>
      </c>
      <c r="S1370" s="71"/>
    </row>
    <row r="1371" spans="1:19">
      <c r="A1371" s="74" t="s">
        <v>3482</v>
      </c>
      <c r="B1371" s="71" t="str">
        <f>IFERROR(VLOOKUP(Proc[[#This Row],[App]],Table2[],3,0),"open")</f>
        <v>open</v>
      </c>
      <c r="C1371" s="74" t="s">
        <v>370</v>
      </c>
      <c r="D1371" t="s">
        <v>3501</v>
      </c>
      <c r="E1371" t="s">
        <v>3565</v>
      </c>
      <c r="F1371" s="71"/>
      <c r="G1371" s="74" t="s">
        <v>400</v>
      </c>
      <c r="H1371" s="71" t="str">
        <f>IF(Proc[[#This Row],[type]]="LFF (MDG-F)",MID(Proc[[#This Row],[Obj]],13,10),"")</f>
        <v/>
      </c>
      <c r="J1371" s="71" t="b">
        <f>Proc[[#This Row],[Requested]]=Proc[[#This Row],[CurrentParent]]</f>
        <v>0</v>
      </c>
      <c r="K1371" s="71" t="str">
        <f>IF(Proc[[#This Row],[Author]]="Marcela Urrego",VLOOKUP(LEFT(Proc[[#This Row],[Requested]],1),Table3[#All],2,0),VLOOKUP(Proc[[#This Row],[Author]],Table4[],2,0))</f>
        <v>LS</v>
      </c>
      <c r="L1371" s="71" t="s">
        <v>2841</v>
      </c>
      <c r="M1371" s="81">
        <v>45790.144409722219</v>
      </c>
      <c r="N1371" s="81"/>
      <c r="O1371" s="81"/>
      <c r="P1371" s="82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0</v>
      </c>
      <c r="R1371" s="82" t="s">
        <v>508</v>
      </c>
      <c r="S1371" s="71"/>
    </row>
    <row r="1372" spans="1:19">
      <c r="A1372" s="74" t="s">
        <v>3482</v>
      </c>
      <c r="B1372" s="71" t="str">
        <f>IFERROR(VLOOKUP(Proc[[#This Row],[App]],Table2[],3,0),"open")</f>
        <v>open</v>
      </c>
      <c r="C1372" s="74" t="s">
        <v>370</v>
      </c>
      <c r="D1372" t="s">
        <v>3502</v>
      </c>
      <c r="E1372" t="s">
        <v>3565</v>
      </c>
      <c r="F1372" s="71"/>
      <c r="G1372" s="74" t="s">
        <v>400</v>
      </c>
      <c r="H1372" s="71" t="str">
        <f>IF(Proc[[#This Row],[type]]="LFF (MDG-F)",MID(Proc[[#This Row],[Obj]],13,10),"")</f>
        <v/>
      </c>
      <c r="J1372" s="71" t="b">
        <f>Proc[[#This Row],[Requested]]=Proc[[#This Row],[CurrentParent]]</f>
        <v>0</v>
      </c>
      <c r="K1372" s="71" t="str">
        <f>IF(Proc[[#This Row],[Author]]="Marcela Urrego",VLOOKUP(LEFT(Proc[[#This Row],[Requested]],1),Table3[#All],2,0),VLOOKUP(Proc[[#This Row],[Author]],Table4[],2,0))</f>
        <v>LS</v>
      </c>
      <c r="L1372" s="71" t="s">
        <v>2841</v>
      </c>
      <c r="M1372" s="81">
        <v>45790.144409722219</v>
      </c>
      <c r="N1372" s="81"/>
      <c r="O1372" s="81"/>
      <c r="P1372" s="82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0</v>
      </c>
      <c r="R1372" s="82" t="s">
        <v>508</v>
      </c>
      <c r="S1372" s="71"/>
    </row>
    <row r="1373" spans="1:19">
      <c r="A1373" s="74" t="s">
        <v>3482</v>
      </c>
      <c r="B1373" s="71" t="str">
        <f>IFERROR(VLOOKUP(Proc[[#This Row],[App]],Table2[],3,0),"open")</f>
        <v>open</v>
      </c>
      <c r="C1373" s="74" t="s">
        <v>370</v>
      </c>
      <c r="D1373" t="s">
        <v>3503</v>
      </c>
      <c r="E1373" t="s">
        <v>3566</v>
      </c>
      <c r="F1373" s="71"/>
      <c r="G1373" s="74" t="s">
        <v>400</v>
      </c>
      <c r="H1373" s="71" t="str">
        <f>IF(Proc[[#This Row],[type]]="LFF (MDG-F)",MID(Proc[[#This Row],[Obj]],13,10),"")</f>
        <v/>
      </c>
      <c r="J1373" s="71" t="b">
        <f>Proc[[#This Row],[Requested]]=Proc[[#This Row],[CurrentParent]]</f>
        <v>0</v>
      </c>
      <c r="K1373" s="71" t="str">
        <f>IF(Proc[[#This Row],[Author]]="Marcela Urrego",VLOOKUP(LEFT(Proc[[#This Row],[Requested]],1),Table3[#All],2,0),VLOOKUP(Proc[[#This Row],[Author]],Table4[],2,0))</f>
        <v>LS</v>
      </c>
      <c r="L1373" s="71" t="s">
        <v>2841</v>
      </c>
      <c r="M1373" s="81">
        <v>45790.144409722219</v>
      </c>
      <c r="N1373" s="81"/>
      <c r="O1373" s="81"/>
      <c r="P1373" s="82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0</v>
      </c>
      <c r="R1373" s="82" t="s">
        <v>508</v>
      </c>
      <c r="S1373" s="71"/>
    </row>
    <row r="1374" spans="1:19">
      <c r="A1374" s="74" t="s">
        <v>3482</v>
      </c>
      <c r="B1374" s="71" t="str">
        <f>IFERROR(VLOOKUP(Proc[[#This Row],[App]],Table2[],3,0),"open")</f>
        <v>open</v>
      </c>
      <c r="C1374" s="74" t="s">
        <v>370</v>
      </c>
      <c r="D1374" t="s">
        <v>3504</v>
      </c>
      <c r="E1374" t="s">
        <v>3568</v>
      </c>
      <c r="F1374" s="71"/>
      <c r="G1374" s="74" t="s">
        <v>400</v>
      </c>
      <c r="H1374" s="71" t="str">
        <f>IF(Proc[[#This Row],[type]]="LFF (MDG-F)",MID(Proc[[#This Row],[Obj]],13,10),"")</f>
        <v/>
      </c>
      <c r="J1374" s="71" t="b">
        <f>Proc[[#This Row],[Requested]]=Proc[[#This Row],[CurrentParent]]</f>
        <v>0</v>
      </c>
      <c r="K1374" s="71" t="str">
        <f>IF(Proc[[#This Row],[Author]]="Marcela Urrego",VLOOKUP(LEFT(Proc[[#This Row],[Requested]],1),Table3[#All],2,0),VLOOKUP(Proc[[#This Row],[Author]],Table4[],2,0))</f>
        <v>LS</v>
      </c>
      <c r="L1374" s="71" t="s">
        <v>2841</v>
      </c>
      <c r="M1374" s="81">
        <v>45790.144409722219</v>
      </c>
      <c r="N1374" s="81"/>
      <c r="O1374" s="81"/>
      <c r="P1374" s="82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0</v>
      </c>
      <c r="R1374" s="82" t="s">
        <v>508</v>
      </c>
      <c r="S1374" s="71"/>
    </row>
    <row r="1375" spans="1:19">
      <c r="A1375" s="74" t="s">
        <v>3482</v>
      </c>
      <c r="B1375" s="71" t="str">
        <f>IFERROR(VLOOKUP(Proc[[#This Row],[App]],Table2[],3,0),"open")</f>
        <v>open</v>
      </c>
      <c r="C1375" s="74" t="s">
        <v>370</v>
      </c>
      <c r="D1375" t="s">
        <v>3505</v>
      </c>
      <c r="E1375" t="s">
        <v>3566</v>
      </c>
      <c r="F1375" s="71"/>
      <c r="G1375" s="74" t="s">
        <v>400</v>
      </c>
      <c r="H1375" s="71" t="str">
        <f>IF(Proc[[#This Row],[type]]="LFF (MDG-F)",MID(Proc[[#This Row],[Obj]],13,10),"")</f>
        <v/>
      </c>
      <c r="J1375" s="71" t="b">
        <f>Proc[[#This Row],[Requested]]=Proc[[#This Row],[CurrentParent]]</f>
        <v>0</v>
      </c>
      <c r="K1375" s="71" t="str">
        <f>IF(Proc[[#This Row],[Author]]="Marcela Urrego",VLOOKUP(LEFT(Proc[[#This Row],[Requested]],1),Table3[#All],2,0),VLOOKUP(Proc[[#This Row],[Author]],Table4[],2,0))</f>
        <v>LS</v>
      </c>
      <c r="L1375" s="71" t="s">
        <v>2841</v>
      </c>
      <c r="M1375" s="81">
        <v>45790.144409722219</v>
      </c>
      <c r="N1375" s="81"/>
      <c r="O1375" s="81"/>
      <c r="P1375" s="82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0</v>
      </c>
      <c r="R1375" s="82" t="s">
        <v>508</v>
      </c>
      <c r="S1375" s="71"/>
    </row>
    <row r="1376" spans="1:19">
      <c r="A1376" s="74" t="s">
        <v>3482</v>
      </c>
      <c r="B1376" s="71" t="str">
        <f>IFERROR(VLOOKUP(Proc[[#This Row],[App]],Table2[],3,0),"open")</f>
        <v>open</v>
      </c>
      <c r="C1376" s="74" t="s">
        <v>370</v>
      </c>
      <c r="D1376" t="s">
        <v>3506</v>
      </c>
      <c r="E1376" t="s">
        <v>3568</v>
      </c>
      <c r="F1376" s="71"/>
      <c r="G1376" s="74" t="s">
        <v>400</v>
      </c>
      <c r="H1376" s="71" t="str">
        <f>IF(Proc[[#This Row],[type]]="LFF (MDG-F)",MID(Proc[[#This Row],[Obj]],13,10),"")</f>
        <v/>
      </c>
      <c r="J1376" s="71" t="b">
        <f>Proc[[#This Row],[Requested]]=Proc[[#This Row],[CurrentParent]]</f>
        <v>0</v>
      </c>
      <c r="K1376" s="71" t="str">
        <f>IF(Proc[[#This Row],[Author]]="Marcela Urrego",VLOOKUP(LEFT(Proc[[#This Row],[Requested]],1),Table3[#All],2,0),VLOOKUP(Proc[[#This Row],[Author]],Table4[],2,0))</f>
        <v>LS</v>
      </c>
      <c r="L1376" s="71" t="s">
        <v>2841</v>
      </c>
      <c r="M1376" s="81">
        <v>45790.144409722219</v>
      </c>
      <c r="N1376" s="81"/>
      <c r="O1376" s="81"/>
      <c r="P1376" s="82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0</v>
      </c>
      <c r="R1376" s="82" t="s">
        <v>508</v>
      </c>
      <c r="S1376" s="71"/>
    </row>
    <row r="1377" spans="1:19">
      <c r="A1377" s="74" t="s">
        <v>3482</v>
      </c>
      <c r="B1377" s="71" t="str">
        <f>IFERROR(VLOOKUP(Proc[[#This Row],[App]],Table2[],3,0),"open")</f>
        <v>open</v>
      </c>
      <c r="C1377" s="74" t="s">
        <v>370</v>
      </c>
      <c r="D1377" t="s">
        <v>3507</v>
      </c>
      <c r="E1377" t="s">
        <v>3569</v>
      </c>
      <c r="F1377" s="71"/>
      <c r="G1377" s="74" t="s">
        <v>400</v>
      </c>
      <c r="H1377" s="71" t="str">
        <f>IF(Proc[[#This Row],[type]]="LFF (MDG-F)",MID(Proc[[#This Row],[Obj]],13,10),"")</f>
        <v/>
      </c>
      <c r="J1377" s="71" t="b">
        <f>Proc[[#This Row],[Requested]]=Proc[[#This Row],[CurrentParent]]</f>
        <v>0</v>
      </c>
      <c r="K1377" s="71" t="str">
        <f>IF(Proc[[#This Row],[Author]]="Marcela Urrego",VLOOKUP(LEFT(Proc[[#This Row],[Requested]],1),Table3[#All],2,0),VLOOKUP(Proc[[#This Row],[Author]],Table4[],2,0))</f>
        <v>LS</v>
      </c>
      <c r="L1377" s="71" t="s">
        <v>2841</v>
      </c>
      <c r="M1377" s="81">
        <v>45790.144409722219</v>
      </c>
      <c r="N1377" s="81"/>
      <c r="O1377" s="81"/>
      <c r="P1377" s="82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0</v>
      </c>
      <c r="R1377" s="82" t="s">
        <v>508</v>
      </c>
      <c r="S1377" s="71"/>
    </row>
    <row r="1378" spans="1:19">
      <c r="A1378" s="74" t="s">
        <v>3482</v>
      </c>
      <c r="B1378" s="71" t="str">
        <f>IFERROR(VLOOKUP(Proc[[#This Row],[App]],Table2[],3,0),"open")</f>
        <v>open</v>
      </c>
      <c r="C1378" s="74" t="s">
        <v>370</v>
      </c>
      <c r="D1378" t="s">
        <v>3508</v>
      </c>
      <c r="E1378" t="s">
        <v>3570</v>
      </c>
      <c r="F1378" s="71"/>
      <c r="G1378" s="74" t="s">
        <v>400</v>
      </c>
      <c r="H1378" s="71" t="str">
        <f>IF(Proc[[#This Row],[type]]="LFF (MDG-F)",MID(Proc[[#This Row],[Obj]],13,10),"")</f>
        <v/>
      </c>
      <c r="J1378" s="71" t="b">
        <f>Proc[[#This Row],[Requested]]=Proc[[#This Row],[CurrentParent]]</f>
        <v>0</v>
      </c>
      <c r="K1378" s="71" t="str">
        <f>IF(Proc[[#This Row],[Author]]="Marcela Urrego",VLOOKUP(LEFT(Proc[[#This Row],[Requested]],1),Table3[#All],2,0),VLOOKUP(Proc[[#This Row],[Author]],Table4[],2,0))</f>
        <v>LS</v>
      </c>
      <c r="L1378" s="71" t="s">
        <v>2841</v>
      </c>
      <c r="M1378" s="81">
        <v>45790.144409722219</v>
      </c>
      <c r="N1378" s="81"/>
      <c r="O1378" s="81"/>
      <c r="P1378" s="82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0</v>
      </c>
      <c r="R1378" s="82" t="s">
        <v>508</v>
      </c>
      <c r="S1378" s="71"/>
    </row>
    <row r="1379" spans="1:19">
      <c r="A1379" s="74" t="s">
        <v>3482</v>
      </c>
      <c r="B1379" s="71" t="str">
        <f>IFERROR(VLOOKUP(Proc[[#This Row],[App]],Table2[],3,0),"open")</f>
        <v>open</v>
      </c>
      <c r="C1379" s="74" t="s">
        <v>370</v>
      </c>
      <c r="D1379" t="s">
        <v>3509</v>
      </c>
      <c r="E1379" t="s">
        <v>3562</v>
      </c>
      <c r="F1379" s="71"/>
      <c r="G1379" s="74" t="s">
        <v>400</v>
      </c>
      <c r="H1379" s="71" t="str">
        <f>IF(Proc[[#This Row],[type]]="LFF (MDG-F)",MID(Proc[[#This Row],[Obj]],13,10),"")</f>
        <v/>
      </c>
      <c r="J1379" s="71" t="b">
        <f>Proc[[#This Row],[Requested]]=Proc[[#This Row],[CurrentParent]]</f>
        <v>0</v>
      </c>
      <c r="K1379" s="71" t="str">
        <f>IF(Proc[[#This Row],[Author]]="Marcela Urrego",VLOOKUP(LEFT(Proc[[#This Row],[Requested]],1),Table3[#All],2,0),VLOOKUP(Proc[[#This Row],[Author]],Table4[],2,0))</f>
        <v>LS</v>
      </c>
      <c r="L1379" s="71" t="s">
        <v>2841</v>
      </c>
      <c r="M1379" s="81">
        <v>45790.144409722219</v>
      </c>
      <c r="N1379" s="81"/>
      <c r="O1379" s="81"/>
      <c r="P1379" s="82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0</v>
      </c>
      <c r="R1379" s="82" t="s">
        <v>508</v>
      </c>
      <c r="S1379" s="71"/>
    </row>
    <row r="1380" spans="1:19">
      <c r="A1380" s="74" t="s">
        <v>3482</v>
      </c>
      <c r="B1380" s="71" t="str">
        <f>IFERROR(VLOOKUP(Proc[[#This Row],[App]],Table2[],3,0),"open")</f>
        <v>open</v>
      </c>
      <c r="C1380" s="74" t="s">
        <v>370</v>
      </c>
      <c r="D1380" t="s">
        <v>3510</v>
      </c>
      <c r="E1380" t="s">
        <v>3566</v>
      </c>
      <c r="F1380" s="71"/>
      <c r="G1380" s="74" t="s">
        <v>400</v>
      </c>
      <c r="H1380" s="71" t="str">
        <f>IF(Proc[[#This Row],[type]]="LFF (MDG-F)",MID(Proc[[#This Row],[Obj]],13,10),"")</f>
        <v/>
      </c>
      <c r="J1380" s="71" t="b">
        <f>Proc[[#This Row],[Requested]]=Proc[[#This Row],[CurrentParent]]</f>
        <v>0</v>
      </c>
      <c r="K1380" s="71" t="str">
        <f>IF(Proc[[#This Row],[Author]]="Marcela Urrego",VLOOKUP(LEFT(Proc[[#This Row],[Requested]],1),Table3[#All],2,0),VLOOKUP(Proc[[#This Row],[Author]],Table4[],2,0))</f>
        <v>LS</v>
      </c>
      <c r="L1380" s="71" t="s">
        <v>2841</v>
      </c>
      <c r="M1380" s="81">
        <v>45790.144409722219</v>
      </c>
      <c r="N1380" s="81"/>
      <c r="O1380" s="81"/>
      <c r="P1380" s="82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0</v>
      </c>
      <c r="R1380" s="82" t="s">
        <v>508</v>
      </c>
      <c r="S1380" s="71"/>
    </row>
    <row r="1381" spans="1:19">
      <c r="A1381" s="74" t="s">
        <v>3482</v>
      </c>
      <c r="B1381" s="71" t="str">
        <f>IFERROR(VLOOKUP(Proc[[#This Row],[App]],Table2[],3,0),"open")</f>
        <v>open</v>
      </c>
      <c r="C1381" s="74" t="s">
        <v>370</v>
      </c>
      <c r="D1381" t="s">
        <v>3511</v>
      </c>
      <c r="E1381" t="s">
        <v>3564</v>
      </c>
      <c r="F1381" s="71"/>
      <c r="G1381" s="74" t="s">
        <v>400</v>
      </c>
      <c r="H1381" s="71" t="str">
        <f>IF(Proc[[#This Row],[type]]="LFF (MDG-F)",MID(Proc[[#This Row],[Obj]],13,10),"")</f>
        <v/>
      </c>
      <c r="J1381" s="71" t="b">
        <f>Proc[[#This Row],[Requested]]=Proc[[#This Row],[CurrentParent]]</f>
        <v>0</v>
      </c>
      <c r="K1381" s="71" t="str">
        <f>IF(Proc[[#This Row],[Author]]="Marcela Urrego",VLOOKUP(LEFT(Proc[[#This Row],[Requested]],1),Table3[#All],2,0),VLOOKUP(Proc[[#This Row],[Author]],Table4[],2,0))</f>
        <v>LS</v>
      </c>
      <c r="L1381" s="71" t="s">
        <v>2841</v>
      </c>
      <c r="M1381" s="81">
        <v>45790.144409722219</v>
      </c>
      <c r="N1381" s="81"/>
      <c r="O1381" s="81"/>
      <c r="P1381" s="82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0</v>
      </c>
      <c r="R1381" s="82" t="s">
        <v>508</v>
      </c>
      <c r="S1381" s="71"/>
    </row>
    <row r="1382" spans="1:19">
      <c r="A1382" s="74" t="s">
        <v>3482</v>
      </c>
      <c r="B1382" s="71" t="str">
        <f>IFERROR(VLOOKUP(Proc[[#This Row],[App]],Table2[],3,0),"open")</f>
        <v>open</v>
      </c>
      <c r="C1382" s="74" t="s">
        <v>370</v>
      </c>
      <c r="D1382" t="s">
        <v>3512</v>
      </c>
      <c r="E1382" t="s">
        <v>3564</v>
      </c>
      <c r="F1382" s="71"/>
      <c r="G1382" s="74" t="s">
        <v>400</v>
      </c>
      <c r="H1382" s="71" t="str">
        <f>IF(Proc[[#This Row],[type]]="LFF (MDG-F)",MID(Proc[[#This Row],[Obj]],13,10),"")</f>
        <v/>
      </c>
      <c r="J1382" s="71" t="b">
        <f>Proc[[#This Row],[Requested]]=Proc[[#This Row],[CurrentParent]]</f>
        <v>0</v>
      </c>
      <c r="K1382" s="71" t="str">
        <f>IF(Proc[[#This Row],[Author]]="Marcela Urrego",VLOOKUP(LEFT(Proc[[#This Row],[Requested]],1),Table3[#All],2,0),VLOOKUP(Proc[[#This Row],[Author]],Table4[],2,0))</f>
        <v>LS</v>
      </c>
      <c r="L1382" s="71" t="s">
        <v>2841</v>
      </c>
      <c r="M1382" s="81">
        <v>45790.144409722219</v>
      </c>
      <c r="N1382" s="81"/>
      <c r="O1382" s="81"/>
      <c r="P1382" s="82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0</v>
      </c>
      <c r="R1382" s="82" t="s">
        <v>508</v>
      </c>
      <c r="S1382" s="71"/>
    </row>
    <row r="1383" spans="1:19">
      <c r="A1383" s="74" t="s">
        <v>3482</v>
      </c>
      <c r="B1383" s="71" t="str">
        <f>IFERROR(VLOOKUP(Proc[[#This Row],[App]],Table2[],3,0),"open")</f>
        <v>open</v>
      </c>
      <c r="C1383" s="74" t="s">
        <v>370</v>
      </c>
      <c r="D1383" t="s">
        <v>3513</v>
      </c>
      <c r="E1383" t="s">
        <v>3567</v>
      </c>
      <c r="F1383" s="71"/>
      <c r="G1383" s="74" t="s">
        <v>400</v>
      </c>
      <c r="H1383" s="71" t="str">
        <f>IF(Proc[[#This Row],[type]]="LFF (MDG-F)",MID(Proc[[#This Row],[Obj]],13,10),"")</f>
        <v/>
      </c>
      <c r="J1383" s="71" t="b">
        <f>Proc[[#This Row],[Requested]]=Proc[[#This Row],[CurrentParent]]</f>
        <v>0</v>
      </c>
      <c r="K1383" s="71" t="str">
        <f>IF(Proc[[#This Row],[Author]]="Marcela Urrego",VLOOKUP(LEFT(Proc[[#This Row],[Requested]],1),Table3[#All],2,0),VLOOKUP(Proc[[#This Row],[Author]],Table4[],2,0))</f>
        <v>LS</v>
      </c>
      <c r="L1383" s="71" t="s">
        <v>2841</v>
      </c>
      <c r="M1383" s="81">
        <v>45790.144409722219</v>
      </c>
      <c r="N1383" s="81"/>
      <c r="O1383" s="81"/>
      <c r="P1383" s="82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0</v>
      </c>
      <c r="R1383" s="82" t="s">
        <v>508</v>
      </c>
      <c r="S1383" s="71"/>
    </row>
    <row r="1384" spans="1:19">
      <c r="A1384" s="74" t="s">
        <v>3482</v>
      </c>
      <c r="B1384" s="71" t="str">
        <f>IFERROR(VLOOKUP(Proc[[#This Row],[App]],Table2[],3,0),"open")</f>
        <v>open</v>
      </c>
      <c r="C1384" s="74" t="s">
        <v>370</v>
      </c>
      <c r="D1384" t="s">
        <v>3514</v>
      </c>
      <c r="E1384" t="s">
        <v>3563</v>
      </c>
      <c r="F1384" s="71"/>
      <c r="G1384" s="74" t="s">
        <v>400</v>
      </c>
      <c r="H1384" s="71" t="str">
        <f>IF(Proc[[#This Row],[type]]="LFF (MDG-F)",MID(Proc[[#This Row],[Obj]],13,10),"")</f>
        <v/>
      </c>
      <c r="J1384" s="71" t="b">
        <f>Proc[[#This Row],[Requested]]=Proc[[#This Row],[CurrentParent]]</f>
        <v>0</v>
      </c>
      <c r="K1384" s="71" t="str">
        <f>IF(Proc[[#This Row],[Author]]="Marcela Urrego",VLOOKUP(LEFT(Proc[[#This Row],[Requested]],1),Table3[#All],2,0),VLOOKUP(Proc[[#This Row],[Author]],Table4[],2,0))</f>
        <v>LS</v>
      </c>
      <c r="L1384" s="71" t="s">
        <v>2841</v>
      </c>
      <c r="M1384" s="81">
        <v>45790.144409722219</v>
      </c>
      <c r="N1384" s="81"/>
      <c r="O1384" s="81"/>
      <c r="P1384" s="82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0</v>
      </c>
      <c r="R1384" s="82" t="s">
        <v>508</v>
      </c>
      <c r="S1384" s="71"/>
    </row>
    <row r="1385" spans="1:19">
      <c r="A1385" s="74" t="s">
        <v>3482</v>
      </c>
      <c r="B1385" s="71" t="str">
        <f>IFERROR(VLOOKUP(Proc[[#This Row],[App]],Table2[],3,0),"open")</f>
        <v>open</v>
      </c>
      <c r="C1385" s="74" t="s">
        <v>370</v>
      </c>
      <c r="D1385" t="s">
        <v>3515</v>
      </c>
      <c r="E1385" t="s">
        <v>3570</v>
      </c>
      <c r="F1385" s="71"/>
      <c r="G1385" s="74" t="s">
        <v>400</v>
      </c>
      <c r="H1385" s="71" t="str">
        <f>IF(Proc[[#This Row],[type]]="LFF (MDG-F)",MID(Proc[[#This Row],[Obj]],13,10),"")</f>
        <v/>
      </c>
      <c r="J1385" s="71" t="b">
        <f>Proc[[#This Row],[Requested]]=Proc[[#This Row],[CurrentParent]]</f>
        <v>0</v>
      </c>
      <c r="K1385" s="71" t="str">
        <f>IF(Proc[[#This Row],[Author]]="Marcela Urrego",VLOOKUP(LEFT(Proc[[#This Row],[Requested]],1),Table3[#All],2,0),VLOOKUP(Proc[[#This Row],[Author]],Table4[],2,0))</f>
        <v>LS</v>
      </c>
      <c r="L1385" s="71" t="s">
        <v>2841</v>
      </c>
      <c r="M1385" s="81">
        <v>45790.144409722219</v>
      </c>
      <c r="N1385" s="81"/>
      <c r="O1385" s="81"/>
      <c r="P1385" s="82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0</v>
      </c>
      <c r="R1385" s="82" t="s">
        <v>508</v>
      </c>
      <c r="S1385" s="71"/>
    </row>
    <row r="1386" spans="1:19">
      <c r="A1386" s="74" t="s">
        <v>3482</v>
      </c>
      <c r="B1386" s="71" t="str">
        <f>IFERROR(VLOOKUP(Proc[[#This Row],[App]],Table2[],3,0),"open")</f>
        <v>open</v>
      </c>
      <c r="C1386" s="74" t="s">
        <v>370</v>
      </c>
      <c r="D1386" t="s">
        <v>3516</v>
      </c>
      <c r="E1386" t="s">
        <v>3564</v>
      </c>
      <c r="F1386" s="71"/>
      <c r="G1386" s="74" t="s">
        <v>400</v>
      </c>
      <c r="H1386" s="71" t="str">
        <f>IF(Proc[[#This Row],[type]]="LFF (MDG-F)",MID(Proc[[#This Row],[Obj]],13,10),"")</f>
        <v/>
      </c>
      <c r="J1386" s="71" t="b">
        <f>Proc[[#This Row],[Requested]]=Proc[[#This Row],[CurrentParent]]</f>
        <v>0</v>
      </c>
      <c r="K1386" s="71" t="str">
        <f>IF(Proc[[#This Row],[Author]]="Marcela Urrego",VLOOKUP(LEFT(Proc[[#This Row],[Requested]],1),Table3[#All],2,0),VLOOKUP(Proc[[#This Row],[Author]],Table4[],2,0))</f>
        <v>LS</v>
      </c>
      <c r="L1386" s="71" t="s">
        <v>2841</v>
      </c>
      <c r="M1386" s="81">
        <v>45790.144409722219</v>
      </c>
      <c r="N1386" s="81"/>
      <c r="O1386" s="81"/>
      <c r="P1386" s="82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0</v>
      </c>
      <c r="R1386" s="82" t="s">
        <v>508</v>
      </c>
      <c r="S1386" s="71"/>
    </row>
    <row r="1387" spans="1:19">
      <c r="A1387" s="74" t="s">
        <v>3482</v>
      </c>
      <c r="B1387" s="71" t="str">
        <f>IFERROR(VLOOKUP(Proc[[#This Row],[App]],Table2[],3,0),"open")</f>
        <v>open</v>
      </c>
      <c r="C1387" s="74" t="s">
        <v>370</v>
      </c>
      <c r="D1387" t="s">
        <v>3517</v>
      </c>
      <c r="E1387" t="s">
        <v>3564</v>
      </c>
      <c r="F1387" s="71"/>
      <c r="G1387" s="74" t="s">
        <v>400</v>
      </c>
      <c r="H1387" s="71" t="str">
        <f>IF(Proc[[#This Row],[type]]="LFF (MDG-F)",MID(Proc[[#This Row],[Obj]],13,10),"")</f>
        <v/>
      </c>
      <c r="J1387" s="71" t="b">
        <f>Proc[[#This Row],[Requested]]=Proc[[#This Row],[CurrentParent]]</f>
        <v>0</v>
      </c>
      <c r="K1387" s="71" t="str">
        <f>IF(Proc[[#This Row],[Author]]="Marcela Urrego",VLOOKUP(LEFT(Proc[[#This Row],[Requested]],1),Table3[#All],2,0),VLOOKUP(Proc[[#This Row],[Author]],Table4[],2,0))</f>
        <v>LS</v>
      </c>
      <c r="L1387" s="71" t="s">
        <v>2841</v>
      </c>
      <c r="M1387" s="81">
        <v>45790.144409722219</v>
      </c>
      <c r="N1387" s="81"/>
      <c r="O1387" s="81"/>
      <c r="P1387" s="82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0</v>
      </c>
      <c r="R1387" s="82" t="s">
        <v>508</v>
      </c>
      <c r="S1387" s="71"/>
    </row>
    <row r="1388" spans="1:19">
      <c r="A1388" s="74" t="s">
        <v>3482</v>
      </c>
      <c r="B1388" s="71" t="str">
        <f>IFERROR(VLOOKUP(Proc[[#This Row],[App]],Table2[],3,0),"open")</f>
        <v>open</v>
      </c>
      <c r="C1388" s="74" t="s">
        <v>370</v>
      </c>
      <c r="D1388" t="s">
        <v>3518</v>
      </c>
      <c r="E1388" t="s">
        <v>3567</v>
      </c>
      <c r="F1388" s="71"/>
      <c r="G1388" s="74" t="s">
        <v>400</v>
      </c>
      <c r="H1388" s="71" t="str">
        <f>IF(Proc[[#This Row],[type]]="LFF (MDG-F)",MID(Proc[[#This Row],[Obj]],13,10),"")</f>
        <v/>
      </c>
      <c r="J1388" s="71" t="b">
        <f>Proc[[#This Row],[Requested]]=Proc[[#This Row],[CurrentParent]]</f>
        <v>0</v>
      </c>
      <c r="K1388" s="71" t="str">
        <f>IF(Proc[[#This Row],[Author]]="Marcela Urrego",VLOOKUP(LEFT(Proc[[#This Row],[Requested]],1),Table3[#All],2,0),VLOOKUP(Proc[[#This Row],[Author]],Table4[],2,0))</f>
        <v>LS</v>
      </c>
      <c r="L1388" s="71" t="s">
        <v>2841</v>
      </c>
      <c r="M1388" s="81">
        <v>45790.144409722219</v>
      </c>
      <c r="N1388" s="81"/>
      <c r="O1388" s="81"/>
      <c r="P1388" s="82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0</v>
      </c>
      <c r="R1388" s="82" t="s">
        <v>508</v>
      </c>
      <c r="S1388" s="71"/>
    </row>
    <row r="1389" spans="1:19">
      <c r="A1389" s="74" t="s">
        <v>3482</v>
      </c>
      <c r="B1389" s="71" t="str">
        <f>IFERROR(VLOOKUP(Proc[[#This Row],[App]],Table2[],3,0),"open")</f>
        <v>open</v>
      </c>
      <c r="C1389" s="74" t="s">
        <v>370</v>
      </c>
      <c r="D1389" t="s">
        <v>3519</v>
      </c>
      <c r="E1389" t="s">
        <v>3561</v>
      </c>
      <c r="F1389" s="71"/>
      <c r="G1389" s="74" t="s">
        <v>400</v>
      </c>
      <c r="H1389" s="71" t="str">
        <f>IF(Proc[[#This Row],[type]]="LFF (MDG-F)",MID(Proc[[#This Row],[Obj]],13,10),"")</f>
        <v/>
      </c>
      <c r="J1389" s="71" t="b">
        <f>Proc[[#This Row],[Requested]]=Proc[[#This Row],[CurrentParent]]</f>
        <v>0</v>
      </c>
      <c r="K1389" s="71" t="str">
        <f>IF(Proc[[#This Row],[Author]]="Marcela Urrego",VLOOKUP(LEFT(Proc[[#This Row],[Requested]],1),Table3[#All],2,0),VLOOKUP(Proc[[#This Row],[Author]],Table4[],2,0))</f>
        <v>LS</v>
      </c>
      <c r="L1389" s="71" t="s">
        <v>2841</v>
      </c>
      <c r="M1389" s="81">
        <v>45790.144409722219</v>
      </c>
      <c r="N1389" s="81"/>
      <c r="O1389" s="81"/>
      <c r="P1389" s="82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0</v>
      </c>
      <c r="R1389" s="82" t="s">
        <v>508</v>
      </c>
      <c r="S1389" s="71"/>
    </row>
    <row r="1390" spans="1:19">
      <c r="A1390" s="74" t="s">
        <v>3482</v>
      </c>
      <c r="B1390" s="71" t="str">
        <f>IFERROR(VLOOKUP(Proc[[#This Row],[App]],Table2[],3,0),"open")</f>
        <v>open</v>
      </c>
      <c r="C1390" s="74" t="s">
        <v>370</v>
      </c>
      <c r="D1390" t="s">
        <v>3520</v>
      </c>
      <c r="E1390" t="s">
        <v>3568</v>
      </c>
      <c r="F1390" s="71"/>
      <c r="G1390" s="74" t="s">
        <v>400</v>
      </c>
      <c r="H1390" s="71" t="str">
        <f>IF(Proc[[#This Row],[type]]="LFF (MDG-F)",MID(Proc[[#This Row],[Obj]],13,10),"")</f>
        <v/>
      </c>
      <c r="J1390" s="71" t="b">
        <f>Proc[[#This Row],[Requested]]=Proc[[#This Row],[CurrentParent]]</f>
        <v>0</v>
      </c>
      <c r="K1390" s="71" t="str">
        <f>IF(Proc[[#This Row],[Author]]="Marcela Urrego",VLOOKUP(LEFT(Proc[[#This Row],[Requested]],1),Table3[#All],2,0),VLOOKUP(Proc[[#This Row],[Author]],Table4[],2,0))</f>
        <v>LS</v>
      </c>
      <c r="L1390" s="71" t="s">
        <v>2841</v>
      </c>
      <c r="M1390" s="81">
        <v>45790.144409722219</v>
      </c>
      <c r="N1390" s="81"/>
      <c r="O1390" s="81"/>
      <c r="P1390" s="82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0</v>
      </c>
      <c r="R1390" s="82" t="s">
        <v>508</v>
      </c>
      <c r="S1390" s="71"/>
    </row>
    <row r="1391" spans="1:19">
      <c r="A1391" s="74" t="s">
        <v>3482</v>
      </c>
      <c r="B1391" s="71" t="str">
        <f>IFERROR(VLOOKUP(Proc[[#This Row],[App]],Table2[],3,0),"open")</f>
        <v>open</v>
      </c>
      <c r="C1391" s="74" t="s">
        <v>370</v>
      </c>
      <c r="D1391" t="s">
        <v>3521</v>
      </c>
      <c r="E1391" t="s">
        <v>3570</v>
      </c>
      <c r="F1391" s="71"/>
      <c r="G1391" s="74" t="s">
        <v>400</v>
      </c>
      <c r="H1391" s="71" t="str">
        <f>IF(Proc[[#This Row],[type]]="LFF (MDG-F)",MID(Proc[[#This Row],[Obj]],13,10),"")</f>
        <v/>
      </c>
      <c r="J1391" s="71" t="b">
        <f>Proc[[#This Row],[Requested]]=Proc[[#This Row],[CurrentParent]]</f>
        <v>0</v>
      </c>
      <c r="K1391" s="71" t="str">
        <f>IF(Proc[[#This Row],[Author]]="Marcela Urrego",VLOOKUP(LEFT(Proc[[#This Row],[Requested]],1),Table3[#All],2,0),VLOOKUP(Proc[[#This Row],[Author]],Table4[],2,0))</f>
        <v>LS</v>
      </c>
      <c r="L1391" s="71" t="s">
        <v>2841</v>
      </c>
      <c r="M1391" s="81">
        <v>45790.144409722219</v>
      </c>
      <c r="N1391" s="81"/>
      <c r="O1391" s="81"/>
      <c r="P1391" s="82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0</v>
      </c>
      <c r="R1391" s="82" t="s">
        <v>508</v>
      </c>
      <c r="S1391" s="71"/>
    </row>
    <row r="1392" spans="1:19">
      <c r="A1392" s="74" t="s">
        <v>3482</v>
      </c>
      <c r="B1392" s="71" t="str">
        <f>IFERROR(VLOOKUP(Proc[[#This Row],[App]],Table2[],3,0),"open")</f>
        <v>open</v>
      </c>
      <c r="C1392" s="74" t="s">
        <v>370</v>
      </c>
      <c r="D1392" t="s">
        <v>3522</v>
      </c>
      <c r="E1392" t="s">
        <v>3571</v>
      </c>
      <c r="F1392" s="71"/>
      <c r="G1392" s="74" t="s">
        <v>400</v>
      </c>
      <c r="H1392" s="71" t="str">
        <f>IF(Proc[[#This Row],[type]]="LFF (MDG-F)",MID(Proc[[#This Row],[Obj]],13,10),"")</f>
        <v/>
      </c>
      <c r="J1392" s="71" t="b">
        <f>Proc[[#This Row],[Requested]]=Proc[[#This Row],[CurrentParent]]</f>
        <v>0</v>
      </c>
      <c r="K1392" s="71" t="str">
        <f>IF(Proc[[#This Row],[Author]]="Marcela Urrego",VLOOKUP(LEFT(Proc[[#This Row],[Requested]],1),Table3[#All],2,0),VLOOKUP(Proc[[#This Row],[Author]],Table4[],2,0))</f>
        <v>LS</v>
      </c>
      <c r="L1392" s="71" t="s">
        <v>2841</v>
      </c>
      <c r="M1392" s="81">
        <v>45790.144409722219</v>
      </c>
      <c r="N1392" s="81"/>
      <c r="O1392" s="81"/>
      <c r="P1392" s="82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0</v>
      </c>
      <c r="R1392" s="82" t="s">
        <v>508</v>
      </c>
      <c r="S1392" s="71"/>
    </row>
    <row r="1393" spans="1:19">
      <c r="A1393" s="74" t="s">
        <v>3482</v>
      </c>
      <c r="B1393" s="71" t="str">
        <f>IFERROR(VLOOKUP(Proc[[#This Row],[App]],Table2[],3,0),"open")</f>
        <v>open</v>
      </c>
      <c r="C1393" s="74" t="s">
        <v>370</v>
      </c>
      <c r="D1393" t="s">
        <v>3523</v>
      </c>
      <c r="E1393" t="s">
        <v>3564</v>
      </c>
      <c r="F1393" s="71"/>
      <c r="G1393" s="74" t="s">
        <v>400</v>
      </c>
      <c r="H1393" s="71" t="str">
        <f>IF(Proc[[#This Row],[type]]="LFF (MDG-F)",MID(Proc[[#This Row],[Obj]],13,10),"")</f>
        <v/>
      </c>
      <c r="J1393" s="71" t="b">
        <f>Proc[[#This Row],[Requested]]=Proc[[#This Row],[CurrentParent]]</f>
        <v>0</v>
      </c>
      <c r="K1393" s="71" t="str">
        <f>IF(Proc[[#This Row],[Author]]="Marcela Urrego",VLOOKUP(LEFT(Proc[[#This Row],[Requested]],1),Table3[#All],2,0),VLOOKUP(Proc[[#This Row],[Author]],Table4[],2,0))</f>
        <v>LS</v>
      </c>
      <c r="L1393" s="71" t="s">
        <v>2841</v>
      </c>
      <c r="M1393" s="81">
        <v>45790.144409722219</v>
      </c>
      <c r="N1393" s="81"/>
      <c r="O1393" s="81"/>
      <c r="P1393" s="82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0</v>
      </c>
      <c r="R1393" s="82" t="s">
        <v>508</v>
      </c>
      <c r="S1393" s="71"/>
    </row>
    <row r="1394" spans="1:19">
      <c r="A1394" s="74" t="s">
        <v>3482</v>
      </c>
      <c r="B1394" s="71" t="str">
        <f>IFERROR(VLOOKUP(Proc[[#This Row],[App]],Table2[],3,0),"open")</f>
        <v>open</v>
      </c>
      <c r="C1394" s="74" t="s">
        <v>370</v>
      </c>
      <c r="D1394" t="s">
        <v>3524</v>
      </c>
      <c r="E1394" t="s">
        <v>3568</v>
      </c>
      <c r="F1394" s="71"/>
      <c r="G1394" s="74" t="s">
        <v>400</v>
      </c>
      <c r="H1394" s="71" t="str">
        <f>IF(Proc[[#This Row],[type]]="LFF (MDG-F)",MID(Proc[[#This Row],[Obj]],13,10),"")</f>
        <v/>
      </c>
      <c r="J1394" s="71" t="b">
        <f>Proc[[#This Row],[Requested]]=Proc[[#This Row],[CurrentParent]]</f>
        <v>0</v>
      </c>
      <c r="K1394" s="71" t="str">
        <f>IF(Proc[[#This Row],[Author]]="Marcela Urrego",VLOOKUP(LEFT(Proc[[#This Row],[Requested]],1),Table3[#All],2,0),VLOOKUP(Proc[[#This Row],[Author]],Table4[],2,0))</f>
        <v>LS</v>
      </c>
      <c r="L1394" s="71" t="s">
        <v>2841</v>
      </c>
      <c r="M1394" s="81">
        <v>45790.144409722219</v>
      </c>
      <c r="N1394" s="81"/>
      <c r="O1394" s="81"/>
      <c r="P1394" s="82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0</v>
      </c>
      <c r="R1394" s="82" t="s">
        <v>508</v>
      </c>
      <c r="S1394" s="71"/>
    </row>
    <row r="1395" spans="1:19">
      <c r="A1395" s="74" t="s">
        <v>3482</v>
      </c>
      <c r="B1395" s="71" t="str">
        <f>IFERROR(VLOOKUP(Proc[[#This Row],[App]],Table2[],3,0),"open")</f>
        <v>open</v>
      </c>
      <c r="C1395" s="74" t="s">
        <v>370</v>
      </c>
      <c r="D1395" t="s">
        <v>3525</v>
      </c>
      <c r="E1395" t="s">
        <v>3563</v>
      </c>
      <c r="F1395" s="71"/>
      <c r="G1395" s="74" t="s">
        <v>400</v>
      </c>
      <c r="H1395" s="71" t="str">
        <f>IF(Proc[[#This Row],[type]]="LFF (MDG-F)",MID(Proc[[#This Row],[Obj]],13,10),"")</f>
        <v/>
      </c>
      <c r="J1395" s="71" t="b">
        <f>Proc[[#This Row],[Requested]]=Proc[[#This Row],[CurrentParent]]</f>
        <v>0</v>
      </c>
      <c r="K1395" s="71" t="str">
        <f>IF(Proc[[#This Row],[Author]]="Marcela Urrego",VLOOKUP(LEFT(Proc[[#This Row],[Requested]],1),Table3[#All],2,0),VLOOKUP(Proc[[#This Row],[Author]],Table4[],2,0))</f>
        <v>LS</v>
      </c>
      <c r="L1395" s="71" t="s">
        <v>2841</v>
      </c>
      <c r="M1395" s="81">
        <v>45790.144409722219</v>
      </c>
      <c r="N1395" s="81"/>
      <c r="O1395" s="81"/>
      <c r="P1395" s="82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0</v>
      </c>
      <c r="R1395" s="82" t="s">
        <v>508</v>
      </c>
      <c r="S1395" s="71"/>
    </row>
    <row r="1396" spans="1:19">
      <c r="A1396" s="74" t="s">
        <v>3482</v>
      </c>
      <c r="B1396" s="71" t="str">
        <f>IFERROR(VLOOKUP(Proc[[#This Row],[App]],Table2[],3,0),"open")</f>
        <v>open</v>
      </c>
      <c r="C1396" s="74" t="s">
        <v>370</v>
      </c>
      <c r="D1396" t="s">
        <v>3526</v>
      </c>
      <c r="E1396" t="s">
        <v>3572</v>
      </c>
      <c r="F1396" s="71"/>
      <c r="G1396" s="74" t="s">
        <v>400</v>
      </c>
      <c r="H1396" s="71" t="str">
        <f>IF(Proc[[#This Row],[type]]="LFF (MDG-F)",MID(Proc[[#This Row],[Obj]],13,10),"")</f>
        <v/>
      </c>
      <c r="J1396" s="71" t="b">
        <f>Proc[[#This Row],[Requested]]=Proc[[#This Row],[CurrentParent]]</f>
        <v>0</v>
      </c>
      <c r="K1396" s="71" t="str">
        <f>IF(Proc[[#This Row],[Author]]="Marcela Urrego",VLOOKUP(LEFT(Proc[[#This Row],[Requested]],1),Table3[#All],2,0),VLOOKUP(Proc[[#This Row],[Author]],Table4[],2,0))</f>
        <v>LS</v>
      </c>
      <c r="L1396" s="71" t="s">
        <v>2841</v>
      </c>
      <c r="M1396" s="81">
        <v>45790.144409722219</v>
      </c>
      <c r="N1396" s="81"/>
      <c r="O1396" s="81"/>
      <c r="P1396" s="82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0</v>
      </c>
      <c r="R1396" s="82" t="s">
        <v>508</v>
      </c>
      <c r="S1396" s="71"/>
    </row>
    <row r="1397" spans="1:19">
      <c r="A1397" s="74" t="s">
        <v>3482</v>
      </c>
      <c r="B1397" s="71" t="str">
        <f>IFERROR(VLOOKUP(Proc[[#This Row],[App]],Table2[],3,0),"open")</f>
        <v>open</v>
      </c>
      <c r="C1397" s="74" t="s">
        <v>370</v>
      </c>
      <c r="D1397" t="s">
        <v>3527</v>
      </c>
      <c r="E1397" t="s">
        <v>3564</v>
      </c>
      <c r="F1397" s="71"/>
      <c r="G1397" s="74" t="s">
        <v>400</v>
      </c>
      <c r="H1397" s="71" t="str">
        <f>IF(Proc[[#This Row],[type]]="LFF (MDG-F)",MID(Proc[[#This Row],[Obj]],13,10),"")</f>
        <v/>
      </c>
      <c r="J1397" s="71" t="b">
        <f>Proc[[#This Row],[Requested]]=Proc[[#This Row],[CurrentParent]]</f>
        <v>0</v>
      </c>
      <c r="K1397" s="71" t="str">
        <f>IF(Proc[[#This Row],[Author]]="Marcela Urrego",VLOOKUP(LEFT(Proc[[#This Row],[Requested]],1),Table3[#All],2,0),VLOOKUP(Proc[[#This Row],[Author]],Table4[],2,0))</f>
        <v>LS</v>
      </c>
      <c r="L1397" s="71" t="s">
        <v>2841</v>
      </c>
      <c r="M1397" s="81">
        <v>45790.144409722219</v>
      </c>
      <c r="N1397" s="81"/>
      <c r="O1397" s="81"/>
      <c r="P1397" s="82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0</v>
      </c>
      <c r="R1397" s="82" t="s">
        <v>508</v>
      </c>
      <c r="S1397" s="71"/>
    </row>
    <row r="1398" spans="1:19">
      <c r="A1398" s="74" t="s">
        <v>3482</v>
      </c>
      <c r="B1398" s="71" t="str">
        <f>IFERROR(VLOOKUP(Proc[[#This Row],[App]],Table2[],3,0),"open")</f>
        <v>open</v>
      </c>
      <c r="C1398" s="74" t="s">
        <v>370</v>
      </c>
      <c r="D1398" t="s">
        <v>3528</v>
      </c>
      <c r="E1398" t="s">
        <v>3562</v>
      </c>
      <c r="F1398" s="71"/>
      <c r="G1398" s="74" t="s">
        <v>400</v>
      </c>
      <c r="H1398" s="71" t="str">
        <f>IF(Proc[[#This Row],[type]]="LFF (MDG-F)",MID(Proc[[#This Row],[Obj]],13,10),"")</f>
        <v/>
      </c>
      <c r="J1398" s="71" t="b">
        <f>Proc[[#This Row],[Requested]]=Proc[[#This Row],[CurrentParent]]</f>
        <v>0</v>
      </c>
      <c r="K1398" s="71" t="str">
        <f>IF(Proc[[#This Row],[Author]]="Marcela Urrego",VLOOKUP(LEFT(Proc[[#This Row],[Requested]],1),Table3[#All],2,0),VLOOKUP(Proc[[#This Row],[Author]],Table4[],2,0))</f>
        <v>LS</v>
      </c>
      <c r="L1398" s="71" t="s">
        <v>2841</v>
      </c>
      <c r="M1398" s="81">
        <v>45790.144409722219</v>
      </c>
      <c r="N1398" s="81"/>
      <c r="O1398" s="81"/>
      <c r="P1398" s="82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0</v>
      </c>
      <c r="R1398" s="82" t="s">
        <v>508</v>
      </c>
      <c r="S1398" s="71"/>
    </row>
    <row r="1399" spans="1:19">
      <c r="A1399" s="74" t="s">
        <v>3482</v>
      </c>
      <c r="B1399" s="71" t="str">
        <f>IFERROR(VLOOKUP(Proc[[#This Row],[App]],Table2[],3,0),"open")</f>
        <v>open</v>
      </c>
      <c r="C1399" s="74" t="s">
        <v>370</v>
      </c>
      <c r="D1399" t="s">
        <v>3529</v>
      </c>
      <c r="E1399" t="s">
        <v>3573</v>
      </c>
      <c r="F1399" s="71"/>
      <c r="G1399" s="74" t="s">
        <v>400</v>
      </c>
      <c r="H1399" s="71" t="str">
        <f>IF(Proc[[#This Row],[type]]="LFF (MDG-F)",MID(Proc[[#This Row],[Obj]],13,10),"")</f>
        <v/>
      </c>
      <c r="J1399" s="71" t="b">
        <f>Proc[[#This Row],[Requested]]=Proc[[#This Row],[CurrentParent]]</f>
        <v>0</v>
      </c>
      <c r="K1399" s="71" t="str">
        <f>IF(Proc[[#This Row],[Author]]="Marcela Urrego",VLOOKUP(LEFT(Proc[[#This Row],[Requested]],1),Table3[#All],2,0),VLOOKUP(Proc[[#This Row],[Author]],Table4[],2,0))</f>
        <v>LS</v>
      </c>
      <c r="L1399" s="71" t="s">
        <v>2841</v>
      </c>
      <c r="M1399" s="81">
        <v>45790.144409722219</v>
      </c>
      <c r="N1399" s="81"/>
      <c r="O1399" s="81"/>
      <c r="P1399" s="82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0</v>
      </c>
      <c r="R1399" s="82" t="s">
        <v>508</v>
      </c>
      <c r="S1399" s="71"/>
    </row>
    <row r="1400" spans="1:19">
      <c r="A1400" s="74" t="s">
        <v>3482</v>
      </c>
      <c r="B1400" s="71" t="str">
        <f>IFERROR(VLOOKUP(Proc[[#This Row],[App]],Table2[],3,0),"open")</f>
        <v>open</v>
      </c>
      <c r="C1400" s="74" t="s">
        <v>370</v>
      </c>
      <c r="D1400" t="s">
        <v>3530</v>
      </c>
      <c r="E1400" t="s">
        <v>3567</v>
      </c>
      <c r="F1400" s="71"/>
      <c r="G1400" s="74" t="s">
        <v>400</v>
      </c>
      <c r="H1400" s="71" t="str">
        <f>IF(Proc[[#This Row],[type]]="LFF (MDG-F)",MID(Proc[[#This Row],[Obj]],13,10),"")</f>
        <v/>
      </c>
      <c r="J1400" s="71" t="b">
        <f>Proc[[#This Row],[Requested]]=Proc[[#This Row],[CurrentParent]]</f>
        <v>0</v>
      </c>
      <c r="K1400" s="71" t="str">
        <f>IF(Proc[[#This Row],[Author]]="Marcela Urrego",VLOOKUP(LEFT(Proc[[#This Row],[Requested]],1),Table3[#All],2,0),VLOOKUP(Proc[[#This Row],[Author]],Table4[],2,0))</f>
        <v>LS</v>
      </c>
      <c r="L1400" s="71" t="s">
        <v>2841</v>
      </c>
      <c r="M1400" s="81">
        <v>45790.144409722219</v>
      </c>
      <c r="N1400" s="81"/>
      <c r="O1400" s="81"/>
      <c r="P1400" s="82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0</v>
      </c>
      <c r="R1400" s="82" t="s">
        <v>508</v>
      </c>
      <c r="S1400" s="71"/>
    </row>
    <row r="1401" spans="1:19">
      <c r="A1401" s="74" t="s">
        <v>3482</v>
      </c>
      <c r="B1401" s="71" t="str">
        <f>IFERROR(VLOOKUP(Proc[[#This Row],[App]],Table2[],3,0),"open")</f>
        <v>open</v>
      </c>
      <c r="C1401" s="74" t="s">
        <v>370</v>
      </c>
      <c r="D1401" t="s">
        <v>3531</v>
      </c>
      <c r="E1401" t="s">
        <v>3573</v>
      </c>
      <c r="F1401" s="71"/>
      <c r="G1401" s="74" t="s">
        <v>400</v>
      </c>
      <c r="H1401" s="71" t="str">
        <f>IF(Proc[[#This Row],[type]]="LFF (MDG-F)",MID(Proc[[#This Row],[Obj]],13,10),"")</f>
        <v/>
      </c>
      <c r="J1401" s="71" t="b">
        <f>Proc[[#This Row],[Requested]]=Proc[[#This Row],[CurrentParent]]</f>
        <v>0</v>
      </c>
      <c r="K1401" s="71" t="str">
        <f>IF(Proc[[#This Row],[Author]]="Marcela Urrego",VLOOKUP(LEFT(Proc[[#This Row],[Requested]],1),Table3[#All],2,0),VLOOKUP(Proc[[#This Row],[Author]],Table4[],2,0))</f>
        <v>LS</v>
      </c>
      <c r="L1401" s="71" t="s">
        <v>2841</v>
      </c>
      <c r="M1401" s="81">
        <v>45790.144409722219</v>
      </c>
      <c r="N1401" s="81"/>
      <c r="O1401" s="81"/>
      <c r="P1401" s="82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0</v>
      </c>
      <c r="R1401" s="82" t="s">
        <v>508</v>
      </c>
      <c r="S1401" s="71"/>
    </row>
    <row r="1402" spans="1:19">
      <c r="A1402" s="74" t="s">
        <v>3482</v>
      </c>
      <c r="B1402" s="71" t="str">
        <f>IFERROR(VLOOKUP(Proc[[#This Row],[App]],Table2[],3,0),"open")</f>
        <v>open</v>
      </c>
      <c r="C1402" s="74" t="s">
        <v>370</v>
      </c>
      <c r="D1402" t="s">
        <v>3532</v>
      </c>
      <c r="E1402" t="s">
        <v>3566</v>
      </c>
      <c r="F1402" s="71"/>
      <c r="G1402" s="74" t="s">
        <v>400</v>
      </c>
      <c r="H1402" s="71" t="str">
        <f>IF(Proc[[#This Row],[type]]="LFF (MDG-F)",MID(Proc[[#This Row],[Obj]],13,10),"")</f>
        <v/>
      </c>
      <c r="J1402" s="71" t="b">
        <f>Proc[[#This Row],[Requested]]=Proc[[#This Row],[CurrentParent]]</f>
        <v>0</v>
      </c>
      <c r="K1402" s="71" t="str">
        <f>IF(Proc[[#This Row],[Author]]="Marcela Urrego",VLOOKUP(LEFT(Proc[[#This Row],[Requested]],1),Table3[#All],2,0),VLOOKUP(Proc[[#This Row],[Author]],Table4[],2,0))</f>
        <v>LS</v>
      </c>
      <c r="L1402" s="71" t="s">
        <v>2841</v>
      </c>
      <c r="M1402" s="81">
        <v>45790.144409722219</v>
      </c>
      <c r="N1402" s="81"/>
      <c r="O1402" s="81"/>
      <c r="P1402" s="82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0</v>
      </c>
      <c r="R1402" s="82" t="s">
        <v>508</v>
      </c>
      <c r="S1402" s="71"/>
    </row>
    <row r="1403" spans="1:19">
      <c r="A1403" s="74" t="s">
        <v>3482</v>
      </c>
      <c r="B1403" s="71" t="str">
        <f>IFERROR(VLOOKUP(Proc[[#This Row],[App]],Table2[],3,0),"open")</f>
        <v>open</v>
      </c>
      <c r="C1403" s="74" t="s">
        <v>370</v>
      </c>
      <c r="D1403" t="s">
        <v>3533</v>
      </c>
      <c r="E1403" t="s">
        <v>3567</v>
      </c>
      <c r="F1403" s="71"/>
      <c r="G1403" s="74" t="s">
        <v>400</v>
      </c>
      <c r="H1403" s="71" t="str">
        <f>IF(Proc[[#This Row],[type]]="LFF (MDG-F)",MID(Proc[[#This Row],[Obj]],13,10),"")</f>
        <v/>
      </c>
      <c r="J1403" s="71" t="b">
        <f>Proc[[#This Row],[Requested]]=Proc[[#This Row],[CurrentParent]]</f>
        <v>0</v>
      </c>
      <c r="K1403" s="71" t="str">
        <f>IF(Proc[[#This Row],[Author]]="Marcela Urrego",VLOOKUP(LEFT(Proc[[#This Row],[Requested]],1),Table3[#All],2,0),VLOOKUP(Proc[[#This Row],[Author]],Table4[],2,0))</f>
        <v>LS</v>
      </c>
      <c r="L1403" s="71" t="s">
        <v>2841</v>
      </c>
      <c r="M1403" s="81">
        <v>45790.144409722219</v>
      </c>
      <c r="N1403" s="81"/>
      <c r="O1403" s="81"/>
      <c r="P1403" s="82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0</v>
      </c>
      <c r="R1403" s="82" t="s">
        <v>508</v>
      </c>
      <c r="S1403" s="71"/>
    </row>
    <row r="1404" spans="1:19">
      <c r="A1404" s="74" t="s">
        <v>3482</v>
      </c>
      <c r="B1404" s="71" t="str">
        <f>IFERROR(VLOOKUP(Proc[[#This Row],[App]],Table2[],3,0),"open")</f>
        <v>open</v>
      </c>
      <c r="C1404" s="74" t="s">
        <v>370</v>
      </c>
      <c r="D1404" t="s">
        <v>3534</v>
      </c>
      <c r="E1404" t="s">
        <v>3566</v>
      </c>
      <c r="F1404" s="71"/>
      <c r="G1404" s="74" t="s">
        <v>400</v>
      </c>
      <c r="H1404" s="71" t="str">
        <f>IF(Proc[[#This Row],[type]]="LFF (MDG-F)",MID(Proc[[#This Row],[Obj]],13,10),"")</f>
        <v/>
      </c>
      <c r="J1404" s="71" t="b">
        <f>Proc[[#This Row],[Requested]]=Proc[[#This Row],[CurrentParent]]</f>
        <v>0</v>
      </c>
      <c r="K1404" s="71" t="str">
        <f>IF(Proc[[#This Row],[Author]]="Marcela Urrego",VLOOKUP(LEFT(Proc[[#This Row],[Requested]],1),Table3[#All],2,0),VLOOKUP(Proc[[#This Row],[Author]],Table4[],2,0))</f>
        <v>LS</v>
      </c>
      <c r="L1404" s="71" t="s">
        <v>2841</v>
      </c>
      <c r="M1404" s="81">
        <v>45790.144409722219</v>
      </c>
      <c r="N1404" s="81"/>
      <c r="O1404" s="81"/>
      <c r="P1404" s="82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0</v>
      </c>
      <c r="R1404" s="82" t="s">
        <v>508</v>
      </c>
      <c r="S1404" s="71"/>
    </row>
    <row r="1405" spans="1:19">
      <c r="A1405" s="74" t="s">
        <v>3482</v>
      </c>
      <c r="B1405" s="71" t="str">
        <f>IFERROR(VLOOKUP(Proc[[#This Row],[App]],Table2[],3,0),"open")</f>
        <v>open</v>
      </c>
      <c r="C1405" s="74" t="s">
        <v>370</v>
      </c>
      <c r="D1405" t="s">
        <v>3535</v>
      </c>
      <c r="E1405" t="s">
        <v>3563</v>
      </c>
      <c r="F1405" s="71"/>
      <c r="G1405" s="74" t="s">
        <v>400</v>
      </c>
      <c r="H1405" s="71" t="str">
        <f>IF(Proc[[#This Row],[type]]="LFF (MDG-F)",MID(Proc[[#This Row],[Obj]],13,10),"")</f>
        <v/>
      </c>
      <c r="J1405" s="71" t="b">
        <f>Proc[[#This Row],[Requested]]=Proc[[#This Row],[CurrentParent]]</f>
        <v>0</v>
      </c>
      <c r="K1405" s="71" t="str">
        <f>IF(Proc[[#This Row],[Author]]="Marcela Urrego",VLOOKUP(LEFT(Proc[[#This Row],[Requested]],1),Table3[#All],2,0),VLOOKUP(Proc[[#This Row],[Author]],Table4[],2,0))</f>
        <v>LS</v>
      </c>
      <c r="L1405" s="71" t="s">
        <v>2841</v>
      </c>
      <c r="M1405" s="81">
        <v>45790.144409722219</v>
      </c>
      <c r="N1405" s="81"/>
      <c r="O1405" s="81"/>
      <c r="P1405" s="82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0</v>
      </c>
      <c r="R1405" s="82" t="s">
        <v>508</v>
      </c>
      <c r="S1405" s="71"/>
    </row>
    <row r="1406" spans="1:19">
      <c r="A1406" s="74" t="s">
        <v>3482</v>
      </c>
      <c r="B1406" s="71" t="str">
        <f>IFERROR(VLOOKUP(Proc[[#This Row],[App]],Table2[],3,0),"open")</f>
        <v>open</v>
      </c>
      <c r="C1406" s="74" t="s">
        <v>370</v>
      </c>
      <c r="D1406" t="s">
        <v>3536</v>
      </c>
      <c r="E1406" t="s">
        <v>3561</v>
      </c>
      <c r="F1406" s="71"/>
      <c r="G1406" s="74" t="s">
        <v>400</v>
      </c>
      <c r="H1406" s="71" t="str">
        <f>IF(Proc[[#This Row],[type]]="LFF (MDG-F)",MID(Proc[[#This Row],[Obj]],13,10),"")</f>
        <v/>
      </c>
      <c r="J1406" s="71" t="b">
        <f>Proc[[#This Row],[Requested]]=Proc[[#This Row],[CurrentParent]]</f>
        <v>0</v>
      </c>
      <c r="K1406" s="71" t="str">
        <f>IF(Proc[[#This Row],[Author]]="Marcela Urrego",VLOOKUP(LEFT(Proc[[#This Row],[Requested]],1),Table3[#All],2,0),VLOOKUP(Proc[[#This Row],[Author]],Table4[],2,0))</f>
        <v>LS</v>
      </c>
      <c r="L1406" s="71" t="s">
        <v>2841</v>
      </c>
      <c r="M1406" s="81">
        <v>45790.144409722219</v>
      </c>
      <c r="N1406" s="81"/>
      <c r="O1406" s="81"/>
      <c r="P1406" s="82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0</v>
      </c>
      <c r="R1406" s="82" t="s">
        <v>508</v>
      </c>
      <c r="S1406" s="71"/>
    </row>
    <row r="1407" spans="1:19">
      <c r="A1407" s="74" t="s">
        <v>3482</v>
      </c>
      <c r="B1407" s="71" t="str">
        <f>IFERROR(VLOOKUP(Proc[[#This Row],[App]],Table2[],3,0),"open")</f>
        <v>open</v>
      </c>
      <c r="C1407" s="74" t="s">
        <v>370</v>
      </c>
      <c r="D1407" t="s">
        <v>3537</v>
      </c>
      <c r="E1407" t="s">
        <v>3574</v>
      </c>
      <c r="F1407" s="71"/>
      <c r="G1407" s="74" t="s">
        <v>400</v>
      </c>
      <c r="H1407" s="71" t="str">
        <f>IF(Proc[[#This Row],[type]]="LFF (MDG-F)",MID(Proc[[#This Row],[Obj]],13,10),"")</f>
        <v/>
      </c>
      <c r="J1407" s="71" t="b">
        <f>Proc[[#This Row],[Requested]]=Proc[[#This Row],[CurrentParent]]</f>
        <v>0</v>
      </c>
      <c r="K1407" s="71" t="str">
        <f>IF(Proc[[#This Row],[Author]]="Marcela Urrego",VLOOKUP(LEFT(Proc[[#This Row],[Requested]],1),Table3[#All],2,0),VLOOKUP(Proc[[#This Row],[Author]],Table4[],2,0))</f>
        <v>LS</v>
      </c>
      <c r="L1407" s="71" t="s">
        <v>2841</v>
      </c>
      <c r="M1407" s="81">
        <v>45790.144409722219</v>
      </c>
      <c r="N1407" s="81"/>
      <c r="O1407" s="81"/>
      <c r="P1407" s="82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0</v>
      </c>
      <c r="R1407" s="82" t="s">
        <v>508</v>
      </c>
      <c r="S1407" s="71"/>
    </row>
    <row r="1408" spans="1:19">
      <c r="A1408" s="74" t="s">
        <v>3482</v>
      </c>
      <c r="B1408" s="71" t="str">
        <f>IFERROR(VLOOKUP(Proc[[#This Row],[App]],Table2[],3,0),"open")</f>
        <v>open</v>
      </c>
      <c r="C1408" s="74" t="s">
        <v>370</v>
      </c>
      <c r="D1408" t="s">
        <v>3538</v>
      </c>
      <c r="E1408" t="s">
        <v>3568</v>
      </c>
      <c r="F1408" s="71"/>
      <c r="G1408" s="74" t="s">
        <v>400</v>
      </c>
      <c r="H1408" s="71" t="str">
        <f>IF(Proc[[#This Row],[type]]="LFF (MDG-F)",MID(Proc[[#This Row],[Obj]],13,10),"")</f>
        <v/>
      </c>
      <c r="J1408" s="71" t="b">
        <f>Proc[[#This Row],[Requested]]=Proc[[#This Row],[CurrentParent]]</f>
        <v>0</v>
      </c>
      <c r="K1408" s="71" t="str">
        <f>IF(Proc[[#This Row],[Author]]="Marcela Urrego",VLOOKUP(LEFT(Proc[[#This Row],[Requested]],1),Table3[#All],2,0),VLOOKUP(Proc[[#This Row],[Author]],Table4[],2,0))</f>
        <v>LS</v>
      </c>
      <c r="L1408" s="71" t="s">
        <v>2841</v>
      </c>
      <c r="M1408" s="81">
        <v>45790.144409722219</v>
      </c>
      <c r="N1408" s="81"/>
      <c r="O1408" s="81"/>
      <c r="P1408" s="82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0</v>
      </c>
      <c r="R1408" s="82" t="s">
        <v>508</v>
      </c>
      <c r="S1408" s="71"/>
    </row>
    <row r="1409" spans="1:19">
      <c r="A1409" s="74" t="s">
        <v>3482</v>
      </c>
      <c r="B1409" s="71" t="str">
        <f>IFERROR(VLOOKUP(Proc[[#This Row],[App]],Table2[],3,0),"open")</f>
        <v>open</v>
      </c>
      <c r="C1409" s="74" t="s">
        <v>370</v>
      </c>
      <c r="D1409" t="s">
        <v>3539</v>
      </c>
      <c r="E1409" t="s">
        <v>3575</v>
      </c>
      <c r="F1409" s="71"/>
      <c r="G1409" s="74" t="s">
        <v>400</v>
      </c>
      <c r="H1409" s="71" t="str">
        <f>IF(Proc[[#This Row],[type]]="LFF (MDG-F)",MID(Proc[[#This Row],[Obj]],13,10),"")</f>
        <v/>
      </c>
      <c r="J1409" s="71" t="b">
        <f>Proc[[#This Row],[Requested]]=Proc[[#This Row],[CurrentParent]]</f>
        <v>0</v>
      </c>
      <c r="K1409" s="71" t="str">
        <f>IF(Proc[[#This Row],[Author]]="Marcela Urrego",VLOOKUP(LEFT(Proc[[#This Row],[Requested]],1),Table3[#All],2,0),VLOOKUP(Proc[[#This Row],[Author]],Table4[],2,0))</f>
        <v>LS</v>
      </c>
      <c r="L1409" s="71" t="s">
        <v>2841</v>
      </c>
      <c r="M1409" s="81">
        <v>45790.144409722219</v>
      </c>
      <c r="N1409" s="81"/>
      <c r="O1409" s="81"/>
      <c r="P1409" s="82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0</v>
      </c>
      <c r="R1409" s="82" t="s">
        <v>508</v>
      </c>
      <c r="S1409" s="71"/>
    </row>
    <row r="1410" spans="1:19">
      <c r="A1410" s="74" t="s">
        <v>3482</v>
      </c>
      <c r="B1410" s="71" t="str">
        <f>IFERROR(VLOOKUP(Proc[[#This Row],[App]],Table2[],3,0),"open")</f>
        <v>open</v>
      </c>
      <c r="C1410" s="74" t="s">
        <v>370</v>
      </c>
      <c r="D1410" t="s">
        <v>3540</v>
      </c>
      <c r="E1410" t="s">
        <v>3576</v>
      </c>
      <c r="F1410" s="71"/>
      <c r="G1410" s="74" t="s">
        <v>400</v>
      </c>
      <c r="H1410" s="71" t="str">
        <f>IF(Proc[[#This Row],[type]]="LFF (MDG-F)",MID(Proc[[#This Row],[Obj]],13,10),"")</f>
        <v/>
      </c>
      <c r="J1410" s="71" t="b">
        <f>Proc[[#This Row],[Requested]]=Proc[[#This Row],[CurrentParent]]</f>
        <v>0</v>
      </c>
      <c r="K1410" s="71" t="str">
        <f>IF(Proc[[#This Row],[Author]]="Marcela Urrego",VLOOKUP(LEFT(Proc[[#This Row],[Requested]],1),Table3[#All],2,0),VLOOKUP(Proc[[#This Row],[Author]],Table4[],2,0))</f>
        <v>LS</v>
      </c>
      <c r="L1410" s="71" t="s">
        <v>2841</v>
      </c>
      <c r="M1410" s="81">
        <v>45790.144409722219</v>
      </c>
      <c r="N1410" s="81"/>
      <c r="O1410" s="81"/>
      <c r="P1410" s="82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0</v>
      </c>
      <c r="R1410" s="82" t="s">
        <v>508</v>
      </c>
      <c r="S1410" s="71"/>
    </row>
    <row r="1411" spans="1:19">
      <c r="A1411" s="74" t="s">
        <v>3482</v>
      </c>
      <c r="B1411" s="71" t="str">
        <f>IFERROR(VLOOKUP(Proc[[#This Row],[App]],Table2[],3,0),"open")</f>
        <v>open</v>
      </c>
      <c r="C1411" s="74" t="s">
        <v>370</v>
      </c>
      <c r="D1411" t="s">
        <v>3541</v>
      </c>
      <c r="E1411" t="s">
        <v>3574</v>
      </c>
      <c r="F1411" s="71"/>
      <c r="G1411" s="74" t="s">
        <v>400</v>
      </c>
      <c r="H1411" s="71" t="str">
        <f>IF(Proc[[#This Row],[type]]="LFF (MDG-F)",MID(Proc[[#This Row],[Obj]],13,10),"")</f>
        <v/>
      </c>
      <c r="J1411" s="71" t="b">
        <f>Proc[[#This Row],[Requested]]=Proc[[#This Row],[CurrentParent]]</f>
        <v>0</v>
      </c>
      <c r="K1411" s="71" t="str">
        <f>IF(Proc[[#This Row],[Author]]="Marcela Urrego",VLOOKUP(LEFT(Proc[[#This Row],[Requested]],1),Table3[#All],2,0),VLOOKUP(Proc[[#This Row],[Author]],Table4[],2,0))</f>
        <v>LS</v>
      </c>
      <c r="L1411" s="71" t="s">
        <v>2841</v>
      </c>
      <c r="M1411" s="81">
        <v>45790.144409722219</v>
      </c>
      <c r="N1411" s="81"/>
      <c r="O1411" s="81"/>
      <c r="P1411" s="82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0</v>
      </c>
      <c r="R1411" s="82" t="s">
        <v>508</v>
      </c>
      <c r="S1411" s="71"/>
    </row>
    <row r="1412" spans="1:19">
      <c r="A1412" s="74" t="s">
        <v>3482</v>
      </c>
      <c r="B1412" s="71" t="str">
        <f>IFERROR(VLOOKUP(Proc[[#This Row],[App]],Table2[],3,0),"open")</f>
        <v>open</v>
      </c>
      <c r="C1412" s="74" t="s">
        <v>370</v>
      </c>
      <c r="D1412" t="s">
        <v>3542</v>
      </c>
      <c r="E1412" t="s">
        <v>3568</v>
      </c>
      <c r="F1412" s="71"/>
      <c r="G1412" s="74" t="s">
        <v>400</v>
      </c>
      <c r="H1412" s="71" t="str">
        <f>IF(Proc[[#This Row],[type]]="LFF (MDG-F)",MID(Proc[[#This Row],[Obj]],13,10),"")</f>
        <v/>
      </c>
      <c r="J1412" s="71" t="b">
        <f>Proc[[#This Row],[Requested]]=Proc[[#This Row],[CurrentParent]]</f>
        <v>0</v>
      </c>
      <c r="K1412" s="71" t="str">
        <f>IF(Proc[[#This Row],[Author]]="Marcela Urrego",VLOOKUP(LEFT(Proc[[#This Row],[Requested]],1),Table3[#All],2,0),VLOOKUP(Proc[[#This Row],[Author]],Table4[],2,0))</f>
        <v>LS</v>
      </c>
      <c r="L1412" s="71" t="s">
        <v>2841</v>
      </c>
      <c r="M1412" s="81">
        <v>45790.144409722219</v>
      </c>
      <c r="N1412" s="81"/>
      <c r="O1412" s="81"/>
      <c r="P1412" s="82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0</v>
      </c>
      <c r="R1412" s="82" t="s">
        <v>508</v>
      </c>
      <c r="S1412" s="71"/>
    </row>
    <row r="1413" spans="1:19">
      <c r="A1413" s="74" t="s">
        <v>3482</v>
      </c>
      <c r="B1413" s="71" t="str">
        <f>IFERROR(VLOOKUP(Proc[[#This Row],[App]],Table2[],3,0),"open")</f>
        <v>open</v>
      </c>
      <c r="C1413" s="74" t="s">
        <v>370</v>
      </c>
      <c r="D1413" t="s">
        <v>3543</v>
      </c>
      <c r="E1413" t="s">
        <v>3577</v>
      </c>
      <c r="F1413" s="71"/>
      <c r="G1413" s="74" t="s">
        <v>400</v>
      </c>
      <c r="H1413" s="71" t="str">
        <f>IF(Proc[[#This Row],[type]]="LFF (MDG-F)",MID(Proc[[#This Row],[Obj]],13,10),"")</f>
        <v/>
      </c>
      <c r="J1413" s="71" t="b">
        <f>Proc[[#This Row],[Requested]]=Proc[[#This Row],[CurrentParent]]</f>
        <v>0</v>
      </c>
      <c r="K1413" s="71" t="str">
        <f>IF(Proc[[#This Row],[Author]]="Marcela Urrego",VLOOKUP(LEFT(Proc[[#This Row],[Requested]],1),Table3[#All],2,0),VLOOKUP(Proc[[#This Row],[Author]],Table4[],2,0))</f>
        <v>LS</v>
      </c>
      <c r="L1413" s="71" t="s">
        <v>2841</v>
      </c>
      <c r="M1413" s="81">
        <v>45790.144409722219</v>
      </c>
      <c r="N1413" s="81"/>
      <c r="O1413" s="81"/>
      <c r="P1413" s="82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0</v>
      </c>
      <c r="R1413" s="82" t="s">
        <v>508</v>
      </c>
      <c r="S1413" s="71"/>
    </row>
    <row r="1414" spans="1:19">
      <c r="A1414" s="74" t="s">
        <v>3482</v>
      </c>
      <c r="B1414" s="71" t="str">
        <f>IFERROR(VLOOKUP(Proc[[#This Row],[App]],Table2[],3,0),"open")</f>
        <v>open</v>
      </c>
      <c r="C1414" s="74" t="s">
        <v>370</v>
      </c>
      <c r="D1414" t="s">
        <v>3544</v>
      </c>
      <c r="E1414" t="s">
        <v>3566</v>
      </c>
      <c r="F1414" s="71"/>
      <c r="G1414" s="74" t="s">
        <v>400</v>
      </c>
      <c r="H1414" s="71" t="str">
        <f>IF(Proc[[#This Row],[type]]="LFF (MDG-F)",MID(Proc[[#This Row],[Obj]],13,10),"")</f>
        <v/>
      </c>
      <c r="J1414" s="71" t="b">
        <f>Proc[[#This Row],[Requested]]=Proc[[#This Row],[CurrentParent]]</f>
        <v>0</v>
      </c>
      <c r="K1414" s="71" t="str">
        <f>IF(Proc[[#This Row],[Author]]="Marcela Urrego",VLOOKUP(LEFT(Proc[[#This Row],[Requested]],1),Table3[#All],2,0),VLOOKUP(Proc[[#This Row],[Author]],Table4[],2,0))</f>
        <v>LS</v>
      </c>
      <c r="L1414" s="71" t="s">
        <v>2841</v>
      </c>
      <c r="M1414" s="81">
        <v>45790.144409722219</v>
      </c>
      <c r="N1414" s="81"/>
      <c r="O1414" s="81"/>
      <c r="P1414" s="82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0</v>
      </c>
      <c r="R1414" s="82" t="s">
        <v>508</v>
      </c>
      <c r="S1414" s="71"/>
    </row>
    <row r="1415" spans="1:19">
      <c r="A1415" s="74" t="s">
        <v>3482</v>
      </c>
      <c r="B1415" s="71" t="str">
        <f>IFERROR(VLOOKUP(Proc[[#This Row],[App]],Table2[],3,0),"open")</f>
        <v>open</v>
      </c>
      <c r="C1415" s="74" t="s">
        <v>370</v>
      </c>
      <c r="D1415" t="s">
        <v>3545</v>
      </c>
      <c r="E1415" t="s">
        <v>3566</v>
      </c>
      <c r="F1415" s="71"/>
      <c r="G1415" s="74" t="s">
        <v>400</v>
      </c>
      <c r="H1415" s="71" t="str">
        <f>IF(Proc[[#This Row],[type]]="LFF (MDG-F)",MID(Proc[[#This Row],[Obj]],13,10),"")</f>
        <v/>
      </c>
      <c r="J1415" s="71" t="b">
        <f>Proc[[#This Row],[Requested]]=Proc[[#This Row],[CurrentParent]]</f>
        <v>0</v>
      </c>
      <c r="K1415" s="71" t="str">
        <f>IF(Proc[[#This Row],[Author]]="Marcela Urrego",VLOOKUP(LEFT(Proc[[#This Row],[Requested]],1),Table3[#All],2,0),VLOOKUP(Proc[[#This Row],[Author]],Table4[],2,0))</f>
        <v>LS</v>
      </c>
      <c r="L1415" s="71" t="s">
        <v>2841</v>
      </c>
      <c r="M1415" s="81">
        <v>45790.144409722219</v>
      </c>
      <c r="N1415" s="81"/>
      <c r="O1415" s="81"/>
      <c r="P1415" s="82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0</v>
      </c>
      <c r="R1415" s="82" t="s">
        <v>508</v>
      </c>
      <c r="S1415" s="71"/>
    </row>
    <row r="1416" spans="1:19">
      <c r="A1416" s="74" t="s">
        <v>3482</v>
      </c>
      <c r="B1416" s="71" t="str">
        <f>IFERROR(VLOOKUP(Proc[[#This Row],[App]],Table2[],3,0),"open")</f>
        <v>open</v>
      </c>
      <c r="C1416" s="74" t="s">
        <v>370</v>
      </c>
      <c r="D1416" t="s">
        <v>3546</v>
      </c>
      <c r="E1416" t="s">
        <v>3562</v>
      </c>
      <c r="F1416" s="71"/>
      <c r="G1416" s="74" t="s">
        <v>400</v>
      </c>
      <c r="H1416" s="71" t="str">
        <f>IF(Proc[[#This Row],[type]]="LFF (MDG-F)",MID(Proc[[#This Row],[Obj]],13,10),"")</f>
        <v/>
      </c>
      <c r="J1416" s="71" t="b">
        <f>Proc[[#This Row],[Requested]]=Proc[[#This Row],[CurrentParent]]</f>
        <v>0</v>
      </c>
      <c r="K1416" s="71" t="str">
        <f>IF(Proc[[#This Row],[Author]]="Marcela Urrego",VLOOKUP(LEFT(Proc[[#This Row],[Requested]],1),Table3[#All],2,0),VLOOKUP(Proc[[#This Row],[Author]],Table4[],2,0))</f>
        <v>LS</v>
      </c>
      <c r="L1416" s="71" t="s">
        <v>2841</v>
      </c>
      <c r="M1416" s="81">
        <v>45790.144409722219</v>
      </c>
      <c r="N1416" s="81"/>
      <c r="O1416" s="81"/>
      <c r="P1416" s="82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0</v>
      </c>
      <c r="R1416" s="82" t="s">
        <v>508</v>
      </c>
      <c r="S1416" s="71"/>
    </row>
    <row r="1417" spans="1:19">
      <c r="A1417" s="74" t="s">
        <v>3482</v>
      </c>
      <c r="B1417" s="71" t="str">
        <f>IFERROR(VLOOKUP(Proc[[#This Row],[App]],Table2[],3,0),"open")</f>
        <v>open</v>
      </c>
      <c r="C1417" s="74" t="s">
        <v>370</v>
      </c>
      <c r="D1417" t="s">
        <v>3547</v>
      </c>
      <c r="E1417" t="s">
        <v>3571</v>
      </c>
      <c r="F1417" s="71"/>
      <c r="G1417" s="74" t="s">
        <v>400</v>
      </c>
      <c r="H1417" s="71" t="str">
        <f>IF(Proc[[#This Row],[type]]="LFF (MDG-F)",MID(Proc[[#This Row],[Obj]],13,10),"")</f>
        <v/>
      </c>
      <c r="J1417" s="71" t="b">
        <f>Proc[[#This Row],[Requested]]=Proc[[#This Row],[CurrentParent]]</f>
        <v>0</v>
      </c>
      <c r="K1417" s="71" t="str">
        <f>IF(Proc[[#This Row],[Author]]="Marcela Urrego",VLOOKUP(LEFT(Proc[[#This Row],[Requested]],1),Table3[#All],2,0),VLOOKUP(Proc[[#This Row],[Author]],Table4[],2,0))</f>
        <v>LS</v>
      </c>
      <c r="L1417" s="71" t="s">
        <v>2841</v>
      </c>
      <c r="M1417" s="81">
        <v>45790.144409722219</v>
      </c>
      <c r="N1417" s="81"/>
      <c r="O1417" s="81"/>
      <c r="P1417" s="82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0</v>
      </c>
      <c r="R1417" s="82" t="s">
        <v>508</v>
      </c>
      <c r="S1417" s="71"/>
    </row>
    <row r="1418" spans="1:19">
      <c r="A1418" s="74" t="s">
        <v>3482</v>
      </c>
      <c r="B1418" s="71" t="str">
        <f>IFERROR(VLOOKUP(Proc[[#This Row],[App]],Table2[],3,0),"open")</f>
        <v>open</v>
      </c>
      <c r="C1418" s="74" t="s">
        <v>370</v>
      </c>
      <c r="D1418" t="s">
        <v>3548</v>
      </c>
      <c r="E1418" t="s">
        <v>3577</v>
      </c>
      <c r="F1418" s="71"/>
      <c r="G1418" s="74" t="s">
        <v>400</v>
      </c>
      <c r="H1418" s="71" t="str">
        <f>IF(Proc[[#This Row],[type]]="LFF (MDG-F)",MID(Proc[[#This Row],[Obj]],13,10),"")</f>
        <v/>
      </c>
      <c r="J1418" s="71" t="b">
        <f>Proc[[#This Row],[Requested]]=Proc[[#This Row],[CurrentParent]]</f>
        <v>0</v>
      </c>
      <c r="K1418" s="71" t="str">
        <f>IF(Proc[[#This Row],[Author]]="Marcela Urrego",VLOOKUP(LEFT(Proc[[#This Row],[Requested]],1),Table3[#All],2,0),VLOOKUP(Proc[[#This Row],[Author]],Table4[],2,0))</f>
        <v>LS</v>
      </c>
      <c r="L1418" s="71" t="s">
        <v>2841</v>
      </c>
      <c r="M1418" s="81">
        <v>45790.144409722219</v>
      </c>
      <c r="N1418" s="81"/>
      <c r="O1418" s="81"/>
      <c r="P1418" s="82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0</v>
      </c>
      <c r="R1418" s="82" t="s">
        <v>508</v>
      </c>
      <c r="S1418" s="71"/>
    </row>
    <row r="1419" spans="1:19">
      <c r="A1419" s="74" t="s">
        <v>3482</v>
      </c>
      <c r="B1419" s="71" t="str">
        <f>IFERROR(VLOOKUP(Proc[[#This Row],[App]],Table2[],3,0),"open")</f>
        <v>open</v>
      </c>
      <c r="C1419" s="74" t="s">
        <v>370</v>
      </c>
      <c r="D1419" t="s">
        <v>3549</v>
      </c>
      <c r="E1419" t="s">
        <v>3561</v>
      </c>
      <c r="F1419" s="71"/>
      <c r="G1419" s="74" t="s">
        <v>400</v>
      </c>
      <c r="H1419" s="71" t="str">
        <f>IF(Proc[[#This Row],[type]]="LFF (MDG-F)",MID(Proc[[#This Row],[Obj]],13,10),"")</f>
        <v/>
      </c>
      <c r="J1419" s="71" t="b">
        <f>Proc[[#This Row],[Requested]]=Proc[[#This Row],[CurrentParent]]</f>
        <v>0</v>
      </c>
      <c r="K1419" s="71" t="str">
        <f>IF(Proc[[#This Row],[Author]]="Marcela Urrego",VLOOKUP(LEFT(Proc[[#This Row],[Requested]],1),Table3[#All],2,0),VLOOKUP(Proc[[#This Row],[Author]],Table4[],2,0))</f>
        <v>LS</v>
      </c>
      <c r="L1419" s="71" t="s">
        <v>2841</v>
      </c>
      <c r="M1419" s="81">
        <v>45790.144409722219</v>
      </c>
      <c r="N1419" s="81"/>
      <c r="O1419" s="81"/>
      <c r="P1419" s="82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0</v>
      </c>
      <c r="R1419" s="82" t="s">
        <v>508</v>
      </c>
      <c r="S1419" s="71"/>
    </row>
    <row r="1420" spans="1:19">
      <c r="A1420" s="74" t="s">
        <v>3482</v>
      </c>
      <c r="B1420" s="71" t="str">
        <f>IFERROR(VLOOKUP(Proc[[#This Row],[App]],Table2[],3,0),"open")</f>
        <v>open</v>
      </c>
      <c r="C1420" s="74" t="s">
        <v>370</v>
      </c>
      <c r="D1420" t="s">
        <v>3550</v>
      </c>
      <c r="E1420" t="s">
        <v>3563</v>
      </c>
      <c r="F1420" s="71"/>
      <c r="G1420" s="74" t="s">
        <v>400</v>
      </c>
      <c r="H1420" s="71" t="str">
        <f>IF(Proc[[#This Row],[type]]="LFF (MDG-F)",MID(Proc[[#This Row],[Obj]],13,10),"")</f>
        <v/>
      </c>
      <c r="J1420" s="71" t="b">
        <f>Proc[[#This Row],[Requested]]=Proc[[#This Row],[CurrentParent]]</f>
        <v>0</v>
      </c>
      <c r="K1420" s="71" t="str">
        <f>IF(Proc[[#This Row],[Author]]="Marcela Urrego",VLOOKUP(LEFT(Proc[[#This Row],[Requested]],1),Table3[#All],2,0),VLOOKUP(Proc[[#This Row],[Author]],Table4[],2,0))</f>
        <v>LS</v>
      </c>
      <c r="L1420" s="71" t="s">
        <v>2841</v>
      </c>
      <c r="M1420" s="81">
        <v>45790.144409722219</v>
      </c>
      <c r="N1420" s="81"/>
      <c r="O1420" s="81"/>
      <c r="P1420" s="82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0</v>
      </c>
      <c r="R1420" s="82" t="s">
        <v>508</v>
      </c>
      <c r="S1420" s="71"/>
    </row>
    <row r="1421" spans="1:19">
      <c r="A1421" s="74" t="s">
        <v>3482</v>
      </c>
      <c r="B1421" s="71" t="str">
        <f>IFERROR(VLOOKUP(Proc[[#This Row],[App]],Table2[],3,0),"open")</f>
        <v>open</v>
      </c>
      <c r="C1421" s="74" t="s">
        <v>370</v>
      </c>
      <c r="D1421" t="s">
        <v>3551</v>
      </c>
      <c r="E1421" t="s">
        <v>3564</v>
      </c>
      <c r="F1421" s="71"/>
      <c r="G1421" s="74" t="s">
        <v>400</v>
      </c>
      <c r="H1421" s="71" t="str">
        <f>IF(Proc[[#This Row],[type]]="LFF (MDG-F)",MID(Proc[[#This Row],[Obj]],13,10),"")</f>
        <v/>
      </c>
      <c r="J1421" s="71" t="b">
        <f>Proc[[#This Row],[Requested]]=Proc[[#This Row],[CurrentParent]]</f>
        <v>0</v>
      </c>
      <c r="K1421" s="71" t="str">
        <f>IF(Proc[[#This Row],[Author]]="Marcela Urrego",VLOOKUP(LEFT(Proc[[#This Row],[Requested]],1),Table3[#All],2,0),VLOOKUP(Proc[[#This Row],[Author]],Table4[],2,0))</f>
        <v>LS</v>
      </c>
      <c r="L1421" s="71" t="s">
        <v>2841</v>
      </c>
      <c r="M1421" s="81">
        <v>45790.144409722219</v>
      </c>
      <c r="N1421" s="81"/>
      <c r="O1421" s="81"/>
      <c r="P1421" s="82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0</v>
      </c>
      <c r="R1421" s="82" t="s">
        <v>508</v>
      </c>
      <c r="S1421" s="71"/>
    </row>
    <row r="1422" spans="1:19">
      <c r="A1422" s="74" t="s">
        <v>3482</v>
      </c>
      <c r="B1422" s="71" t="str">
        <f>IFERROR(VLOOKUP(Proc[[#This Row],[App]],Table2[],3,0),"open")</f>
        <v>open</v>
      </c>
      <c r="C1422" s="74" t="s">
        <v>370</v>
      </c>
      <c r="D1422" t="s">
        <v>3552</v>
      </c>
      <c r="E1422" t="s">
        <v>3568</v>
      </c>
      <c r="F1422" s="71"/>
      <c r="G1422" s="74" t="s">
        <v>400</v>
      </c>
      <c r="H1422" s="71" t="str">
        <f>IF(Proc[[#This Row],[type]]="LFF (MDG-F)",MID(Proc[[#This Row],[Obj]],13,10),"")</f>
        <v/>
      </c>
      <c r="J1422" s="71" t="b">
        <f>Proc[[#This Row],[Requested]]=Proc[[#This Row],[CurrentParent]]</f>
        <v>0</v>
      </c>
      <c r="K1422" s="71" t="str">
        <f>IF(Proc[[#This Row],[Author]]="Marcela Urrego",VLOOKUP(LEFT(Proc[[#This Row],[Requested]],1),Table3[#All],2,0),VLOOKUP(Proc[[#This Row],[Author]],Table4[],2,0))</f>
        <v>LS</v>
      </c>
      <c r="L1422" s="71" t="s">
        <v>2841</v>
      </c>
      <c r="M1422" s="81">
        <v>45790.144409722219</v>
      </c>
      <c r="N1422" s="81"/>
      <c r="O1422" s="81"/>
      <c r="P1422" s="82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0</v>
      </c>
      <c r="R1422" s="82" t="s">
        <v>508</v>
      </c>
      <c r="S1422" s="71"/>
    </row>
    <row r="1423" spans="1:19">
      <c r="A1423" s="74" t="s">
        <v>3482</v>
      </c>
      <c r="B1423" s="71" t="str">
        <f>IFERROR(VLOOKUP(Proc[[#This Row],[App]],Table2[],3,0),"open")</f>
        <v>open</v>
      </c>
      <c r="C1423" s="74" t="s">
        <v>370</v>
      </c>
      <c r="D1423" t="s">
        <v>3553</v>
      </c>
      <c r="E1423" t="s">
        <v>3564</v>
      </c>
      <c r="F1423" s="71"/>
      <c r="G1423" s="74" t="s">
        <v>400</v>
      </c>
      <c r="H1423" s="71" t="str">
        <f>IF(Proc[[#This Row],[type]]="LFF (MDG-F)",MID(Proc[[#This Row],[Obj]],13,10),"")</f>
        <v/>
      </c>
      <c r="J1423" s="71" t="b">
        <f>Proc[[#This Row],[Requested]]=Proc[[#This Row],[CurrentParent]]</f>
        <v>0</v>
      </c>
      <c r="K1423" s="71" t="str">
        <f>IF(Proc[[#This Row],[Author]]="Marcela Urrego",VLOOKUP(LEFT(Proc[[#This Row],[Requested]],1),Table3[#All],2,0),VLOOKUP(Proc[[#This Row],[Author]],Table4[],2,0))</f>
        <v>LS</v>
      </c>
      <c r="L1423" s="71" t="s">
        <v>2841</v>
      </c>
      <c r="M1423" s="81">
        <v>45790.144409722219</v>
      </c>
      <c r="N1423" s="81"/>
      <c r="O1423" s="81"/>
      <c r="P1423" s="82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0</v>
      </c>
      <c r="R1423" s="82" t="s">
        <v>508</v>
      </c>
      <c r="S1423" s="71"/>
    </row>
    <row r="1424" spans="1:19">
      <c r="A1424" s="74" t="s">
        <v>3482</v>
      </c>
      <c r="B1424" s="71" t="str">
        <f>IFERROR(VLOOKUP(Proc[[#This Row],[App]],Table2[],3,0),"open")</f>
        <v>open</v>
      </c>
      <c r="C1424" s="74" t="s">
        <v>370</v>
      </c>
      <c r="D1424" t="s">
        <v>3554</v>
      </c>
      <c r="E1424" t="s">
        <v>3568</v>
      </c>
      <c r="F1424" s="71"/>
      <c r="G1424" s="74" t="s">
        <v>400</v>
      </c>
      <c r="H1424" s="71" t="str">
        <f>IF(Proc[[#This Row],[type]]="LFF (MDG-F)",MID(Proc[[#This Row],[Obj]],13,10),"")</f>
        <v/>
      </c>
      <c r="J1424" s="71" t="b">
        <f>Proc[[#This Row],[Requested]]=Proc[[#This Row],[CurrentParent]]</f>
        <v>0</v>
      </c>
      <c r="K1424" s="71" t="str">
        <f>IF(Proc[[#This Row],[Author]]="Marcela Urrego",VLOOKUP(LEFT(Proc[[#This Row],[Requested]],1),Table3[#All],2,0),VLOOKUP(Proc[[#This Row],[Author]],Table4[],2,0))</f>
        <v>LS</v>
      </c>
      <c r="L1424" s="71" t="s">
        <v>2841</v>
      </c>
      <c r="M1424" s="81">
        <v>45790.144409722219</v>
      </c>
      <c r="N1424" s="81"/>
      <c r="O1424" s="81"/>
      <c r="P1424" s="82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0</v>
      </c>
      <c r="R1424" s="82" t="s">
        <v>508</v>
      </c>
      <c r="S1424" s="71"/>
    </row>
    <row r="1425" spans="1:19">
      <c r="A1425" s="74" t="s">
        <v>3482</v>
      </c>
      <c r="B1425" s="71" t="str">
        <f>IFERROR(VLOOKUP(Proc[[#This Row],[App]],Table2[],3,0),"open")</f>
        <v>open</v>
      </c>
      <c r="C1425" s="74" t="s">
        <v>370</v>
      </c>
      <c r="D1425" t="s">
        <v>3555</v>
      </c>
      <c r="E1425" t="s">
        <v>3567</v>
      </c>
      <c r="F1425" s="71"/>
      <c r="G1425" s="74" t="s">
        <v>400</v>
      </c>
      <c r="H1425" s="71" t="str">
        <f>IF(Proc[[#This Row],[type]]="LFF (MDG-F)",MID(Proc[[#This Row],[Obj]],13,10),"")</f>
        <v/>
      </c>
      <c r="J1425" s="71" t="b">
        <f>Proc[[#This Row],[Requested]]=Proc[[#This Row],[CurrentParent]]</f>
        <v>0</v>
      </c>
      <c r="K1425" s="71" t="str">
        <f>IF(Proc[[#This Row],[Author]]="Marcela Urrego",VLOOKUP(LEFT(Proc[[#This Row],[Requested]],1),Table3[#All],2,0),VLOOKUP(Proc[[#This Row],[Author]],Table4[],2,0))</f>
        <v>LS</v>
      </c>
      <c r="L1425" s="71" t="s">
        <v>2841</v>
      </c>
      <c r="M1425" s="81">
        <v>45790.144409722219</v>
      </c>
      <c r="N1425" s="81"/>
      <c r="O1425" s="81"/>
      <c r="P1425" s="82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0</v>
      </c>
      <c r="R1425" s="82" t="s">
        <v>508</v>
      </c>
      <c r="S1425" s="71"/>
    </row>
    <row r="1426" spans="1:19">
      <c r="A1426" s="74" t="s">
        <v>3482</v>
      </c>
      <c r="B1426" s="71" t="str">
        <f>IFERROR(VLOOKUP(Proc[[#This Row],[App]],Table2[],3,0),"open")</f>
        <v>open</v>
      </c>
      <c r="C1426" s="74" t="s">
        <v>370</v>
      </c>
      <c r="D1426" t="s">
        <v>3556</v>
      </c>
      <c r="E1426" t="s">
        <v>3572</v>
      </c>
      <c r="F1426" s="71"/>
      <c r="G1426" s="74" t="s">
        <v>400</v>
      </c>
      <c r="H1426" s="71" t="str">
        <f>IF(Proc[[#This Row],[type]]="LFF (MDG-F)",MID(Proc[[#This Row],[Obj]],13,10),"")</f>
        <v/>
      </c>
      <c r="J1426" s="71" t="b">
        <f>Proc[[#This Row],[Requested]]=Proc[[#This Row],[CurrentParent]]</f>
        <v>0</v>
      </c>
      <c r="K1426" s="71" t="str">
        <f>IF(Proc[[#This Row],[Author]]="Marcela Urrego",VLOOKUP(LEFT(Proc[[#This Row],[Requested]],1),Table3[#All],2,0),VLOOKUP(Proc[[#This Row],[Author]],Table4[],2,0))</f>
        <v>LS</v>
      </c>
      <c r="L1426" s="71" t="s">
        <v>2841</v>
      </c>
      <c r="M1426" s="81">
        <v>45790.144409722219</v>
      </c>
      <c r="N1426" s="81"/>
      <c r="O1426" s="81"/>
      <c r="P1426" s="82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0</v>
      </c>
      <c r="R1426" s="82" t="s">
        <v>508</v>
      </c>
      <c r="S1426" s="71"/>
    </row>
    <row r="1427" spans="1:19">
      <c r="A1427" s="74" t="s">
        <v>3482</v>
      </c>
      <c r="B1427" s="71" t="str">
        <f>IFERROR(VLOOKUP(Proc[[#This Row],[App]],Table2[],3,0),"open")</f>
        <v>open</v>
      </c>
      <c r="C1427" s="74" t="s">
        <v>370</v>
      </c>
      <c r="D1427" t="s">
        <v>3557</v>
      </c>
      <c r="E1427" t="s">
        <v>3570</v>
      </c>
      <c r="F1427" s="71"/>
      <c r="G1427" s="74" t="s">
        <v>400</v>
      </c>
      <c r="H1427" s="71" t="str">
        <f>IF(Proc[[#This Row],[type]]="LFF (MDG-F)",MID(Proc[[#This Row],[Obj]],13,10),"")</f>
        <v/>
      </c>
      <c r="J1427" s="71" t="b">
        <f>Proc[[#This Row],[Requested]]=Proc[[#This Row],[CurrentParent]]</f>
        <v>0</v>
      </c>
      <c r="K1427" s="71" t="str">
        <f>IF(Proc[[#This Row],[Author]]="Marcela Urrego",VLOOKUP(LEFT(Proc[[#This Row],[Requested]],1),Table3[#All],2,0),VLOOKUP(Proc[[#This Row],[Author]],Table4[],2,0))</f>
        <v>LS</v>
      </c>
      <c r="L1427" s="71" t="s">
        <v>2841</v>
      </c>
      <c r="M1427" s="81">
        <v>45790.144409722219</v>
      </c>
      <c r="N1427" s="81"/>
      <c r="O1427" s="81"/>
      <c r="P1427" s="82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0</v>
      </c>
      <c r="R1427" s="82" t="s">
        <v>508</v>
      </c>
      <c r="S1427" s="71"/>
    </row>
    <row r="1428" spans="1:19">
      <c r="A1428" s="74" t="s">
        <v>3482</v>
      </c>
      <c r="B1428" s="71" t="str">
        <f>IFERROR(VLOOKUP(Proc[[#This Row],[App]],Table2[],3,0),"open")</f>
        <v>open</v>
      </c>
      <c r="C1428" s="74" t="s">
        <v>370</v>
      </c>
      <c r="D1428" t="s">
        <v>3558</v>
      </c>
      <c r="E1428" t="s">
        <v>3561</v>
      </c>
      <c r="F1428" s="71"/>
      <c r="G1428" s="74" t="s">
        <v>400</v>
      </c>
      <c r="H1428" s="71" t="str">
        <f>IF(Proc[[#This Row],[type]]="LFF (MDG-F)",MID(Proc[[#This Row],[Obj]],13,10),"")</f>
        <v/>
      </c>
      <c r="J1428" s="71" t="b">
        <f>Proc[[#This Row],[Requested]]=Proc[[#This Row],[CurrentParent]]</f>
        <v>0</v>
      </c>
      <c r="K1428" s="71" t="str">
        <f>IF(Proc[[#This Row],[Author]]="Marcela Urrego",VLOOKUP(LEFT(Proc[[#This Row],[Requested]],1),Table3[#All],2,0),VLOOKUP(Proc[[#This Row],[Author]],Table4[],2,0))</f>
        <v>LS</v>
      </c>
      <c r="L1428" s="71" t="s">
        <v>2841</v>
      </c>
      <c r="M1428" s="81">
        <v>45790.144409722219</v>
      </c>
      <c r="N1428" s="81"/>
      <c r="O1428" s="81"/>
      <c r="P1428" s="82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0</v>
      </c>
      <c r="R1428" s="82" t="s">
        <v>508</v>
      </c>
      <c r="S1428" s="71"/>
    </row>
    <row r="1429" spans="1:19">
      <c r="A1429" s="74" t="s">
        <v>3482</v>
      </c>
      <c r="B1429" s="71" t="str">
        <f>IFERROR(VLOOKUP(Proc[[#This Row],[App]],Table2[],3,0),"open")</f>
        <v>open</v>
      </c>
      <c r="C1429" s="74" t="s">
        <v>370</v>
      </c>
      <c r="D1429" t="s">
        <v>3559</v>
      </c>
      <c r="E1429" t="s">
        <v>3561</v>
      </c>
      <c r="F1429" s="71"/>
      <c r="G1429" s="74" t="s">
        <v>400</v>
      </c>
      <c r="H1429" s="71" t="str">
        <f>IF(Proc[[#This Row],[type]]="LFF (MDG-F)",MID(Proc[[#This Row],[Obj]],13,10),"")</f>
        <v/>
      </c>
      <c r="J1429" s="71" t="b">
        <f>Proc[[#This Row],[Requested]]=Proc[[#This Row],[CurrentParent]]</f>
        <v>0</v>
      </c>
      <c r="K1429" s="71" t="str">
        <f>IF(Proc[[#This Row],[Author]]="Marcela Urrego",VLOOKUP(LEFT(Proc[[#This Row],[Requested]],1),Table3[#All],2,0),VLOOKUP(Proc[[#This Row],[Author]],Table4[],2,0))</f>
        <v>LS</v>
      </c>
      <c r="L1429" s="71" t="s">
        <v>2841</v>
      </c>
      <c r="M1429" s="81">
        <v>45790.144409722219</v>
      </c>
      <c r="N1429" s="81"/>
      <c r="O1429" s="81"/>
      <c r="P1429" s="82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0</v>
      </c>
      <c r="R1429" s="82" t="s">
        <v>508</v>
      </c>
      <c r="S1429" s="71"/>
    </row>
    <row r="1430" spans="1:19">
      <c r="A1430" s="74" t="s">
        <v>3482</v>
      </c>
      <c r="B1430" s="71" t="str">
        <f>IFERROR(VLOOKUP(Proc[[#This Row],[App]],Table2[],3,0),"open")</f>
        <v>open</v>
      </c>
      <c r="C1430" s="74" t="s">
        <v>377</v>
      </c>
      <c r="D1430" t="s">
        <v>3560</v>
      </c>
      <c r="E1430" t="s">
        <v>3561</v>
      </c>
      <c r="F1430" s="71"/>
      <c r="G1430" s="74" t="s">
        <v>400</v>
      </c>
      <c r="H1430" s="71" t="str">
        <f>IF(Proc[[#This Row],[type]]="LFF (MDG-F)",MID(Proc[[#This Row],[Obj]],13,10),"")</f>
        <v/>
      </c>
      <c r="J1430" s="71" t="b">
        <f>Proc[[#This Row],[Requested]]=Proc[[#This Row],[CurrentParent]]</f>
        <v>0</v>
      </c>
      <c r="K1430" s="71" t="str">
        <f>IF(Proc[[#This Row],[Author]]="Marcela Urrego",VLOOKUP(LEFT(Proc[[#This Row],[Requested]],1),Table3[#All],2,0),VLOOKUP(Proc[[#This Row],[Author]],Table4[],2,0))</f>
        <v>LS</v>
      </c>
      <c r="L1430" s="71" t="s">
        <v>2841</v>
      </c>
      <c r="M1430" s="81">
        <v>45790.144409722219</v>
      </c>
      <c r="N1430" s="81"/>
      <c r="O1430" s="81"/>
      <c r="P1430" s="82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0</v>
      </c>
      <c r="R1430" s="82" t="s">
        <v>508</v>
      </c>
      <c r="S1430" s="71"/>
    </row>
    <row r="1431" spans="1:19">
      <c r="A1431" t="s">
        <v>3579</v>
      </c>
      <c r="B1431" s="71" t="str">
        <f>IFERROR(VLOOKUP(Proc[[#This Row],[App]],Table2[],3,0),"open")</f>
        <v>open</v>
      </c>
      <c r="C1431" t="s">
        <v>369</v>
      </c>
      <c r="D1431" t="s">
        <v>3580</v>
      </c>
      <c r="E1431" t="s">
        <v>3582</v>
      </c>
      <c r="F1431" s="71" t="s">
        <v>3584</v>
      </c>
      <c r="G1431" s="74" t="s">
        <v>406</v>
      </c>
      <c r="H1431" s="71" t="str">
        <f>IF(Proc[[#This Row],[type]]="LFF (MDG-F)",MID(Proc[[#This Row],[Obj]],13,10),"")</f>
        <v>2123GM1021</v>
      </c>
      <c r="I1431" t="s">
        <v>1250</v>
      </c>
      <c r="J1431" s="71" t="b">
        <f>Proc[[#This Row],[Requested]]=Proc[[#This Row],[CurrentParent]]</f>
        <v>0</v>
      </c>
      <c r="K1431" s="71" t="str">
        <f>IF(Proc[[#This Row],[Author]]="Marcela Urrego",VLOOKUP(LEFT(Proc[[#This Row],[Requested]],1),Table3[#All],2,0),VLOOKUP(Proc[[#This Row],[Author]],Table4[],2,0))</f>
        <v>MGF</v>
      </c>
      <c r="L1431" s="71" t="s">
        <v>2841</v>
      </c>
      <c r="M1431" s="81">
        <v>45790.361018518517</v>
      </c>
      <c r="N1431" s="81">
        <v>45790</v>
      </c>
      <c r="O1431" s="81"/>
      <c r="P1431" s="82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0</v>
      </c>
      <c r="R1431" s="82" t="s">
        <v>538</v>
      </c>
      <c r="S1431" s="71"/>
    </row>
    <row r="1432" spans="1:19">
      <c r="A1432" s="74" t="s">
        <v>3579</v>
      </c>
      <c r="B1432" s="71" t="str">
        <f>IFERROR(VLOOKUP(Proc[[#This Row],[App]],Table2[],3,0),"open")</f>
        <v>open</v>
      </c>
      <c r="C1432" s="74" t="s">
        <v>375</v>
      </c>
      <c r="D1432" t="s">
        <v>3581</v>
      </c>
      <c r="E1432" t="s">
        <v>3583</v>
      </c>
      <c r="F1432" s="71" t="s">
        <v>3584</v>
      </c>
      <c r="G1432" s="74" t="s">
        <v>406</v>
      </c>
      <c r="H1432" s="71" t="str">
        <f>IF(Proc[[#This Row],[type]]="LFF (MDG-F)",MID(Proc[[#This Row],[Obj]],13,10),"")</f>
        <v>2123GMB010</v>
      </c>
      <c r="I1432" t="s">
        <v>3585</v>
      </c>
      <c r="J1432" s="71" t="b">
        <f>Proc[[#This Row],[Requested]]=Proc[[#This Row],[CurrentParent]]</f>
        <v>0</v>
      </c>
      <c r="K1432" s="71" t="str">
        <f>IF(Proc[[#This Row],[Author]]="Marcela Urrego",VLOOKUP(LEFT(Proc[[#This Row],[Requested]],1),Table3[#All],2,0),VLOOKUP(Proc[[#This Row],[Author]],Table4[],2,0))</f>
        <v>MGF</v>
      </c>
      <c r="L1432" s="71" t="s">
        <v>2841</v>
      </c>
      <c r="M1432" s="81">
        <v>45790.361018518517</v>
      </c>
      <c r="N1432" s="81"/>
      <c r="O1432" s="81"/>
      <c r="P1432" s="82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0</v>
      </c>
      <c r="R1432" s="82" t="s">
        <v>538</v>
      </c>
      <c r="S1432" s="71"/>
    </row>
    <row r="1433" spans="1:19">
      <c r="A1433" t="s">
        <v>3586</v>
      </c>
      <c r="B1433" s="71" t="str">
        <f>IFERROR(VLOOKUP(Proc[[#This Row],[App]],Table2[],3,0),"open")</f>
        <v>open</v>
      </c>
      <c r="C1433" s="74" t="s">
        <v>375</v>
      </c>
      <c r="D1433" s="84" t="s">
        <v>3587</v>
      </c>
      <c r="E1433" t="s">
        <v>1585</v>
      </c>
      <c r="F1433" s="71" t="s">
        <v>3588</v>
      </c>
      <c r="G1433" s="74" t="s">
        <v>406</v>
      </c>
      <c r="H1433" s="71" t="str">
        <f>IF(Proc[[#This Row],[type]]="LFF (MDG-F)",MID(Proc[[#This Row],[Obj]],13,10),"")</f>
        <v>KE50C0FF10</v>
      </c>
      <c r="I1433" t="s">
        <v>3589</v>
      </c>
      <c r="J1433" s="71" t="b">
        <f>Proc[[#This Row],[Requested]]=Proc[[#This Row],[CurrentParent]]</f>
        <v>0</v>
      </c>
      <c r="K1433" s="71" t="str">
        <f>IF(Proc[[#This Row],[Author]]="Marcela Urrego",VLOOKUP(LEFT(Proc[[#This Row],[Requested]],1),Table3[#All],2,0),VLOOKUP(Proc[[#This Row],[Author]],Table4[],2,0))</f>
        <v>LS</v>
      </c>
      <c r="L1433" s="71" t="s">
        <v>2841</v>
      </c>
      <c r="M1433" s="81">
        <v>45790.424861111111</v>
      </c>
      <c r="N1433" s="81"/>
      <c r="O1433" s="81"/>
      <c r="P1433" s="82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0</v>
      </c>
      <c r="R1433" s="82" t="s">
        <v>508</v>
      </c>
      <c r="S1433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G2:G1433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5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594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  <row r="125" spans="1:2">
      <c r="A125" t="s">
        <v>3199</v>
      </c>
      <c r="B125" t="s">
        <v>595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2025-05-13T10:27:18Z</dcterms:modified>
  <cp:category/>
  <cp:contentStatus/>
</cp:coreProperties>
</file>