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77F153F-7434-4562-8839-E0835D732839}" xr6:coauthVersionLast="47" xr6:coauthVersionMax="47" xr10:uidLastSave="{00000000-0000-0000-0000-000000000000}"/>
  <bookViews>
    <workbookView xWindow="11220" yWindow="4140" windowWidth="10620" windowHeight="155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241" i="1" l="1"/>
  <c r="B5242" i="1"/>
  <c r="B5243" i="1"/>
  <c r="B5244" i="1"/>
  <c r="H5241" i="1"/>
  <c r="H5242" i="1"/>
  <c r="H5243" i="1"/>
  <c r="H5244" i="1"/>
  <c r="J5241" i="1"/>
  <c r="J5242" i="1"/>
  <c r="J5243" i="1"/>
  <c r="J5244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J5240" i="1"/>
  <c r="K5240" i="1"/>
  <c r="Q5240" i="1"/>
  <c r="P5240" i="1" s="1"/>
  <c r="J5236" i="1"/>
  <c r="J5233" i="1"/>
  <c r="J5232" i="1"/>
  <c r="J5231" i="1"/>
  <c r="J5230" i="1"/>
  <c r="J5229" i="1"/>
  <c r="J5228" i="1"/>
  <c r="J5226" i="1"/>
  <c r="J5225" i="1"/>
  <c r="J5224" i="1"/>
  <c r="J5200" i="1"/>
  <c r="J5199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7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<sst xmlns="http://schemas.openxmlformats.org/spreadsheetml/2006/main" count="46330" uniqueCount="7544">
  <si>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</si>
  <si>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</si>
  <si>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</si>
  <si>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</si>
  <si>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</si>
  <si>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</si>
  <si>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</si>
  <si>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</si>
  <si>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</si>
  <si>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</si>
  <si>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</si>
  <si>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</si>
  <si>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</si>
  <si>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</si>
  <si>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</si>
  <si>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</si>
  <si>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</si>
  <si>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</si>
  <si>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</si>
  <si>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</si>
  <si>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</si>
  <si>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</si>
  <si>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</si>
  <si>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</si>
  <si>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</si>
  <si>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</si>
  <si>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</si>
  <si>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</si>
  <si>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</si>
  <si>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</si>
  <si>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</si>
  <si>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</si>
  <si>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</si>
  <si>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</si>
  <si>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</si>
  <si>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</si>
  <si>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</si>
  <si>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</si>
  <si>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</si>
  <si>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</si>
  <si>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</si>
  <si>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</si>
  <si>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</si>
  <si>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</si>
  <si>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</si>
  <si>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</si>
  <si>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</si>
  <si>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</si>
  <si>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</si>
  <si>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</si>
  <si>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</si>
  <si>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</si>
  <si>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</si>
  <si>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</si>
  <si>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</si>
  <si>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</si>
  <si>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</si>
  <si>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</si>
  <si>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</si>
  <si>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</si>
  <si>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</si>
  <si>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</si>
  <si>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</si>
  <si>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</si>
  <si>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</si>
  <si>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</si>
  <si>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</si>
  <si>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</si>
  <si>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</si>
  <si>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</si>
  <si>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</si>
  <si>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</si>
  <si>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</si>
  <si>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</si>
  <si>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</si>
  <si>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</si>
  <si>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</si>
  <si>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</si>
  <si>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</si>
  <si>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</si>
  <si>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</si>
  <si>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</si>
  <si>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</si>
  <si>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</si>
  <si>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</si>
  <si>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</si>
  <si>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</si>
  <si>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</si>
  <si>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</si>
  <si>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</si>
  <si>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</si>
  <si>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</si>
  <si>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</si>
  <si>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</si>
  <si>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</si>
  <si>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</si>
  <si>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</si>
  <si>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</si>
  <si>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</si>
  <si>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</si>
  <si>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</si>
  <si>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</si>
  <si>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</si>
  <si>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</si>
  <si>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</si>
  <si>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</si>
  <si>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</si>
  <si>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</si>
  <si>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</si>
  <si>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</si>
  <si>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</si>
  <si>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</si>
  <si>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</si>
  <si>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</si>
  <si>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</si>
  <si>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</si>
  <si>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</si>
  <si>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</si>
  <si>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</si>
  <si>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</si>
  <si>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</si>
  <si>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</si>
  <si>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</si>
  <si>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</si>
  <si>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</si>
  <si>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</si>
  <si>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</si>
  <si>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</si>
  <si>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</si>
  <si>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</si>
  <si>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</si>
  <si>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</si>
  <si>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</si>
  <si>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</si>
  <si>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</si>
  <si>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</si>
  <si>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</si>
  <si>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</si>
  <si>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</si>
  <si>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</si>
  <si>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</si>
  <si>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</si>
  <si>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</si>
  <si>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</si>
  <si>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</si>
  <si>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</si>
  <si>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</si>
  <si>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</si>
  <si>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</si>
  <si>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</si>
  <si>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</si>
  <si>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</si>
  <si>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</si>
  <si>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</si>
  <si>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</si>
  <si>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</si>
  <si>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</si>
  <si>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</si>
  <si>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</si>
  <si>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</si>
  <si>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</si>
  <si>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</si>
  <si>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</si>
  <si>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</si>
  <si>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</si>
  <si>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</si>
  <si>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</si>
  <si>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</si>
  <si>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</si>
  <si>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</si>
  <si>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</si>
  <si>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</si>
  <si>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</si>
  <si>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</si>
  <si>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</si>
  <si>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</si>
  <si>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</si>
  <si>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</si>
  <si>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</si>
  <si>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</si>
  <si>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</si>
  <si>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</si>
  <si>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</si>
  <si>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</si>
  <si>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</si>
  <si>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</si>
  <si>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</si>
  <si>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</si>
  <si>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</si>
  <si>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</si>
  <si>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</si>
  <si>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</si>
  <si>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</si>
  <si>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</si>
  <si>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</si>
  <si>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</si>
  <si>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</si>
  <si>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</si>
  <si>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</si>
  <si>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</si>
  <si>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</si>
  <si>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</si>
  <si>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</si>
  <si>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</si>
  <si>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</si>
  <si>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</si>
  <si>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</si>
  <si>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</si>
  <si>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</si>
  <si>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</si>
  <si>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</si>
  <si>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</si>
  <si>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</si>
  <si>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</si>
  <si>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</si>
  <si>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</si>
  <si>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</si>
  <si>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</si>
  <si>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</si>
  <si>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</si>
  <si>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</si>
  <si>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</si>
  <si>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</si>
  <si>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</si>
  <si>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</si>
  <si>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</si>
  <si>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</si>
  <si>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</si>
  <si>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</si>
  <si>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</si>
  <si>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</si>
  <si>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</si>
  <si>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</si>
  <si>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</si>
  <si>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</si>
  <si>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</si>
  <si>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</si>
  <si>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</si>
  <si>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</si>
  <si>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</si>
  <si>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</si>
  <si>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</si>
  <si>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</si>
  <si>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</si>
  <si>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</si>
  <si>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</si>
  <si>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</si>
  <si>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</si>
  <si>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</si>
  <si>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</si>
  <si>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</si>
  <si>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</si>
  <si>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</si>
  <si>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</si>
  <si>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</si>
  <si>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</si>
  <si>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</si>
  <si>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</si>
  <si>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</si>
  <si>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</si>
  <si>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</si>
  <si>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</si>
  <si>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</si>
  <si>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</si>
  <si>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</si>
  <si>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</si>
  <si>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</si>
  <si>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</si>
  <si>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</si>
  <si>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</si>
  <si>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</si>
  <si>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</si>
  <si>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</si>
  <si>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</si>
  <si>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</si>
  <si>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</si>
  <si>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</si>
  <si>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</si>
  <si>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</si>
  <si>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</si>
  <si>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</si>
  <si>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</si>
  <si>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</si>
  <si>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</si>
  <si>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</si>
  <si>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</si>
  <si>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</si>
  <si>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</si>
  <si>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</si>
  <si>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</si>
  <si>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</si>
  <si>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</si>
  <si>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</si>
  <si>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</si>
  <si>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</si>
  <si>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</si>
  <si>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</si>
  <si>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</si>
  <si>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</si>
  <si>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</si>
  <si>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</si>
  <si>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</si>
  <si>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</si>
  <si>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</si>
  <si>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</si>
  <si>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</si>
  <si>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</si>
  <si>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</si>
  <si>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</si>
  <si>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</si>
  <si>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</si>
  <si>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</si>
  <si>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</si>
  <si>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</si>
  <si>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</si>
  <si>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</si>
  <si>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</si>
  <si>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</si>
  <si>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</si>
  <si>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</si>
  <si>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</si>
  <si>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</si>
  <si>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</si>
  <si>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</si>
  <si>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</si>
  <si>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</si>
  <si>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</si>
  <si>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</si>
  <si>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</si>
  <si>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</si>
  <si>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</si>
  <si>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</si>
  <si>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</si>
  <si>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</si>
  <si>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</si>
  <si>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</si>
  <si>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</si>
  <si>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</si>
  <si>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</si>
  <si>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</si>
  <si>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</si>
  <si>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</si>
  <si>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</si>
  <si>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</si>
  <si>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</si>
  <si>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</si>
  <si>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</si>
  <si>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</si>
  <si>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</si>
  <si>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</si>
  <si>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</si>
  <si>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</si>
  <si>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</si>
  <si>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</si>
  <si>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</si>
  <si>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</si>
  <si>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</si>
  <si>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</si>
  <si>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</si>
  <si>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</si>
  <si>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</si>
  <si>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</si>
  <si>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</si>
  <si>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</si>
  <si>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</si>
  <si>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</si>
  <si>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</si>
  <si>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</si>
  <si>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</si>
  <si>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</si>
  <si>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</si>
  <si>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</si>
  <si>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</si>
  <si>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</si>
  <si>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</si>
  <si>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</si>
  <si>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</si>
  <si>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</si>
  <si>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</si>
  <si>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</si>
  <si>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</si>
  <si>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</si>
  <si>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</si>
  <si>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</si>
  <si>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</si>
  <si>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</si>
  <si>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</si>
  <si>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</si>
  <si>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</si>
  <si>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</si>
  <si>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</si>
  <si>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</si>
  <si>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</si>
  <si>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</si>
  <si>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</si>
  <si>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</si>
  <si>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</si>
  <si>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</si>
  <si>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</si>
  <si>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</si>
  <si>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</si>
  <si>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</si>
  <si>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</si>
  <si>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</si>
  <si>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</si>
  <si>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</si>
  <si>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</si>
  <si>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</si>
  <si>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</si>
  <si>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</si>
  <si>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</si>
  <si>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</si>
  <si>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</si>
  <si>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</si>
  <si>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</si>
  <si>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</si>
  <si>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</si>
  <si>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</si>
  <si>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</si>
  <si>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</si>
  <si>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</si>
  <si>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</si>
  <si>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</si>
  <si>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</si>
  <si>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</si>
  <si>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</si>
  <si>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</si>
  <si>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</si>
  <si>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</si>
  <si>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</si>
  <si>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</si>
  <si>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</si>
  <si>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</si>
  <si>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</si>
  <si>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</si>
  <si>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</si>
  <si>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</si>
  <si>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</si>
  <si>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</si>
  <si>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</si>
  <si>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</si>
  <si>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</si>
  <si>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</si>
  <si>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</si>
  <si>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</si>
  <si>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</si>
  <si>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</si>
  <si>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</si>
  <si>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</si>
  <si>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</si>
  <si>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</si>
  <si>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</si>
  <si>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</si>
  <si>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</si>
  <si>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</si>
  <si>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</si>
  <si>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</si>
  <si>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</si>
  <si>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</si>
  <si>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</si>
  <si>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</si>
  <si>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</si>
  <si>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</si>
  <si>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</si>
  <si>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</si>
  <si>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</si>
  <si>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</si>
  <si>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</si>
  <si>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</si>
  <si>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</si>
  <si>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</si>
  <si>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</si>
  <si>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</si>
  <si>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</si>
  <si>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</si>
  <si>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</si>
  <si>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</si>
  <si>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</si>
  <si>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</si>
  <si>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</si>
  <si>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</si>
  <si>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</si>
  <si>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</si>
  <si>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</si>
  <si>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</si>
  <si>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</si>
  <si>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</si>
  <si>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</si>
  <si>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</si>
  <si>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</si>
  <si>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</si>
  <si>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</si>
  <si>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</si>
  <si>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</si>
  <si>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</si>
  <si>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</si>
  <si>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</si>
  <si>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</si>
  <si>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</si>
  <si>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</si>
  <si>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</si>
  <si>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</si>
  <si>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</si>
  <si>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</si>
  <si>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</si>
  <si>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</si>
  <si>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</si>
  <si>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</si>
  <si>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</si>
  <si>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</si>
  <si>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</si>
  <si>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</si>
  <si>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</si>
  <si>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</si>
  <si>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</si>
  <si>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</si>
  <si>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</si>
  <si>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</si>
  <si>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</si>
  <si>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</si>
  <si>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</si>
  <si>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</si>
  <si>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</si>
  <si>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</si>
  <si>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</si>
  <si>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</si>
  <si>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</si>
  <si>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</si>
  <si>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</si>
  <si>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</si>
  <si>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</si>
  <si>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</si>
  <si>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</si>
  <si>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</si>
  <si>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</si>
  <si>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</si>
  <si>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</si>
  <si>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</si>
  <si>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</si>
  <si>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</si>
  <si>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</si>
  <si>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</si>
  <si>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</si>
  <si>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</si>
  <si>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</si>
  <si>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</si>
  <si>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</si>
  <si>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</si>
  <si>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</si>
  <si>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</si>
  <si>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</si>
  <si>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</si>
  <si>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</si>
  <si>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</si>
  <si>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</si>
  <si>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</si>
  <si>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</si>
  <si>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</si>
  <si>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</si>
  <si>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</si>
  <si>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</si>
  <si>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</si>
  <si>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</si>
  <si>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</si>
  <si>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</si>
  <si>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</si>
  <si>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</si>
  <si>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</si>
  <si>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</si>
  <si>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</si>
  <si>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</si>
  <si>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</si>
  <si>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</si>
  <si>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</si>
  <si>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</si>
  <si>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</si>
  <si>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</si>
  <si>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</si>
  <si>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</si>
  <si>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</si>
  <si>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</si>
  <si>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</si>
  <si>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</si>
  <si>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</si>
  <si>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</si>
  <si>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</si>
  <si>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</si>
  <si>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</si>
  <si>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</si>
  <si>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</si>
  <si>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</si>
  <si>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</si>
  <si>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</si>
  <si>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</si>
  <si>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</si>
  <si>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</si>
  <si>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</si>
  <si>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</si>
  <si>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</si>
  <si>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</si>
  <si>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</si>
  <si>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</si>
  <si>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</si>
  <si>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</si>
  <si>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</si>
  <si>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</si>
  <si>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</si>
  <si>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</si>
  <si>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</si>
  <si>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</si>
  <si>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</si>
  <si>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</si>
  <si>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</si>
  <si>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</si>
  <si>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</si>
  <si>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</si>
  <si>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</si>
  <si>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</si>
  <si>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</si>
  <si>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</si>
  <si>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</si>
  <si>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</si>
  <si>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</si>
  <si>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</si>
  <si>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</si>
  <si>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</si>
  <si>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</si>
  <si>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</si>
  <si>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</si>
  <si>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</si>
  <si>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</si>
  <si>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</si>
  <si>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</si>
  <si>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</si>
  <si>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</si>
  <si>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</si>
  <si>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</si>
  <si>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</si>
  <si>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</si>
  <si>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</si>
  <si>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</si>
  <si>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</si>
  <si>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</si>
  <si>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</si>
  <si>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</si>
  <si>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</si>
  <si>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</si>
  <si>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</si>
  <si>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</si>
  <si>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</si>
  <si>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</si>
  <si>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</si>
  <si>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</si>
  <si>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</si>
  <si>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</si>
  <si>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</si>
  <si>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</si>
  <si>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</si>
  <si>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</si>
  <si>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</si>
  <si>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</si>
  <si>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</si>
  <si>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</si>
  <si>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</si>
  <si>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</si>
  <si>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</si>
  <si>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</si>
  <si>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</si>
  <si>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</si>
  <si>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</si>
  <si>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</si>
  <si>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</si>
  <si>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</si>
  <si>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</si>
  <si>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</si>
  <si>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</si>
  <si>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</si>
  <si>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</si>
  <si>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</si>
  <si>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</si>
  <si>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</si>
  <si>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</si>
  <si>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</si>
  <si>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</si>
  <si>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</si>
  <si>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</si>
  <si>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</si>
  <si>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</si>
  <si>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</si>
  <si>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</si>
  <si>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</si>
  <si>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</si>
  <si>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</si>
  <si>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</si>
  <si>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</si>
  <si>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</si>
  <si>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</si>
  <si>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</si>
  <si>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</si>
  <si>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</si>
  <si>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</si>
  <si>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</si>
  <si>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</si>
  <si>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</si>
  <si>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</si>
  <si>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</si>
  <si>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</si>
  <si>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</si>
  <si>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</si>
  <si>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</si>
  <si>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</si>
  <si>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</si>
  <si>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</si>
  <si>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</si>
  <si>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</si>
  <si>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</si>
  <si>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</si>
  <si>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</si>
  <si>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</si>
  <si>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</si>
  <si>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</si>
  <si>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</si>
  <si>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</si>
  <si>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</si>
  <si>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</si>
  <si>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</si>
  <si>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</si>
  <si>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</si>
  <si>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</si>
  <si>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</si>
  <si>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</si>
  <si>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</si>
  <si>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</si>
  <si>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</si>
  <si>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</si>
  <si>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</si>
  <si>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</si>
  <si>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</si>
  <si>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</si>
  <si>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</si>
  <si>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</si>
  <si>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</si>
  <si>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</si>
  <si>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</si>
  <si>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</si>
  <si>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</si>
  <si>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</si>
  <si>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</si>
  <si>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</si>
  <si>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</si>
  <si>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</si>
  <si>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</si>
  <si>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</si>
  <si>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</si>
  <si>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</si>
  <si>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</si>
  <si>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</si>
  <si>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</si>
  <si>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</si>
  <si>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</si>
  <si>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</si>
  <si>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</si>
  <si>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</si>
  <si>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</si>
  <si>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</si>
  <si>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</si>
  <si>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</si>
  <si>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</si>
  <si>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</si>
  <si>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</si>
  <si>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</si>
  <si>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</si>
  <si>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</si>
  <si>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</si>
  <si>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</si>
  <si>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</si>
  <si>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</si>
  <si>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</si>
  <si>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</si>
  <si>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</si>
  <si>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</si>
  <si>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</si>
  <si>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</si>
  <si>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</si>
  <si>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</si>
  <si>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</si>
  <si>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</si>
  <si>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</si>
  <si>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</si>
  <si>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</si>
  <si>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</si>
  <si>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</si>
  <si>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</si>
  <si>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</si>
  <si>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</si>
  <si>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</si>
  <si>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</si>
  <si>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</si>
  <si>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</si>
  <si>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</si>
  <si>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</si>
  <si>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</si>
  <si>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</si>
  <si>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</si>
  <si>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</si>
  <si>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</si>
  <si>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</si>
  <si>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</si>
  <si>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</si>
  <si>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</si>
  <si>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</si>
  <si>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</si>
  <si>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</si>
  <si>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</si>
  <si>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</si>
  <si>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</si>
  <si>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</si>
  <si>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</si>
  <si>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</si>
  <si>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</si>
  <si>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</si>
  <si>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</si>
  <si>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</si>
  <si>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</si>
  <si>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</si>
  <si>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</si>
  <si>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</si>
  <si>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</si>
  <si>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</si>
  <si>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</si>
  <si>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</si>
  <si>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</si>
  <si>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</si>
  <si>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</si>
  <si>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</si>
  <si>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</si>
  <si>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</si>
  <si>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</si>
  <si>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</si>
  <si>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</si>
  <si>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</si>
  <si>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</si>
  <si>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</si>
  <si>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</si>
  <si>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</si>
  <si>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</si>
  <si>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</si>
  <si>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</si>
  <si>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</si>
  <si>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</si>
  <si>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</si>
  <si>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</si>
  <si>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</si>
  <si>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</si>
  <si>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</si>
  <si>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</si>
  <si>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</si>
  <si>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</si>
  <si>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</si>
  <si>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</si>
  <si>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</si>
  <si>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</si>
  <si>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</si>
  <si>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</si>
  <si>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</si>
  <si>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</si>
  <si>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</si>
  <si>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</si>
  <si>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</si>
  <si>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</si>
  <si>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</si>
  <si>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</si>
  <si>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</si>
  <si>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</si>
  <si>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</si>
  <si>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</si>
  <si>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</si>
  <si>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</si>
  <si>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</si>
  <si>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</si>
  <si>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</si>
  <si>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</si>
  <si>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</si>
  <si>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</si>
  <si>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</si>
  <si>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</si>
  <si>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</si>
  <si>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</si>
  <si>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</si>
  <si>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</si>
  <si>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</si>
  <si>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</si>
  <si>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</si>
  <si>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</si>
  <si>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</si>
  <si>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</si>
  <si>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</si>
  <si>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</si>
  <si>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</si>
  <si>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</si>
  <si>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</si>
  <si>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</si>
  <si>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</si>
  <si>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</si>
  <si>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</si>
  <si>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</si>
  <si>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</si>
  <si>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</si>
  <si>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</si>
  <si>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</si>
  <si>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</si>
  <si>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</si>
  <si>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</si>
  <si>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</si>
  <si>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</si>
  <si>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</si>
  <si>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</si>
  <si>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</si>
  <si>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</si>
  <si>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</si>
  <si>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</si>
  <si>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</si>
  <si>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</si>
  <si>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</si>
  <si>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</si>
  <si>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</si>
  <si>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</si>
  <si>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</si>
  <si>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</si>
  <si>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</si>
  <si>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</si>
  <si>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</si>
  <si>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</si>
  <si>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</si>
  <si>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</si>
  <si>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</si>
  <si>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</si>
  <si>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</si>
  <si>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</si>
  <si>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</si>
  <si>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</si>
  <si>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</si>
  <si>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</si>
  <si>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</si>
  <si>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</si>
  <si>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</si>
  <si>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</si>
  <si>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</si>
  <si>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</si>
  <si>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</si>
  <si>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</si>
  <si>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</si>
  <si>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</si>
  <si>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</si>
  <si>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</si>
  <si>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</si>
  <si>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</si>
  <si>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</si>
  <si>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</si>
  <si>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</si>
  <si>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</si>
  <si>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</si>
  <si>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</si>
  <si>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</si>
  <si>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</si>
  <si>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</si>
  <si>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</si>
  <si>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</si>
  <si>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</si>
  <si>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</si>
  <si>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</si>
  <si>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</si>
  <si>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</si>
  <si>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</si>
  <si>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</si>
  <si>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</si>
  <si>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</si>
  <si>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</si>
  <si>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</si>
  <si>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</si>
  <si>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</si>
  <si>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</si>
  <si>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</si>
  <si>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</si>
  <si>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</si>
  <si>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</si>
  <si>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</si>
  <si>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</si>
  <si>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</si>
  <si>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</si>
  <si>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</si>
  <si>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</si>
  <si>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</si>
  <si>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</si>
  <si>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</si>
  <si>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</si>
  <si>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</si>
  <si>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</si>
  <si>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</si>
  <si>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</si>
  <si>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</si>
  <si>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</si>
  <si>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</si>
  <si>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</si>
  <si>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</si>
  <si>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</si>
  <si>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</si>
  <si>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</si>
  <si>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</si>
  <si>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</si>
  <si>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</si>
  <si>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</si>
  <si>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</si>
  <si>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</si>
  <si>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</si>
  <si>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</si>
  <si>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</si>
  <si>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</si>
  <si>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</si>
  <si>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</si>
  <si>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</si>
  <si>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</si>
  <si>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</si>
  <si>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</si>
  <si>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</si>
  <si>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</si>
  <si>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</si>
  <si>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</si>
  <si>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</si>
  <si>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</si>
  <si>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</si>
  <si>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</si>
  <si>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</si>
  <si>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</si>
  <si>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</si>
  <si>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</si>
  <si>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</si>
  <si>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</si>
  <si>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</si>
  <si>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</si>
  <si>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</si>
  <si>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</si>
  <si>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</si>
  <si>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</si>
  <si>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</si>
  <si>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</si>
  <si>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</si>
  <si>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</si>
  <si>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</si>
  <si>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</si>
  <si>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</si>
  <si>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</si>
  <si>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</si>
  <si>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</si>
  <si>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</si>
  <si>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</si>
  <si>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</si>
  <si>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</si>
  <si>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</si>
  <si>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</si>
  <si>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</si>
  <si>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</si>
  <si>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</si>
  <si>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</si>
  <si>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</si>
  <si>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</si>
  <si>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</si>
  <si>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</si>
  <si>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</si>
  <si>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</si>
  <si>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</si>
  <si>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</si>
  <si>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</si>
  <si>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</si>
  <si>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</si>
  <si>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</si>
  <si>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</si>
  <si>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</si>
  <si>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</si>
  <si>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</si>
  <si>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</si>
  <si>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</si>
  <si>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</si>
  <si>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</si>
  <si>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</si>
  <si>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</si>
  <si>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</si>
  <si>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</si>
  <si>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</si>
  <si>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</si>
  <si>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</si>
  <si>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</si>
  <si>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</si>
  <si>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</si>
  <si>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</si>
  <si>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</si>
  <si>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</si>
  <si>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</si>
  <si>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</si>
  <si>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</si>
  <si>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</si>
  <si>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</si>
  <si>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</si>
  <si>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</si>
  <si>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</si>
  <si>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</si>
  <si>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</si>
  <si>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</si>
  <si>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</si>
  <si>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</si>
  <si>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</si>
  <si>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</si>
  <si>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</si>
  <si>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</si>
  <si>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</si>
  <si>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</si>
  <si>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</si>
  <si>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</si>
  <si>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</si>
  <si>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</si>
  <si>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</si>
  <si>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</si>
  <si>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</si>
  <si>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</si>
  <si>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</si>
  <si>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</si>
  <si>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</si>
  <si>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</si>
  <si>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</si>
  <si>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</si>
  <si>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</si>
  <si>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</si>
  <si>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</si>
  <si>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</si>
  <si>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</si>
  <si>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</si>
  <si>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</si>
  <si>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</si>
  <si>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</si>
  <si>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</si>
  <si>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</si>
  <si>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</si>
  <si>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</si>
  <si>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</si>
  <si>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</si>
  <si>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</si>
  <si>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</si>
  <si>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</si>
  <si>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</si>
  <si>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</si>
  <si>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</si>
  <si>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</si>
  <si>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</si>
  <si>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</si>
  <si>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</si>
  <si>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</si>
  <si>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</si>
  <si>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</si>
  <si>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</si>
  <si>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</si>
  <si>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</si>
  <si>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</si>
  <si>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</si>
  <si>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</si>
  <si>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</si>
  <si>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</si>
  <si>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</si>
  <si>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</si>
  <si>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</si>
  <si>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</si>
  <si>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</si>
  <si>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</si>
  <si>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</si>
  <si>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</si>
  <si>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</si>
  <si>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</si>
  <si>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</si>
  <si>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</si>
  <si>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</si>
  <si>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</si>
  <si>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</si>
  <si>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</si>
  <si>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</si>
  <si>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</si>
  <si>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</si>
  <si>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</si>
  <si>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</si>
  <si>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</si>
  <si>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</si>
  <si>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</si>
  <si>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</si>
  <si>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</si>
  <si>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</si>
  <si>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</si>
  <si>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</si>
  <si>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</si>
  <si>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</si>
  <si>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</si>
  <si>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</si>
  <si>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</si>
  <si>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</si>
  <si>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</si>
  <si>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</si>
  <si>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</si>
  <si>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</si>
  <si>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</si>
  <si>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</si>
  <si>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</si>
  <si>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</si>
  <si>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</si>
  <si>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</si>
  <si>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</si>
  <si>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</si>
  <si>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</si>
  <si>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</si>
  <si>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</si>
  <si>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</si>
  <si>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</si>
  <si>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</si>
  <si>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</si>
  <si>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</si>
  <si>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</si>
  <si>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</si>
  <si>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</si>
  <si>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</si>
  <si>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</si>
  <si>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</si>
  <si>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</si>
  <si>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</si>
  <si>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</si>
  <si>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</si>
  <si>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</si>
  <si>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</si>
  <si>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</si>
  <si>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</si>
  <si>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</si>
  <si>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</si>
  <si>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</si>
  <si>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</si>
  <si>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</si>
  <si>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</si>
  <si>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</si>
  <si>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</si>
  <si>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</si>
  <si>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</si>
  <si>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</si>
  <si>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</si>
  <si>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</si>
  <si>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</si>
  <si>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</si>
  <si>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</si>
  <si>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</si>
  <si>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</si>
  <si>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</si>
  <si>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</si>
  <si>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</si>
  <si>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</si>
  <si>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</si>
  <si>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</si>
  <si>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</si>
  <si>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</si>
  <si>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</si>
  <si>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</si>
  <si>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</si>
  <si>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</si>
  <si>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</si>
  <si>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</si>
  <si>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</si>
  <si>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</si>
  <si>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</si>
  <si>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</si>
  <si>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</si>
  <si>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</si>
  <si>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</si>
  <si>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</si>
  <si>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</si>
  <si>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</si>
  <si>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</si>
  <si>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</si>
  <si>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</si>
  <si>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</si>
  <si>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</si>
  <si>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</si>
  <si>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</si>
  <si>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</si>
  <si>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</si>
  <si>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</si>
  <si>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</si>
  <si>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</si>
  <si>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</si>
  <si>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</si>
  <si>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</si>
  <si>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</si>
  <si>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</si>
  <si>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</si>
  <si>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</si>
  <si>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</si>
  <si>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</si>
  <si>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</si>
  <si>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</si>
  <si>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</si>
  <si>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</si>
  <si>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</si>
  <si>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</si>
  <si>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</si>
  <si>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</si>
  <si>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</si>
  <si>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</si>
  <si>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</si>
  <si>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</si>
  <si>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</si>
  <si>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</si>
  <si>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</si>
  <si>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</si>
  <si>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</si>
  <si>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</si>
  <si>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</si>
  <si>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</si>
  <si>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</si>
  <si>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</si>
  <si>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</si>
  <si>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</si>
  <si>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</si>
  <si>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</si>
  <si>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</si>
  <si>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</si>
  <si>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</si>
  <si>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</si>
  <si>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</si>
  <si>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</si>
  <si>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</si>
  <si>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</si>
  <si>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</si>
  <si>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</si>
  <si>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</si>
  <si>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</si>
  <si>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</si>
  <si>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</si>
  <si>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</si>
  <si>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</si>
  <si>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</si>
  <si>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</si>
  <si>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</si>
  <si>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</si>
  <si>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</si>
  <si>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</si>
  <si>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</si>
  <si>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</si>
  <si>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</si>
  <si>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</si>
  <si>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</si>
  <si>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</si>
  <si>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</si>
  <si>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</si>
  <si>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</si>
  <si>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</si>
  <si>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</si>
  <si>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</si>
  <si>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</si>
  <si>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</si>
  <si>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</si>
  <si>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</si>
  <si>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</si>
  <si>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</si>
  <si>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</si>
  <si>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</si>
  <si>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</si>
  <si>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</si>
  <si>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</si>
  <si>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</si>
  <si>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</si>
  <si>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</si>
  <si>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</si>
  <si>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</si>
  <si>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</si>
  <si>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</si>
  <si>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</si>
  <si>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</si>
  <si>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</si>
  <si>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</si>
  <si>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</si>
  <si>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</si>
  <si>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</si>
  <si>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</si>
  <si>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</si>
  <si>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</si>
  <si>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</si>
  <si>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</si>
  <si>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</si>
  <si>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</si>
  <si>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</si>
  <si>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</si>
  <si>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</si>
  <si>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</si>
  <si>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</si>
  <si>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</si>
  <si>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</si>
  <si>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</si>
  <si>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</si>
  <si>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</si>
  <si>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</si>
  <si>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</si>
  <si>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</si>
  <si>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</si>
  <si>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</si>
  <si>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</si>
  <si>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</si>
  <si>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</si>
  <si>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</si>
  <si>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</si>
  <si>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</si>
  <si>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</si>
  <si>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</si>
  <si>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</si>
  <si>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</si>
  <si>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</si>
  <si>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</si>
  <si>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</si>
  <si>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</si>
  <si>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</si>
  <si>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</si>
  <si>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</si>
  <si>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</si>
  <si>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</si>
  <si>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</si>
  <si>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</si>
  <si>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</si>
  <si>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</si>
  <si>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</si>
  <si>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</si>
  <si>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</si>
  <si>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</si>
  <si>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</si>
  <si>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</si>
  <si>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</si>
  <si>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</si>
  <si>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</si>
  <si>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</si>
  <si>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</si>
  <si>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</si>
  <si>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</si>
  <si>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</si>
  <si>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</si>
  <si>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</si>
  <si>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</si>
  <si>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</si>
  <si>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</si>
  <si>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</si>
  <si>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</si>
  <si>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</si>
  <si>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</si>
  <si>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</si>
  <si>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</si>
  <si>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</si>
  <si>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</si>
  <si>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</si>
  <si>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</si>
  <si>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</si>
  <si>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</si>
  <si>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</si>
  <si>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</si>
  <si>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</si>
  <si>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</si>
  <si>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</si>
  <si>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</si>
  <si>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</si>
  <si>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</si>
  <si>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</si>
  <si>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</si>
  <si>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</si>
  <si>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</si>
  <si>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</si>
  <si>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</si>
  <si>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</si>
  <si>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</si>
  <si>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</si>
  <si>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</si>
  <si>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</si>
  <si>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</si>
  <si>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</si>
  <si>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</si>
  <si>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</si>
  <si>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</si>
  <si>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</si>
  <si>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</si>
  <si>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</si>
  <si>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</si>
  <si>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</si>
  <si>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</si>
  <si>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</si>
  <si>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</si>
  <si>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</si>
  <si>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</si>
  <si>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</si>
  <si>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</si>
  <si>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</si>
  <si>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</si>
  <si>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</si>
  <si>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</si>
  <si>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</si>
  <si>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</si>
  <si>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</si>
  <si>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</si>
  <si>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</si>
  <si>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</si>
  <si>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</si>
  <si>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</si>
  <si>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</si>
  <si>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</si>
  <si>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</si>
  <si>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</si>
  <si>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</si>
  <si>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</si>
  <si>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</si>
  <si>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</si>
  <si>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</si>
  <si>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</si>
  <si>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</si>
  <si>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</si>
  <si>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</si>
  <si>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</si>
  <si>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</si>
  <si>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</si>
  <si>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</si>
  <si>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</si>
  <si>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</si>
  <si>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</si>
  <si>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</si>
  <si>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</si>
  <si>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</si>
  <si>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</si>
  <si>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</si>
  <si>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</si>
  <si>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</si>
  <si>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</si>
  <si>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</si>
  <si>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</si>
  <si>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</si>
  <si>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</si>
  <si>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</si>
  <si>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</si>
  <si>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</si>
  <si>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</si>
  <si>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</si>
  <si>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</si>
  <si>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</si>
  <si>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</si>
  <si>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</si>
  <si>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</si>
  <si>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</si>
  <si>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</si>
  <si>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</si>
  <si>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</si>
  <si>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</si>
  <si>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</si>
  <si>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</si>
  <si>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</si>
  <si>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</si>
  <si>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</si>
  <si>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</si>
  <si>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</si>
  <si>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</si>
  <si>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</si>
  <si>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</si>
  <si>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</si>
  <si>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</si>
  <si>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</si>
  <si>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</si>
  <si>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</si>
  <si>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</si>
  <si>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</si>
  <si>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</si>
  <si>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</si>
  <si>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</si>
  <si>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</si>
  <si>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</si>
  <si>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</si>
  <si>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</si>
  <si>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</si>
  <si>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</si>
  <si>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</si>
  <si>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</si>
  <si>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</si>
  <si>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</si>
  <si>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</si>
  <si>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</si>
  <si>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</si>
  <si>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</si>
  <si>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</si>
  <si>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</si>
  <si>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</si>
  <si>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</si>
  <si>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</si>
  <si>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</si>
  <si>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</si>
  <si>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</si>
  <si>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</si>
  <si>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</si>
  <si>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</si>
  <si>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</si>
  <si>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</si>
  <si>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</si>
  <si>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</si>
  <si>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</si>
  <si>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</si>
  <si>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</si>
  <si>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</si>
  <si>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</si>
  <si>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</si>
  <si>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</si>
  <si>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</si>
  <si>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</si>
  <si>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</si>
  <si>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</si>
  <si>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</si>
  <si>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</si>
  <si>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</si>
  <si>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</si>
  <si>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</si>
  <si>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</si>
  <si>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</si>
  <si>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</si>
  <si>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</si>
  <si>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</si>
  <si>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</si>
  <si>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</si>
  <si>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</si>
  <si>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</si>
  <si>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</si>
  <si>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</si>
  <si>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</si>
  <si>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</si>
  <si>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</si>
  <si>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</si>
  <si>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</si>
  <si>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</si>
  <si>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</si>
  <si>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</si>
  <si>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</si>
  <si>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</si>
  <si>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</si>
  <si>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</si>
  <si>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</si>
  <si>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</si>
  <si>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</si>
  <si>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</si>
  <si>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</si>
  <si>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</si>
  <si>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</si>
  <si>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</si>
  <si>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</si>
  <si>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</si>
  <si>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</si>
  <si>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</si>
  <si>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</si>
  <si>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</si>
  <si>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</si>
  <si>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</si>
  <si>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</si>
  <si>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</si>
  <si>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</si>
  <si>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</si>
  <si>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</si>
  <si>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</si>
  <si>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</si>
  <si>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</si>
  <si>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</si>
  <si>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</si>
  <si>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</si>
  <si>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</si>
  <si>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</si>
  <si>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</si>
  <si>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</si>
  <si>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</si>
  <si>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</si>
  <si>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</si>
  <si>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</si>
  <si>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</si>
  <si>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</si>
  <si>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</si>
  <si>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</si>
  <si>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</si>
  <si>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</si>
  <si>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</si>
  <si>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</si>
  <si>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</si>
  <si>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</si>
  <si>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</si>
  <si>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</si>
  <si>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</si>
  <si>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</si>
  <si>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</si>
  <si>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</si>
  <si>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</si>
  <si>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</si>
  <si>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</si>
  <si>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</si>
  <si>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</si>
  <si>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</si>
  <si>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</si>
  <si>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</si>
  <si>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</si>
  <si>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</si>
  <si>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</si>
  <si>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</si>
  <si>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</si>
  <si>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</si>
  <si>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</si>
  <si>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</si>
  <si>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</si>
  <si>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</si>
  <si>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</si>
  <si>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</si>
  <si>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</si>
  <si>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</si>
  <si>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</si>
  <si>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</si>
  <si>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</si>
  <si>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</si>
  <si>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</si>
  <si>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</si>
  <si>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</si>
  <si>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</si>
  <si>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</si>
  <si>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</si>
  <si>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</si>
  <si>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</si>
  <si>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</si>
  <si>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</si>
  <si>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</si>
  <si>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</si>
  <si>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</si>
  <si>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</si>
  <si>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</si>
  <si>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</si>
  <si>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</si>
  <si>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</si>
  <si>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</si>
  <si>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</si>
  <si>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</si>
  <si>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</si>
  <si>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</si>
  <si>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</si>
  <si>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</si>
  <si>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</si>
  <si>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</si>
  <si>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</si>
  <si>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</si>
  <si>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</si>
  <si>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</si>
  <si>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</si>
  <si>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</si>
  <si>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</si>
  <si>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</si>
  <si>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</si>
  <si>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</si>
  <si>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</si>
  <si>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</si>
  <si>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</si>
  <si>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</si>
  <si>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</si>
  <si>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</si>
  <si>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</si>
  <si>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</si>
  <si>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</si>
  <si>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</si>
  <si>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</si>
  <si>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</si>
  <si>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</si>
  <si>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</si>
  <si>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</si>
  <si>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</si>
  <si>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</si>
  <si>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</si>
  <si>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</si>
  <si>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</si>
  <si>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</si>
  <si>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</si>
  <si>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</si>
  <si>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</si>
  <si>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</si>
  <si>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</si>
  <si>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</si>
  <si>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</si>
  <si>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</si>
  <si>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</si>
  <si>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</si>
  <si>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</si>
  <si>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</si>
  <si>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</si>
  <si>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</si>
  <si>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</si>
  <si>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</si>
  <si>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</si>
  <si>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</si>
  <si>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</si>
  <si>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</si>
  <si>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</si>
  <si>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</si>
  <si>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</si>
  <si>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</si>
  <si>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</si>
  <si>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</si>
  <si>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</si>
  <si>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</si>
  <si>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</si>
  <si>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</si>
  <si>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</si>
  <si>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</si>
  <si>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</si>
  <si>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</si>
  <si>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</si>
  <si>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</si>
  <si>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</si>
  <si>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</si>
  <si>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</si>
  <si>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</si>
  <si>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</si>
  <si>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</si>
  <si>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</si>
  <si>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</si>
  <si>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</si>
  <si>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</si>
  <si>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</si>
  <si>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</si>
  <si>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</si>
  <si>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</si>
  <si>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</si>
  <si>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</si>
  <si>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</si>
  <si>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</si>
  <si>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</si>
  <si>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</si>
  <si>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</si>
  <si>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</si>
  <si>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</si>
  <si>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</si>
  <si>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</si>
  <si>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</si>
  <si>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</si>
  <si>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</si>
  <si>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</si>
  <si>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</si>
  <si>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</si>
  <si>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</si>
  <si>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</si>
  <si>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</si>
  <si>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</si>
  <si>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</si>
  <si>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</si>
  <si>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</si>
  <si>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</si>
  <si>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</si>
  <si>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</si>
  <si>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</si>
  <si>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</si>
  <si>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</si>
  <si>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</si>
  <si>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</si>
  <si>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</si>
  <si>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</si>
  <si>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</si>
  <si>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</si>
  <si>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</si>
  <si>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</si>
  <si>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</si>
  <si>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</si>
  <si>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</si>
  <si>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</si>
  <si>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</si>
  <si>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</si>
  <si>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</si>
  <si>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</si>
  <si>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</si>
  <si>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</si>
  <si>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</si>
  <si>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</si>
  <si>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</si>
  <si>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</si>
  <si>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</si>
  <si>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</si>
  <si>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</si>
  <si>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</si>
  <si>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</si>
  <si>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</si>
  <si>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</si>
  <si>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</si>
  <si>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</si>
  <si>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</si>
  <si>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</si>
  <si>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</si>
  <si>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</si>
  <si>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</si>
  <si>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</si>
  <si>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</si>
  <si>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</si>
  <si>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</si>
  <si>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</si>
  <si>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</si>
  <si>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</si>
  <si>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</si>
  <si>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</si>
  <si>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</si>
  <si>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</si>
  <si>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</si>
  <si>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</si>
  <si>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</si>
  <si>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</si>
  <si>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</si>
  <si>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</si>
  <si>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</si>
  <si>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</si>
  <si>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</si>
  <si>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</si>
  <si>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</si>
  <si>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</si>
  <si>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</si>
  <si>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</si>
  <si>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</si>
  <si>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</si>
  <si>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</si>
  <si>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</si>
  <si>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</si>
  <si>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</si>
  <si>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</si>
  <si>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</si>
  <si>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</si>
  <si>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</si>
  <si>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</si>
  <si>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</si>
  <si>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</si>
  <si>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</si>
  <si>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</si>
  <si>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</si>
  <si>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</si>
  <si>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</si>
  <si>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</si>
  <si>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</si>
  <si>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</si>
  <si>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</si>
  <si>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</si>
  <si>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</si>
  <si>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</si>
  <si>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</si>
  <si>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</si>
  <si>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</si>
  <si>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</si>
  <si>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</si>
  <si>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</si>
  <si>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</si>
  <si>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</si>
  <si>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</si>
  <si>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</si>
  <si>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</si>
  <si>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</si>
  <si>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</si>
  <si>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</si>
  <si>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</si>
  <si>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</si>
  <si>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</si>
  <si>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</si>
  <si>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</si>
  <si>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</si>
  <si>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</si>
  <si>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</si>
  <si>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</si>
  <si>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</si>
  <si>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</si>
  <si>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</si>
  <si>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</si>
  <si>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</si>
  <si>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</si>
  <si>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</si>
  <si>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</si>
  <si>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</si>
  <si>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</si>
  <si>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</si>
  <si>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</si>
  <si>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</si>
  <si>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</si>
  <si>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</si>
  <si>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</si>
  <si>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</si>
  <si>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</si>
  <si>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</si>
  <si>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</si>
  <si>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</si>
  <si>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</si>
  <si>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</si>
  <si>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</si>
  <si>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</si>
  <si>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</si>
  <si>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</si>
  <si>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</si>
  <si>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</si>
  <si>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</si>
  <si>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</si>
  <si>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</si>
  <si>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</si>
  <si>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</si>
  <si>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</si>
  <si>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</si>
  <si>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</si>
  <si>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</si>
  <si>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</si>
  <si>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</si>
  <si>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</si>
  <si>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</si>
  <si>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</si>
  <si>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</si>
  <si>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</si>
  <si>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</si>
  <si>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</si>
  <si>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</si>
  <si>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</si>
  <si>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</si>
  <si>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</si>
  <si>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</si>
  <si>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</si>
  <si>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</si>
  <si>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</si>
  <si>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</si>
  <si>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</si>
  <si>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</si>
  <si>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</si>
  <si>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</si>
  <si>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</si>
  <si>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</si>
  <si>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</si>
  <si>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</si>
  <si>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</si>
  <si>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</si>
  <si>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</si>
  <si>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</si>
  <si>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</si>
  <si>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</si>
  <si>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</si>
  <si>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</si>
  <si>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</si>
  <si>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</si>
  <si>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</si>
  <si>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</si>
  <si>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</si>
  <si>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</si>
  <si>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</si>
  <si>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</si>
  <si>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</si>
  <si>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</si>
  <si>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</si>
  <si>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</si>
  <si>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</si>
  <si>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</si>
  <si>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</si>
  <si>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</si>
  <si>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</si>
  <si>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</si>
  <si>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</si>
  <si>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</si>
  <si>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</si>
  <si>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</si>
  <si>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</si>
  <si>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</si>
  <si>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</si>
  <si>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</si>
  <si>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</si>
  <si>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</si>
  <si>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</si>
  <si>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</si>
  <si>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</si>
  <si>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</si>
  <si>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</si>
  <si>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</si>
  <si>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</si>
  <si>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</si>
  <si>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</si>
  <si>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</si>
  <si>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</si>
  <si>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</si>
  <si>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</si>
  <si>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</si>
  <si>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</si>
  <si>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</si>
  <si>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</si>
  <si>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</si>
  <si>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</si>
  <si>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</si>
  <si>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</si>
  <si>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</si>
  <si>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</si>
  <si>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</si>
  <si>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</si>
  <si>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</si>
  <si>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</si>
  <si>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</si>
  <si>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</si>
  <si>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</si>
  <si>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</si>
  <si>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</si>
  <si>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</si>
  <si>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</si>
  <si>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</si>
  <si>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</si>
  <si>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</si>
  <si>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</si>
  <si>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</si>
  <si>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</si>
  <si>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</si>
  <si>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</si>
  <si>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</si>
  <si>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</si>
  <si>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</si>
  <si>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</si>
  <si>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</si>
  <si>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</si>
  <si>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</si>
  <si>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</si>
  <si>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</si>
  <si>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</si>
  <si>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</si>
  <si>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</si>
  <si>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</si>
  <si>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</si>
  <si>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</si>
  <si>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</si>
  <si>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</si>
  <si>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</si>
  <si>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</si>
  <si>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</si>
  <si>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</si>
  <si>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</si>
  <si>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</si>
  <si>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</si>
  <si>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</si>
  <si>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</si>
  <si>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</si>
  <si>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</si>
  <si>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</si>
  <si>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</si>
  <si>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</si>
  <si>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</si>
  <si>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</si>
  <si>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</si>
  <si>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</si>
  <si>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</si>
  <si>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</si>
  <si>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</si>
  <si>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</si>
  <si>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</si>
  <si>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</si>
  <si>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</si>
  <si>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</si>
  <si>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</si>
  <si>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</si>
  <si>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</si>
  <si>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</si>
  <si>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</si>
  <si>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</si>
  <si>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</si>
  <si>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</si>
  <si>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</si>
  <si>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</si>
  <si>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</si>
  <si>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</si>
  <si>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</si>
  <si>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</si>
  <si>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</si>
  <si>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</si>
  <si>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</si>
  <si>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</si>
  <si>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</si>
  <si>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</si>
  <si>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</si>
  <si>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</si>
  <si>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</si>
  <si>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</si>
  <si>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</si>
  <si>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</si>
  <si>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</si>
  <si>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</si>
  <si>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</si>
  <si>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</si>
  <si>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</si>
  <si>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</si>
  <si>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</si>
  <si>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</si>
  <si>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</si>
  <si>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</si>
  <si>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</si>
  <si>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</si>
  <si>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</si>
  <si>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</si>
  <si>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</si>
  <si>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</si>
  <si>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</si>
  <si>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</si>
  <si>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</si>
  <si>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</si>
  <si>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</si>
  <si>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</si>
  <si>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</si>
  <si>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</si>
  <si>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</si>
  <si>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</si>
  <si>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</si>
  <si>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</si>
  <si>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</si>
  <si>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</si>
  <si>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</si>
  <si>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</si>
  <si>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</si>
  <si>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</si>
  <si>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</si>
  <si>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</si>
  <si>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</si>
  <si>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</si>
  <si>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</si>
  <si>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</si>
  <si>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</si>
  <si>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</si>
  <si>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</si>
  <si>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</si>
  <si>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</si>
  <si>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</si>
  <si>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</si>
  <si>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</si>
  <si>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</si>
  <si>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</si>
  <si>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</si>
  <si>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</si>
  <si>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</si>
  <si>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</si>
  <si>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</si>
  <si>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</si>
  <si>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</si>
  <si>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</si>
  <si>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</si>
  <si>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</si>
  <si>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</si>
  <si>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</si>
  <si>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</si>
  <si>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</si>
  <si>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</si>
  <si>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</si>
  <si>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</si>
  <si>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</si>
  <si>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</si>
  <si>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</si>
  <si>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</si>
  <si>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</si>
  <si>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</si>
  <si>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</si>
  <si>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</si>
  <si>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</si>
  <si>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</si>
  <si>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</si>
  <si>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</si>
  <si>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</si>
  <si>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</si>
  <si>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</si>
  <si>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</si>
  <si>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</si>
  <si>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</si>
  <si>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</si>
  <si>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</si>
  <si>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</si>
  <si>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</si>
  <si>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</si>
  <si>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</si>
  <si>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</si>
  <si>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</si>
  <si>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</si>
  <si>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</si>
  <si>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</si>
  <si>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</si>
  <si>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</si>
  <si>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</si>
  <si>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</si>
  <si>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</si>
  <si>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</si>
  <si>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</si>
  <si>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</si>
  <si>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</si>
  <si>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</si>
  <si>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</si>
  <si>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</si>
  <si>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</si>
  <si>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</si>
  <si>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</si>
  <si>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</si>
  <si>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</si>
  <si>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</si>
  <si>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</si>
  <si>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</si>
  <si>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</si>
  <si>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</si>
  <si>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</si>
  <si>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</si>
  <si>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</si>
  <si>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</si>
  <si>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</si>
  <si>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</si>
  <si>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</si>
  <si>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</si>
  <si>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</si>
  <si>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</si>
  <si>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</si>
  <si>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</si>
  <si>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</si>
  <si>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</si>
  <si>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</si>
  <si>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</si>
  <si>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</si>
  <si>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</si>
  <si>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</si>
  <si>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</si>
  <si>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</si>
  <si>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</si>
  <si>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</si>
  <si>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</si>
  <si>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</si>
  <si>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</si>
  <si>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</si>
  <si>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</si>
  <si>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</si>
  <si>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</si>
  <si>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</si>
  <si>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</si>
  <si>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</si>
  <si>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</si>
  <si>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</si>
  <si>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</si>
  <si>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</si>
  <si>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</si>
  <si>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</si>
  <si>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</si>
  <si>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</si>
  <si>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</si>
  <si>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</si>
  <si>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</si>
  <si>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</si>
  <si>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</si>
  <si>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</si>
  <si>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</si>
  <si>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</si>
  <si>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</si>
  <si>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</si>
  <si>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</si>
  <si>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</si>
  <si>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</si>
  <si>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</si>
  <si>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</si>
  <si>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</si>
  <si>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</si>
  <si>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</si>
  <si>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</si>
  <si>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</si>
  <si>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</si>
  <si>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</si>
  <si>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</si>
  <si>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</si>
  <si>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</si>
  <si>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</si>
  <si>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</si>
  <si>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</si>
  <si>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</si>
  <si>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</si>
  <si>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</si>
  <si>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</si>
  <si>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</si>
  <si>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</si>
  <si>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</si>
  <si>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</si>
  <si>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</si>
  <si>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</si>
  <si>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</si>
  <si>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</si>
  <si>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</si>
  <si>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</si>
  <si>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</si>
  <si>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</si>
  <si>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</si>
  <si>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</si>
  <si>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</si>
  <si>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</si>
  <si>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</si>
  <si>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</si>
  <si>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</si>
  <si>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</si>
  <si>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</si>
  <si>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</si>
  <si>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</si>
  <si>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</si>
  <si>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</si>
  <si>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</si>
  <si>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</si>
  <si>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</si>
  <si>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</si>
  <si>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</si>
  <si>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</si>
  <si>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</si>
  <si>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</si>
  <si>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</si>
  <si>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</si>
  <si>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</si>
  <si>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</si>
  <si>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</si>
  <si>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</si>
  <si>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</si>
  <si>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</si>
  <si>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</si>
  <si>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</si>
  <si>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</si>
  <si>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</si>
  <si>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</si>
  <si>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</si>
  <si>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</si>
  <si>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</si>
  <si>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</si>
  <si>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</si>
  <si>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</si>
  <si>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</si>
  <si>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</si>
  <si>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</si>
  <si>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</si>
  <si>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</si>
  <si>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</si>
  <si>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</si>
  <si>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</si>
  <si>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</si>
  <si>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</si>
  <si>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</si>
  <si>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</si>
  <si>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</si>
  <si>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</si>
  <si>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</si>
  <si>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</si>
  <si>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</si>
  <si>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</si>
  <si>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</si>
  <si>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</si>
  <si>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</si>
  <si>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</si>
  <si>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</si>
  <si>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</si>
  <si>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</si>
  <si>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</si>
  <si>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</si>
  <si>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</si>
  <si>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</si>
  <si>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</si>
  <si>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</si>
  <si>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</si>
  <si>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</si>
  <si>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</si>
  <si>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</si>
  <si>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</si>
  <si>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</si>
  <si>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</si>
  <si>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</si>
  <si>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</si>
  <si>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</si>
  <si>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</si>
  <si>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</si>
  <si>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</si>
  <si>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</si>
  <si>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</si>
  <si>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</si>
  <si>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</si>
  <si>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</si>
  <si>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</si>
  <si>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</si>
  <si>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</si>
  <si>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</si>
  <si>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</si>
  <si>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</si>
  <si>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</si>
  <si>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</si>
  <si>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</si>
  <si>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</si>
  <si>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</si>
  <si>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</si>
  <si>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</si>
  <si>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</si>
  <si>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</si>
  <si>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</si>
  <si>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</si>
  <si>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</si>
  <si>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</si>
  <si>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</si>
  <si>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</si>
  <si>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</si>
  <si>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</si>
  <si>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</si>
  <si>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</si>
  <si>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</si>
  <si>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</si>
  <si>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</si>
  <si>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</si>
  <si>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</si>
  <si>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</si>
  <si>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</si>
  <si>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</si>
  <si>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</si>
  <si>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</si>
  <si>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</si>
  <si>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</si>
  <si>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</si>
  <si>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</si>
  <si>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</si>
  <si>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</si>
  <si>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</si>
  <si>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</si>
  <si>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</si>
  <si>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</si>
  <si>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</si>
  <si>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</si>
  <si>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</si>
  <si>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</si>
  <si>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</si>
  <si>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</si>
  <si>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</si>
  <si>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</si>
  <si>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</si>
  <si>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</si>
  <si>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</si>
  <si>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</si>
  <si>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</si>
  <si>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</si>
  <si>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</si>
  <si>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</si>
  <si>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</si>
  <si>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</si>
  <si>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</si>
  <si>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</si>
  <si>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</si>
  <si>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</si>
  <si>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</si>
  <si>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</si>
  <si>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</si>
  <si>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</si>
  <si>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</si>
  <si>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</si>
  <si>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</si>
  <si>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</si>
  <si>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</si>
  <si>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</si>
  <si>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</si>
  <si>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</si>
  <si>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</si>
  <si>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</si>
  <si>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</si>
  <si>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</si>
  <si>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</si>
  <si>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</si>
  <si>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</si>
  <si>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</si>
  <si>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</si>
  <si>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</si>
  <si>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</si>
  <si>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</si>
  <si>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</si>
  <si>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</si>
  <si>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</si>
  <si>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</si>
  <si>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</si>
  <si>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</si>
  <si>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</si>
  <si>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</si>
  <si>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</si>
  <si>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</si>
  <si>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</si>
  <si>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</si>
  <si>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</si>
  <si>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</si>
  <si>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</si>
  <si>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</si>
  <si>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</si>
  <si>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</si>
  <si>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</si>
  <si>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</si>
  <si>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</si>
  <si>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</si>
  <si>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</si>
  <si>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</si>
  <si>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</si>
  <si>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</si>
  <si>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</si>
  <si>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</si>
  <si>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</si>
  <si>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</si>
  <si>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</si>
  <si>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</si>
  <si>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</si>
  <si>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</si>
  <si>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</si>
  <si>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</si>
  <si>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</si>
  <si>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</si>
  <si>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</si>
  <si>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</si>
  <si>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</si>
  <si>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</si>
  <si>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</si>
  <si>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</si>
  <si>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</si>
  <si>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</si>
  <si>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</si>
  <si>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</si>
  <si>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</si>
  <si>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</si>
  <si>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</si>
  <si>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</si>
  <si>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</si>
  <si>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</si>
  <si>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</si>
  <si>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</si>
  <si>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</si>
  <si>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</si>
  <si>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</si>
  <si>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</si>
  <si>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</si>
  <si>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</si>
  <si>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</si>
  <si>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</si>
  <si>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</si>
  <si>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</si>
  <si>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</si>
  <si>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</si>
  <si>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</si>
  <si>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</si>
  <si>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</si>
  <si>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</si>
  <si>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</si>
  <si>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</si>
  <si>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</si>
  <si>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</si>
  <si>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</si>
  <si>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</si>
  <si>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</si>
  <si>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</si>
  <si>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</si>
  <si>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</si>
  <si>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</si>
  <si>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</si>
  <si>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</si>
  <si>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</si>
  <si>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</si>
  <si>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</si>
  <si>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</si>
  <si>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</si>
  <si>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</si>
  <si>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</si>
  <si>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</si>
  <si>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</si>
  <si>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</si>
  <si>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</si>
  <si>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</si>
  <si>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</si>
  <si>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</si>
  <si>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</si>
  <si>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</si>
  <si>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</si>
  <si>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</si>
  <si>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</si>
  <si>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</si>
  <si>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</si>
  <si>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</si>
  <si>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</si>
  <si>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</si>
  <si>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</si>
  <si>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</si>
  <si>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</si>
  <si>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</si>
  <si>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</si>
  <si>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</si>
  <si>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</si>
  <si>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</si>
  <si>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</si>
  <si>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</si>
  <si>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</si>
  <si>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</si>
  <si>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</si>
  <si>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</si>
  <si>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</si>
  <si>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</si>
  <si>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</si>
  <si>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</si>
  <si>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</si>
  <si>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</si>
  <si>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</si>
  <si>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</si>
  <si>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</si>
  <si>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</si>
  <si>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</si>
  <si>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</si>
  <si>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</si>
  <si>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</si>
  <si>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</si>
  <si>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</si>
  <si>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</si>
  <si>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</si>
  <si>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</si>
  <si>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</si>
  <si>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</si>
  <si>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</si>
  <si>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</si>
  <si>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</si>
  <si>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</si>
  <si>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</si>
  <si>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</si>
  <si>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</si>
  <si>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</si>
  <si>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</si>
  <si>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</si>
  <si>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</si>
  <si>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</si>
  <si>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</si>
  <si>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</si>
  <si>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</si>
  <si>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</si>
  <si>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</si>
  <si>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</si>
  <si>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</si>
  <si>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</si>
  <si>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</si>
  <si>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</si>
  <si>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</si>
  <si>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</si>
  <si>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</si>
  <si>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</si>
  <si>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</si>
  <si>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</si>
  <si>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</si>
  <si>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</si>
  <si>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</si>
  <si>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</si>
  <si>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</si>
  <si>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</si>
  <si>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</si>
  <si>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</si>
  <si>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</si>
  <si>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</si>
  <si>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</si>
  <si>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</si>
  <si>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</si>
  <si>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</si>
  <si>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</si>
  <si>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</si>
  <si>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</si>
  <si>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</si>
  <si>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</si>
  <si>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</si>
  <si>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</si>
  <si>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</si>
  <si>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</si>
  <si>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</si>
  <si>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</si>
  <si>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</si>
  <si>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</si>
  <si>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</si>
  <si>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</si>
  <si>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</si>
  <si>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</si>
  <si>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</si>
  <si>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</si>
  <si>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</si>
  <si>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</si>
  <si>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</si>
  <si>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</si>
  <si>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</si>
  <si>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</si>
  <si>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</si>
  <si>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</si>
  <si>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</si>
  <si>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</si>
  <si>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</si>
  <si>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</si>
  <si>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</si>
  <si>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</si>
  <si>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</si>
  <si>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</si>
  <si>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</si>
  <si>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</si>
  <si>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</si>
  <si>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</si>
  <si>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</si>
  <si>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</si>
  <si>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</si>
  <si>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</si>
  <si>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</si>
  <si>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</si>
  <si>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</si>
  <si>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</si>
  <si>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</si>
  <si>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</si>
  <si>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</si>
  <si>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</si>
  <si>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</si>
  <si>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</si>
  <si>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</si>
  <si>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</si>
  <si>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</si>
  <si>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</si>
  <si>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</si>
  <si>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</si>
  <si>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</si>
  <si>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</si>
  <si>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</si>
  <si>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</si>
  <si>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</si>
  <si>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</si>
  <si>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</si>
  <si>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</si>
  <si>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</si>
  <si>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</si>
  <si>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</si>
  <si>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</si>
  <si>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</si>
  <si>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</si>
  <si>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</si>
  <si>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</si>
  <si>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</si>
  <si>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</si>
  <si>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</si>
  <si>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</si>
  <si>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</si>
  <si>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</si>
  <si>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</si>
  <si>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</si>
  <si>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</si>
  <si>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</si>
  <si>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</si>
  <si>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</si>
  <si>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</si>
  <si>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</si>
  <si>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</si>
  <si>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</si>
  <si>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</si>
  <si>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</si>
  <si>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</si>
  <si>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</si>
  <si>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</si>
  <si>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</si>
  <si>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</si>
  <si>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</si>
  <si>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</si>
  <si>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</si>
  <si>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</si>
  <si>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</si>
  <si>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</si>
  <si>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</si>
  <si>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</si>
  <si>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</si>
  <si>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</si>
  <si>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</si>
  <si>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</si>
  <si>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</si>
  <si>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</si>
  <si>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</si>
  <si>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</si>
  <si>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</si>
  <si>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</si>
  <si>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</si>
  <si>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</si>
  <si>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</si>
  <si>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</si>
  <si>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</si>
  <si>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</si>
  <si>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</si>
  <si>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</si>
  <si>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</si>
  <si>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</si>
  <si>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</si>
  <si>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</si>
  <si>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</si>
  <si>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</si>
  <si>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</si>
  <si>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</si>
  <si>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</si>
  <si>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</si>
  <si>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</si>
  <si>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</si>
  <si>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</si>
  <si>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</si>
  <si>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</si>
  <si>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</si>
  <si>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</si>
  <si>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</si>
  <si>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</si>
  <si>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</si>
  <si>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</si>
  <si>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</si>
  <si>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</si>
  <si>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</si>
  <si>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</si>
  <si>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</si>
  <si>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</si>
  <si>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</si>
  <si>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</si>
  <si>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</si>
  <si>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</si>
  <si>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</si>
  <si>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</si>
  <si>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</si>
  <si>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</si>
  <si>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</si>
  <si>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</si>
  <si>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</si>
  <si>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</si>
  <si>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</si>
  <si>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</si>
  <si>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</si>
  <si>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</si>
  <si>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</si>
  <si>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</si>
  <si>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</si>
  <si>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</si>
  <si>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</si>
  <si>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</si>
  <si>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</si>
  <si>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</si>
  <si>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</si>
  <si>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</si>
  <si>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</si>
  <si>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</si>
  <si>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</si>
  <si>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</si>
  <si>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</si>
  <si>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</si>
  <si>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</si>
  <si>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</si>
  <si>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</si>
  <si>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</si>
  <si>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</si>
  <si>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</si>
  <si>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</si>
  <si>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</si>
  <si>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</si>
  <si>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</si>
  <si>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</si>
  <si>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</si>
  <si>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</si>
  <si>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</si>
  <si>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</si>
  <si>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</si>
  <si>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</si>
  <si>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</si>
  <si>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</si>
  <si>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</si>
  <si>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</si>
  <si>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</si>
  <si>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</si>
  <si>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</si>
  <si>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</si>
  <si>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</si>
  <si>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</si>
  <si>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</si>
  <si>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</si>
  <si>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</si>
  <si>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</si>
  <si>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</si>
  <si>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</si>
  <si>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</si>
  <si>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</si>
  <si>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</si>
  <si>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</si>
  <si>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</si>
  <si>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</si>
  <si>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</si>
  <si>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</si>
  <si>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</si>
  <si>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</si>
  <si>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</si>
  <si>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</si>
  <si>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</si>
  <si>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</si>
  <si>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</si>
  <si>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</si>
  <si>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</si>
  <si>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</si>
  <si>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</si>
  <si>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</si>
  <si>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</si>
  <si>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</si>
  <si>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</si>
  <si>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</si>
  <si>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</si>
  <si>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</si>
  <si>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</si>
  <si>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</si>
  <si>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</si>
  <si>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</si>
  <si>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</si>
  <si>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</si>
  <si>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</si>
  <si>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</si>
  <si>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</si>
  <si>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</si>
  <si>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</si>
  <si>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</si>
  <si>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</si>
  <si>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</si>
  <si>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</si>
  <si>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</si>
  <si>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</si>
  <si>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</si>
  <si>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</si>
  <si>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</si>
  <si>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</si>
  <si>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</si>
  <si>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</si>
  <si>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</si>
  <si>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</si>
  <si>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</si>
  <si>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</si>
  <si>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</si>
  <si>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</si>
  <si>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</si>
  <si>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</si>
  <si>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</si>
  <si>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</si>
  <si>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</si>
  <si>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</si>
  <si>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</si>
  <si>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</si>
  <si>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</si>
  <si>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</si>
  <si>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</si>
  <si>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</si>
  <si>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</si>
  <si>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</si>
  <si>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</si>
  <si>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</si>
  <si>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</si>
  <si>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</si>
  <si>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</si>
  <si>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</si>
  <si>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</si>
  <si>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</si>
  <si>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</si>
  <si>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</si>
  <si>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</si>
  <si>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</si>
  <si>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</si>
  <si>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</si>
  <si>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</si>
  <si>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</si>
  <si>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</si>
  <si>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</si>
  <si>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</si>
  <si>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</si>
  <si>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</si>
  <si>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</si>
  <si>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</si>
  <si>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</si>
  <si>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</si>
  <si>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</si>
  <si>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</si>
  <si>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</si>
  <si>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</si>
  <si>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</si>
  <si>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</si>
  <si>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</si>
  <si>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</si>
  <si>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</si>
  <si>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</si>
  <si>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</si>
  <si>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</si>
  <si>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</si>
  <si>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</si>
  <si>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</si>
  <si>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</si>
  <si>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</si>
  <si>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</si>
  <si>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</si>
  <si>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</si>
  <si>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</si>
  <si>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</si>
  <si>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</si>
  <si>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</si>
  <si>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</si>
  <si>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</si>
  <si>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</si>
  <si>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</si>
  <si>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</si>
  <si>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</si>
  <si>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</si>
  <si>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</si>
  <si>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</si>
  <si>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</si>
  <si>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</si>
  <si>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</si>
  <si>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</si>
  <si>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</si>
  <si>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</si>
  <si>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</si>
  <si>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</si>
  <si>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</si>
  <si>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</si>
  <si>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</si>
  <si>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</si>
  <si>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</si>
  <si>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</si>
  <si>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</si>
  <si>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</si>
  <si>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</si>
  <si>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</si>
  <si>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</si>
  <si>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</si>
  <si>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</si>
  <si>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</si>
  <si>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</si>
  <si>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</si>
  <si>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</si>
  <si>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</si>
  <si>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</si>
  <si>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</si>
  <si>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</si>
  <si>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</si>
  <si>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</si>
  <si>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</si>
  <si>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</si>
  <si>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</si>
  <si>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</si>
  <si>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</si>
  <si>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</si>
  <si>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</si>
  <si>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</si>
  <si>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</si>
  <si>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</si>
  <si>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</si>
  <si>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</si>
  <si>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</si>
  <si>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</si>
  <si>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</si>
  <si>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</si>
  <si>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</si>
  <si>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</si>
  <si>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</si>
  <si>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</si>
  <si>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</si>
  <si>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</si>
  <si>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</si>
  <si>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</si>
  <si>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</si>
  <si>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</si>
  <si>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</si>
  <si>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</si>
  <si>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</si>
  <si>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</si>
  <si>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</si>
  <si>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</si>
  <si>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</si>
  <si>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</si>
  <si>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</si>
  <si>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</si>
  <si>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</si>
  <si>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</si>
  <si>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</si>
  <si>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</si>
  <si>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</si>
  <si>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</si>
  <si>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</si>
  <si>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</si>
  <si>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</si>
  <si>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</si>
  <si>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</si>
  <si>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</si>
  <si>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</si>
  <si>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</si>
  <si>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</si>
  <si>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</si>
  <si>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</si>
  <si>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</si>
  <si>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</si>
  <si>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</si>
  <si>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</si>
  <si>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</si>
  <si>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</si>
  <si>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</si>
  <si>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</si>
  <si>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</si>
  <si>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</si>
  <si>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</si>
  <si>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</si>
  <si>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</si>
  <si>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</si>
  <si>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</si>
  <si>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</si>
  <si>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</si>
  <si>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</si>
  <si>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</si>
  <si>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</si>
  <si>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</si>
  <si>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</si>
  <si>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</si>
  <si>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</si>
  <si>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</si>
  <si>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</si>
  <si>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</si>
  <si>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</si>
  <si>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</si>
  <si>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</si>
  <si>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</si>
  <si>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</si>
  <si>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</si>
  <si>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</si>
  <si>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</si>
  <si>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</si>
  <si>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</si>
  <si>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</si>
  <si>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</si>
  <si>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</si>
  <si>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</si>
  <si>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</si>
  <si>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</si>
  <si>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</si>
  <si>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</si>
  <si>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</si>
  <si>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</si>
  <si>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</si>
  <si>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</si>
  <si>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</si>
  <si>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</si>
  <si>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</si>
  <si>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</si>
  <si>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</si>
  <si>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</si>
  <si>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</si>
  <si>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</si>
  <si>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</si>
  <si>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</si>
  <si>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</si>
  <si>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</si>
  <si>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</si>
  <si>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</si>
  <si>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</si>
  <si>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</si>
  <si>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</si>
  <si>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</si>
  <si>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</si>
  <si>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</si>
  <si>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</si>
  <si>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</si>
  <si>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</si>
  <si>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</si>
  <si>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</si>
  <si>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</si>
  <si>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</si>
  <si>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</si>
  <si>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</si>
  <si>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</si>
  <si>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</si>
  <si>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</si>
  <si>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</si>
  <si>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</si>
  <si>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</si>
  <si>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</si>
  <si>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</si>
  <si>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</si>
  <si>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</si>
  <si>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</si>
  <si>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</si>
  <si>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</si>
  <si>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</si>
  <si>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</si>
  <si>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</si>
  <si>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</si>
  <si>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</si>
  <si>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</si>
  <si>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</si>
  <si>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</si>
  <si>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</si>
  <si>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</si>
  <si>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</si>
  <si>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</si>
  <si>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</si>
  <si>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</si>
  <si>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</si>
  <si>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</si>
  <si>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</si>
  <si>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</si>
  <si>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</si>
  <si>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</si>
  <si>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</si>
  <si>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</si>
  <si>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</si>
  <si>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</si>
  <si>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</si>
  <si>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</si>
  <si>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</si>
  <si>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</si>
  <si>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</si>
  <si>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</si>
  <si>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</si>
  <si>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</si>
  <si>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</si>
  <si>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</si>
  <si>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</si>
  <si>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</si>
  <si>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</si>
  <si>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</si>
  <si>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</si>
  <si>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</si>
  <si>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</si>
  <si>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</si>
  <si>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</si>
  <si>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</si>
  <si>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</si>
  <si>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</si>
  <si>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</si>
  <si>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</si>
  <si>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</si>
  <si>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</si>
  <si>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</si>
  <si>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</si>
  <si>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</si>
  <si>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</si>
  <si>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</si>
  <si>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</si>
  <si>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</si>
  <si>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</si>
  <si>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</si>
  <si>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</si>
  <si>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</si>
  <si>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</si>
  <si>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</si>
  <si>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</si>
  <si>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</si>
  <si>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</si>
  <si>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</si>
  <si>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</si>
  <si>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</si>
  <si>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</si>
  <si>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</si>
  <si>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</si>
  <si>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</si>
  <si>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</si>
  <si>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</si>
  <si>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</si>
  <si>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</si>
  <si>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</si>
  <si>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</si>
  <si>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</si>
  <si>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</si>
  <si>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</si>
  <si>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</si>
  <si>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</si>
  <si>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</si>
  <si>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</si>
  <si>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</si>
  <si>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</si>
  <si>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</si>
  <si>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</si>
  <si>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</si>
  <si>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</si>
  <si>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</si>
  <si>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</si>
  <si>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</si>
  <si>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</si>
  <si>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</si>
  <si>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</si>
  <si>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</si>
  <si>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</si>
  <si>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</si>
  <si>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</si>
  <si>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</si>
  <si>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</si>
  <si>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</si>
  <si>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</si>
  <si>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</si>
  <si>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</si>
  <si>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</si>
  <si>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</si>
  <si>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</si>
  <si>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</si>
  <si>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</si>
  <si>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</si>
  <si>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</si>
  <si>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</si>
  <si>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</si>
  <si>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</si>
  <si>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</si>
  <si>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</si>
  <si>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</si>
  <si>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</si>
  <si>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</si>
  <si>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</si>
  <si>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</si>
  <si>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</si>
  <si>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</si>
  <si>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</si>
  <si>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</si>
  <si>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</si>
  <si>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</si>
  <si>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</si>
  <si>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</si>
  <si>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</si>
  <si>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</si>
  <si>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</si>
  <si>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</si>
  <si>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</si>
  <si>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</si>
  <si>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</si>
  <si>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</si>
  <si>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</si>
  <si>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</si>
  <si>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</si>
  <si>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</si>
  <si>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</si>
  <si>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</si>
  <si>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</si>
  <si>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</si>
  <si>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</si>
  <si>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</si>
  <si>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</si>
  <si>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</si>
  <si>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</si>
  <si>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</si>
  <si>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</si>
  <si>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</si>
  <si>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</si>
  <si>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</si>
  <si>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</si>
  <si>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</si>
  <si>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</si>
  <si>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</si>
  <si>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</si>
  <si>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</si>
  <si>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</si>
  <si>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</si>
  <si>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</si>
  <si>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</si>
  <si>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</si>
  <si>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</si>
  <si>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</si>
  <si>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</si>
  <si>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</si>
  <si>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</si>
  <si>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</si>
  <si>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</si>
  <si>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</si>
  <si>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</si>
  <si>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</si>
  <si>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</si>
  <si>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</si>
  <si>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</si>
  <si>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</si>
  <si>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</si>
  <si>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</si>
  <si>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</si>
  <si>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</si>
  <si>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</si>
  <si>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</si>
  <si>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</si>
  <si>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</si>
  <si>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</si>
  <si>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</si>
  <si>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</si>
  <si>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</si>
  <si>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</si>
  <si>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</si>
  <si>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</si>
  <si>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</si>
  <si>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</si>
  <si>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</si>
  <si>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</si>
  <si>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</si>
  <si>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</si>
  <si>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</si>
  <si>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</si>
  <si>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</si>
  <si>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</si>
  <si>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</si>
  <si>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</si>
  <si>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</si>
  <si>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</si>
  <si>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</si>
  <si>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</si>
  <si>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</si>
  <si>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</si>
  <si>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</si>
  <si>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</si>
  <si>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</si>
  <si>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</si>
  <si>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</si>
  <si>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</si>
  <si>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</si>
  <si>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</si>
  <si>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</si>
  <si>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</si>
  <si>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</si>
  <si>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</si>
  <si>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</si>
  <si>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</si>
  <si>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</si>
  <si>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</si>
  <si>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</si>
  <si>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</si>
  <si>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</si>
  <si>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</si>
  <si>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</si>
  <si>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</si>
  <si>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</si>
  <si>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</si>
  <si>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</si>
  <si>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</si>
  <si>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</si>
  <si>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</si>
  <si>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</si>
  <si>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</si>
  <si>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</si>
  <si>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</si>
  <si>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</si>
  <si>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</si>
  <si>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</si>
  <si>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</si>
  <si>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</si>
  <si>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</si>
  <si>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</si>
  <si>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</si>
  <si>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</si>
  <si>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</si>
  <si>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</si>
  <si>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</si>
  <si>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</si>
  <si>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</si>
  <si>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</si>
  <si>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</si>
  <si>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</si>
  <si>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</si>
  <si>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</si>
  <si>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</si>
  <si>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</si>
  <si>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</si>
  <si>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</si>
  <si>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</si>
  <si>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</si>
  <si>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</si>
  <si>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</si>
  <si>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</si>
  <si>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</si>
  <si>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</si>
  <si>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</si>
  <si>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</si>
  <si>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</si>
  <si>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</si>
  <si>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</si>
  <si>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</si>
  <si>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</si>
  <si>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</si>
  <si>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</si>
  <si>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</si>
  <si>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</si>
  <si>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</si>
  <si>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</si>
  <si>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</si>
  <si>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</si>
  <si>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</si>
  <si>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</si>
  <si>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</si>
  <si>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</si>
  <si>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</si>
  <si>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</si>
  <si>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</si>
  <si>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</si>
  <si>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</si>
  <si>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</si>
  <si>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</si>
  <si>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</si>
  <si>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</si>
  <si>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</si>
  <si>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</si>
  <si>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</si>
  <si>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</si>
  <si>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</si>
  <si>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</si>
  <si>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</si>
  <si>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</si>
  <si>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</si>
  <si>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</si>
  <si>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</si>
  <si>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</si>
  <si>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</si>
  <si>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</si>
  <si>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</si>
  <si>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</si>
  <si>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</si>
  <si>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</si>
  <si>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</si>
  <si>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</si>
  <si>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</si>
  <si>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</si>
  <si>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</si>
  <si>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</si>
  <si>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</si>
  <si>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</si>
  <si>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</si>
  <si>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</si>
  <si>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</si>
  <si>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</si>
  <si>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</si>
  <si>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</si>
  <si>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</si>
  <si>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</si>
  <si>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</si>
  <si>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</si>
  <si>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</si>
  <si>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</si>
  <si>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</si>
  <si>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</si>
  <si>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</si>
  <si>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</si>
  <si>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</si>
  <si>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</si>
  <si>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</si>
  <si>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</si>
  <si>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</si>
  <si>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</si>
  <si>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</si>
  <si>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</si>
  <si>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</si>
  <si>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</si>
  <si>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</si>
  <si>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</si>
  <si>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</si>
  <si>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</si>
  <si>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</si>
  <si>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</si>
  <si>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</si>
  <si>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</si>
  <si>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</si>
  <si>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</si>
  <si>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</si>
  <si>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</si>
  <si>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</si>
  <si>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</si>
  <si>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</si>
  <si>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</si>
  <si>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</si>
  <si>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</si>
  <si>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</si>
  <si>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</si>
  <si>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</si>
  <si>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</si>
  <si>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</si>
  <si>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</si>
  <si>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</si>
  <si>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</si>
  <si>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</si>
  <si>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</si>
  <si>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</si>
  <si>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</si>
  <si>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</si>
  <si>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</si>
  <si>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</si>
  <si>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</si>
  <si>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</si>
  <si>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</si>
  <si>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</si>
  <si>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</si>
  <si>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</si>
  <si>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</si>
  <si>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</si>
  <si>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</si>
  <si>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</si>
  <si>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</si>
  <si>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</si>
  <si>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</si>
  <si>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</si>
  <si>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</si>
  <si>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</si>
  <si>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</si>
  <si>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</si>
  <si>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</si>
  <si>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</si>
  <si>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</si>
  <si>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</si>
  <si>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</si>
  <si>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</si>
  <si>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</si>
  <si>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</si>
  <si>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</si>
  <si>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</si>
  <si>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</si>
  <si>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</si>
  <si>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</si>
  <si>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</si>
  <si>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</si>
  <si>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</si>
  <si>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</si>
  <si>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</si>
  <si>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</si>
  <si>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</si>
  <si>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</si>
  <si>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</si>
  <si>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</si>
  <si>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</si>
  <si>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</si>
  <si>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</si>
  <si>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</si>
  <si>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</si>
  <si>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</si>
  <si>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</si>
  <si>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</si>
  <si>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</si>
  <si>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</si>
  <si>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</si>
  <si>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</si>
  <si>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</si>
  <si>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</si>
  <si>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</si>
  <si>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</si>
  <si>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</si>
  <si>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</si>
  <si>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</si>
  <si>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</si>
  <si>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</si>
  <si>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</si>
  <si>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</si>
  <si>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</si>
  <si>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</si>
  <si>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</si>
  <si>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</si>
  <si>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</si>
  <si>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</si>
  <si>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</si>
  <si>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</si>
  <si>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</si>
  <si>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</si>
  <si>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</si>
  <si>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</si>
  <si>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</si>
  <si>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</si>
  <si>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</si>
  <si>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</si>
  <si>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</si>
  <si>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</si>
  <si>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</si>
  <si>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</si>
  <si>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</si>
  <si>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</si>
  <si>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</si>
  <si>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</si>
  <si>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</si>
  <si>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</si>
  <si>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</si>
  <si>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</si>
  <si>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</si>
  <si>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</si>
  <si>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</si>
  <si>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</si>
  <si>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</si>
  <si>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</si>
  <si>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</si>
  <si>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</si>
  <si>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</si>
  <si>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</si>
  <si>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</si>
  <si>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</si>
  <si>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</si>
  <si>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</si>
  <si>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</si>
  <si>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</si>
  <si>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</si>
  <si>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</si>
  <si>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</si>
  <si>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</si>
  <si>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</si>
  <si>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</si>
  <si>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</si>
  <si>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</si>
  <si>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</si>
  <si>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</si>
  <si>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</si>
  <si>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</si>
  <si>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</si>
  <si>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</si>
  <si>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</si>
  <si>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</si>
  <si>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</si>
  <si>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</si>
  <si>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</si>
  <si>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</si>
  <si>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</si>
  <si>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</si>
  <si>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</si>
  <si>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</si>
  <si>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</si>
  <si>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</si>
  <si>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</si>
  <si>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</si>
  <si>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</si>
  <si>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</si>
  <si>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</si>
  <si>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</si>
  <si>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</si>
  <si>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</si>
  <si>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</si>
  <si>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</si>
  <si>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</si>
  <si>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</si>
  <si>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</si>
  <si>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</si>
  <si>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</si>
  <si>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</si>
  <si>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</si>
  <si>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</si>
  <si>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</si>
  <si>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</si>
  <si>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</si>
  <si>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</si>
  <si>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</si>
  <si>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</si>
  <si>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</si>
  <si>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</si>
  <si>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</si>
  <si>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</si>
  <si>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</si>
  <si>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</si>
  <si>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</si>
  <si>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</si>
  <si>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</si>
  <si>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</si>
  <si>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</si>
  <si>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</si>
  <si>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</si>
  <si>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</si>
  <si>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</si>
  <si>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</si>
  <si>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</si>
  <si>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</si>
  <si>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</si>
  <si>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</si>
  <si>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</si>
  <si>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</si>
  <si>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</si>
  <si>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</si>
  <si>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</si>
  <si>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</si>
  <si>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</si>
  <si>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</si>
  <si>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</si>
  <si>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</si>
  <si>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</si>
  <si>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</si>
  <si>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</si>
  <si>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</si>
  <si>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</si>
  <si>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</si>
  <si>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</si>
  <si>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</si>
  <si>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</si>
  <si>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</si>
  <si>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</si>
  <si>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</si>
  <si>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</si>
  <si>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</si>
  <si>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</si>
  <si>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</si>
  <si>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</si>
  <si>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</si>
  <si>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</si>
  <si>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</si>
  <si>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</si>
  <si>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</si>
  <si>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</si>
  <si>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</si>
  <si>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</si>
  <si>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</si>
  <si>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</si>
  <si>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</si>
  <si>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</si>
  <si>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</si>
  <si>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</si>
  <si>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</si>
  <si>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</si>
  <si>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</si>
  <si>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</si>
  <si>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</si>
  <si>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</si>
  <si>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</si>
  <si>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</si>
  <si>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</si>
  <si>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</si>
  <si>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</si>
  <si>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</si>
  <si>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</si>
  <si>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</si>
  <si>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</si>
  <si>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</si>
  <si>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</si>
  <si>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</si>
  <si>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</si>
  <si>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</si>
  <si>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</si>
  <si>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</si>
  <si>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</si>
  <si>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</si>
  <si>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</si>
  <si>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</si>
  <si>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</si>
  <si>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</si>
  <si>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</si>
  <si>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</si>
  <si>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</si>
  <si>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</si>
  <si>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</si>
  <si>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</si>
  <si>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</si>
  <si>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</si>
  <si>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</si>
  <si>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</si>
  <si>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</si>
  <si>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</si>
  <si>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</si>
  <si>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</si>
  <si>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</si>
  <si>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</si>
  <si>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</si>
  <si>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</si>
  <si>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</si>
  <si>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</si>
  <si>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</si>
  <si>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</si>
  <si>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</si>
  <si>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</si>
  <si>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</si>
  <si>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</si>
  <si>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</si>
  <si>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</si>
  <si>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</si>
  <si>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</si>
  <si>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</si>
  <si>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</si>
  <si>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</si>
  <si>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</si>
  <si>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</si>
  <si>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</si>
  <si>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</si>
  <si>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</si>
  <si>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</si>
  <si>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</si>
  <si>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</si>
  <si>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</si>
  <si>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</si>
  <si>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</si>
  <si>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</si>
  <si>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</si>
  <si>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</si>
  <si>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</si>
  <si>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</si>
  <si>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</si>
  <si>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</si>
  <si>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</si>
  <si>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</si>
  <si>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</si>
  <si>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</si>
  <si>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</si>
  <si>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</si>
  <si>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</si>
  <si>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</si>
  <si>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</si>
  <si>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</si>
  <si>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</si>
  <si>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</si>
  <si>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</si>
  <si>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</si>
  <si>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</si>
  <si>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</si>
  <si>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</si>
  <si>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</si>
  <si>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</si>
  <si>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</si>
  <si>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</si>
  <si>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</si>
  <si>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</si>
  <si>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</si>
  <si>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</si>
  <si>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</si>
  <si>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</si>
  <si>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</si>
  <si>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</si>
  <si>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</si>
  <si>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</si>
  <si>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</si>
  <si>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</si>
  <si>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</si>
  <si>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</si>
  <si>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</si>
  <si>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</si>
  <si>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</si>
  <si>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</si>
  <si>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</si>
  <si>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</si>
  <si>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</si>
  <si>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</si>
  <si>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</si>
  <si>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</si>
  <si>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</si>
  <si>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</si>
  <si>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</si>
  <si>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</si>
  <si>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</si>
  <si>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</si>
  <si>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</si>
  <si>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</si>
  <si>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</si>
  <si>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</si>
  <si>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</si>
  <si>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</si>
  <si>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</si>
  <si>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</si>
  <si>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</si>
  <si>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</si>
  <si>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</si>
  <si>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</si>
  <si>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</si>
  <si>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</si>
  <si>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</si>
  <si>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</si>
  <si>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</si>
  <si>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</si>
  <si>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</si>
  <si>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</si>
  <si>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</si>
  <si>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</si>
  <si>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</si>
  <si>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</si>
  <si>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</si>
  <si>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</si>
  <si>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</si>
  <si>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</si>
  <si>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</si>
  <si>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</si>
  <si>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</si>
  <si>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</si>
  <si>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</si>
  <si>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</si>
  <si>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</si>
  <si>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</si>
  <si>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</si>
  <si>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</si>
  <si>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</si>
  <si>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</si>
  <si>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</si>
  <si>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</si>
  <si>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</si>
  <si>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</si>
  <si>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</si>
  <si>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</si>
  <si>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</si>
  <si>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</si>
  <si>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</si>
  <si>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</si>
  <si>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</si>
  <si>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</si>
  <si>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</si>
  <si>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</si>
  <si>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</si>
  <si>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</si>
  <si>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</si>
  <si>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</si>
  <si>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</si>
  <si>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</si>
  <si>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</si>
  <si>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</si>
  <si>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</si>
  <si>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</si>
  <si>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</si>
  <si>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</si>
  <si>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</si>
  <si>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</si>
  <si>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</si>
  <si>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</si>
  <si>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</si>
  <si>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</si>
  <si>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</si>
  <si>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</si>
  <si>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</si>
  <si>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</si>
  <si>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</si>
  <si>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</si>
  <si>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</si>
  <si>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</si>
  <si>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</si>
  <si>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</si>
  <si>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</si>
  <si>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</si>
  <si>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</si>
  <si>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</si>
  <si>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</si>
  <si>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</si>
  <si>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</si>
  <si>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</si>
  <si>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</si>
  <si>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</si>
  <si>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</si>
  <si>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</si>
  <si>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</si>
  <si>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</si>
  <si>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</si>
  <si>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</si>
  <si>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</si>
  <si>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</si>
  <si>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</si>
  <si>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</si>
  <si>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</si>
  <si>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</si>
  <si>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</si>
  <si>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</si>
  <si>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</si>
  <si>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</si>
  <si>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</si>
  <si>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</si>
  <si>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</si>
  <si>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</si>
  <si>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</si>
  <si>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</si>
  <si>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</si>
  <si>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</si>
  <si>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</si>
  <si>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</si>
  <si>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</si>
  <si>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</si>
  <si>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</si>
  <si>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</si>
  <si>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</si>
  <si>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</si>
  <si>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</si>
  <si>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</si>
  <si>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</si>
  <si>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</si>
  <si>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</si>
  <si>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</si>
  <si>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</si>
  <si>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</si>
  <si>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</si>
  <si>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</si>
  <si>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</si>
  <si>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</si>
  <si>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</si>
  <si>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</si>
  <si>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</si>
  <si>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</si>
  <si>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</si>
  <si>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</si>
  <si>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</si>
  <si>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</si>
  <si>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</si>
  <si>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</si>
  <si>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</si>
  <si>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</si>
  <si>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</si>
  <si>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</si>
  <si>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</si>
  <si>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</si>
  <si>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</si>
  <si>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</si>
  <si>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</si>
  <si>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</si>
  <si>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</si>
  <si>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</si>
  <si>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</si>
  <si>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</si>
  <si>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</si>
  <si>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</si>
  <si>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</si>
  <si>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</si>
  <si>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</si>
  <si>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</si>
  <si>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</si>
  <si>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</si>
  <si>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</si>
  <si>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</si>
  <si>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</si>
  <si>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</si>
  <si>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</si>
  <si>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</si>
  <si>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</si>
  <si>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</si>
  <si>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</si>
  <si>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</si>
  <si>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</si>
  <si>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</si>
  <si>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</si>
  <si>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</si>
  <si>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</si>
  <si>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</si>
  <si>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</si>
  <si>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</si>
  <si>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</si>
  <si>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</si>
  <si>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</si>
  <si>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</si>
  <si>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</si>
  <si>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</si>
  <si>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</si>
  <si>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</si>
  <si>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</si>
  <si>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</si>
  <si>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</si>
  <si>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</si>
  <si>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</si>
  <si>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</si>
  <si>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</si>
  <si>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</si>
  <si>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</si>
  <si>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</si>
  <si>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</si>
  <si>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</si>
  <si>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</si>
  <si>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</si>
  <si>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</si>
  <si>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</si>
  <si>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</si>
  <si>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</si>
  <si>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</si>
  <si>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</si>
  <si>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</si>
  <si>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</si>
  <si>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</si>
  <si>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</si>
  <si>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</si>
  <si>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</si>
  <si>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</si>
  <si>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</si>
  <si>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</si>
  <si>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</si>
  <si>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</si>
  <si>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</si>
  <si>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</si>
  <si>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</si>
  <si>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</si>
  <si>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</si>
  <si>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</si>
  <si>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</si>
  <si>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</si>
  <si>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</si>
  <si>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</si>
  <si>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</si>
  <si>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</si>
  <si>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</si>
  <si>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</si>
  <si>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</si>
  <si>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</si>
  <si>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</si>
  <si>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</si>
  <si>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</si>
  <si>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</si>
  <si>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</si>
  <si>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</si>
  <si>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</si>
  <si>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</si>
  <si>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</si>
  <si>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</si>
  <si>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</si>
  <si>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</si>
  <si>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</si>
  <si>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</si>
  <si>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</si>
  <si>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</si>
  <si>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</si>
  <si>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</si>
  <si>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</si>
  <si>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</si>
  <si>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</si>
  <si>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</si>
  <si>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</si>
  <si>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</si>
  <si>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</si>
  <si>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</si>
  <si>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</si>
  <si>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</si>
  <si>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</si>
  <si>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</si>
  <si>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</si>
  <si>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</si>
  <si>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</si>
  <si>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</si>
  <si>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</si>
  <si>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</si>
  <si>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</si>
  <si>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</si>
  <si>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</si>
  <si>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</si>
  <si>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</si>
  <si>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</si>
  <si>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</si>
  <si>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</si>
  <si>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</si>
  <si>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</si>
  <si>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</si>
  <si>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</si>
  <si>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</si>
  <si>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</si>
  <si>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</si>
  <si>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</si>
  <si>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</si>
  <si>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</si>
  <si>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</si>
  <si>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</si>
  <si>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</si>
  <si>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</si>
  <si>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</si>
  <si>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</si>
  <si>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</si>
  <si>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</si>
  <si>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</si>
  <si>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</si>
  <si>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</si>
  <si>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</si>
  <si>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</si>
  <si>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</si>
  <si>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</si>
  <si>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</si>
  <si>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</si>
  <si>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</si>
  <si>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</si>
  <si>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</si>
  <si>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</si>
  <si>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</si>
  <si>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</si>
  <si>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</si>
  <si>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</si>
  <si>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</si>
  <si>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</si>
  <si>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</si>
  <si>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</si>
  <si>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</si>
  <si>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</si>
  <si>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</si>
  <si>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</si>
  <si>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</si>
  <si>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</si>
  <si>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</si>
  <si>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</si>
  <si>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</si>
  <si>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</si>
  <si>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</si>
  <si>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</si>
  <si>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</si>
  <si>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</si>
  <si>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</si>
  <si>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</si>
  <si>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</si>
  <si>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</si>
  <si>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</si>
  <si>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</si>
  <si>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</si>
  <si>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</si>
  <si>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</si>
  <si>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</si>
  <si>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</si>
  <si>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</si>
  <si>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</si>
  <si>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</si>
  <si>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</si>
  <si>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</si>
  <si>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</si>
  <si>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</si>
  <si>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</si>
  <si>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</si>
  <si>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</si>
  <si>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</si>
  <si>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</si>
  <si>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</si>
  <si>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</si>
  <si>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</si>
  <si>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</si>
  <si>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</si>
  <si>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</si>
  <si>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</si>
  <si>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</si>
  <si>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</si>
  <si>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</si>
  <si>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</si>
  <si>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</si>
  <si>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</si>
  <si>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</si>
  <si>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</si>
  <si>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</si>
  <si>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</si>
  <si>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</si>
  <si>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</si>
  <si>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</si>
  <si>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</si>
  <si>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</si>
  <si>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</si>
  <si>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</si>
  <si>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</si>
  <si>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</si>
  <si>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</si>
  <si>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</si>
  <si>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</si>
  <si>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</si>
  <si>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</si>
  <si>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</si>
  <si>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</si>
  <si>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</si>
  <si>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</si>
  <si>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</si>
  <si>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</si>
  <si>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</si>
  <si>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</si>
  <si>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</si>
  <si>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</si>
  <si>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</si>
  <si>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</si>
  <si>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</si>
  <si>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</si>
  <si>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</si>
  <si>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</si>
  <si>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</si>
  <si>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</si>
  <si>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</si>
  <si>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</si>
  <si>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</si>
  <si>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</si>
  <si>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</si>
  <si>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</si>
  <si>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</si>
  <si>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</si>
  <si>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</si>
  <si>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</si>
  <si>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</si>
  <si>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</si>
  <si>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</si>
  <si>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</si>
  <si>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</si>
  <si>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</si>
  <si>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</si>
  <si>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</si>
  <si>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</si>
  <si>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</si>
  <si>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</si>
  <si>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</si>
  <si>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</si>
  <si>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</si>
  <si>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</si>
  <si>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</si>
  <si>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</si>
  <si>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</si>
  <si>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</si>
  <si>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</si>
  <si>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</si>
  <si>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</si>
  <si>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</si>
  <si>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</si>
  <si>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</si>
  <si>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</si>
  <si>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</si>
  <si>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</si>
  <si>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</si>
  <si>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</si>
  <si>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</si>
  <si>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</si>
  <si>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</si>
  <si>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</si>
  <si>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</si>
  <si>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</si>
  <si>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</si>
  <si>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</si>
  <si>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</si>
  <si>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</si>
  <si>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</si>
  <si>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</si>
  <si>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</si>
  <si>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</si>
  <si>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</si>
  <si>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</si>
  <si>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</si>
  <si>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</si>
  <si>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</si>
  <si>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</si>
  <si>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</si>
  <si>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</si>
  <si>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</si>
  <si>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</si>
  <si>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</si>
  <si>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</si>
  <si>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</si>
  <si>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</si>
  <si>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</si>
  <si>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</si>
  <si>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</si>
  <si>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</si>
  <si>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</si>
  <si>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</si>
  <si>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</si>
  <si>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</si>
  <si>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</si>
  <si>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</si>
  <si>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</si>
  <si>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</si>
  <si>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</si>
  <si>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</si>
  <si>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</si>
  <si>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</si>
  <si>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</si>
  <si>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</si>
  <si>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</si>
  <si>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</si>
  <si>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</si>
  <si>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</si>
  <si>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</si>
  <si>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</si>
  <si>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</si>
  <si>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</si>
  <si>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</si>
  <si>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</si>
  <si>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</si>
  <si>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</si>
  <si>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</si>
  <si>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</si>
  <si>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</si>
  <si>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</si>
  <si>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</si>
  <si>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</si>
  <si>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</si>
  <si>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</si>
  <si>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</si>
  <si>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</si>
  <si>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</si>
  <si>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</si>
  <si>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</si>
  <si>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</si>
  <si>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</si>
  <si>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</si>
  <si>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</si>
  <si>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</si>
  <si>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</si>
  <si>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</si>
  <si>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</si>
  <si>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</si>
  <si>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</si>
  <si>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</si>
  <si>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</si>
  <si>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</si>
  <si>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</si>
  <si>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</si>
  <si>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</si>
  <si>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</si>
  <si>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</si>
  <si>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</si>
  <si>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</si>
  <si>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</si>
  <si>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</si>
  <si>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</si>
  <si>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</si>
  <si>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</si>
  <si>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</si>
  <si>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</si>
  <si>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</si>
  <si>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</si>
  <si>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</si>
  <si>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</si>
  <si>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</si>
  <si>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</si>
  <si>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</si>
  <si>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</si>
  <si>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</si>
  <si>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</si>
  <si>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</si>
  <si>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</si>
  <si>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</si>
  <si>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</si>
  <si>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</si>
  <si>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</si>
  <si>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</si>
  <si>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</si>
  <si>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</si>
  <si>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</si>
  <si>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</si>
  <si>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</si>
  <si>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</si>
  <si>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</si>
  <si>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</si>
  <si>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</si>
  <si>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</si>
  <si>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</si>
  <si>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</si>
  <si>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</si>
  <si>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</si>
  <si>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</si>
  <si>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</si>
  <si>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</si>
  <si>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</si>
  <si>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</si>
  <si>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</si>
  <si>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</si>
  <si>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</si>
  <si>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</si>
  <si>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</si>
  <si>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</si>
  <si>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</si>
  <si>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</si>
  <si>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</si>
  <si>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</si>
  <si>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</si>
  <si>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</si>
  <si>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</si>
  <si>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</si>
  <si>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</si>
  <si>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</si>
  <si>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</si>
  <si>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</si>
  <si>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</si>
  <si>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</si>
  <si>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</si>
  <si>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</si>
  <si>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</si>
  <si>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</si>
  <si>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</si>
  <si>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</si>
  <si>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</si>
  <si>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</si>
  <si>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</si>
  <si>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</si>
  <si>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</si>
  <si>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</si>
  <si>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</si>
  <si>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</si>
  <si>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</si>
  <si>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</si>
  <si>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</si>
  <si>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</si>
  <si>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</si>
  <si>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</si>
  <si>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</si>
  <si>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</si>
  <si>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</si>
  <si>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</si>
  <si>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</si>
  <si>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</si>
  <si>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</si>
  <si>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</si>
  <si>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</si>
  <si>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</si>
  <si>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</si>
  <si>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</si>
  <si>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</si>
  <si>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</si>
  <si>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</si>
  <si>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</si>
  <si>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</si>
  <si>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</si>
  <si>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</si>
  <si>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</si>
  <si>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</si>
  <si>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</si>
  <si>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</si>
  <si>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</si>
  <si>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</si>
  <si>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</si>
  <si>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</si>
  <si>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</si>
  <si>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</si>
  <si>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</si>
  <si>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</si>
  <si>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</si>
  <si>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</si>
  <si>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</si>
  <si>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</si>
  <si>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</si>
  <si>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</si>
  <si>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</si>
  <si>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</si>
  <si>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</si>
  <si>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</si>
  <si>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</si>
  <si>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</si>
  <si>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</si>
  <si>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</si>
  <si>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</si>
  <si>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</si>
  <si>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</si>
  <si>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</si>
  <si>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</si>
  <si>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</si>
  <si>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</si>
  <si>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</si>
  <si>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</si>
  <si>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</si>
  <si>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</si>
  <si>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</si>
  <si>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</si>
  <si>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</si>
  <si>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</si>
  <si>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</si>
  <si>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</si>
  <si>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</si>
  <si>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</si>
  <si>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</si>
  <si>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</si>
  <si>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</si>
  <si>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</si>
  <si>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</si>
  <si>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</si>
  <si>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</si>
  <si>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</si>
  <si>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</si>
  <si>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</si>
  <si>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</si>
  <si>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</si>
  <si>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</si>
  <si>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</si>
  <si>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</si>
  <si>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</si>
  <si>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</si>
  <si>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</si>
  <si>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</si>
  <si>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</si>
  <si>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</si>
  <si>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</si>
  <si>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</si>
  <si>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</si>
  <si>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</si>
  <si>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</si>
  <si>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</si>
  <si>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</si>
  <si>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</si>
  <si>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</si>
  <si>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</si>
  <si>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</si>
  <si>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</si>
  <si>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</si>
  <si>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</si>
  <si>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</si>
  <si>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</si>
  <si>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</si>
  <si>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</si>
  <si>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</si>
  <si>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</si>
  <si>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</si>
  <si>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</si>
  <si>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</si>
  <si>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</si>
  <si>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</si>
  <si>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</si>
  <si>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</si>
  <si>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</si>
  <si>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</si>
  <si>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</si>
  <si>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</si>
  <si>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</si>
  <si>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</si>
  <si>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</si>
  <si>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</si>
  <si>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</si>
  <si>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</si>
  <si>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</si>
  <si>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</si>
  <si>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</si>
  <si>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</si>
  <si>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</si>
  <si>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</si>
  <si>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</si>
  <si>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</si>
  <si>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</si>
  <si>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</si>
  <si>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</si>
  <si>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</si>
  <si>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</si>
  <si>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</si>
  <si>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</si>
  <si>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</si>
  <si>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</si>
  <si>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</si>
  <si>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</si>
  <si>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</si>
  <si>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</si>
  <si>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</si>
  <si>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</si>
  <si>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</si>
  <si>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</si>
  <si>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</si>
  <si>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</si>
  <si>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</si>
  <si>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</si>
  <si>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</si>
  <si>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</si>
  <si>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</si>
  <si>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</si>
  <si>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</si>
  <si>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</si>
  <si>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</si>
  <si>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</si>
  <si>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</si>
  <si>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</si>
  <si>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</si>
  <si>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</si>
  <si>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</si>
  <si>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</si>
  <si>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</si>
  <si>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</si>
  <si>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</si>
  <si>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</si>
  <si>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</si>
  <si>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</si>
  <si>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</si>
  <si>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</si>
  <si>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</si>
  <si>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</si>
  <si>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</si>
  <si>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</si>
  <si>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</si>
  <si>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</si>
  <si>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</si>
  <si>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</si>
  <si>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</si>
  <si>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</si>
  <si>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</si>
  <si>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</si>
  <si>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</si>
  <si>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</si>
  <si>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</si>
  <si>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</si>
  <si>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</si>
  <si>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</si>
  <si>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</si>
  <si>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</si>
  <si>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</si>
  <si>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</si>
  <si>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</si>
  <si>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</si>
  <si>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</si>
  <si>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</si>
  <si>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</si>
  <si>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</si>
  <si>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</si>
  <si>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</si>
  <si>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</si>
  <si>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</si>
  <si>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</si>
  <si>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</si>
  <si>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</si>
  <si>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</si>
  <si>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</si>
  <si>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</si>
  <si>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</si>
  <si>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</si>
  <si>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</si>
  <si>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</si>
  <si>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</si>
  <si>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</si>
  <si>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</si>
  <si>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</si>
  <si>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</si>
  <si>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</si>
  <si>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</si>
  <si>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</si>
  <si>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</si>
  <si>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</si>
  <si>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</si>
  <si>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</si>
  <si>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</si>
  <si>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</si>
  <si>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</si>
  <si>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</si>
  <si>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</si>
  <si>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</si>
  <si>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</si>
  <si>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</si>
  <si>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</si>
  <si>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</si>
  <si>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</si>
  <si>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</si>
  <si>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</si>
  <si>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</si>
  <si>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</si>
  <si>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</si>
  <si>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</si>
  <si>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</si>
  <si>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</si>
  <si>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</si>
  <si>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</si>
  <si>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</si>
  <si>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</si>
  <si>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</si>
  <si>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</si>
  <si>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</si>
  <si>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</si>
  <si>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</si>
  <si>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</si>
  <si>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</si>
  <si>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</si>
  <si>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</si>
  <si>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</si>
  <si>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</si>
  <si>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</si>
  <si>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</si>
  <si>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</si>
  <si>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</si>
  <si>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</si>
  <si>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</si>
  <si>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</si>
  <si>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</si>
  <si>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</si>
  <si>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</si>
  <si>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</si>
  <si>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</si>
  <si>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</si>
  <si>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</si>
  <si>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</si>
  <si>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</si>
  <si>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</si>
  <si>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</si>
  <si>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</si>
  <si>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</si>
  <si>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</si>
  <si>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</si>
  <si>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</si>
  <si>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</si>
  <si>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</si>
  <si>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</si>
  <si>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</si>
  <si>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</si>
  <si>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</si>
  <si>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</si>
  <si>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</si>
  <si>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</si>
  <si>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</si>
  <si>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</si>
  <si>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</si>
  <si>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</si>
  <si>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</si>
  <si>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</si>
  <si>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</si>
  <si>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</si>
  <si>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</si>
  <si>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</si>
  <si>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</si>
  <si>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</si>
  <si>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</si>
  <si>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</si>
  <si>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</si>
  <si>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</si>
  <si>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</si>
  <si>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</si>
  <si>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</si>
  <si>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</si>
  <si>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</si>
  <si>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</si>
  <si>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</si>
  <si>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</si>
  <si>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</si>
  <si>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</si>
  <si>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</si>
  <si>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</si>
  <si>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</si>
  <si>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</si>
  <si>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</si>
  <si>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</si>
  <si>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</si>
  <si>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</si>
  <si>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</si>
  <si>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</si>
  <si>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</si>
  <si>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</si>
  <si>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</si>
  <si>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</si>
  <si>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</si>
  <si>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</si>
  <si>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</si>
  <si>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</si>
  <si>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</si>
  <si>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</si>
  <si>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</si>
  <si>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</si>
  <si>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</si>
  <si>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</si>
  <si>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</si>
  <si>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</si>
  <si>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</si>
  <si>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</si>
  <si>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</si>
  <si>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</si>
  <si>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</si>
  <si>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</si>
  <si>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</si>
  <si>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</si>
  <si>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</si>
  <si>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</si>
  <si>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</si>
  <si>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</si>
  <si>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</si>
  <si>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</si>
  <si>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</si>
  <si>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</si>
  <si>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</si>
  <si>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</si>
  <si>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</si>
  <si>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</si>
  <si>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</si>
  <si>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</si>
  <si>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</si>
  <si>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</si>
  <si>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</si>
  <si>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</si>
  <si>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</si>
  <si>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</si>
  <si>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</si>
  <si>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</si>
  <si>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</si>
  <si>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</si>
  <si>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</si>
  <si>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</si>
  <si>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</si>
  <si>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</si>
  <si>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</si>
  <si>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</si>
  <si>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</si>
  <si>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</si>
  <si>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</si>
  <si>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</si>
  <si>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</si>
  <si>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</si>
  <si>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</si>
  <si>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</si>
  <si>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</si>
  <si>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</si>
  <si>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</si>
  <si>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</si>
  <si>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</si>
  <si>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</si>
  <si>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</si>
  <si>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</si>
  <si>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</si>
  <si>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</si>
  <si>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</si>
  <si>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</si>
  <si>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</si>
  <si>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</si>
  <si>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</si>
  <si>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</si>
  <si>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</si>
  <si>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</si>
  <si>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</si>
  <si>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</si>
  <si>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</si>
  <si>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</si>
  <si>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</si>
  <si>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</si>
  <si>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</si>
  <si>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</si>
  <si>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</si>
  <si>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</si>
  <si>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</si>
  <si>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</si>
  <si>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</si>
  <si>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</si>
  <si>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</si>
  <si>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</si>
  <si>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</si>
  <si>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</si>
  <si>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</si>
  <si>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</si>
  <si>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</si>
  <si>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</si>
  <si>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</si>
  <si>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</si>
  <si>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</si>
  <si>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</si>
  <si>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</si>
  <si>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</si>
  <si>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</si>
  <si>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</si>
  <si>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</si>
  <si>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</si>
  <si>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</si>
  <si>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</si>
  <si>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</si>
  <si>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</si>
  <si>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</si>
  <si>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</si>
  <si>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</si>
  <si>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</si>
  <si>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</si>
  <si>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</si>
  <si>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</si>
  <si>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</si>
  <si>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</si>
  <si>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</si>
  <si>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</si>
  <si>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</si>
  <si>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</si>
  <si>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</si>
  <si>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</si>
  <si>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</si>
  <si>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</si>
  <si>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</si>
  <si>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</si>
  <si>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</si>
  <si>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</si>
  <si>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</si>
  <si>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</si>
  <si>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</si>
  <si>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</si>
  <si>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</si>
  <si>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</si>
  <si>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</si>
  <si>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</si>
  <si>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</si>
  <si>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</si>
  <si>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</si>
  <si>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</si>
  <si>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</si>
  <si>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</si>
  <si>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</si>
  <si>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</si>
  <si>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</si>
  <si>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</si>
  <si>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</si>
  <si>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</si>
  <si>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</si>
  <si>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</si>
  <si>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</si>
  <si>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</si>
  <si>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</si>
  <si>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</si>
  <si>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</si>
  <si>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</si>
  <si>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</si>
  <si>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</si>
  <si>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</si>
  <si>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</si>
  <si>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</si>
  <si>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</si>
  <si>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</si>
  <si>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</si>
  <si>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</si>
  <si>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</si>
  <si>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</si>
  <si>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</si>
  <si>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</si>
  <si>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</si>
  <si>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</si>
  <si>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</si>
  <si>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</si>
  <si>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</si>
  <si>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</si>
  <si>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</si>
  <si>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</si>
  <si>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</si>
  <si>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</si>
  <si>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</si>
  <si>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</si>
  <si>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</si>
  <si>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</si>
  <si>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</si>
  <si>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</si>
  <si>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</si>
  <si>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</si>
  <si>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</si>
  <si>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</si>
  <si>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</si>
  <si>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</si>
  <si>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</si>
  <si>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</si>
  <si>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</si>
  <si>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</si>
  <si>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</si>
  <si>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</si>
  <si>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</si>
  <si>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</si>
  <si>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</si>
  <si>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</si>
  <si>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</si>
  <si>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</si>
  <si>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</si>
  <si>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</si>
  <si>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</si>
  <si>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</si>
  <si>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</si>
  <si>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</si>
  <si>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</si>
  <si>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</si>
  <si>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</si>
  <si>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</si>
  <si>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</si>
  <si>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</si>
  <si>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</si>
  <si>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</si>
  <si>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</si>
  <si>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</si>
  <si>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</si>
  <si>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</si>
  <si>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</si>
  <si>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</si>
  <si>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</si>
  <si>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</si>
  <si>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</si>
  <si>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</si>
  <si>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</si>
  <si>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</si>
  <si>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</si>
  <si>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</si>
  <si>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</si>
  <si>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</si>
  <si>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</si>
  <si>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</si>
  <si>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</si>
  <si>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</si>
  <si>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</si>
  <si>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</si>
  <si>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</si>
  <si>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</si>
  <si>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</si>
  <si>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</si>
  <si>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</si>
  <si>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</si>
  <si>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</si>
  <si>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</si>
  <si>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</si>
  <si>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</si>
  <si>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</si>
  <si>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</si>
  <si>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</si>
  <si>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</si>
  <si>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</si>
  <si>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</si>
  <si>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</si>
  <si>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</si>
  <si>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</si>
  <si>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</si>
  <si>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</si>
  <si>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</si>
  <si>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</si>
  <si>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</si>
  <si>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</si>
  <si>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</si>
  <si>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</si>
  <si>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</si>
  <si>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</si>
  <si>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</si>
  <si>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</si>
  <si>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</si>
  <si>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</si>
  <si>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</si>
  <si>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</si>
  <si>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</si>
  <si>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</si>
  <si>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</si>
  <si>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</si>
  <si>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</si>
  <si>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</si>
  <si>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</si>
  <si>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</si>
  <si>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</si>
  <si>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</si>
  <si>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</si>
  <si>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</si>
  <si>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</si>
  <si>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</si>
  <si>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</si>
  <si>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</si>
  <si>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</si>
  <si>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</si>
  <si>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</si>
  <si>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</si>
  <si>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</si>
  <si>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</si>
  <si>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</si>
  <si>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</si>
  <si>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</si>
  <si>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</si>
  <si>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</si>
  <si>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</si>
  <si>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</si>
  <si>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</si>
  <si>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</si>
  <si>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</si>
  <si>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</si>
  <si>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</si>
  <si>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</si>
  <si>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</si>
  <si>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</si>
  <si>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</si>
  <si>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</si>
  <si>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</si>
  <si>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</si>
  <si>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</si>
  <si>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</si>
  <si>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</si>
  <si>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</si>
  <si>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</si>
  <si>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</si>
  <si>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</si>
  <si>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</si>
  <si>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</si>
  <si>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</si>
  <si>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</si>
  <si>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</si>
  <si>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</si>
  <si>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</si>
  <si>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</si>
  <si>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</si>
  <si>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</si>
  <si>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</si>
  <si>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</si>
  <si>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</si>
  <si>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</si>
  <si>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</si>
  <si>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</si>
  <si>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</si>
  <si>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</si>
  <si>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</si>
  <si>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</si>
  <si>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</si>
  <si>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</si>
  <si>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</si>
  <si>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</si>
  <si>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</si>
  <si>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</si>
  <si>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</si>
  <si>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</si>
  <si>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</si>
  <si>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</si>
  <si>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</si>
  <si>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</si>
  <si>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</si>
  <si>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</si>
  <si>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</si>
  <si>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</si>
  <si>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</si>
  <si>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</si>
  <si>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</si>
  <si>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</si>
  <si>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</si>
  <si>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</si>
  <si>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</si>
  <si>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</si>
  <si>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</si>
  <si>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</si>
  <si>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</si>
  <si>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</si>
  <si>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</si>
  <si>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</si>
  <si>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</si>
  <si>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</si>
  <si>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</si>
  <si>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</si>
  <si>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</si>
  <si>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</si>
  <si>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</si>
  <si>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</si>
  <si>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</si>
  <si>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</si>
  <si>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</si>
  <si>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</si>
  <si>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</si>
  <si>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</si>
  <si>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</si>
  <si>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</si>
  <si>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</si>
  <si>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</si>
  <si>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</si>
  <si>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</si>
  <si>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</si>
  <si>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</si>
  <si>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</si>
  <si>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</si>
  <si>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</si>
  <si>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</si>
  <si>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</si>
  <si>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</si>
  <si>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</si>
  <si>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</si>
  <si>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</si>
  <si>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</si>
  <si>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</si>
  <si>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</si>
  <si>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</si>
  <si>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</si>
  <si>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</si>
  <si>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</si>
  <si>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</si>
  <si>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</si>
  <si>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</si>
  <si>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</si>
  <si>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</si>
  <si>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</si>
  <si>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</si>
  <si>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</si>
  <si>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</si>
  <si>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</si>
  <si>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</si>
  <si>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</si>
  <si>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</si>
  <si>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</si>
  <si>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</si>
  <si>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</si>
  <si>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</si>
  <si>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</si>
  <si>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</si>
  <si>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</si>
  <si>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</si>
  <si>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</si>
  <si>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</si>
  <si>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</si>
  <si>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</si>
  <si>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</si>
  <si>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</si>
  <si>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</si>
  <si>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</si>
  <si>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</si>
  <si>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</si>
  <si>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</si>
  <si>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</si>
  <si>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</si>
  <si>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</si>
  <si>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</si>
  <si>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</si>
  <si>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</si>
  <si>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</si>
  <si>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</si>
  <si>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</si>
  <si>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</si>
  <si>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</si>
  <si>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</si>
  <si>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</si>
  <si>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</si>
  <si>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</si>
  <si>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</si>
  <si>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</si>
  <si>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</si>
  <si>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</si>
  <si>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</si>
  <si>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</si>
  <si>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</si>
  <si>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</si>
  <si>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</si>
  <si>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</si>
  <si>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</si>
  <si>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</si>
  <si>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</si>
  <si>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</si>
  <si>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</si>
  <si>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</si>
  <si>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</si>
  <si>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</si>
  <si>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</si>
  <si>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</si>
  <si>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</si>
  <si>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</si>
  <si>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</si>
  <si>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</si>
  <si>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</si>
  <si>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</si>
  <si>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</si>
  <si>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</si>
  <si>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</si>
  <si>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</si>
  <si>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</si>
  <si>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</si>
  <si>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</si>
  <si>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</si>
  <si>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</si>
  <si>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</si>
  <si>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</si>
  <si>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</si>
  <si>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</si>
  <si>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</si>
  <si>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</si>
  <si>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</si>
  <si>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</si>
  <si>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</si>
  <si>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</si>
  <si>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</si>
  <si>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</si>
  <si>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</si>
  <si>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</si>
  <si>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</si>
  <si>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</si>
  <si>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</si>
  <si>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</si>
  <si>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</si>
  <si>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</si>
  <si>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</si>
  <si>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</si>
  <si>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</si>
  <si>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</si>
  <si>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</si>
  <si>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</si>
  <si>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</si>
  <si>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</si>
  <si>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</si>
  <si>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</si>
  <si>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</si>
  <si>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</si>
  <si>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</si>
  <si>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</si>
  <si>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</si>
  <si>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</si>
  <si>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</si>
  <si>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</si>
  <si>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</si>
  <si>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</si>
  <si>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</si>
  <si>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</si>
  <si>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</si>
  <si>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</si>
  <si>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</si>
  <si>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</si>
  <si>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</si>
  <si>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</si>
  <si>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</si>
  <si>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</si>
  <si>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</si>
  <si>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</si>
  <si>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</si>
  <si>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</si>
  <si>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</si>
  <si>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</si>
  <si>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</si>
  <si>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</si>
  <si>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</si>
  <si>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</si>
  <si>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</si>
  <si>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</si>
  <si>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</si>
  <si>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</si>
  <si>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</si>
  <si>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</si>
  <si>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</si>
  <si>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</si>
  <si>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</si>
  <si>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</si>
  <si>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</si>
  <si>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</si>
  <si>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</si>
  <si>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</si>
  <si>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</si>
  <si>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</si>
  <si>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</si>
  <si>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</si>
  <si>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</si>
  <si>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</si>
  <si>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</si>
  <si>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</si>
  <si>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</si>
  <si>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</si>
  <si>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</si>
  <si>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</si>
  <si>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</si>
  <si>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</si>
  <si>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</si>
  <si>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</si>
  <si>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</si>
  <si>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</si>
  <si>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</si>
  <si>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</si>
  <si>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</si>
  <si>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</si>
  <si>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</si>
  <si>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</si>
  <si>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</si>
  <si>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</si>
  <si>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</si>
  <si>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</si>
  <si>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</si>
  <si>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</si>
  <si>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</si>
  <si>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</si>
  <si>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</si>
  <si>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</si>
  <si>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</si>
  <si>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</si>
  <si>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</si>
  <si>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</si>
  <si>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</si>
  <si>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</si>
  <si>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</si>
  <si>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</si>
  <si>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</si>
  <si>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</si>
  <si>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</si>
  <si>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</si>
  <si>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</si>
  <si>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</si>
  <si>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</si>
  <si>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</si>
  <si>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</si>
  <si>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</si>
  <si>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</si>
  <si>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</si>
  <si>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</si>
  <si>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</si>
  <si>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</si>
  <si>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</si>
  <si>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</si>
  <si>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</si>
  <si>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</si>
  <si>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</si>
  <si>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</si>
  <si>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</si>
  <si>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</si>
  <si>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</si>
  <si>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</si>
  <si>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</si>
  <si>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</si>
  <si>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</si>
  <si>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</si>
  <si>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</si>
  <si>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</si>
  <si>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</si>
  <si>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</si>
  <si>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</si>
  <si>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</si>
  <si>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</si>
  <si>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</si>
  <si>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</si>
  <si>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</si>
  <si>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</si>
  <si>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</si>
  <si>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</si>
  <si>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</si>
  <si>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</si>
  <si>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</si>
  <si>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</si>
  <si>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</si>
  <si>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</si>
  <si>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</si>
  <si>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</si>
  <si>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</si>
  <si>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</si>
  <si>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</si>
  <si>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</si>
  <si>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</si>
  <si>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</si>
  <si>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</si>
  <si>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</si>
  <si>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</si>
  <si>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</si>
  <si>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</si>
  <si>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</si>
  <si>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</si>
  <si>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</si>
  <si>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</si>
  <si>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</si>
  <si>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</si>
  <si>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</si>
  <si>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</si>
  <si>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</si>
  <si>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</si>
  <si>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</si>
  <si>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</si>
  <si>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</si>
  <si>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</si>
  <si>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</si>
  <si>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</si>
  <si>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</si>
  <si>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</si>
  <si>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</si>
  <si>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</si>
  <si>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</si>
  <si>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</si>
  <si>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</si>
  <si>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</si>
  <si>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</si>
  <si>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</si>
  <si>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</si>
  <si>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</si>
  <si>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</si>
  <si>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</si>
  <si>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</si>
  <si>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</si>
  <si>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</si>
  <si>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</si>
  <si>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</si>
  <si>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</si>
  <si>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</si>
  <si>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</si>
  <si>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</si>
  <si>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</si>
  <si>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</si>
  <si>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</si>
  <si>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</si>
  <si>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</si>
  <si>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</si>
  <si>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</si>
  <si>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</si>
  <si>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</si>
  <si>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</si>
  <si>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</si>
  <si>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</si>
  <si>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</si>
  <si>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</si>
  <si>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</si>
  <si>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</si>
  <si>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</si>
  <si>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</si>
  <si>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</si>
  <si>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</si>
  <si>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</si>
  <si>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</si>
  <si>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</si>
  <si>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</si>
  <si>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</si>
  <si>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</si>
  <si>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</si>
  <si>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</si>
  <si>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</si>
  <si>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</si>
  <si>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</si>
  <si>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</si>
  <si>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</si>
  <si>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</si>
  <si>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</si>
  <si>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</si>
  <si>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</si>
  <si>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</si>
  <si>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</si>
  <si>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</si>
  <si>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</si>
  <si>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</si>
  <si>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</si>
  <si>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</si>
  <si>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</si>
  <si>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</si>
  <si>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</si>
  <si>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</si>
  <si>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</si>
  <si>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</si>
  <si>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</si>
  <si>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</si>
  <si>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</si>
  <si>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</si>
  <si>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</si>
  <si>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</si>
  <si>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</si>
  <si>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</si>
  <si>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</si>
  <si>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</si>
  <si>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</si>
  <si>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</si>
  <si>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</si>
  <si>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</si>
  <si>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</si>
  <si>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</si>
  <si>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</si>
  <si>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</si>
  <si>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</si>
  <si>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</si>
  <si>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</si>
  <si>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</si>
  <si>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</si>
  <si>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</si>
  <si>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</si>
  <si>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</si>
  <si>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</si>
  <si>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</si>
  <si>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</si>
  <si>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</si>
  <si>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</si>
  <si>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</si>
  <si>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</si>
  <si>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</si>
  <si>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</si>
  <si>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</si>
  <si>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</si>
  <si>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</si>
  <si>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</si>
  <si>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</si>
  <si>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</si>
  <si>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</si>
  <si>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</si>
  <si>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</si>
  <si>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</si>
  <si>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</si>
  <si>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</si>
  <si>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</si>
  <si>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</si>
  <si>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</si>
  <si>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</si>
  <si>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</si>
  <si>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</si>
  <si>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</si>
  <si>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</si>
  <si>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</si>
  <si>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</si>
  <si>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</si>
  <si>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</si>
  <si>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</si>
  <si>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</si>
  <si>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</si>
  <si>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</si>
  <si>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</si>
  <si>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</si>
  <si>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</si>
  <si>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</si>
  <si>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</si>
  <si>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</si>
  <si>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</si>
  <si>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</si>
  <si>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</si>
  <si>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</si>
  <si>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</si>
  <si>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</si>
  <si>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</si>
  <si>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</si>
  <si>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</si>
  <si>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</si>
  <si>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</si>
  <si>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</si>
  <si>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</si>
  <si>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</si>
  <si>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</si>
  <si>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</si>
  <si>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</si>
  <si>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</si>
  <si>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</si>
  <si>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</si>
  <si>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</si>
  <si>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</si>
  <si>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</si>
  <si>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</si>
  <si>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</si>
  <si>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</si>
  <si>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</si>
  <si>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</si>
  <si>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</si>
  <si>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</si>
  <si>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</si>
  <si>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</si>
  <si>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</si>
  <si>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</si>
  <si>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</si>
  <si>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</si>
  <si>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</si>
  <si>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</si>
  <si>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</si>
  <si>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</si>
  <si>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</si>
  <si>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</si>
  <si>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</si>
  <si>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</si>
  <si>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</si>
  <si>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</si>
  <si>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</si>
  <si>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</si>
  <si>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</si>
  <si>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</si>
  <si>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</si>
  <si>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</si>
  <si>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</si>
  <si>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</si>
  <si>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</si>
  <si>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</si>
  <si>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</si>
  <si>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</si>
  <si>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</si>
  <si>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</si>
  <si>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</si>
  <si>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</si>
  <si>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</si>
  <si>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</si>
  <si>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</si>
  <si>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</si>
  <si>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</si>
  <si>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</si>
  <si>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</si>
  <si>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</si>
  <si>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</si>
  <si>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</si>
  <si>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</si>
  <si>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</si>
  <si>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</si>
  <si>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</si>
  <si>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</si>
  <si>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</si>
  <si>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</si>
  <si>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</si>
  <si>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</si>
  <si>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</si>
  <si>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</si>
  <si>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</si>
  <si>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</si>
  <si>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</si>
  <si>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</si>
  <si>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</si>
  <si>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</si>
  <si>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</si>
  <si>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</si>
  <si>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</si>
  <si>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</si>
  <si>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</si>
  <si>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</si>
  <si>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</si>
  <si>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</si>
  <si>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</si>
  <si>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</si>
  <si>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</si>
  <si>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</si>
  <si>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</si>
  <si>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</si>
  <si>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</si>
  <si>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</si>
  <si>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</si>
  <si>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</si>
  <si>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</si>
  <si>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</si>
  <si>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</si>
  <si>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</si>
  <si>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</si>
  <si>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</si>
  <si>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</si>
  <si>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</si>
  <si>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</si>
  <si>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</si>
  <si>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</si>
  <si>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</si>
  <si>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</si>
  <si>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</si>
  <si>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</si>
  <si>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</si>
  <si>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</si>
  <si>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</si>
  <si>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</si>
  <si>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</si>
  <si>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</si>
  <si>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</si>
  <si>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</si>
  <si>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</si>
  <si>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</si>
  <si>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</si>
  <si>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</si>
  <si>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</si>
  <si>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</si>
  <si>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</si>
  <si>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</si>
  <si>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</si>
  <si>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</si>
  <si>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</si>
  <si>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</si>
  <si>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</si>
  <si>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</si>
  <si>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</si>
  <si>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</si>
  <si>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</si>
  <si>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</si>
  <si>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</si>
  <si>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</si>
  <si>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</si>
  <si>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</si>
  <si>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</si>
  <si>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</si>
  <si>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</si>
  <si>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</si>
  <si>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</si>
  <si>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</si>
  <si>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</si>
  <si>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</si>
  <si>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</si>
  <si>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</si>
  <si>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</si>
  <si>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</si>
  <si>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</si>
  <si>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</si>
  <si>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</si>
  <si>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</si>
  <si>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</si>
  <si>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</si>
  <si>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</si>
  <si>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</si>
  <si>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</si>
  <si>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</si>
  <si>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</si>
  <si>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</si>
  <si>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</si>
  <si>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</si>
  <si>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</si>
  <si>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</si>
  <si>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</si>
  <si>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</si>
  <si>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</si>
  <si>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</si>
  <si>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</si>
  <si>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</si>
  <si>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</si>
  <si>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</si>
  <si>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</si>
  <si>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</si>
  <si>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</si>
  <si>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</si>
  <si>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</si>
  <si>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</si>
  <si>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</si>
  <si>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</si>
  <si>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</si>
  <si>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</si>
  <si>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</si>
  <si>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</si>
  <si>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</si>
  <si>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</si>
  <si>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</si>
  <si>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</si>
  <si>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</si>
  <si>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</si>
  <si>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</si>
  <si>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</si>
  <si>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</si>
  <si>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</si>
  <si>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</si>
  <si>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</si>
  <si>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</si>
  <si>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</si>
  <si>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</si>
  <si>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</si>
  <si>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</si>
  <si>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</si>
  <si>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</si>
  <si>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</si>
  <si>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</si>
  <si>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</si>
  <si>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</si>
  <si>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</si>
  <si>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</si>
  <si>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</si>
  <si>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</si>
  <si>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</si>
  <si>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</si>
  <si>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</si>
  <si>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</si>
  <si>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</si>
  <si>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</si>
  <si>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</si>
  <si>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</si>
  <si>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</si>
  <si>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</si>
  <si>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</si>
  <si>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</si>
  <si>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</si>
  <si>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</si>
  <si>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</si>
  <si>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</si>
  <si>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</si>
  <si>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</si>
  <si>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</si>
  <si>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</si>
  <si>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</si>
  <si>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</si>
  <si>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</si>
  <si>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</si>
  <si>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</si>
  <si>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</si>
  <si>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</si>
  <si>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</si>
  <si>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</si>
  <si>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</si>
  <si>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</si>
  <si>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</si>
  <si>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</si>
  <si>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</si>
  <si>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</si>
  <si>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</si>
  <si>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</si>
  <si>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</si>
  <si>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</si>
  <si>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</si>
  <si>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</si>
  <si>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</si>
  <si>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</si>
  <si>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</si>
  <si>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</si>
  <si>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</si>
  <si>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</si>
  <si>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</si>
  <si>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</si>
  <si>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</si>
  <si>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</si>
  <si>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</si>
  <si>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</si>
  <si>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</si>
  <si>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</si>
  <si>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</si>
  <si>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</si>
  <si>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</si>
  <si>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</si>
  <si>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</si>
  <si>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</si>
  <si>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</si>
  <si>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</si>
  <si>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</si>
  <si>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</si>
  <si>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</si>
  <si>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</si>
  <si>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</si>
  <si>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</si>
  <si>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</si>
  <si>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</si>
  <si>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</si>
  <si>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</si>
  <si>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</si>
  <si>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</si>
  <si>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</si>
  <si>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</si>
  <si>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</si>
  <si>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</si>
  <si>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</si>
  <si>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</si>
  <si>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</si>
  <si>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</si>
  <si>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</si>
  <si>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</si>
  <si>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</si>
  <si>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</si>
  <si>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</si>
  <si>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</si>
  <si>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</si>
  <si>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</si>
  <si>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</si>
  <si>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</si>
  <si>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</si>
  <si>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</si>
  <si>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</si>
  <si>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</si>
  <si>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</si>
  <si>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</si>
  <si>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</si>
  <si>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</si>
  <si>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</si>
  <si>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</si>
  <si>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</si>
  <si>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</si>
  <si>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</si>
  <si>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</si>
  <si>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</si>
  <si>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</si>
  <si>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</si>
  <si>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</si>
  <si>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</si>
  <si>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</si>
  <si>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</si>
  <si>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</si>
  <si>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</si>
  <si>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</si>
  <si>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</si>
  <si>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</si>
  <si>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</si>
  <si>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</si>
  <si>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</si>
  <si>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</si>
  <si>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</si>
  <si>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</si>
  <si>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</si>
  <si>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</si>
  <si>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</si>
  <si>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</si>
  <si>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</si>
  <si>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</si>
  <si>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</si>
  <si>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</si>
  <si>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</si>
  <si>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</si>
  <si>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</si>
  <si>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</si>
  <si>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</si>
  <si>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</si>
  <si>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</si>
  <si>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</si>
  <si>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</si>
  <si>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</si>
  <si>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</si>
  <si>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</si>
  <si>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</si>
  <si>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</si>
  <si>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</si>
  <si>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</si>
  <si>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</si>
  <si>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</si>
  <si>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</si>
  <si>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</si>
  <si>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</si>
  <si>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</si>
  <si>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</si>
  <si>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</si>
  <si>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</si>
  <si>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</si>
  <si>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</si>
  <si>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</si>
  <si>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</si>
  <si>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</si>
  <si>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</si>
  <si>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</si>
  <si>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</si>
  <si>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</si>
  <si>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</si>
  <si>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</si>
  <si>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</si>
  <si>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</si>
  <si>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</si>
  <si>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</si>
  <si>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</si>
  <si>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</si>
  <si>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</si>
  <si>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</si>
  <si>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</si>
  <si>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</si>
  <si>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</si>
  <si>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</si>
  <si>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</si>
  <si>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</si>
  <si>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</si>
  <si>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</si>
  <si>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</si>
  <si>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</si>
  <si>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</si>
  <si>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</si>
  <si>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</si>
  <si>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</si>
  <si>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</si>
  <si>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</si>
  <si>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</si>
  <si>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</si>
  <si>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</si>
  <si>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</si>
  <si>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</si>
  <si>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</si>
  <si>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</si>
  <si>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</si>
  <si>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</si>
  <si>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</si>
  <si>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</si>
  <si>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</si>
  <si>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</si>
  <si>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</si>
  <si>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</si>
  <si>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</si>
  <si>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</si>
  <si>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</si>
  <si>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</si>
  <si>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</si>
  <si>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</si>
  <si>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</si>
  <si>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</si>
  <si>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</si>
  <si>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</si>
  <si>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</si>
  <si>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</si>
  <si>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</si>
  <si>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</si>
  <si>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</si>
  <si>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</si>
  <si>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</si>
  <si>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</si>
  <si>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</si>
  <si>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</si>
  <si>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</si>
  <si>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</si>
  <si>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</si>
  <si>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</si>
  <si>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</si>
  <si>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</si>
  <si>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</si>
  <si>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</si>
  <si>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</si>
  <si>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</si>
  <si>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</si>
  <si>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</si>
  <si>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</si>
  <si>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</si>
  <si>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</si>
  <si>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</si>
  <si>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</si>
  <si>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</si>
  <si>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</si>
  <si>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</si>
  <si>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</si>
  <si>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</si>
  <si>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</si>
  <si>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</si>
  <si>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</si>
  <si>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</si>
  <si>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</si>
  <si>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</si>
  <si>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</si>
  <si>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</si>
  <si>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</si>
  <si>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</si>
  <si>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</si>
  <si>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</si>
  <si>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</si>
  <si>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</si>
  <si>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</si>
  <si>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</si>
  <si>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</si>
  <si>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</si>
  <si>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</si>
  <si>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</si>
  <si>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</si>
  <si>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</si>
  <si>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</si>
  <si>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</si>
  <si>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</si>
  <si>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</si>
  <si>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</si>
  <si>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</si>
  <si>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</si>
  <si>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</si>
  <si>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</si>
  <si>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</si>
  <si>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</si>
  <si>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</si>
  <si>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</si>
  <si>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</si>
  <si>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</si>
  <si>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</si>
  <si>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</si>
  <si>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</si>
  <si>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</si>
  <si>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</si>
  <si>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</si>
  <si>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</si>
  <si>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</si>
  <si>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</si>
  <si>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</si>
  <si>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</si>
  <si>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</si>
  <si>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</si>
  <si>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</si>
  <si>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</si>
  <si>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</si>
  <si>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</si>
  <si>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</si>
  <si>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</si>
  <si>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</si>
  <si>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</si>
  <si>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</si>
  <si>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</si>
  <si>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</si>
  <si>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</si>
  <si>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</si>
  <si>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</si>
  <si>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</si>
  <si>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</si>
  <si>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</si>
  <si>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</si>
  <si>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</si>
  <si>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</si>
  <si>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</si>
  <si>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</si>
  <si>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</si>
  <si>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</si>
  <si>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</si>
  <si>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</si>
  <si>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</si>
  <si>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</si>
  <si>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</si>
  <si>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</si>
  <si>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</si>
  <si>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</si>
  <si>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</si>
  <si>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</si>
  <si>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</si>
  <si>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</si>
  <si>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</si>
  <si>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</si>
  <si>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</si>
  <si>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</si>
  <si>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</si>
  <si>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</si>
  <si>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</si>
  <si>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</si>
  <si>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</si>
  <si>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</si>
  <si>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</si>
  <si>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</si>
  <si>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</si>
  <si>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</si>
  <si>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</si>
  <si>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</si>
  <si>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</si>
  <si>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</si>
  <si>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</si>
  <si>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</si>
  <si>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</si>
  <si>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</si>
  <si>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</si>
  <si>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</si>
  <si>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</si>
  <si>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</si>
  <si>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</si>
  <si>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</si>
  <si>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</si>
  <si>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</si>
  <si>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</si>
  <si>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</si>
  <si>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</si>
  <si>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</si>
  <si>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</si>
  <si>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</si>
  <si>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</si>
  <si>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</si>
  <si>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</si>
  <si>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</si>
  <si>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</si>
  <si>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</si>
  <si>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</si>
  <si>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</si>
  <si>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</si>
  <si>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</si>
  <si>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</si>
  <si>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</si>
  <si>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</si>
  <si>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</si>
  <si>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</si>
  <si>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</si>
  <si>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</si>
  <si>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</si>
  <si>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</si>
  <si>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</si>
  <si>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</si>
  <si>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</si>
  <si>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</si>
  <si>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</si>
  <si>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</si>
  <si>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</si>
  <si>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</si>
  <si>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</si>
  <si>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</si>
  <si>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</si>
  <si>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</si>
  <si>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</si>
  <si>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</si>
  <si>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</si>
  <si>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</si>
  <si>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</si>
  <si>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</si>
  <si>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</si>
  <si>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</si>
  <si>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</si>
  <si>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</si>
  <si>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</si>
  <si>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</si>
  <si>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</si>
  <si>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</si>
  <si>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</si>
  <si>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</si>
  <si>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</si>
  <si>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</si>
  <si>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</si>
  <si>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</si>
  <si>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</si>
  <si>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</si>
  <si>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</si>
  <si>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</si>
  <si>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</si>
  <si>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</si>
  <si>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</si>
  <si>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</si>
  <si>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</si>
  <si>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</si>
  <si>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</si>
  <si>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</si>
  <si>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</si>
  <si>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</si>
  <si>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</si>
  <si>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</si>
  <si>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</si>
  <si>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</si>
  <si>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</si>
  <si>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</si>
  <si>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</si>
  <si>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</si>
  <si>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</si>
  <si>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</si>
  <si>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</si>
  <si>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</si>
  <si>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</si>
  <si>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</si>
  <si>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</si>
  <si>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</si>
  <si>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</si>
  <si>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</si>
  <si>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</si>
  <si>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</si>
  <si>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</si>
  <si>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</si>
  <si>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</si>
  <si>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</si>
  <si>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</si>
  <si>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</si>
  <si>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</si>
  <si>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</si>
  <si>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</si>
  <si>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</si>
  <si>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</si>
  <si>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</si>
  <si>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</si>
  <si>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</si>
  <si>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</si>
  <si>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</si>
  <si>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</si>
  <si>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</si>
  <si>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</si>
  <si>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</si>
  <si>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</si>
  <si>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</si>
  <si>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</si>
  <si>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</si>
  <si>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</si>
  <si>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</si>
  <si>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</si>
  <si>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</si>
  <si>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</si>
  <si>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</si>
  <si>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</si>
  <si>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</si>
  <si>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</si>
  <si>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</si>
  <si>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</si>
  <si>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</si>
  <si>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</si>
  <si>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</si>
  <si>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</si>
  <si>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</si>
  <si>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</si>
  <si>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</si>
  <si>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</si>
  <si>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</si>
  <si>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</si>
  <si>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</si>
  <si>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</si>
  <si>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</si>
  <si>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</si>
  <si>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</si>
  <si>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</si>
  <si>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</si>
  <si>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</si>
  <si>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</si>
  <si>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</si>
  <si>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</si>
  <si>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</si>
  <si>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</si>
  <si>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</si>
  <si>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</si>
  <si>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</si>
  <si>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</si>
  <si>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</si>
  <si>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</si>
  <si>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</si>
  <si>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</si>
  <si>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</si>
  <si>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</si>
  <si>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</si>
  <si>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</si>
  <si>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</si>
  <si>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</si>
  <si>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</si>
  <si>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</si>
  <si>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</si>
  <si>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</si>
  <si>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</si>
  <si>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</si>
  <si>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</si>
  <si>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</si>
  <si>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</si>
  <si>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</si>
  <si>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</si>
  <si>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</si>
  <si>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</si>
  <si>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</si>
  <si>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</si>
  <si>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</si>
  <si>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</si>
  <si>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</si>
  <si>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</si>
  <si>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</si>
  <si>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</si>
  <si>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</si>
  <si>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</si>
  <si>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</si>
  <si>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</si>
  <si>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</si>
  <si>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</si>
  <si>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</si>
  <si>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</si>
  <si>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</si>
  <si>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</si>
  <si>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</si>
  <si>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</si>
  <si>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</si>
  <si>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</si>
  <si>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</si>
  <si>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</si>
  <si>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</si>
  <si>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</si>
  <si>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</si>
  <si>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</si>
  <si>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</si>
  <si>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</si>
  <si>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</si>
  <si>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</si>
  <si>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</si>
  <si>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</si>
  <si>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</si>
  <si>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</si>
  <si>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</si>
  <si>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</si>
  <si>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</si>
  <si>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</si>
  <si>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</si>
  <si>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</si>
  <si>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</si>
  <si>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</si>
  <si>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</si>
  <si>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</si>
  <si>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</si>
  <si>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</si>
  <si>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</si>
  <si>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</si>
  <si>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</si>
  <si>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</si>
  <si>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</si>
  <si>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</si>
  <si>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</si>
  <si>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</si>
  <si>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</si>
  <si>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</si>
  <si>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</si>
  <si>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</si>
  <si>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</si>
  <si>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</si>
  <si>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</si>
  <si>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</si>
  <si>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</si>
  <si>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</si>
  <si>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</si>
  <si>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</si>
  <si>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</si>
  <si>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</si>
  <si>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</si>
  <si>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</si>
  <si>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</si>
  <si>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</si>
  <si>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</si>
  <si>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</si>
  <si>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</si>
  <si>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</si>
  <si>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</si>
  <si>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</si>
  <si>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</si>
  <si>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</si>
  <si>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</si>
  <si>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</si>
  <si>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</si>
  <si>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</si>
  <si>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</si>
  <si>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</si>
  <si>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</si>
  <si>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</si>
  <si>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</si>
  <si>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</si>
  <si>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</si>
  <si>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</si>
  <si>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</si>
  <si>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</si>
  <si>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</si>
  <si>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</si>
  <si>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</si>
  <si>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</si>
  <si>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</si>
  <si>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</si>
  <si>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</si>
  <si>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</si>
  <si>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</si>
  <si>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</si>
  <si>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</si>
  <si>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</si>
  <si>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</si>
  <si>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</si>
  <si>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</si>
  <si>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</si>
  <si>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</si>
  <si>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</si>
  <si>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</si>
  <si>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</si>
  <si>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</si>
  <si>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</si>
  <si>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</si>
  <si>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</si>
  <si>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</si>
  <si>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</si>
  <si>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</si>
  <si>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</si>
  <si>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</si>
  <si>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</si>
  <si>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</si>
  <si>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</si>
  <si>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</si>
  <si>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</si>
  <si>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</si>
  <si>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</si>
  <si>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</si>
  <si>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</si>
  <si>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</si>
  <si>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</si>
  <si>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</si>
  <si>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</si>
  <si>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</si>
  <si>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</si>
  <si>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</si>
  <si>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</si>
  <si>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</si>
  <si>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</si>
  <si>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</si>
  <si>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</si>
  <si>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</si>
  <si>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</si>
  <si>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</si>
  <si>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</si>
  <si>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</si>
  <si>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</si>
  <si>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</si>
  <si>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</si>
  <si>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</si>
  <si>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</si>
  <si>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</si>
  <si>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</si>
  <si>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</si>
  <si>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</si>
  <si>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</si>
  <si>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</si>
  <si>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</si>
  <si>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</si>
  <si>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</si>
  <si>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</si>
  <si>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</si>
  <si>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</si>
  <si>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</si>
  <si>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</si>
  <si>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</si>
  <si>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</si>
  <si>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</si>
  <si>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</si>
  <si>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</si>
  <si>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</si>
  <si>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</si>
  <si>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</si>
  <si>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</si>
  <si>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</si>
  <si>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</si>
  <si>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</si>
  <si>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</si>
  <si>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</si>
  <si>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</si>
  <si>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</si>
  <si>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</si>
  <si>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</si>
  <si>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</si>
  <si>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</si>
  <si>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</si>
  <si>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</si>
  <si>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</si>
  <si>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</si>
  <si>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</si>
  <si>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</si>
  <si>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</si>
  <si>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</si>
  <si>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</si>
  <si>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</si>
  <si>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</si>
  <si>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</si>
  <si>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</si>
  <si>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</si>
  <si>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</si>
  <si>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</si>
  <si>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</si>
  <si>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</si>
  <si>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</si>
  <si>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</si>
  <si>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</si>
  <si>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</si>
  <si>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</si>
  <si>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</si>
  <si>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</si>
  <si>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</si>
  <si>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</si>
  <si>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</si>
  <si>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</si>
  <si>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</si>
  <si>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</si>
  <si>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</si>
  <si>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</si>
  <si>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</si>
  <si>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</si>
  <si>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</si>
  <si>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</si>
  <si>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</si>
  <si>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</si>
  <si>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</si>
  <si>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</si>
  <si>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</si>
  <si>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</si>
  <si>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</si>
  <si>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</si>
  <si>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</si>
  <si>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</si>
  <si>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</si>
  <si>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</si>
  <si>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</si>
  <si>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</si>
  <si>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</si>
  <si>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</si>
  <si>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</si>
  <si>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</si>
  <si>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</si>
  <si>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</si>
  <si>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</si>
  <si>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</si>
  <si>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</si>
  <si>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</si>
  <si>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</si>
  <si>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</si>
  <si>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</si>
  <si>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</si>
  <si>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</si>
  <si>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</si>
  <si>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</si>
  <si>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</si>
  <si>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</si>
  <si>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</si>
  <si>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</si>
  <si>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</si>
  <si>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</si>
  <si>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</si>
  <si>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</si>
  <si>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</si>
  <si>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</si>
  <si>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</si>
  <si>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</si>
  <si>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</si>
  <si>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</si>
  <si>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</si>
  <si>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</si>
  <si>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</si>
  <si>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</si>
  <si>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</si>
  <si>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</si>
  <si>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</si>
  <si>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</si>
  <si>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</si>
  <si>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</si>
  <si>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</si>
  <si>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</si>
  <si>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</si>
  <si>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</si>
  <si>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</si>
  <si>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</si>
  <si>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</si>
  <si>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</si>
  <si>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</si>
  <si>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</si>
  <si>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</si>
  <si>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</si>
  <si>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</si>
  <si>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</si>
  <si>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</si>
  <si>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</si>
  <si>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</si>
  <si>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</si>
  <si>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</si>
  <si>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</si>
  <si>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</si>
  <si>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</si>
  <si>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</si>
  <si>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</si>
  <si>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</si>
  <si>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</si>
  <si>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</si>
  <si>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</si>
  <si>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</si>
  <si>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</si>
  <si>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</si>
  <si>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</si>
  <si>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</si>
  <si>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</si>
  <si>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</si>
  <si>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</si>
  <si>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</si>
  <si>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</si>
  <si>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</si>
  <si>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</si>
  <si>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</si>
  <si>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</si>
  <si>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</si>
  <si>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</si>
  <si>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</si>
  <si>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</si>
  <si>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</si>
  <si>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</si>
  <si>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</si>
  <si>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</si>
  <si>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</si>
  <si>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</si>
  <si>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</si>
  <si>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</si>
  <si>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</si>
  <si>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</si>
  <si>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</si>
  <si>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</si>
  <si>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</si>
  <si>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</si>
  <si>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</si>
  <si>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</si>
  <si>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</si>
  <si>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</si>
  <si>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</si>
  <si>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</si>
  <si>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</si>
  <si>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</si>
  <si>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</si>
  <si>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</si>
  <si>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</si>
  <si>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</si>
  <si>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</si>
  <si>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</si>
  <si>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</si>
  <si>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</si>
  <si>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</si>
  <si>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</si>
  <si>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</si>
  <si>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</si>
  <si>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</si>
  <si>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</si>
  <si>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</si>
  <si>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</si>
  <si>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</si>
  <si>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</si>
  <si>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</si>
  <si>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</si>
  <si>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</si>
  <si>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</si>
  <si>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</si>
  <si>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</si>
  <si>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</si>
  <si>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</si>
  <si>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</si>
  <si>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</si>
  <si>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</si>
  <si>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</si>
  <si>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</si>
  <si>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</si>
  <si>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</si>
  <si>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</si>
  <si>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</si>
  <si>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</si>
  <si>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</si>
  <si>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</si>
  <si>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</si>
  <si>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</si>
  <si>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</si>
  <si>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</si>
  <si>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</si>
  <si>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</si>
  <si>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</si>
  <si>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</si>
  <si>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</si>
  <si>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</si>
  <si>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</si>
  <si>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</si>
  <si>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</si>
  <si>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</si>
  <si>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</si>
  <si>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</si>
  <si>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</si>
  <si>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</si>
  <si>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</si>
  <si>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</si>
  <si>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</si>
  <si>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</si>
  <si>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</si>
  <si>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</si>
  <si>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</si>
  <si>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</si>
  <si>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</si>
  <si>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</si>
  <si>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</si>
  <si>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</si>
  <si>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</si>
  <si>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</si>
  <si>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</si>
  <si>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</si>
  <si>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</si>
  <si>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</si>
  <si>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</si>
  <si>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</si>
  <si>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</si>
  <si>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</si>
  <si>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</si>
  <si>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</si>
  <si>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</si>
  <si>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</si>
  <si>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</si>
  <si>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</si>
  <si>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</si>
  <si>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</si>
  <si>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</si>
  <si>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</si>
  <si>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</si>
  <si>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</si>
  <si>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</si>
  <si>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</si>
  <si>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</si>
  <si>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</si>
  <si>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</si>
  <si>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</si>
  <si>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</si>
  <si>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</si>
  <si>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</si>
  <si>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</si>
  <si>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</si>
  <si>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</si>
  <si>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</si>
  <si>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</si>
  <si>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</si>
  <si>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</si>
  <si>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</si>
  <si>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</si>
  <si>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</si>
  <si>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</si>
  <si>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</si>
  <si>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</si>
  <si>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</si>
  <si>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</si>
  <si>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</si>
  <si>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</si>
  <si>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</si>
  <si>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</si>
  <si>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</si>
  <si>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</si>
  <si>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</si>
  <si>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</si>
  <si>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</si>
  <si>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</si>
  <si>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</si>
  <si>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</si>
  <si>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</si>
  <si>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</si>
  <si>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</si>
  <si>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</si>
  <si>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</si>
  <si>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</si>
  <si>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</si>
  <si>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</si>
  <si>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</si>
  <si>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</si>
  <si>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</si>
  <si>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</si>
  <si>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</si>
  <si>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</si>
  <si>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</si>
  <si>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</si>
  <si>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</si>
  <si>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</si>
  <si>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</si>
  <si>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</si>
  <si>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</si>
  <si>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</si>
  <si>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</si>
  <si>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</si>
  <si>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</si>
  <si>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</si>
  <si>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</si>
  <si>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</si>
  <si>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</si>
  <si>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</si>
  <si>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</si>
  <si>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</si>
  <si>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</si>
  <si>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</si>
  <si>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</si>
  <si>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</si>
  <si>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</si>
  <si>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</si>
  <si>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</si>
  <si>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</si>
  <si>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</si>
  <si>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</si>
  <si>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</si>
  <si>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</si>
  <si>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</si>
  <si>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</si>
  <si>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</si>
  <si>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</si>
  <si>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</si>
  <si>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</si>
  <si>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</si>
  <si>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</si>
  <si>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</si>
  <si>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</si>
  <si>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</si>
  <si>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</si>
  <si>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</si>
  <si>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</si>
  <si>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</si>
  <si>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</si>
  <si>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</si>
  <si>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</si>
  <si>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</si>
  <si>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</si>
  <si>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</si>
  <si>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</si>
  <si>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</si>
  <si>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</si>
  <si>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</si>
  <si>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</si>
  <si>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</si>
  <si>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</si>
  <si>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</si>
  <si>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</si>
  <si>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</si>
  <si>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</si>
  <si>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</si>
  <si>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</si>
  <si>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</si>
  <si>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</si>
  <si>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</si>
  <si>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</si>
  <si>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</si>
  <si>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</si>
  <si>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</si>
  <si>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</si>
  <si>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</si>
  <si>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</si>
  <si>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</si>
  <si>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</si>
  <si>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</si>
  <si>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</si>
  <si>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</si>
  <si>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</si>
  <si>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</si>
  <si>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</si>
  <si>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</si>
  <si>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</si>
  <si>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</si>
  <si>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</si>
  <si>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</si>
  <si>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</si>
  <si>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</si>
  <si>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</si>
  <si>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</si>
  <si>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</si>
  <si>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</si>
  <si>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</si>
  <si>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</si>
  <si>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</si>
  <si>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</si>
  <si>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</si>
  <si>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</si>
  <si>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</si>
  <si>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</si>
  <si>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</si>
  <si>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</si>
  <si>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</si>
  <si>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</si>
  <si>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</si>
  <si>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</si>
  <si>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</si>
  <si>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</si>
  <si>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</si>
  <si>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</si>
  <si>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</si>
  <si>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</si>
  <si>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</si>
  <si>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</si>
  <si>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</si>
  <si>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</si>
  <si>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</si>
  <si>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</si>
  <si>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</si>
  <si>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</si>
  <si>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</si>
  <si>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</si>
  <si>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</si>
  <si>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</si>
  <si>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</si>
  <si>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</si>
  <si>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</si>
  <si>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</si>
  <si>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</si>
  <si>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</si>
  <si>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</si>
  <si>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</si>
  <si>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</si>
  <si>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</si>
  <si>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</si>
  <si>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</si>
  <si>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</si>
  <si>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</si>
  <si>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</si>
  <si>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</si>
  <si>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</si>
  <si>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</si>
  <si>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</si>
  <si>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</si>
  <si>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</si>
  <si>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</si>
  <si>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</si>
  <si>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</si>
  <si>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</si>
  <si>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</si>
  <si>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</si>
  <si>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</si>
  <si>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</si>
  <si>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</si>
  <si>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</si>
  <si>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</si>
  <si>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</si>
  <si>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</si>
  <si>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</si>
  <si>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</si>
  <si>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</si>
  <si>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</si>
  <si>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</si>
  <si>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</si>
  <si>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</si>
  <si>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</si>
  <si>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</si>
  <si>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</si>
  <si>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</si>
  <si>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</si>
  <si>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</si>
  <si>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</si>
  <si>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</si>
  <si>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</si>
  <si>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</si>
  <si>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</si>
  <si>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</si>
  <si>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</si>
  <si>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</si>
  <si>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</si>
  <si>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</si>
  <si>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</si>
  <si>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</si>
  <si>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</si>
  <si>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</si>
  <si>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</si>
  <si>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</si>
  <si>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</si>
  <si>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</si>
  <si>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</si>
  <si>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</si>
  <si>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</si>
  <si>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</si>
  <si>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</si>
  <si>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</si>
  <si>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</si>
  <si>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</si>
  <si>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</si>
  <si>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</si>
  <si>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</si>
  <si>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</si>
  <si>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</si>
  <si>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</si>
  <si>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</si>
  <si>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</si>
  <si>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</si>
  <si>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</si>
  <si>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</si>
  <si>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</si>
  <si>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</si>
  <si>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</si>
  <si>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</si>
  <si>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</si>
  <si>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</si>
  <si>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</si>
  <si>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</si>
  <si>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</si>
  <si>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</si>
  <si>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</si>
  <si>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</si>
  <si>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</si>
  <si>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</si>
  <si>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</si>
  <si>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</si>
  <si>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</si>
  <si>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</si>
  <si>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</si>
  <si>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</si>
  <si>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</si>
  <si>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</si>
  <si>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</si>
  <si>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</si>
  <si>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</si>
  <si>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</si>
  <si>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</si>
  <si>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</si>
  <si>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</si>
  <si>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</si>
  <si>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</si>
  <si>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</si>
  <si>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</si>
  <si>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</si>
  <si>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</si>
  <si>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</si>
  <si>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</si>
  <si>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</si>
  <si>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</si>
  <si>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</si>
  <si>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</si>
  <si>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</si>
  <si>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</si>
  <si>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</si>
  <si>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</si>
  <si>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</si>
  <si>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</si>
  <si>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</si>
  <si>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</si>
  <si>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</si>
  <si>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</si>
  <si>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</si>
  <si>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</si>
  <si>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</si>
  <si>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</si>
  <si>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</si>
  <si>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</si>
  <si>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</si>
  <si>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</si>
  <si>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</si>
  <si>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</si>
  <si>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</si>
  <si>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</si>
  <si>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</si>
  <si>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</si>
  <si>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</si>
  <si>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</si>
  <si>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</si>
  <si>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</si>
  <si>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</si>
  <si>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</si>
  <si>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</si>
  <si>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</si>
  <si>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</si>
  <si>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</si>
  <si>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</si>
  <si>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</si>
  <si>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</si>
  <si>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</si>
  <si>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</si>
  <si>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</si>
  <si>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</si>
  <si>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</si>
  <si>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</si>
  <si>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</si>
  <si>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</si>
  <si>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</si>
  <si>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</si>
  <si>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</si>
  <si>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</si>
  <si>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</si>
  <si>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</si>
  <si>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</si>
  <si>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</si>
  <si>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</si>
  <si>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</si>
  <si>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</si>
  <si>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</si>
  <si>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</si>
  <si>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</si>
  <si>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</si>
  <si>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</si>
  <si>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</si>
  <si>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</si>
  <si>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</si>
  <si>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</si>
  <si>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</si>
  <si>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</si>
  <si>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</si>
  <si>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</si>
  <si>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</si>
  <si>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</si>
  <si>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</si>
  <si>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</si>
  <si>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</si>
  <si>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</si>
  <si>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</si>
  <si>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</si>
  <si>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</si>
  <si>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</si>
  <si>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</si>
  <si>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</si>
  <si>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</si>
  <si>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</si>
  <si>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</si>
  <si>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</si>
  <si>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</si>
  <si>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</si>
  <si>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</si>
  <si>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</si>
  <si>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</si>
  <si>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</si>
  <si>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</si>
  <si>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</si>
  <si>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</si>
  <si>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</si>
  <si>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</si>
  <si>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</si>
  <si>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</si>
  <si>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</si>
  <si>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</si>
  <si>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</si>
  <si>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</si>
  <si>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</si>
  <si>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</si>
  <si>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</si>
  <si>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</si>
  <si>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</si>
  <si>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</si>
  <si>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</si>
  <si>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</si>
  <si>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</si>
  <si>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</si>
  <si>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</si>
  <si>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</si>
  <si>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</si>
  <si>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</si>
  <si>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</si>
  <si>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</si>
  <si>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</si>
  <si>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</si>
  <si>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</si>
  <si>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</si>
  <si>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</si>
  <si>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</si>
  <si>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</si>
  <si>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</si>
  <si>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</si>
  <si>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</si>
  <si>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</si>
  <si>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</si>
  <si>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</si>
  <si>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</si>
  <si>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</si>
  <si>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</si>
  <si>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</si>
  <si>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</si>
  <si>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</si>
  <si>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</si>
  <si>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</si>
  <si>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</si>
  <si>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</si>
  <si>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</si>
  <si>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</si>
  <si>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</si>
  <si>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</si>
  <si>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</si>
  <si>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</si>
  <si>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</si>
  <si>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</si>
  <si>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</si>
  <si>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</si>
  <si>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</si>
  <si>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</si>
  <si>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</si>
  <si>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</si>
  <si>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</si>
  <si>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</si>
  <si>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</si>
  <si>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</si>
  <si>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</si>
  <si>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</si>
  <si>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</si>
  <si>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</si>
  <si>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</si>
  <si>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</si>
  <si>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</si>
  <si>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</si>
  <si>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</si>
  <si>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</si>
  <si>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</si>
  <si>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</si>
  <si>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</si>
  <si>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</si>
  <si>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</si>
  <si>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</si>
  <si>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</si>
  <si>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</si>
  <si>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</si>
  <si>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</si>
  <si>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</si>
  <si>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</si>
  <si>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</si>
  <si>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</si>
  <si>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</si>
  <si>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</si>
  <si>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</si>
  <si>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</si>
  <si>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</si>
  <si>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</si>
  <si>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</si>
  <si>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</si>
  <si>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</si>
  <si>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</si>
  <si>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</si>
  <si>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</si>
  <si>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</si>
  <si>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</si>
  <si>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</si>
  <si>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</si>
  <si>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</si>
  <si>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</si>
  <si>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</si>
  <si>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</si>
  <si>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</si>
  <si>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</si>
  <si>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</si>
  <si>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</si>
  <si>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</si>
  <si>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</si>
  <si>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</si>
  <si>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</si>
  <si>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</si>
  <si>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</si>
  <si>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</si>
  <si>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</si>
  <si>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</si>
  <si>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</si>
  <si>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</si>
  <si>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</si>
  <si>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</si>
  <si>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</si>
  <si>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</si>
  <si>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</si>
  <si>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</si>
  <si>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</si>
  <si>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</si>
  <si>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</si>
  <si>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</si>
  <si>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</si>
  <si>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</si>
  <si>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</si>
  <si>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</si>
  <si>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</si>
  <si>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</si>
  <si>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</si>
  <si>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</si>
  <si>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</si>
  <si>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</si>
  <si>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G000000243_DEFAULT</t>
  </si>
  <si>
    <t>H000004184</t>
  </si>
  <si>
    <t>WEIRD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</si>
</sst>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29.844070370367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0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0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0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0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0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0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0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0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0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0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0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0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0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0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9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9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9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9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9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9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9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9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9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9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9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9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9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7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7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7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7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7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7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7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6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6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6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6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6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6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6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6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6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6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6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6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6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6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6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6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6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6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5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5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5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5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5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5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5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4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4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4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4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4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4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4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4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4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4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4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4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4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4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4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4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4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4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4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4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2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2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2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2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2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2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2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2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2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2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2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2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2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2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2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2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2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2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2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2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2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2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2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2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2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2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2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2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2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2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2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2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2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2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2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2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2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2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2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2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2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2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2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2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2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2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2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2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2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2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2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2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2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2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2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18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18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18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18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1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7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7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3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3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3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3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3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80"/>
    <x v="1"/>
    <x v="5"/>
    <s v="CSCALA_1022$ITR"/>
    <s v="G000001238"/>
    <s v="G000000243_DEFAULT"/>
    <s v="Non-LFF"/>
    <s v=""/>
    <s v="Wait for Jay-r to respond whether for 2025 or 2026"/>
    <b v="0"/>
    <x v="0"/>
    <x v="0"/>
    <d v="2026-01-06T00:00:00"/>
    <m/>
    <m/>
    <x v="0"/>
    <n v="1"/>
    <s v="Jay-R Lizardo"/>
    <m/>
  </r>
  <r>
    <x v="480"/>
    <x v="1"/>
    <x v="5"/>
    <s v="CTEMPEU_1000PL10D03100"/>
    <s v="H000004350"/>
    <s v="H000004184"/>
    <s v="Non-LFF"/>
    <s v=""/>
    <s v="Wait for Jay-r to respond whether for 2025 or 2026"/>
    <b v="0"/>
    <x v="0"/>
    <x v="0"/>
    <d v="2026-01-06T00:00:00"/>
    <m/>
    <m/>
    <x v="0"/>
    <n v="1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1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1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1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279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31" sqref="D3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2" t="s">
        <v>375</v>
      </c>
      <c r="B14" s="150">
        <v>3</v>
      </c>
      <c r="C14" s="126"/>
      <c r="D14"/>
    </row>
    <row r="15" spans="1:6">
      <c r="A15" s="17" t="s">
        <v>4326</v>
      </c>
      <c r="B15" s="150">
        <v>9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7343</v>
      </c>
      <c r="B18" s="150">
        <v>1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7364</v>
      </c>
      <c r="B20" s="150">
        <v>5</v>
      </c>
      <c r="C20" s="126"/>
    </row>
    <row r="21" spans="1:5" ht="17.25" customHeight="1">
      <c r="A21" s="112" t="s">
        <v>369</v>
      </c>
      <c r="B21" s="150">
        <v>4</v>
      </c>
    </row>
    <row r="22" spans="1:5">
      <c r="A22" s="112" t="s">
        <v>692</v>
      </c>
      <c r="B22" s="150">
        <v>1</v>
      </c>
    </row>
    <row r="23" spans="1:5">
      <c r="A23" s="111" t="s">
        <v>7376</v>
      </c>
      <c r="B23" s="150">
        <v>1</v>
      </c>
    </row>
    <row r="24" spans="1:5">
      <c r="A24" s="112" t="s">
        <v>370</v>
      </c>
      <c r="B24" s="150">
        <v>1</v>
      </c>
    </row>
    <row r="25" spans="1:5">
      <c r="A25" s="17" t="s">
        <v>381</v>
      </c>
      <c r="B25" s="150">
        <v>59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D5206" sqref="D520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43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32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32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32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32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32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32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32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32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32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32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32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32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32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32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31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31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31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31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31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31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31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31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31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31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29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29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29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29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29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29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29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29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29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29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29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29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29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29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29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29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29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29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29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29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29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29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29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29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29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29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29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29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29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29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29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29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29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29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28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28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28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28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28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28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28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28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28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28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28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28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28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28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28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28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28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28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28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28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28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28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28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28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28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28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28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28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28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28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28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28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28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28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28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28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28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28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28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28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28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28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28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28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28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28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28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28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28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28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28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28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28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28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28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28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28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28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28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28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28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28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28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28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28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28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28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28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28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28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28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28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28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28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28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28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28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28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28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28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28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28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28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28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28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28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28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28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28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28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28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28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28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28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28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28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28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28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28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28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28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28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28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28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28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28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28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28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28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28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28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28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28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28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28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28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28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28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28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28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28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28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28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28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28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28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28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28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28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28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28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28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28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28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28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28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28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28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28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28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28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28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28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28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28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27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27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27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27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27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27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27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27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27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27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27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27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27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27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27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27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27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27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27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27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27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27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27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27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27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27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27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27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26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26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26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26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26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26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26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26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26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26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26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25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25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25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25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25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25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25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25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25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25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25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25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25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25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25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25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25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25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25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25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25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25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25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25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25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25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24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24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23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23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23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23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23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23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23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23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23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23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23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23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23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23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23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23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23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23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23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23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22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22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22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22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22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22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22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22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22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22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22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22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22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22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22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22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22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22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22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22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22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22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22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22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22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22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22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22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7400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22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22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22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22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22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22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20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20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20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20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20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20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20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20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18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7401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18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18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18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18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17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17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17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17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17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17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17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14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14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14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14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14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14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14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14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14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14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14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14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14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14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14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10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10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10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10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10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10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10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10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10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10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10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10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10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10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10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10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7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7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7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3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3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3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3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3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3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3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3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3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3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3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3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3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3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3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3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3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3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3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3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3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3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3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3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3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3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3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3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3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3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3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3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3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3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3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3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3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3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3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3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3</v>
      </c>
      <c r="R5190" s="178" t="s">
        <v>489</v>
      </c>
      <c r="S5190" s="150"/>
    </row>
    <row r="5191" spans="1:19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3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375</v>
      </c>
      <c r="D5192" t="s">
        <v>7478</v>
      </c>
      <c r="E5192" t="s">
        <v>7350</v>
      </c>
      <c r="F5192" s="150" t="s">
        <v>7450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3</v>
      </c>
      <c r="R5192" s="178" t="s">
        <v>489</v>
      </c>
      <c r="S5192" s="150"/>
    </row>
    <row r="5193" spans="1:19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3</v>
      </c>
      <c r="R5193" s="178" t="s">
        <v>489</v>
      </c>
      <c r="S5193" s="150"/>
    </row>
    <row r="5194" spans="1:19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3</v>
      </c>
      <c r="R5194" s="178" t="s">
        <v>489</v>
      </c>
      <c r="S5194" s="150"/>
    </row>
    <row r="5195" spans="1:19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3</v>
      </c>
      <c r="R5195" s="178" t="s">
        <v>489</v>
      </c>
      <c r="S5195" s="150"/>
    </row>
    <row r="5196" spans="1:19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3</v>
      </c>
      <c r="R5196" s="178" t="s">
        <v>489</v>
      </c>
      <c r="S5196" s="150"/>
    </row>
    <row r="5197" spans="1:19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3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7543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3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7543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3</v>
      </c>
      <c r="R5199" s="178" t="s">
        <v>489</v>
      </c>
      <c r="S5199" s="150"/>
    </row>
    <row r="5200" spans="1:19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3</v>
      </c>
      <c r="R5200" s="178" t="s">
        <v>489</v>
      </c>
      <c r="S5200" s="150"/>
    </row>
    <row r="5201" spans="1:19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3</v>
      </c>
      <c r="R5201" s="178" t="s">
        <v>489</v>
      </c>
      <c r="S5201" s="150"/>
    </row>
    <row r="5202" spans="1:19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3</v>
      </c>
      <c r="R5202" s="178" t="s">
        <v>489</v>
      </c>
      <c r="S5202" s="150"/>
    </row>
    <row r="5203" spans="1:19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3</v>
      </c>
      <c r="R5203" s="178" t="s">
        <v>489</v>
      </c>
      <c r="S5203" s="150"/>
    </row>
    <row r="5204" spans="1:19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3</v>
      </c>
      <c r="R5204" s="178" t="s">
        <v>489</v>
      </c>
      <c r="S5204" s="150"/>
    </row>
    <row r="5205" spans="1:19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3</v>
      </c>
      <c r="R5205" s="178" t="s">
        <v>489</v>
      </c>
      <c r="S5205" s="150"/>
    </row>
    <row r="5206" spans="1:19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3</v>
      </c>
      <c r="R5206" s="178" t="s">
        <v>489</v>
      </c>
      <c r="S5206" s="150"/>
    </row>
    <row r="5207" spans="1:19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3</v>
      </c>
      <c r="R5207" s="178" t="s">
        <v>489</v>
      </c>
      <c r="S5207" s="150"/>
    </row>
    <row r="5208" spans="1:19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3</v>
      </c>
      <c r="R5208" s="178" t="s">
        <v>489</v>
      </c>
      <c r="S5208" s="150"/>
    </row>
    <row r="5209" spans="1:19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3</v>
      </c>
      <c r="R5209" s="178" t="s">
        <v>489</v>
      </c>
      <c r="S5209" s="150"/>
    </row>
    <row r="5210" spans="1:19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3</v>
      </c>
      <c r="R5210" s="178" t="s">
        <v>489</v>
      </c>
      <c r="S5210" s="150"/>
    </row>
    <row r="5211" spans="1:19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3</v>
      </c>
      <c r="R5211" s="178" t="s">
        <v>489</v>
      </c>
      <c r="S5211" s="150"/>
    </row>
    <row r="5212" spans="1:19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3</v>
      </c>
      <c r="R5212" s="178" t="s">
        <v>489</v>
      </c>
      <c r="S5212" s="150"/>
    </row>
    <row r="5213" spans="1:19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3</v>
      </c>
      <c r="R5213" s="178" t="s">
        <v>489</v>
      </c>
      <c r="S5213" s="150"/>
    </row>
    <row r="5214" spans="1:19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3</v>
      </c>
      <c r="R5214" s="178" t="s">
        <v>489</v>
      </c>
      <c r="S5214" s="150"/>
    </row>
    <row r="5215" spans="1:19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3</v>
      </c>
      <c r="R5215" s="178" t="s">
        <v>489</v>
      </c>
      <c r="S5215" s="150"/>
    </row>
    <row r="5216" spans="1:19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3</v>
      </c>
      <c r="R5216" s="178" t="s">
        <v>489</v>
      </c>
      <c r="S5216" s="150"/>
    </row>
    <row r="5217" spans="1:19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3</v>
      </c>
      <c r="R5217" s="178" t="s">
        <v>489</v>
      </c>
      <c r="S5217" s="150"/>
    </row>
    <row r="5218" spans="1:19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3</v>
      </c>
      <c r="R5218" s="178" t="s">
        <v>489</v>
      </c>
      <c r="S5218" s="150"/>
    </row>
    <row r="5219" spans="1:19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3</v>
      </c>
      <c r="R5219" s="178" t="s">
        <v>489</v>
      </c>
      <c r="S5219" s="150"/>
    </row>
    <row r="5220" spans="1:19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3</v>
      </c>
      <c r="R5220" s="178" t="s">
        <v>489</v>
      </c>
      <c r="S5220" s="150"/>
    </row>
    <row r="5221" spans="1:19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3</v>
      </c>
      <c r="R5221" s="178" t="s">
        <v>489</v>
      </c>
      <c r="S5221" s="150"/>
    </row>
    <row r="5222" spans="1:19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3</v>
      </c>
      <c r="R5222" s="178" t="s">
        <v>489</v>
      </c>
      <c r="S5222" s="150"/>
    </row>
    <row r="5223" spans="1:19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3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7543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3</v>
      </c>
      <c r="R5224" s="178" t="s">
        <v>489</v>
      </c>
      <c r="S5224" s="150"/>
    </row>
    <row r="5225" spans="1:19" hidden="1">
      <c r="A5225" t="s">
        <v>7519</v>
      </c>
      <c r="B5225" s="150" t="str">
        <f>IFERROR(VLOOKUP(Proc[[#This Row],[App]],Table2[],3,0),"open")</f>
        <v>open</v>
      </c>
      <c r="C5225" s="149" t="s">
        <v>375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3</v>
      </c>
      <c r="R5225" s="178" t="s">
        <v>7193</v>
      </c>
      <c r="S5225" s="150"/>
    </row>
    <row r="5226" spans="1:19" hidden="1">
      <c r="A5226" s="149" t="s">
        <v>7519</v>
      </c>
      <c r="B5226" s="150" t="str">
        <f>IFERROR(VLOOKUP(Proc[[#This Row],[App]],Table2[],3,0),"open")</f>
        <v>open</v>
      </c>
      <c r="C5226" s="149" t="s">
        <v>375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3</v>
      </c>
      <c r="R5226" s="178" t="s">
        <v>7193</v>
      </c>
      <c r="S5226" s="150"/>
    </row>
    <row r="5227" spans="1:19" hidden="1">
      <c r="A5227" s="149" t="s">
        <v>7519</v>
      </c>
      <c r="B5227" s="150" t="str">
        <f>IFERROR(VLOOKUP(Proc[[#This Row],[App]],Table2[],3,0),"open")</f>
        <v>open</v>
      </c>
      <c r="C5227" s="149" t="s">
        <v>375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3</v>
      </c>
      <c r="R5227" s="178" t="s">
        <v>7193</v>
      </c>
      <c r="S5227" s="150"/>
    </row>
    <row r="5228" spans="1:19" hidden="1">
      <c r="A5228" s="149" t="s">
        <v>7519</v>
      </c>
      <c r="B5228" s="150" t="str">
        <f>IFERROR(VLOOKUP(Proc[[#This Row],[App]],Table2[],3,0),"open")</f>
        <v>open</v>
      </c>
      <c r="C5228" s="149" t="s">
        <v>375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3</v>
      </c>
      <c r="R5228" s="178" t="s">
        <v>7193</v>
      </c>
      <c r="S5228" s="150"/>
    </row>
    <row r="5229" spans="1:19" hidden="1">
      <c r="A5229" s="149" t="s">
        <v>7519</v>
      </c>
      <c r="B5229" s="150" t="str">
        <f>IFERROR(VLOOKUP(Proc[[#This Row],[App]],Table2[],3,0),"open")</f>
        <v>open</v>
      </c>
      <c r="C5229" s="149" t="s">
        <v>375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3</v>
      </c>
      <c r="R5229" s="178" t="s">
        <v>7193</v>
      </c>
      <c r="S5229" s="150"/>
    </row>
    <row r="5230" spans="1:19" hidden="1">
      <c r="A5230" s="149" t="s">
        <v>7519</v>
      </c>
      <c r="B5230" s="150" t="str">
        <f>IFERROR(VLOOKUP(Proc[[#This Row],[App]],Table2[],3,0),"open")</f>
        <v>open</v>
      </c>
      <c r="C5230" s="149" t="s">
        <v>375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3</v>
      </c>
      <c r="R5230" s="178" t="s">
        <v>7193</v>
      </c>
      <c r="S5230" s="150"/>
    </row>
    <row r="5231" spans="1:19" hidden="1">
      <c r="A5231" s="149" t="s">
        <v>7519</v>
      </c>
      <c r="B5231" s="150" t="str">
        <f>IFERROR(VLOOKUP(Proc[[#This Row],[App]],Table2[],3,0),"open")</f>
        <v>open</v>
      </c>
      <c r="C5231" s="149" t="s">
        <v>375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3</v>
      </c>
      <c r="R5231" s="178" t="s">
        <v>7193</v>
      </c>
      <c r="S5231" s="150"/>
    </row>
    <row r="5232" spans="1:19" hidden="1">
      <c r="A5232" s="149" t="s">
        <v>7519</v>
      </c>
      <c r="B5232" s="150" t="str">
        <f>IFERROR(VLOOKUP(Proc[[#This Row],[App]],Table2[],3,0),"open")</f>
        <v>open</v>
      </c>
      <c r="C5232" s="149" t="s">
        <v>375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3</v>
      </c>
      <c r="R5232" s="178" t="s">
        <v>7193</v>
      </c>
      <c r="S5232" s="150"/>
    </row>
    <row r="5233" spans="1:19" hidden="1">
      <c r="A5233" s="149" t="s">
        <v>7519</v>
      </c>
      <c r="B5233" s="150" t="str">
        <f>IFERROR(VLOOKUP(Proc[[#This Row],[App]],Table2[],3,0),"open")</f>
        <v>open</v>
      </c>
      <c r="C5233" s="149" t="s">
        <v>375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3</v>
      </c>
      <c r="R5233" s="178" t="s">
        <v>7193</v>
      </c>
      <c r="S5233" s="150"/>
    </row>
    <row r="5234" spans="1:19" hidden="1">
      <c r="A5234" s="149" t="s">
        <v>7519</v>
      </c>
      <c r="B5234" s="150" t="str">
        <f>IFERROR(VLOOKUP(Proc[[#This Row],[App]],Table2[],3,0),"open")</f>
        <v>open</v>
      </c>
      <c r="C5234" s="149" t="s">
        <v>375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3</v>
      </c>
      <c r="R5234" s="178" t="s">
        <v>7193</v>
      </c>
      <c r="S5234" s="150"/>
    </row>
    <row r="5235" spans="1:19" hidden="1">
      <c r="A5235" s="149" t="s">
        <v>7519</v>
      </c>
      <c r="B5235" s="150" t="str">
        <f>IFERROR(VLOOKUP(Proc[[#This Row],[App]],Table2[],3,0),"open")</f>
        <v>open</v>
      </c>
      <c r="C5235" s="149" t="s">
        <v>375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3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1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1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1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1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">
        <v>7541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1</v>
      </c>
      <c r="R5240" s="178" t="s">
        <v>1459</v>
      </c>
      <c r="S5240" s="150"/>
    </row>
    <row r="5241" spans="1:19">
      <c r="A5241" s="149" t="s">
        <v>7532</v>
      </c>
      <c r="B5241" s="150" t="str">
        <f>IFERROR(VLOOKUP(Proc[[#This Row],[App]],Table2[],3,0),"open")</f>
        <v>open</v>
      </c>
      <c r="C5241" s="149" t="s">
        <v>370</v>
      </c>
      <c r="D5241" t="s">
        <v>7533</v>
      </c>
      <c r="E5241" t="s">
        <v>7536</v>
      </c>
      <c r="F5241" s="150" t="s">
        <v>7542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0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1</v>
      </c>
      <c r="R5241" s="178" t="s">
        <v>1459</v>
      </c>
      <c r="S5241" s="150"/>
    </row>
    <row r="5242" spans="1:19" hidden="1">
      <c r="A5242" s="149" t="s">
        <v>7532</v>
      </c>
      <c r="B5242" s="150" t="str">
        <f>IFERROR(VLOOKUP(Proc[[#This Row],[App]],Table2[],3,0),"open")</f>
        <v>open</v>
      </c>
      <c r="C5242" s="149" t="s">
        <v>375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1</v>
      </c>
      <c r="R5242" s="178" t="s">
        <v>1459</v>
      </c>
      <c r="S5242" s="150"/>
    </row>
    <row r="5243" spans="1:19" hidden="1">
      <c r="A5243" s="149" t="s">
        <v>7532</v>
      </c>
      <c r="B5243" s="150" t="str">
        <f>IFERROR(VLOOKUP(Proc[[#This Row],[App]],Table2[],3,0),"open")</f>
        <v>open</v>
      </c>
      <c r="C5243" s="149" t="s">
        <v>375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1</v>
      </c>
      <c r="R5243" s="178" t="s">
        <v>1459</v>
      </c>
      <c r="S5243" s="150"/>
    </row>
    <row r="5244" spans="1:19" hidden="1">
      <c r="A5244" s="149" t="s">
        <v>7532</v>
      </c>
      <c r="B5244" s="150" t="str">
        <f>IFERROR(VLOOKUP(Proc[[#This Row],[App]],Table2[],3,0),"open")</f>
        <v>open</v>
      </c>
      <c r="C5244" s="149" t="s">
        <v>375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1</v>
      </c>
      <c r="R5244" s="178" t="s">
        <v>1459</v>
      </c>
      <c r="S524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2026-01-07T14:33:46Z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