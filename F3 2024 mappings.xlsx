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CAD7B323-B530-43F4-9B77-3821F3EB56E8}" xr6:coauthVersionLast="47" xr6:coauthVersionMax="47" xr10:uidLastSave="{00000000-0000-0000-0000-000000000000}"/>
  <bookViews>
    <workbookView xWindow="6735" yWindow="4950" windowWidth="21465" windowHeight="1057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06" i="1" l="1"/>
  <c r="H2406" i="1"/>
  <c r="J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7" i="1"/>
  <c r="J2308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<sst xmlns="http://schemas.openxmlformats.org/spreadsheetml/2006/main" count="21443" uniqueCount="4817">
  <si>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</si>
  <si>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</si>
  <si>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</si>
  <si>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</si>
  <si>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</si>
  <si>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</si>
  <si>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</si>
  <si>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</si>
  <si>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</si>
  <si>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</si>
  <si>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</si>
  <si>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</si>
  <si>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</si>
  <si>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</si>
  <si>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</si>
  <si>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</si>
  <si>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</si>
  <si>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</si>
  <si>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</si>
  <si>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</si>
  <si>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</si>
  <si>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</si>
  <si>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</si>
  <si>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</si>
  <si>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</si>
  <si>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</si>
  <si>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</si>
  <si>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</si>
  <si>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</si>
  <si>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</si>
  <si>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</si>
  <si>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</si>
  <si>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</si>
  <si>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</si>
  <si>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</si>
  <si>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</si>
  <si>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</si>
  <si>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</si>
  <si>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</si>
  <si>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</si>
  <si>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</si>
  <si>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</si>
  <si>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</si>
  <si>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</si>
  <si>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</si>
  <si>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</si>
  <si>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</si>
  <si>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</si>
  <si>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</si>
  <si>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</si>
  <si>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</si>
  <si>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</si>
  <si>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</si>
  <si>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</si>
  <si>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</si>
  <si>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</si>
  <si>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</si>
  <si>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</si>
  <si>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</si>
  <si>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</si>
  <si>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</si>
  <si>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</si>
  <si>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</si>
  <si>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</si>
  <si>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</si>
  <si>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</si>
  <si>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</si>
  <si>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</si>
  <si>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</si>
  <si>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</si>
  <si>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</si>
  <si>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</si>
  <si>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</si>
  <si>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</si>
  <si>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</si>
  <si>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</si>
  <si>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</si>
  <si>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</si>
  <si>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</si>
  <si>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</si>
  <si>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</si>
  <si>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</si>
  <si>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</si>
  <si>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</si>
  <si>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</si>
  <si>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</si>
  <si>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</si>
  <si>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</si>
  <si>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</si>
  <si>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</si>
  <si>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</si>
  <si>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</si>
  <si>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</si>
  <si>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</si>
  <si>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</si>
  <si>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</si>
  <si>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</si>
  <si>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</si>
  <si>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</si>
  <si>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</si>
  <si>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</si>
  <si>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</si>
  <si>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</si>
  <si>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</si>
  <si>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</si>
  <si>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</si>
  <si>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</si>
  <si>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</si>
  <si>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</si>
  <si>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</si>
  <si>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</si>
  <si>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</si>
  <si>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</si>
  <si>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</si>
  <si>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</si>
  <si>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</si>
  <si>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</si>
  <si>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</si>
  <si>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</si>
  <si>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</si>
  <si>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</si>
  <si>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</si>
  <si>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</si>
  <si>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</si>
  <si>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</si>
  <si>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</si>
  <si>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</si>
  <si>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</si>
  <si>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</si>
  <si>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</si>
  <si>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</si>
  <si>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</si>
  <si>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</si>
  <si>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</si>
  <si>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</si>
  <si>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</si>
  <si>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</si>
  <si>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</si>
  <si>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</si>
  <si>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</si>
  <si>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</si>
  <si>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</si>
  <si>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</si>
  <si>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</si>
  <si>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</si>
  <si>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</si>
  <si>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</si>
  <si>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</si>
  <si>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</si>
  <si>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</si>
  <si>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</si>
  <si>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</si>
  <si>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</si>
  <si>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</si>
  <si>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</si>
  <si>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</si>
  <si>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</si>
  <si>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</si>
  <si>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</si>
  <si>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</si>
  <si>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</si>
  <si>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</si>
  <si>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</si>
  <si>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</si>
  <si>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</si>
  <si>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</si>
  <si>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</si>
  <si>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</si>
  <si>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</si>
  <si>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</si>
  <si>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</si>
  <si>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</si>
  <si>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</si>
  <si>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</si>
  <si>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</si>
  <si>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</si>
  <si>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</si>
  <si>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</si>
  <si>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</si>
  <si>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</si>
  <si>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</si>
  <si>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</si>
  <si>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</si>
  <si>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</si>
  <si>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</si>
  <si>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</si>
  <si>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</si>
  <si>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</si>
  <si>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</si>
  <si>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</si>
  <si>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</si>
  <si>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</si>
  <si>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</si>
  <si>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</si>
  <si>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</si>
  <si>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</si>
  <si>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</si>
  <si>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</si>
  <si>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</si>
  <si>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</si>
  <si>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</si>
  <si>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</si>
  <si>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</si>
  <si>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</si>
  <si>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</si>
  <si>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</si>
  <si>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</si>
  <si>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</si>
  <si>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</si>
  <si>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</si>
  <si>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</si>
  <si>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</si>
  <si>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</si>
  <si>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</si>
  <si>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</si>
  <si>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</si>
  <si>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</si>
  <si>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</si>
  <si>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</si>
  <si>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</si>
  <si>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</si>
  <si>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</si>
  <si>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</si>
  <si>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</si>
  <si>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</si>
  <si>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</si>
  <si>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</si>
  <si>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</si>
  <si>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</si>
  <si>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</si>
  <si>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</si>
  <si>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</si>
  <si>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</si>
  <si>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</si>
  <si>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</si>
  <si>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</si>
  <si>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</si>
  <si>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</si>
  <si>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</si>
  <si>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</si>
  <si>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</si>
  <si>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</si>
  <si>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</si>
  <si>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</si>
  <si>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</si>
  <si>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</si>
  <si>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</si>
  <si>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</si>
  <si>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</si>
  <si>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</si>
  <si>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</si>
  <si>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</si>
  <si>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</si>
  <si>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</si>
  <si>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</si>
  <si>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</si>
  <si>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</si>
  <si>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</si>
  <si>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</si>
  <si>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</si>
  <si>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</si>
  <si>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</si>
  <si>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</si>
  <si>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</si>
  <si>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</si>
  <si>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</si>
  <si>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</si>
  <si>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</si>
  <si>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</si>
  <si>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</si>
  <si>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</si>
  <si>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</si>
  <si>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</si>
  <si>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</si>
  <si>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</si>
  <si>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</si>
  <si>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</si>
  <si>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</si>
  <si>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</si>
  <si>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</si>
  <si>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</si>
  <si>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</si>
  <si>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</si>
  <si>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</si>
  <si>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</si>
  <si>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</si>
  <si>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</si>
  <si>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</si>
  <si>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</si>
  <si>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</si>
  <si>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</si>
  <si>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</si>
  <si>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</si>
  <si>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</si>
  <si>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</si>
  <si>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</si>
  <si>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</si>
  <si>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</si>
  <si>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</si>
  <si>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</si>
  <si>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</si>
  <si>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</si>
  <si>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</si>
  <si>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</si>
  <si>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</si>
  <si>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</si>
  <si>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</si>
  <si>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</si>
  <si>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</si>
  <si>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</si>
  <si>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</si>
  <si>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</si>
  <si>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</si>
  <si>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</si>
  <si>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</si>
  <si>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</si>
  <si>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</si>
  <si>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</si>
  <si>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</si>
  <si>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</si>
  <si>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</si>
  <si>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</si>
  <si>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</si>
  <si>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</si>
  <si>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</si>
  <si>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</si>
  <si>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</si>
  <si>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</si>
  <si>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</si>
  <si>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</si>
  <si>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</si>
  <si>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</si>
  <si>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</si>
  <si>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</si>
  <si>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</si>
  <si>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</si>
  <si>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</si>
  <si>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</si>
  <si>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</si>
  <si>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</si>
  <si>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</si>
  <si>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</si>
  <si>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</si>
  <si>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</si>
  <si>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</si>
  <si>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</si>
  <si>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</si>
  <si>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</si>
  <si>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</si>
  <si>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</si>
  <si>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</si>
  <si>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</si>
  <si>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</si>
  <si>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</si>
  <si>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</si>
  <si>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</si>
  <si>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</si>
  <si>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</si>
  <si>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</si>
  <si>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</si>
  <si>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</si>
  <si>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</si>
  <si>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</si>
  <si>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</si>
  <si>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</si>
  <si>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</si>
  <si>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</si>
  <si>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</si>
  <si>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</si>
  <si>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</si>
  <si>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</si>
  <si>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</si>
  <si>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</si>
  <si>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</si>
  <si>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</si>
  <si>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</si>
  <si>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</si>
  <si>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</si>
  <si>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</si>
  <si>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</si>
  <si>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</si>
  <si>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</si>
  <si>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</si>
  <si>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</si>
  <si>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</si>
  <si>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</si>
  <si>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</si>
  <si>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</si>
  <si>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</si>
  <si>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</si>
  <si>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</si>
  <si>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</si>
  <si>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</si>
  <si>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</si>
  <si>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</si>
  <si>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</si>
  <si>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</si>
  <si>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</si>
  <si>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</si>
  <si>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</si>
  <si>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</si>
  <si>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</si>
  <si>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</si>
  <si>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</si>
  <si>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</si>
  <si>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</si>
  <si>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</si>
  <si>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</si>
  <si>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</si>
  <si>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</si>
  <si>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</si>
  <si>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</si>
  <si>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</si>
  <si>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</si>
  <si>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</si>
  <si>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</si>
  <si>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</si>
  <si>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</si>
  <si>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</si>
  <si>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</si>
  <si>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</si>
  <si>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</si>
  <si>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</si>
  <si>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</si>
  <si>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</si>
  <si>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</si>
  <si>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</si>
  <si>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</si>
  <si>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</si>
  <si>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</si>
  <si>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</si>
  <si>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</si>
  <si>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</si>
  <si>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</si>
  <si>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</si>
  <si>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</si>
  <si>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</si>
  <si>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</si>
  <si>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</si>
  <si>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</si>
  <si>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</si>
  <si>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</si>
  <si>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</si>
  <si>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</si>
  <si>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</si>
  <si>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</si>
  <si>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</si>
  <si>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</si>
  <si>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</si>
  <si>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</si>
  <si>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</si>
  <si>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</si>
  <si>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</si>
  <si>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</si>
  <si>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</si>
  <si>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</si>
  <si>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</si>
  <si>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</si>
  <si>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</si>
  <si>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</si>
  <si>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</si>
  <si>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</si>
  <si>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</si>
  <si>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</si>
  <si>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</si>
  <si>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</si>
  <si>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</si>
  <si>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</si>
  <si>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</si>
  <si>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</si>
  <si>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</si>
  <si>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</si>
  <si>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</si>
  <si>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</si>
  <si>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</si>
  <si>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</si>
  <si>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</si>
  <si>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</si>
  <si>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</si>
  <si>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</si>
  <si>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</si>
  <si>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</si>
  <si>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</si>
  <si>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</si>
  <si>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</si>
  <si>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</si>
  <si>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</si>
  <si>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</si>
  <si>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</si>
  <si>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</si>
  <si>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</si>
  <si>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</si>
  <si>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</si>
  <si>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</si>
  <si>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</si>
  <si>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</si>
  <si>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</si>
  <si>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</si>
  <si>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</si>
  <si>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</si>
  <si>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</si>
  <si>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</si>
  <si>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</si>
  <si>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</si>
  <si>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</si>
  <si>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</si>
  <si>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</si>
  <si>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</si>
  <si>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</si>
  <si>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</si>
  <si>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</si>
  <si>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</si>
  <si>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</si>
  <si>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</si>
  <si>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</si>
  <si>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</si>
  <si>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</si>
  <si>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</si>
  <si>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</si>
  <si>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</si>
  <si>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</si>
  <si>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</si>
  <si>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</si>
  <si>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</si>
  <si>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</si>
  <si>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</si>
  <si>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</si>
  <si>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</si>
  <si>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</si>
  <si>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</si>
  <si>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</si>
  <si>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</si>
  <si>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</si>
  <si>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</si>
  <si>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</si>
  <si>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</si>
  <si>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</si>
  <si>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</si>
  <si>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</si>
  <si>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</si>
  <si>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</si>
  <si>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</si>
  <si>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</si>
  <si>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</si>
  <si>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</si>
  <si>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</si>
  <si>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</si>
  <si>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</si>
  <si>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</si>
  <si>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</si>
  <si>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</si>
  <si>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</si>
  <si>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</si>
  <si>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</si>
  <si>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</si>
  <si>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</si>
  <si>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</si>
  <si>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</si>
  <si>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</si>
  <si>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</si>
  <si>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</si>
  <si>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</si>
  <si>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</si>
  <si>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</si>
  <si>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</si>
  <si>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</si>
  <si>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</si>
  <si>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</si>
  <si>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</si>
  <si>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</si>
  <si>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</si>
  <si>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</si>
  <si>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</si>
  <si>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</si>
  <si>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</si>
  <si>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</si>
  <si>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</si>
  <si>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</si>
  <si>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</si>
  <si>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</si>
  <si>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</si>
  <si>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</si>
  <si>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</si>
  <si>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</si>
  <si>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</si>
  <si>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</si>
  <si>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</si>
  <si>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</si>
  <si>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</si>
  <si>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</si>
  <si>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</si>
  <si>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</si>
  <si>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</si>
  <si>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</si>
  <si>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</si>
  <si>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</si>
  <si>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</si>
  <si>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</si>
  <si>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</si>
  <si>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</si>
  <si>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</si>
  <si>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</si>
  <si>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</si>
  <si>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</si>
  <si>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</si>
  <si>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</si>
  <si>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</si>
  <si>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</si>
  <si>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</si>
  <si>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</si>
  <si>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</si>
  <si>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</si>
  <si>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</si>
  <si>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</si>
  <si>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</si>
  <si>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</si>
  <si>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</si>
  <si>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</si>
  <si>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</si>
  <si>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</si>
  <si>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</si>
  <si>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</si>
  <si>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</si>
  <si>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</si>
  <si>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</si>
  <si>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</si>
  <si>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</si>
  <si>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</si>
  <si>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</si>
  <si>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</si>
  <si>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</si>
  <si>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</si>
  <si>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</si>
  <si>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</si>
  <si>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</si>
  <si>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</si>
  <si>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</si>
  <si>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</si>
  <si>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</si>
  <si>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</si>
  <si>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</si>
  <si>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</si>
  <si>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</si>
  <si>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</si>
  <si>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</si>
  <si>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</si>
  <si>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</si>
  <si>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</si>
  <si>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</si>
  <si>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</si>
  <si>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</si>
  <si>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</si>
  <si>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</si>
  <si>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</si>
  <si>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</si>
  <si>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</si>
  <si>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</si>
  <si>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</si>
  <si>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</si>
  <si>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</si>
  <si>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</si>
  <si>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</si>
  <si>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</si>
  <si>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</si>
  <si>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</si>
  <si>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</si>
  <si>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</si>
  <si>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</si>
  <si>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</si>
  <si>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</si>
  <si>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</si>
  <si>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</si>
  <si>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</si>
  <si>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</si>
  <si>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</si>
  <si>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</si>
  <si>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</si>
  <si>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</si>
  <si>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</si>
  <si>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</si>
  <si>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</si>
  <si>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</si>
  <si>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</si>
  <si>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</si>
  <si>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</si>
  <si>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</si>
  <si>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</si>
  <si>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</si>
  <si>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</si>
  <si>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</si>
  <si>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</si>
  <si>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</si>
  <si>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</si>
  <si>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</si>
  <si>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</si>
  <si>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</si>
  <si>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</si>
  <si>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</si>
  <si>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</si>
  <si>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</si>
  <si>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</si>
  <si>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</si>
  <si>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</si>
  <si>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</si>
  <si>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</si>
  <si>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</si>
  <si>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</si>
  <si>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</si>
  <si>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</si>
  <si>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</si>
  <si>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</si>
  <si>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</si>
  <si>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</si>
  <si>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</si>
  <si>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</si>
  <si>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</si>
  <si>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</si>
  <si>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</si>
  <si>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</si>
  <si>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</si>
  <si>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</si>
  <si>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</si>
  <si>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</si>
  <si>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</si>
  <si>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</si>
  <si>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</si>
  <si>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</si>
  <si>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</si>
  <si>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</si>
  <si>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</si>
  <si>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</si>
  <si>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</si>
  <si>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</si>
  <si>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</si>
  <si>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</si>
  <si>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</si>
  <si>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</si>
  <si>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</si>
  <si>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</si>
  <si>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</si>
  <si>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</si>
  <si>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</si>
  <si>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</si>
  <si>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</si>
  <si>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</si>
  <si>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</si>
  <si>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</si>
  <si>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</si>
  <si>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</si>
  <si>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</si>
  <si>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</si>
  <si>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</si>
  <si>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</si>
  <si>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</si>
  <si>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</si>
  <si>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</si>
  <si>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</si>
  <si>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</si>
  <si>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</si>
  <si>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</si>
  <si>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</si>
  <si>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</si>
  <si>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</si>
  <si>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</si>
  <si>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</si>
  <si>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</si>
  <si>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</si>
  <si>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</si>
  <si>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</si>
  <si>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</si>
  <si>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</si>
  <si>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</si>
  <si>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</si>
  <si>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</si>
  <si>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</si>
  <si>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</si>
  <si>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</si>
  <si>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</si>
  <si>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</si>
  <si>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</si>
  <si>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</si>
  <si>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</si>
  <si>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</si>
  <si>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</si>
  <si>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</si>
  <si>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</si>
  <si>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</si>
  <si>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</si>
  <si>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</si>
  <si>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</si>
  <si>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</si>
  <si>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</si>
  <si>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</si>
  <si>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</si>
  <si>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</si>
  <si>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</si>
  <si>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</si>
  <si>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</si>
  <si>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</si>
  <si>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</si>
  <si>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</si>
  <si>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</si>
  <si>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</si>
  <si>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</si>
  <si>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</si>
  <si>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</si>
  <si>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</si>
  <si>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</si>
  <si>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</si>
  <si>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</si>
  <si>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</si>
  <si>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</si>
  <si>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</si>
  <si>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</si>
  <si>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</si>
  <si>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</si>
  <si>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</si>
  <si>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</si>
  <si>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</si>
  <si>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</si>
  <si>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</si>
  <si>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</si>
  <si>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</si>
  <si>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</si>
  <si>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</si>
  <si>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</si>
  <si>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</si>
  <si>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</si>
  <si>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</si>
  <si>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</si>
  <si>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</si>
  <si>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</si>
  <si>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</si>
  <si>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</si>
  <si>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</si>
  <si>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</si>
  <si>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</si>
  <si>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</si>
  <si>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</si>
  <si>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</si>
  <si>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</si>
  <si>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</si>
  <si>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</si>
  <si>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</si>
  <si>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</si>
  <si>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</si>
  <si>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</si>
  <si>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</si>
  <si>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</si>
  <si>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</si>
  <si>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</si>
  <si>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</si>
  <si>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</si>
  <si>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</si>
  <si>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</si>
  <si>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</si>
  <si>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</si>
  <si>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</si>
  <si>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</si>
  <si>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</si>
  <si>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</si>
  <si>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</si>
  <si>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</si>
  <si>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</si>
  <si>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</si>
  <si>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</si>
  <si>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</si>
  <si>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</si>
  <si>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</si>
  <si>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</si>
  <si>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</si>
  <si>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</si>
  <si>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</si>
  <si>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</si>
  <si>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</si>
  <si>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</si>
  <si>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</si>
  <si>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</si>
  <si>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</si>
  <si>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</si>
  <si>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</si>
  <si>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</si>
  <si>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</si>
  <si>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</si>
  <si>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</si>
  <si>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</si>
  <si>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</si>
  <si>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</si>
  <si>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</si>
  <si>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</si>
  <si>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</si>
  <si>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</si>
  <si>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</si>
  <si>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</si>
  <si>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</si>
  <si>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</si>
  <si>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</si>
  <si>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</si>
  <si>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</si>
  <si>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</si>
  <si>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</si>
  <si>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</si>
  <si>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</si>
  <si>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</si>
  <si>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</si>
  <si>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</si>
  <si>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</si>
  <si>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</si>
  <si>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</si>
  <si>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</si>
  <si>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</si>
  <si>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</si>
  <si>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</si>
  <si>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</si>
  <si>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</si>
  <si>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</si>
  <si>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</si>
  <si>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</si>
  <si>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</si>
  <si>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</si>
  <si>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</si>
  <si>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</si>
  <si>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</si>
  <si>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</si>
  <si>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</si>
  <si>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</si>
  <si>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</si>
  <si>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</si>
  <si>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</si>
  <si>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</si>
  <si>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</si>
  <si>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</si>
  <si>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</si>
  <si>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</si>
  <si>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</si>
  <si>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</si>
  <si>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</si>
  <si>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</si>
  <si>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</si>
  <si>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</si>
  <si>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</si>
  <si>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</si>
  <si>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</si>
  <si>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</si>
  <si>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</si>
  <si>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</si>
  <si>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</si>
  <si>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</si>
  <si>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</si>
  <si>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</si>
  <si>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</si>
  <si>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</si>
  <si>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</si>
  <si>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</si>
  <si>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</si>
  <si>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</si>
  <si>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</si>
  <si>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</si>
  <si>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</si>
  <si>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</si>
  <si>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</si>
  <si>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</si>
  <si>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</si>
  <si>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</si>
  <si>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</si>
  <si>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</si>
  <si>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</si>
  <si>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</si>
  <si>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</si>
  <si>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</si>
  <si>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</si>
  <si>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</si>
  <si>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</si>
  <si>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</si>
  <si>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</si>
  <si>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</si>
  <si>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</si>
  <si>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</si>
  <si>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</si>
  <si>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</si>
  <si>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</si>
  <si>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</si>
  <si>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</si>
  <si>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</si>
  <si>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</si>
  <si>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</si>
  <si>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</si>
  <si>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</si>
  <si>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</si>
  <si>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</si>
  <si>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</si>
  <si>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</si>
  <si>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</si>
  <si>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</si>
  <si>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</si>
  <si>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</si>
  <si>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</si>
  <si>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</si>
  <si>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</si>
  <si>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</si>
  <si>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</si>
  <si>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</si>
  <si>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</si>
  <si>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</si>
  <si>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</si>
  <si>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</si>
  <si>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</si>
  <si>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</si>
  <si>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</si>
  <si>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</si>
  <si>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</si>
  <si>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</si>
  <si>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</si>
  <si>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</si>
  <si>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</si>
  <si>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</si>
  <si>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</si>
  <si>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</si>
  <si>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</si>
  <si>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</si>
  <si>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</si>
  <si>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</si>
  <si>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</si>
  <si>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</si>
  <si>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</si>
  <si>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</si>
  <si>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</si>
  <si>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</si>
  <si>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</si>
  <si>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</si>
  <si>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</si>
  <si>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</si>
  <si>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</si>
  <si>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</si>
  <si>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</si>
  <si>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</si>
  <si>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</si>
  <si>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</si>
  <si>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</si>
  <si>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</si>
  <si>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</si>
  <si>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</si>
  <si>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</si>
  <si>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</si>
  <si>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</si>
  <si>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</si>
  <si>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</si>
  <si>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</si>
  <si>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</si>
  <si>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</si>
  <si>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</si>
  <si>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</si>
  <si>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</si>
  <si>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</si>
  <si>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</si>
  <si>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</si>
  <si>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</si>
  <si>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</si>
  <si>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</si>
  <si>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</si>
  <si>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</si>
  <si>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</si>
  <si>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</si>
  <si>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</si>
  <si>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</si>
  <si>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</si>
  <si>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</si>
  <si>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</si>
  <si>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</si>
  <si>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</si>
  <si>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</si>
  <si>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</si>
  <si>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</si>
  <si>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</si>
  <si>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</si>
  <si>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</si>
  <si>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</si>
  <si>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</si>
  <si>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</si>
  <si>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</si>
  <si>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</si>
  <si>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</si>
  <si>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</si>
  <si>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</si>
  <si>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</si>
  <si>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</si>
  <si>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</si>
  <si>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</si>
  <si>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</si>
  <si>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</si>
  <si>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</si>
  <si>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</si>
  <si>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</si>
  <si>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</si>
  <si>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</si>
  <si>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</si>
  <si>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</si>
  <si>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</si>
  <si>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</si>
  <si>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</si>
  <si>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</si>
  <si>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</si>
  <si>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</si>
  <si>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</si>
  <si>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</si>
  <si>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</si>
  <si>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</si>
  <si>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</si>
  <si>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</si>
  <si>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</si>
  <si>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</si>
  <si>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</si>
  <si>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</si>
  <si>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</si>
  <si>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</si>
  <si>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</si>
  <si>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</si>
  <si>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</si>
  <si>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</si>
  <si>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</si>
  <si>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</si>
  <si>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</si>
  <si>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</si>
  <si>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</si>
  <si>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</si>
  <si>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</si>
  <si>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</si>
  <si>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</si>
  <si>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</si>
  <si>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</si>
  <si>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</si>
  <si>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</si>
  <si>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</si>
  <si>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</si>
  <si>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</si>
  <si>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</si>
  <si>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</si>
  <si>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</si>
  <si>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</si>
  <si>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</si>
  <si>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</si>
  <si>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</si>
  <si>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</si>
  <si>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</si>
  <si>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</si>
  <si>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</si>
  <si>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</si>
  <si>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</si>
  <si>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</si>
  <si>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</si>
  <si>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</si>
  <si>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</si>
  <si>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</si>
  <si>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</si>
  <si>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</si>
  <si>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</si>
  <si>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</si>
  <si>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</si>
  <si>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</si>
  <si>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</si>
  <si>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</si>
  <si>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</si>
  <si>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</si>
  <si>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</si>
  <si>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</si>
  <si>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</si>
  <si>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</si>
  <si>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</si>
  <si>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</si>
  <si>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</si>
  <si>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</si>
  <si>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</si>
  <si>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</si>
  <si>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</si>
  <si>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</si>
  <si>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</si>
  <si>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</si>
  <si>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</si>
  <si>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</si>
  <si>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</si>
  <si>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</si>
  <si>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</si>
  <si>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</si>
  <si>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</si>
  <si>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</si>
  <si>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</si>
  <si>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</si>
  <si>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</si>
  <si>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</si>
  <si>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</si>
  <si>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</si>
  <si>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</si>
  <si>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</si>
  <si>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</si>
  <si>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</si>
  <si>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</si>
  <si>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</si>
  <si>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</si>
  <si>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</si>
  <si>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</si>
  <si>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</si>
  <si>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</si>
  <si>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</si>
  <si>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</si>
  <si>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</si>
  <si>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</si>
  <si>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</si>
  <si>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</si>
  <si>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</si>
  <si>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</si>
  <si>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</si>
  <si>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</si>
  <si>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</si>
  <si>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</si>
  <si>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</si>
  <si>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</si>
  <si>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</si>
  <si>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</si>
  <si>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</si>
  <si>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</si>
  <si>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</si>
  <si>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</si>
  <si>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</si>
  <si>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</si>
  <si>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</si>
  <si>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</si>
  <si>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</si>
  <si>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</si>
  <si>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</si>
  <si>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</si>
  <si>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</si>
  <si>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</si>
  <si>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</si>
  <si>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</si>
  <si>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</si>
  <si>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</si>
  <si>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</si>
  <si>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</si>
  <si>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</si>
  <si>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</si>
  <si>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</si>
  <si>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</si>
  <si>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</si>
  <si>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</si>
  <si>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</si>
  <si>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</si>
  <si>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</si>
  <si>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</si>
  <si>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</si>
  <si>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</si>
  <si>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</si>
  <si>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</si>
  <si>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</si>
  <si>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</si>
  <si>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</si>
  <si>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</si>
  <si>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</si>
  <si>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</si>
  <si>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</si>
  <si>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</si>
  <si>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</si>
  <si>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</si>
  <si>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</si>
  <si>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</si>
  <si>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</si>
  <si>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</si>
  <si>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</si>
  <si>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</si>
  <si>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</si>
  <si>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</si>
  <si>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</si>
  <si>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</si>
  <si>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</si>
  <si>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</si>
  <si>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</si>
  <si>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</si>
  <si>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</si>
  <si>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</si>
  <si>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</si>
  <si>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</si>
  <si>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</si>
  <si>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</si>
  <si>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</si>
  <si>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</si>
  <si>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</si>
  <si>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</si>
  <si>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</si>
  <si>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</si>
  <si>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</si>
  <si>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</si>
  <si>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</si>
  <si>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</si>
  <si>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</si>
  <si>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</si>
  <si>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</si>
  <si>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</si>
  <si>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</si>
  <si>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</si>
  <si>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</si>
  <si>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</si>
  <si>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</si>
  <si>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</si>
  <si>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</si>
  <si>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</si>
  <si>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</si>
  <si>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</si>
  <si>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</si>
  <si>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</si>
  <si>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</si>
  <si>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</si>
  <si>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</si>
  <si>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</si>
  <si>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</si>
  <si>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</si>
  <si>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</si>
  <si>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</si>
  <si>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</si>
  <si>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</si>
  <si>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</si>
  <si>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</si>
  <si>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</si>
  <si>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</si>
  <si>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</si>
  <si>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</si>
  <si>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</si>
  <si>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</si>
  <si>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</si>
  <si>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</si>
  <si>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</si>
  <si>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</si>
  <si>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</si>
  <si>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</si>
  <si>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</si>
  <si>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</si>
  <si>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</si>
  <si>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</si>
  <si>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</si>
  <si>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</si>
  <si>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</si>
  <si>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</si>
  <si>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</si>
  <si>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</si>
  <si>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</si>
  <si>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</si>
  <si>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</si>
  <si>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</si>
  <si>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</si>
  <si>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</si>
  <si>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</si>
  <si>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</si>
  <si>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</si>
  <si>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</si>
  <si>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</si>
  <si>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</si>
  <si>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</si>
  <si>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</si>
  <si>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</si>
  <si>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</si>
  <si>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</si>
  <si>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</si>
  <si>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</si>
  <si>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</si>
  <si>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</si>
  <si>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</si>
  <si>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</si>
  <si>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</si>
  <si>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</si>
  <si>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</si>
  <si>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</si>
  <si>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</si>
  <si>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</si>
  <si>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</si>
  <si>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</si>
  <si>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</si>
  <si>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</si>
  <si>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</si>
  <si>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</si>
  <si>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</si>
  <si>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</si>
  <si>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</si>
  <si>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</si>
  <si>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</si>
  <si>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</si>
  <si>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</si>
  <si>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</si>
  <si>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</si>
  <si>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</si>
  <si>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</si>
  <si>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</si>
  <si>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</si>
  <si>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</si>
  <si>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</si>
  <si>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</si>
  <si>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</si>
  <si>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</si>
  <si>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</si>
  <si>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</si>
  <si>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</si>
  <si>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</si>
  <si>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</si>
  <si>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</si>
  <si>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</si>
  <si>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</si>
  <si>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</si>
  <si>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</si>
  <si>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</si>
  <si>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</si>
  <si>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</si>
  <si>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</si>
  <si>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</si>
  <si>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</si>
  <si>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</si>
  <si>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</si>
  <si>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</si>
  <si>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</si>
  <si>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</si>
  <si>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</si>
  <si>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</si>
  <si>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</si>
  <si>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</si>
  <si>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</si>
  <si>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</si>
  <si>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</si>
  <si>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</si>
  <si>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</si>
  <si>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</si>
  <si>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</si>
  <si>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</si>
  <si>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</si>
  <si>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</si>
  <si>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</si>
  <si>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</si>
  <si>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</si>
  <si>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</si>
  <si>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</si>
  <si>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</si>
  <si>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</si>
  <si>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</si>
  <si>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</si>
  <si>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</si>
  <si>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</si>
  <si>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</si>
  <si>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</si>
  <si>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</si>
  <si>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</si>
  <si>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</si>
  <si>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</si>
  <si>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</si>
  <si>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</si>
  <si>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</si>
  <si>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</si>
  <si>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</si>
  <si>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</si>
  <si>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</si>
  <si>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</si>
  <si>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</si>
  <si>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</si>
  <si>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</si>
  <si>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</si>
  <si>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</si>
  <si>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</si>
  <si>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</si>
  <si>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</si>
  <si>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</si>
  <si>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</si>
  <si>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</si>
  <si>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</si>
  <si>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</si>
  <si>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</si>
  <si>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</si>
  <si>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</si>
  <si>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</si>
  <si>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</si>
  <si>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</si>
  <si>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</si>
  <si>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</si>
  <si>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</si>
  <si>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</si>
  <si>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</si>
  <si>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</si>
  <si>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</si>
  <si>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</si>
  <si>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</si>
  <si>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</si>
  <si>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</si>
  <si>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</si>
  <si>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</si>
  <si>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</si>
  <si>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</si>
  <si>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</si>
  <si>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</si>
  <si>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</si>
  <si>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</si>
  <si>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</si>
  <si>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</si>
  <si>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</si>
  <si>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</si>
  <si>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</si>
  <si>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</si>
  <si>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</si>
  <si>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</si>
  <si>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</si>
  <si>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</si>
  <si>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</si>
  <si>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</si>
  <si>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</si>
  <si>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</si>
  <si>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</si>
  <si>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</si>
  <si>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</si>
  <si>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</si>
  <si>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</si>
  <si>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</si>
  <si>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</si>
  <si>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</si>
  <si>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</si>
  <si>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</si>
  <si>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</si>
  <si>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</si>
  <si>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</si>
  <si>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</si>
  <si>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</si>
  <si>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</si>
  <si>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</si>
  <si>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</si>
  <si>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</si>
  <si>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</si>
  <si>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</si>
  <si>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</si>
  <si>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</si>
  <si>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</si>
  <si>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</si>
  <si>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</si>
  <si>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</si>
  <si>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</si>
  <si>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</si>
  <si>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</si>
  <si>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</si>
  <si>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</si>
  <si>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</si>
  <si>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</si>
  <si>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</si>
  <si>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</si>
  <si>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</si>
  <si>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</si>
  <si>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</si>
  <si>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</si>
  <si>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</si>
  <si>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</si>
  <si>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</si>
  <si>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</si>
  <si>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</si>
  <si>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</si>
  <si>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</si>
  <si>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</si>
  <si>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</si>
  <si>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</si>
  <si>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</si>
  <si>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</si>
  <si>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</si>
  <si>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</si>
  <si>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</si>
  <si>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</si>
  <si>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</si>
  <si>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</si>
  <si>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</si>
  <si>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</si>
  <si>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</si>
  <si>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</si>
  <si>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</si>
  <si>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</si>
  <si>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</si>
  <si>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</si>
  <si>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</si>
  <si>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</si>
  <si>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</si>
  <si>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</si>
  <si>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</si>
  <si>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</si>
  <si>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</si>
  <si>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</si>
  <si>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</si>
  <si>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</si>
  <si>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</si>
  <si>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</si>
  <si>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</si>
  <si>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</si>
  <si>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</si>
  <si>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</si>
  <si>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</si>
  <si>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</si>
  <si>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</si>
  <si>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</si>
  <si>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</si>
  <si>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</si>
  <si>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</si>
  <si>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</si>
  <si>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</si>
  <si>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</si>
  <si>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</si>
  <si>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</si>
  <si>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</si>
  <si>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</si>
  <si>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</si>
  <si>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</si>
  <si>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</si>
  <si>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</si>
  <si>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</si>
  <si>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</si>
  <si>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</si>
  <si>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</si>
  <si>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</si>
  <si>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</si>
  <si>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</si>
  <si>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</si>
  <si>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</si>
  <si>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</si>
  <si>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</si>
  <si>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</si>
  <si>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</si>
  <si>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</si>
  <si>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</si>
  <si>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</si>
  <si>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</si>
  <si>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</si>
  <si>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</si>
  <si>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</si>
  <si>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</si>
  <si>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</si>
  <si>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</si>
  <si>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</si>
  <si>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</si>
  <si>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</si>
  <si>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</si>
  <si>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</si>
  <si>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</si>
  <si>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</si>
  <si>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</si>
  <si>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</si>
  <si>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</si>
  <si>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</si>
  <si>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</si>
  <si>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</si>
  <si>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</si>
  <si>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</si>
  <si>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</si>
  <si>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</si>
  <si>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</si>
  <si>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</si>
  <si>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</si>
  <si>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</si>
  <si>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</si>
  <si>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</si>
  <si>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</si>
  <si>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</si>
  <si>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</si>
  <si>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</si>
  <si>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</si>
  <si>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</si>
  <si>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</si>
  <si>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</si>
  <si>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</si>
  <si>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</si>
  <si>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</si>
  <si>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</si>
  <si>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</si>
  <si>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</si>
  <si>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</si>
  <si>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</si>
  <si>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</si>
  <si>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</si>
  <si>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</si>
  <si>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</si>
  <si>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</si>
  <si>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</si>
  <si>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</si>
  <si>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</si>
  <si>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</si>
  <si>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</si>
  <si>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</si>
  <si>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</si>
  <si>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</si>
  <si>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</si>
  <si>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</si>
  <si>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</si>
  <si>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</si>
  <si>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</si>
  <si>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</si>
  <si>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</si>
  <si>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</si>
  <si>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</si>
  <si>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</si>
  <si>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</si>
  <si>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</si>
  <si>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</si>
  <si>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</si>
  <si>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</si>
  <si>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</si>
  <si>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</si>
  <si>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</si>
  <si>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</si>
  <si>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</si>
  <si>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</si>
  <si>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</si>
  <si>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</si>
  <si>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</si>
  <si>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</si>
  <si>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</si>
  <si>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</si>
  <si>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</si>
  <si>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</si>
  <si>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</si>
  <si>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</si>
  <si>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</si>
  <si>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</si>
  <si>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</si>
  <si>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</si>
  <si>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</si>
  <si>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</si>
  <si>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</si>
  <si>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</si>
  <si>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</si>
  <si>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</si>
  <si>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</si>
  <si>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</si>
  <si>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</si>
  <si>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</si>
  <si>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</si>
  <si>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</si>
  <si>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</si>
  <si>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</si>
  <si>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</si>
  <si>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</si>
  <si>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</si>
  <si>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</si>
  <si>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</si>
  <si>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</si>
  <si>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</si>
  <si>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</si>
  <si>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</si>
  <si>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</si>
  <si>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</si>
  <si>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</si>
  <si>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</si>
  <si>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</si>
  <si>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</si>
  <si>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</si>
  <si>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</si>
  <si>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</si>
  <si>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</si>
  <si>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</si>
  <si>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</si>
  <si>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</si>
  <si>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</si>
  <si>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</si>
  <si>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</si>
  <si>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</si>
  <si>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</si>
  <si>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</si>
  <si>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</si>
  <si>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</si>
  <si>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</si>
  <si>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</si>
  <si>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</si>
  <si>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</si>
  <si>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</si>
  <si>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</si>
  <si>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</si>
  <si>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</si>
  <si>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</si>
  <si>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</si>
  <si>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</si>
  <si>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</si>
  <si>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</si>
  <si>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</si>
  <si>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</si>
  <si>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</si>
  <si>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</si>
  <si>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</si>
  <si>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</si>
  <si>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</si>
  <si>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</si>
  <si>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</si>
  <si>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</si>
  <si>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</si>
  <si>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</si>
  <si>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</si>
  <si>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</si>
  <si>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</si>
  <si>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</si>
  <si>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</si>
  <si>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</si>
  <si>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</si>
  <si>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</si>
  <si>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</si>
  <si>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</si>
  <si>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</si>
  <si>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</si>
  <si>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</si>
  <si>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</si>
  <si>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</si>
  <si>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</si>
  <si>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</si>
  <si>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</si>
  <si>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</si>
  <si>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</si>
  <si>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</si>
  <si>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</si>
  <si>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</si>
  <si>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</si>
  <si>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</si>
  <si>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</si>
  <si>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</si>
  <si>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</si>
  <si>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</si>
  <si>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</si>
  <si>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</si>
  <si>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</si>
  <si>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</si>
  <si>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</si>
  <si>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</si>
  <si>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</si>
  <si>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</si>
  <si>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</si>
  <si>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</si>
  <si>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</si>
  <si>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</si>
  <si>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</si>
  <si>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</si>
  <si>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</si>
  <si>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</si>
  <si>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</si>
  <si>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</si>
  <si>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</si>
  <si>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</si>
  <si>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</si>
  <si>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</si>
  <si>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</si>
  <si>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</si>
  <si>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</si>
  <si>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</si>
  <si>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</si>
  <si>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</si>
  <si>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</si>
  <si>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</si>
  <si>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</si>
  <si>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</si>
  <si>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</si>
  <si>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</si>
  <si>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</si>
  <si>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</si>
  <si>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</si>
  <si>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</si>
  <si>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</si>
  <si>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</si>
  <si>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</si>
  <si>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</si>
  <si>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</si>
  <si>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</si>
  <si>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</si>
  <si>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</si>
  <si>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</si>
  <si>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</si>
  <si>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</si>
  <si>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</si>
  <si>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</si>
  <si>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</si>
  <si>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</si>
  <si>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</si>
  <si>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</si>
  <si>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</si>
  <si>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</si>
  <si>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</si>
  <si>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</si>
  <si>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</si>
  <si>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</si>
  <si>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</si>
  <si>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</si>
  <si>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</si>
  <si>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</si>
  <si>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</si>
  <si>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</si>
  <si>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</si>
  <si>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</si>
  <si>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</si>
  <si>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</si>
  <si>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</si>
  <si>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</si>
  <si>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</si>
  <si>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</si>
  <si>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</si>
  <si>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</si>
  <si>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</si>
  <si>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</si>
  <si>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</si>
  <si>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</si>
  <si>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</si>
  <si>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</si>
  <si>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</si>
  <si>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</si>
  <si>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</si>
  <si>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</si>
  <si>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</si>
  <si>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</si>
  <si>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</si>
  <si>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</si>
  <si>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</si>
  <si>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</si>
  <si>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</si>
  <si>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</si>
  <si>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</si>
  <si>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</si>
  <si>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</si>
  <si>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</si>
  <si>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</si>
  <si>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</si>
  <si>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</si>
  <si>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</si>
  <si>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</si>
  <si>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</si>
  <si>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</si>
  <si>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</si>
  <si>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</si>
  <si>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</si>
  <si>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</si>
  <si>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</si>
  <si>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</si>
  <si>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</si>
  <si>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</si>
  <si>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</si>
  <si>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</si>
  <si>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</si>
  <si>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</si>
  <si>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</si>
  <si>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</si>
  <si>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</si>
  <si>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</si>
  <si>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</si>
  <si>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</si>
  <si>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</si>
  <si>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</si>
  <si>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</si>
  <si>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</si>
  <si>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</si>
  <si>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</si>
  <si>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</si>
  <si>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</si>
  <si>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</si>
  <si>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</si>
  <si>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</si>
  <si>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</si>
  <si>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</si>
  <si>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</si>
  <si>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</si>
  <si>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</si>
  <si>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</si>
  <si>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</si>
  <si>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</si>
  <si>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</si>
  <si>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</si>
  <si>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</si>
  <si>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</si>
  <si>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</si>
  <si>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</si>
  <si>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</si>
  <si>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</si>
  <si>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</si>
  <si>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</si>
  <si>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</si>
  <si>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</si>
  <si>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</si>
  <si>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</si>
  <si>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</si>
  <si>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</si>
  <si>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</si>
  <si>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</si>
  <si>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</si>
  <si>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</si>
  <si>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</si>
  <si>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</si>
  <si>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</si>
  <si>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</si>
  <si>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</si>
  <si>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</si>
  <si>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</si>
  <si>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</si>
  <si>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</si>
  <si>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</si>
  <si>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</si>
  <si>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</si>
  <si>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</si>
  <si>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</si>
  <si>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</si>
  <si>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</si>
  <si>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</si>
  <si>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</si>
  <si>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</si>
  <si>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</si>
  <si>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</si>
  <si>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</si>
  <si>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</si>
  <si>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</si>
  <si>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</si>
  <si>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</si>
  <si>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</si>
  <si>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</si>
  <si>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</si>
  <si>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</si>
  <si>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</si>
  <si>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</si>
  <si>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</si>
  <si>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</si>
  <si>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</si>
  <si>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</si>
  <si>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</si>
  <si>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</si>
  <si>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</si>
  <si>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</si>
  <si>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</si>
  <si>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</si>
  <si>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</si>
  <si>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</si>
  <si>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</si>
  <si>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</si>
  <si>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</si>
  <si>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</si>
  <si>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</si>
  <si>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</si>
  <si>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</si>
  <si>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</si>
  <si>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</si>
  <si>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</si>
  <si>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</si>
  <si>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</si>
  <si>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</si>
  <si>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</si>
  <si>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</si>
  <si>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</si>
  <si>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</si>
  <si>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</si>
  <si>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</si>
  <si>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</si>
  <si>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</si>
  <si>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</si>
  <si>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</si>
  <si>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</si>
  <si>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</si>
  <si>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</si>
  <si>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</si>
  <si>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</si>
  <si>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</si>
  <si>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</si>
  <si>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</si>
  <si>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</si>
  <si>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</si>
  <si>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</si>
  <si>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</si>
  <si>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</si>
  <si>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</si>
  <si>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</si>
  <si>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</si>
  <si>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</si>
  <si>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</si>
  <si>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</si>
  <si>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</si>
  <si>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</si>
  <si>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</si>
  <si>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</si>
  <si>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</si>
  <si>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</si>
  <si>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</si>
  <si>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</si>
  <si>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</si>
  <si>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</si>
  <si>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</si>
  <si>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</si>
  <si>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</si>
  <si>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</si>
  <si>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</si>
  <si>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</si>
  <si>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</si>
  <si>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</si>
  <si>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</si>
  <si>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</si>
  <si>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</si>
  <si>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</si>
  <si>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</si>
  <si>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</si>
  <si>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</si>
  <si>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</si>
  <si>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</si>
  <si>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</si>
  <si>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</si>
  <si>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</si>
  <si>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</si>
  <si>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</si>
  <si>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</si>
  <si>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</si>
  <si>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</si>
  <si>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</si>
  <si>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</si>
  <si>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</si>
  <si>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</si>
  <si>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</si>
  <si>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</si>
  <si>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</si>
  <si>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</si>
  <si>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</si>
  <si>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</si>
  <si>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</si>
  <si>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</si>
  <si>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</si>
  <si>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</si>
  <si>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</si>
  <si>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</si>
  <si>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</si>
  <si>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</si>
  <si>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</si>
  <si>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</si>
  <si>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</si>
  <si>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</si>
  <si>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</si>
  <si>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</si>
  <si>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</si>
  <si>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</si>
  <si>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</si>
  <si>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</si>
  <si>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</si>
  <si>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</si>
  <si>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</si>
  <si>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</si>
  <si>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</si>
  <si>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</si>
  <si>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</si>
  <si>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</si>
  <si>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</si>
  <si>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</si>
  <si>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</si>
  <si>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</si>
  <si>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</si>
  <si>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</si>
  <si>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</si>
  <si>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</si>
  <si>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</si>
  <si>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</si>
  <si>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</si>
  <si>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</si>
  <si>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</si>
  <si>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</si>
  <si>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</si>
  <si>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</si>
  <si>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</si>
  <si>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</si>
  <si>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</si>
  <si>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</si>
  <si>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</si>
  <si>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</si>
  <si>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</si>
  <si>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</si>
  <si>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</si>
  <si>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</si>
  <si>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</si>
  <si>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</si>
  <si>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</si>
  <si>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</si>
  <si>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</si>
  <si>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</si>
  <si>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</si>
  <si>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</si>
  <si>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</si>
  <si>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</si>
  <si>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</si>
  <si>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</si>
  <si>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</si>
  <si>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</si>
  <si>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</si>
  <si>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</si>
  <si>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</si>
  <si>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</si>
  <si>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</si>
  <si>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</si>
  <si>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</si>
  <si>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</si>
  <si>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</si>
  <si>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</si>
  <si>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</si>
  <si>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</si>
  <si>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</si>
  <si>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</si>
  <si>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</si>
  <si>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</si>
  <si>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</si>
  <si>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</si>
  <si>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</si>
  <si>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</si>
  <si>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</si>
  <si>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</si>
  <si>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</si>
  <si>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</si>
  <si>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</si>
  <si>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</si>
  <si>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</si>
  <si>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</si>
  <si>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</si>
  <si>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</si>
  <si>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</si>
  <si>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</si>
  <si>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</si>
  <si>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</si>
  <si>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</si>
  <si>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</si>
  <si>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</si>
  <si>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</si>
  <si>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</si>
  <si>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</si>
  <si>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</si>
  <si>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</si>
  <si>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</si>
  <si>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</si>
  <si>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</si>
  <si>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</si>
  <si>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</si>
  <si>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</si>
  <si>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</si>
  <si>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</si>
  <si>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</si>
  <si>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</si>
  <si>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</si>
  <si>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</si>
  <si>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</si>
  <si>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</si>
  <si>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</si>
  <si>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</si>
  <si>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</si>
  <si>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</si>
  <si>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</si>
  <si>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</si>
  <si>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</si>
  <si>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</si>
  <si>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</si>
  <si>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</si>
  <si>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</si>
  <si>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</si>
  <si>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</si>
  <si>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</si>
  <si>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</si>
  <si>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</si>
  <si>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</si>
  <si>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</si>
  <si>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</si>
  <si>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</si>
  <si>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</si>
  <si>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</si>
  <si>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</si>
  <si>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</si>
  <si>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</si>
  <si>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</si>
  <si>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</si>
  <si>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</si>
  <si>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</si>
  <si>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</si>
  <si>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</si>
  <si>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</si>
  <si>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</si>
  <si>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</si>
  <si>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</si>
  <si>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</si>
  <si>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</si>
  <si>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</si>
  <si>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</si>
  <si>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</si>
  <si>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</si>
  <si>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</si>
  <si>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</si>
  <si>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</si>
  <si>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</si>
  <si>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</si>
  <si>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</si>
  <si>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</si>
  <si>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</si>
  <si>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</si>
  <si>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</si>
  <si>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</si>
  <si>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</si>
  <si>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</si>
  <si>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</si>
  <si>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</si>
  <si>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</si>
  <si>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</si>
  <si>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</si>
  <si>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</si>
  <si>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</si>
  <si>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</si>
  <si>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</si>
  <si>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</si>
  <si>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</si>
  <si>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</si>
  <si>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</si>
  <si>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</si>
  <si>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</si>
  <si>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</si>
  <si>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</si>
  <si>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</si>
  <si>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</si>
  <si>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</si>
  <si>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</si>
  <si>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</si>
  <si>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</si>
  <si>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</si>
  <si>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</si>
  <si>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</si>
  <si>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</si>
  <si>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</si>
  <si>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</si>
  <si>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</si>
  <si>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</si>
  <si>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</si>
  <si>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</si>
  <si>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</si>
  <si>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</si>
  <si>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</si>
  <si>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</si>
  <si>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</si>
  <si>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</si>
  <si>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</si>
  <si>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</si>
  <si>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</si>
  <si>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</si>
  <si>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</si>
  <si>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</si>
  <si>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</si>
  <si>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</si>
  <si>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</si>
  <si>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</si>
  <si>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</si>
  <si>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</si>
  <si>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</si>
  <si>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</si>
  <si>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</si>
  <si>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</si>
  <si>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</si>
  <si>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</si>
  <si>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</si>
  <si>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</si>
  <si>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</si>
  <si>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</si>
  <si>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</si>
  <si>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</si>
  <si>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</si>
  <si>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</si>
  <si>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</si>
  <si>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</si>
  <si>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</si>
  <si>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</si>
  <si>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</si>
  <si>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</si>
  <si>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</si>
  <si>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</si>
  <si>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</si>
  <si>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</si>
  <si>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</si>
  <si>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</si>
  <si>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</si>
  <si>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</si>
  <si>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</si>
  <si>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</si>
  <si>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</si>
  <si>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</si>
  <si>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</si>
  <si>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</si>
  <si>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</si>
  <si>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</si>
  <si>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</si>
  <si>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</si>
  <si>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</si>
  <si>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</si>
  <si>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</si>
  <si>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</si>
  <si>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</si>
  <si>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</si>
  <si>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</si>
  <si>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</si>
  <si>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</si>
  <si>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</si>
  <si>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</si>
  <si>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</si>
  <si>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</si>
  <si>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</si>
  <si>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</si>
  <si>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</si>
  <si>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</si>
  <si>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</si>
  <si>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</si>
  <si>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</si>
  <si>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</si>
  <si>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</si>
  <si>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</si>
  <si>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</si>
  <si>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</si>
  <si>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</si>
  <si>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</si>
  <si>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</si>
  <si>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</si>
  <si>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</si>
  <si>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</si>
  <si>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</si>
  <si>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</si>
  <si>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</si>
  <si>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</si>
  <si>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</si>
  <si>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</si>
  <si>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</si>
  <si>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</si>
  <si>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</si>
  <si>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</si>
  <si>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</si>
  <si>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</si>
  <si>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</si>
  <si>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</si>
  <si>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</si>
  <si>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</si>
  <si>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</si>
  <si>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</si>
  <si>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</si>
  <si>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</si>
  <si>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</si>
  <si>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</si>
  <si>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</si>
  <si>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</si>
  <si>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</si>
  <si>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</si>
  <si>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</si>
  <si>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</si>
  <si>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</si>
  <si>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</si>
  <si>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</si>
  <si>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</si>
  <si>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</si>
  <si>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</si>
  <si>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</si>
  <si>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</si>
  <si>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</si>
  <si>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</si>
  <si>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</si>
  <si>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</si>
  <si>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</si>
  <si>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</si>
  <si>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</si>
  <si>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</si>
  <si>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</si>
  <si>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</si>
  <si>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</si>
  <si>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</si>
  <si>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</si>
  <si>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</si>
  <si>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</si>
  <si>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</si>
  <si>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</si>
  <si>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</si>
  <si>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</si>
  <si>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</si>
  <si>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</si>
  <si>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</si>
  <si>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</si>
  <si>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</si>
  <si>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</si>
  <si>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</si>
  <si>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</si>
  <si>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</si>
  <si>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</si>
  <si>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</si>
  <si>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</si>
  <si>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</si>
  <si>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</si>
  <si>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</si>
  <si>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</si>
  <si>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</si>
  <si>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</si>
  <si>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</si>
  <si>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</si>
  <si>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</si>
  <si>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</si>
  <si>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</si>
  <si>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</si>
  <si>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</si>
  <si>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</si>
  <si>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</si>
  <si>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</si>
  <si>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</si>
  <si>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</si>
  <si>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</si>
  <si>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</si>
  <si>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</si>
  <si>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</si>
  <si>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</si>
  <si>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</si>
  <si>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</si>
  <si>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</si>
  <si>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</si>
  <si>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</si>
  <si>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</si>
  <si>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</si>
  <si>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</si>
  <si>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</si>
  <si>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</si>
  <si>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</si>
  <si>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</si>
  <si>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</si>
  <si>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</si>
  <si>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</si>
  <si>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</si>
  <si>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</si>
  <si>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</si>
  <si>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</si>
  <si>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</si>
  <si>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</si>
  <si>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</si>
  <si>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</si>
  <si>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</si>
  <si>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</si>
  <si>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</si>
  <si>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</si>
  <si>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</si>
  <si>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</si>
  <si>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</si>
  <si>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</si>
  <si>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</si>
  <si>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</si>
  <si>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</si>
  <si>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</si>
  <si>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</si>
  <si>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</si>
  <si>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</si>
  <si>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</si>
  <si>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</si>
  <si>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</si>
  <si>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</si>
  <si>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</si>
  <si>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</si>
  <si>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</si>
  <si>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</si>
  <si>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</si>
  <si>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</si>
  <si>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</si>
  <si>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</si>
  <si>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</si>
  <si>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</si>
  <si>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</si>
  <si>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</si>
  <si>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</si>
  <si>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</si>
  <si>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</si>
  <si>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</si>
  <si>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</si>
  <si>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</si>
  <si>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</si>
  <si>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</si>
  <si>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</si>
  <si>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</si>
  <si>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</si>
  <si>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</si>
  <si>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</si>
  <si>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</si>
  <si>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</si>
  <si>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</si>
  <si>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</si>
  <si>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</si>
  <si>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</si>
  <si>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</si>
  <si>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</si>
  <si>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</si>
  <si>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</si>
  <si>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</si>
  <si>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</si>
  <si>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</si>
  <si>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</si>
  <si>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</si>
  <si>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</si>
  <si>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</si>
  <si>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</si>
  <si>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</si>
  <si>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</si>
  <si>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</si>
  <si>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</si>
  <si>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</si>
  <si>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</si>
  <si>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</si>
  <si>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</si>
  <si>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</si>
  <si>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</si>
  <si>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</si>
  <si>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</si>
  <si>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</si>
  <si>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</si>
  <si>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</si>
  <si>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</si>
  <si>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</si>
  <si>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</si>
  <si>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</si>
  <si>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</si>
  <si>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</si>
  <si>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</si>
  <si>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</si>
  <si>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</si>
  <si>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</si>
  <si>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</si>
  <si>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</si>
  <si>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</si>
  <si>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</si>
  <si>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</si>
  <si>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</si>
  <si>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</si>
  <si>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</si>
  <si>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</si>
  <si>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</si>
  <si>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</si>
  <si>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</si>
  <si>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</si>
  <si>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</si>
  <si>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</si>
  <si>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</si>
  <si>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</si>
  <si>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</si>
  <si>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</si>
  <si>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</si>
  <si>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</si>
  <si>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</si>
  <si>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</si>
  <si>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</si>
  <si>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</si>
  <si>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</si>
  <si>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</si>
  <si>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</si>
  <si>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</si>
  <si>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</si>
  <si>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</si>
  <si>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</si>
  <si>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</si>
  <si>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</si>
  <si>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</si>
  <si>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</si>
  <si>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</si>
  <si>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</si>
  <si>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</si>
  <si>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</si>
  <si>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</si>
  <si>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</si>
  <si>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</si>
  <si>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</si>
  <si>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</si>
  <si>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</si>
  <si>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</si>
  <si>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</si>
  <si>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</si>
  <si>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</si>
  <si>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</si>
  <si>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</si>
  <si>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</si>
  <si>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</si>
  <si>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</si>
  <si>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</si>
  <si>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</si>
  <si>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</si>
  <si>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</si>
  <si>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</si>
  <si>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</si>
  <si>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</si>
  <si>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</si>
  <si>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</si>
  <si>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</si>
  <si>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</si>
  <si>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</si>
  <si>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</si>
  <si>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</si>
  <si>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</si>
  <si>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</si>
  <si>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</si>
  <si>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</si>
  <si>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</si>
  <si>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</si>
  <si>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</si>
  <si>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</si>
  <si>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</si>
  <si>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</si>
  <si>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</si>
  <si>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</si>
  <si>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</si>
  <si>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</si>
  <si>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</si>
  <si>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</si>
  <si>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</si>
  <si>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</si>
  <si>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</si>
  <si>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</si>
  <si>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</si>
  <si>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</si>
  <si>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</si>
  <si>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</si>
  <si>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</si>
  <si>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</si>
  <si>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</si>
  <si>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</si>
  <si>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</si>
  <si>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</si>
  <si>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</si>
  <si>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</si>
  <si>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</si>
  <si>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</si>
  <si>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</si>
  <si>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</si>
  <si>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</si>
  <si>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</si>
  <si>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</si>
  <si>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</si>
  <si>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</si>
  <si>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</si>
  <si>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</si>
  <si>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</si>
  <si>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</si>
  <si>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</si>
  <si>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</si>
  <si>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</si>
  <si>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</si>
  <si>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</si>
  <si>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</si>
  <si>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</si>
  <si>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</si>
  <si>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</si>
  <si>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</si>
  <si>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</si>
  <si>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</si>
  <si>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</si>
  <si>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</si>
  <si>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</si>
  <si>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</si>
  <si>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</si>
  <si>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</si>
  <si>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</si>
  <si>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</si>
  <si>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</si>
  <si>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</si>
  <si>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</si>
  <si>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</si>
  <si>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</si>
  <si>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</si>
  <si>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</si>
  <si>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</si>
  <si>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</si>
  <si>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</si>
  <si>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</si>
  <si>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</si>
  <si>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</si>
  <si>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</si>
  <si>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</si>
  <si>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</si>
  <si>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</si>
  <si>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</si>
  <si>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</si>
  <si>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</si>
  <si>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</si>
  <si>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</si>
  <si>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</si>
  <si>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</si>
  <si>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</si>
  <si>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</si>
  <si>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</si>
  <si>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</si>
  <si>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</si>
  <si>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</si>
  <si>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</si>
  <si>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</si>
  <si>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</si>
  <si>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</si>
  <si>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</si>
  <si>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</si>
  <si>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</si>
  <si>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</si>
  <si>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</si>
  <si>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</si>
  <si>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</si>
  <si>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</si>
  <si>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</si>
  <si>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</si>
  <si>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</si>
  <si>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</si>
  <si>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</si>
  <si>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</si>
  <si>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</si>
  <si>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</si>
  <si>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</si>
  <si>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</si>
  <si>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</si>
  <si>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</si>
  <si>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</si>
  <si>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</si>
  <si>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</si>
  <si>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</si>
  <si>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</si>
  <si>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</si>
  <si>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</si>
  <si>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</si>
  <si>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</si>
  <si>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</si>
  <si>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</si>
  <si>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</si>
  <si>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</si>
  <si>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</si>
  <si>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</si>
  <si>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</si>
  <si>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</si>
  <si>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</si>
  <si>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</si>
  <si>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</si>
  <si>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</si>
  <si>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</si>
  <si>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</si>
  <si>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</si>
  <si>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</si>
  <si>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</si>
  <si>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</si>
  <si>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</si>
  <si>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</si>
  <si>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</si>
  <si>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</si>
  <si>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</si>
  <si>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</si>
  <si>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</si>
  <si>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</si>
  <si>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</si>
  <si>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</si>
  <si>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</si>
  <si>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</si>
  <si>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</si>
  <si>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</si>
  <si>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</si>
  <si>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</si>
  <si>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</si>
  <si>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</si>
  <si>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</si>
  <si>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</si>
  <si>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</si>
  <si>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</si>
  <si>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</si>
  <si>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</si>
  <si>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</si>
  <si>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</si>
  <si>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</si>
  <si>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</si>
  <si>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</si>
  <si>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</si>
  <si>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</si>
  <si>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</si>
  <si>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</si>
  <si>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</si>
  <si>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</si>
  <si>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</si>
  <si>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</si>
  <si>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</si>
  <si>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</si>
  <si>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</si>
  <si>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</si>
  <si>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</si>
  <si>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</si>
  <si>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</si>
  <si>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</si>
  <si>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</si>
  <si>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</si>
  <si>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</si>
  <si>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</si>
  <si>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</si>
  <si>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</si>
  <si>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</si>
  <si>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</si>
  <si>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</si>
  <si>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</si>
  <si>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</si>
  <si>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</si>
  <si>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</si>
  <si>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</si>
  <si>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</si>
  <si>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</si>
  <si>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</si>
  <si>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</si>
  <si>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</si>
  <si>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</si>
  <si>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</si>
  <si>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</si>
  <si>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</si>
  <si>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</si>
  <si>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</si>
  <si>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</si>
  <si>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</si>
  <si>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</si>
  <si>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</si>
  <si>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</si>
  <si>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</si>
  <si>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</si>
  <si>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</si>
  <si>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</si>
  <si>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</si>
  <si>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</si>
  <si>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</si>
  <si>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</si>
  <si>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</si>
  <si>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</si>
  <si>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</si>
  <si>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</si>
  <si>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</si>
  <si>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</si>
  <si>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</si>
  <si>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</si>
  <si>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</si>
  <si>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</si>
  <si>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</si>
  <si>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</si>
  <si>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</si>
  <si>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</si>
  <si>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</si>
  <si>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</si>
  <si>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</si>
  <si>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</si>
  <si>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</si>
  <si>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</si>
  <si>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</si>
  <si>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</si>
  <si>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</si>
  <si>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</si>
  <si>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</si>
  <si>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</si>
  <si>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</si>
  <si>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</si>
  <si>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</si>
  <si>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</si>
  <si>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</si>
  <si>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</si>
  <si>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</si>
  <si>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</si>
  <si>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</si>
  <si>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</si>
  <si>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</si>
  <si>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</si>
  <si>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</si>
  <si>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</si>
  <si>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</si>
  <si>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</si>
  <si>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</si>
  <si>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</si>
  <si>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</si>
  <si>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</si>
  <si>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</si>
  <si>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</si>
  <si>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</si>
  <si>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</si>
  <si>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</si>
  <si>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</si>
  <si>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</si>
  <si>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</si>
  <si>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</si>
  <si>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</si>
  <si>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</si>
  <si>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</si>
  <si>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</si>
  <si>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</si>
  <si>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</si>
  <si>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</si>
  <si>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</si>
  <si>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</si>
  <si>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</si>
  <si>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</si>
  <si>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</si>
  <si>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</si>
  <si>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</si>
  <si>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</si>
  <si>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</si>
  <si>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</si>
  <si>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</si>
  <si>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</si>
  <si>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</si>
  <si>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</si>
  <si>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</si>
  <si>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</si>
  <si>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</si>
  <si>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</si>
  <si>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</si>
  <si>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</si>
  <si>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</si>
  <si>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</si>
  <si>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</si>
  <si>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</si>
  <si>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</si>
  <si>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</si>
  <si>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</si>
  <si>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</si>
  <si>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</si>
  <si>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</si>
  <si>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</si>
  <si>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</si>
  <si>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</si>
  <si>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</si>
  <si>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</si>
  <si>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</si>
  <si>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</si>
  <si>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</si>
  <si>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</si>
  <si>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</si>
  <si>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</si>
  <si>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</si>
  <si>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</si>
  <si>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</si>
  <si>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</si>
  <si>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</si>
  <si>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</si>
  <si>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</si>
  <si>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</si>
  <si>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</si>
  <si>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</si>
  <si>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</si>
  <si>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</si>
  <si>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</si>
  <si>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</si>
  <si>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</si>
  <si>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</si>
  <si>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</si>
  <si>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</si>
  <si>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</si>
  <si>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</si>
  <si>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</si>
  <si>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</si>
  <si>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</si>
  <si>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</si>
  <si>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</si>
  <si>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</si>
  <si>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</si>
  <si>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</si>
  <si>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</si>
  <si>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</si>
  <si>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</si>
  <si>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</si>
  <si>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</si>
  <si>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</si>
  <si>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</si>
  <si>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</si>
  <si>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</si>
  <si>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</si>
  <si>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</si>
  <si>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</si>
  <si>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</si>
  <si>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</si>
  <si>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</si>
  <si>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</si>
  <si>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</si>
  <si>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</si>
  <si>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</si>
  <si>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</si>
  <si>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</si>
  <si>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</si>
  <si>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</si>
  <si>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</si>
  <si>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</si>
  <si>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</si>
  <si>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</si>
  <si>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</si>
  <si>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</si>
  <si>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</si>
  <si>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</si>
  <si>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</si>
  <si>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</si>
  <si>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</si>
  <si>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</si>
  <si>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</si>
  <si>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</si>
  <si>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</si>
  <si>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</si>
  <si>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</si>
  <si>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</si>
  <si>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</si>
  <si>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</si>
  <si>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</si>
  <si>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</si>
  <si>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</si>
  <si>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</si>
  <si>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</si>
  <si>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</si>
  <si>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</si>
  <si>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</si>
  <si>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</si>
  <si>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</si>
  <si>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</si>
  <si>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</si>
  <si>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</si>
  <si>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</si>
  <si>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</si>
  <si>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</si>
  <si>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</si>
  <si>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</si>
  <si>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</si>
  <si>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</si>
  <si>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</si>
  <si>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</si>
  <si>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</si>
  <si>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</si>
  <si>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</si>
  <si>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</si>
  <si>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</si>
  <si>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</si>
  <si>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</si>
  <si>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</si>
  <si>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</si>
  <si>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</si>
  <si>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</si>
  <si>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</si>
  <si>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</si>
  <si>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</si>
  <si>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</si>
  <si>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</si>
  <si>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</si>
  <si>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</si>
  <si>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</si>
  <si>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</si>
  <si>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</si>
  <si>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</si>
  <si>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</si>
  <si>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</si>
  <si>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</si>
  <si>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</si>
  <si>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</si>
  <si>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</si>
  <si>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</si>
  <si>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</si>
  <si>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</si>
  <si>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</si>
  <si>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</si>
  <si>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</si>
  <si>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</si>
  <si>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</si>
  <si>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</si>
  <si>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</si>
  <si>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</si>
  <si>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</si>
  <si>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</si>
  <si>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</si>
  <si>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</si>
  <si>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</si>
  <si>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</si>
  <si>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</si>
  <si>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</si>
  <si>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</si>
  <si>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</si>
  <si>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</si>
  <si>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</si>
  <si>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</si>
  <si>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</si>
  <si>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</si>
  <si>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</si>
  <si>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</si>
  <si>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</si>
  <si>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</si>
  <si>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</si>
  <si>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</si>
  <si>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</si>
  <si>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</si>
  <si>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</si>
  <si>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</si>
  <si>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</si>
  <si>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</si>
  <si>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</si>
  <si>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</si>
  <si>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</si>
  <si>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</si>
  <si>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</si>
  <si>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</si>
  <si>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</si>
  <si>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</si>
  <si>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</si>
  <si>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</si>
  <si>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</si>
  <si>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</si>
  <si>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</si>
  <si>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</si>
  <si>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</si>
  <si>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</si>
  <si>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</si>
  <si>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</si>
  <si>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</si>
  <si>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</si>
  <si>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</si>
  <si>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</si>
  <si>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</si>
  <si>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</si>
  <si>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</si>
  <si>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</si>
  <si>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</si>
  <si>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</si>
  <si>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</si>
  <si>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</si>
  <si>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</si>
  <si>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</si>
  <si>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</si>
  <si>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</si>
  <si>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</si>
  <si>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</si>
  <si>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</si>
  <si>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</si>
  <si>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</si>
  <si>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</si>
  <si>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</si>
  <si>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</si>
  <si>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</si>
  <si>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</si>
  <si>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</si>
  <si>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</si>
  <si>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</si>
  <si>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</si>
  <si>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</si>
  <si>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</si>
  <si>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</si>
  <si>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</si>
  <si>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</si>
  <si>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</si>
  <si>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</si>
  <si>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</si>
  <si>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</si>
  <si>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</si>
  <si>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</si>
  <si>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</si>
  <si>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</si>
  <si>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</si>
  <si>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</si>
  <si>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</si>
  <si>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</si>
  <si>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</si>
  <si>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</si>
  <si>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</si>
  <si>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</si>
  <si>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</si>
  <si>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</si>
  <si>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</si>
  <si>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</si>
  <si>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</si>
  <si>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</si>
  <si>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</si>
  <si>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</si>
  <si>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</si>
  <si>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</si>
  <si>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</si>
  <si>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</si>
  <si>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</si>
  <si>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</si>
  <si>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</si>
  <si>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</si>
  <si>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</si>
  <si>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</si>
  <si>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</si>
  <si>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</si>
  <si>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</si>
  <si>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</si>
  <si>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</si>
  <si>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</si>
  <si>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</si>
  <si>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</si>
  <si>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</si>
  <si>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</si>
  <si>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</si>
  <si>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</si>
  <si>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</si>
  <si>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</si>
  <si>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</si>
  <si>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</si>
  <si>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</si>
  <si>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</si>
  <si>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</si>
  <si>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</si>
  <si>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</si>
  <si>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</si>
  <si>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</si>
  <si>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</si>
  <si>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</si>
  <si>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</si>
  <si>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</si>
  <si>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</si>
  <si>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</si>
  <si>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</si>
  <si>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</si>
  <si>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</si>
  <si>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</si>
  <si>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</si>
  <si>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</si>
  <si>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</si>
  <si>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</si>
  <si>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</si>
  <si>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</si>
  <si>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</si>
  <si>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</si>
  <si>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</si>
  <si>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</si>
  <si>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</si>
  <si>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</si>
  <si>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</si>
  <si>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</si>
  <si>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</si>
  <si>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</si>
  <si>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</si>
  <si>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</si>
  <si>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</si>
  <si>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</si>
  <si>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</si>
  <si>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</si>
  <si>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</si>
  <si>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</si>
  <si>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</si>
  <si>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</si>
  <si>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</si>
  <si>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</si>
  <si>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</si>
  <si>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</si>
  <si>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</si>
  <si>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</si>
  <si>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</si>
  <si>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</si>
  <si>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</si>
  <si>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</si>
  <si>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</si>
  <si>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</si>
  <si>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</si>
  <si>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</si>
  <si>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</si>
  <si>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</si>
  <si>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</si>
  <si>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</si>
  <si>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</si>
  <si>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</si>
  <si>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</si>
  <si>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</si>
  <si>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</si>
  <si>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</si>
  <si>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</si>
  <si>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</si>
  <si>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</si>
  <si>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</si>
  <si>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</si>
  <si>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</si>
  <si>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</si>
  <si>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</si>
  <si>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</si>
  <si>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</si>
  <si>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</si>
  <si>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</si>
  <si>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</si>
  <si>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</si>
  <si>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</si>
  <si>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</si>
  <si>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</si>
  <si>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</si>
  <si>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</si>
  <si>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</si>
  <si>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</si>
  <si>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</si>
  <si>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</si>
  <si>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</si>
  <si>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</si>
  <si>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</si>
  <si>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</si>
  <si>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</si>
  <si>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</si>
  <si>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</si>
  <si>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</si>
  <si>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</si>
  <si>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</si>
  <si>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</si>
  <si>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</si>
  <si>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</si>
  <si>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</si>
  <si>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</si>
  <si>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</si>
  <si>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</si>
  <si>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</si>
  <si>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</si>
  <si>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</si>
  <si>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</si>
  <si>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</si>
  <si>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</si>
  <si>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</si>
  <si>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</si>
  <si>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</si>
  <si>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</si>
  <si>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</si>
  <si>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</si>
  <si>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</si>
  <si>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</si>
  <si>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</si>
  <si>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</si>
  <si>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</si>
  <si>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</si>
  <si>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</si>
  <si>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</si>
  <si>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</si>
  <si>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</si>
  <si>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</si>
  <si>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</si>
  <si>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</si>
  <si>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</si>
  <si>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</si>
  <si>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</si>
  <si>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</si>
  <si>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</si>
  <si>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</si>
  <si>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</si>
  <si>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</si>
  <si>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</si>
  <si>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</si>
  <si>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</si>
  <si>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</si>
  <si>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</si>
  <si>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</si>
  <si>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</si>
  <si>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</si>
  <si>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</si>
  <si>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</si>
  <si>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</si>
  <si>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</si>
  <si>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</si>
  <si>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</si>
  <si>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</si>
  <si>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</si>
  <si>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</si>
  <si>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</si>
  <si>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</si>
  <si>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</si>
  <si>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</si>
  <si>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</si>
  <si>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</si>
  <si>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</si>
  <si>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</si>
  <si>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</si>
  <si>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</si>
  <si>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</si>
  <si>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</si>
  <si>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</si>
  <si>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</si>
  <si>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</si>
  <si>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</si>
  <si>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</si>
  <si>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</si>
  <si>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</si>
  <si>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</si>
  <si>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</si>
  <si>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</si>
  <si>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</si>
  <si>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</si>
  <si>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</si>
  <si>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</si>
  <si>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</si>
  <si>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</si>
  <si>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</si>
  <si>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</si>
  <si>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</si>
  <si>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</si>
  <si>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</si>
  <si>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</si>
  <si>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</si>
  <si>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</si>
  <si>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</si>
  <si>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</si>
  <si>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</si>
  <si>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</si>
  <si>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</si>
  <si>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</si>
  <si>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</si>
  <si>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</si>
  <si>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</si>
  <si>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</si>
  <si>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</si>
  <si>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</si>
  <si>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</si>
  <si>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</si>
  <si>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</si>
  <si>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</si>
  <si>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</si>
  <si>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</si>
  <si>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</si>
  <si>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</si>
  <si>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</si>
  <si>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</si>
  <si>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</si>
  <si>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</si>
  <si>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</si>
  <si>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</si>
  <si>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</si>
  <si>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</si>
  <si>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</si>
  <si>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</si>
  <si>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</si>
  <si>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</si>
  <si>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</si>
  <si>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</si>
  <si>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</si>
  <si>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</si>
  <si>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</si>
  <si>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</si>
  <si>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</si>
  <si>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</si>
  <si>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</si>
  <si>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</si>
  <si>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</si>
  <si>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</si>
  <si>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</si>
  <si>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</si>
  <si>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</si>
  <si>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</si>
  <si>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</si>
  <si>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</si>
  <si>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</si>
  <si>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</si>
  <si>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</si>
  <si>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</si>
  <si>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</si>
  <si>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</si>
  <si>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</si>
  <si>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</si>
  <si>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</si>
  <si>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</si>
  <si>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</si>
  <si>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</si>
  <si>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</si>
  <si>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</si>
  <si>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</si>
  <si>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</si>
  <si>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</si>
  <si>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</si>
  <si>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</si>
  <si>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</si>
  <si>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</si>
  <si>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</si>
  <si>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</si>
  <si>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</si>
  <si>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</si>
  <si>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</si>
  <si>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</si>
  <si>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</si>
  <si>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</si>
  <si>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</si>
  <si>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</si>
  <si>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</si>
  <si>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</si>
  <si>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</si>
  <si>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</si>
  <si>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</si>
  <si>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</si>
  <si>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</si>
  <si>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</si>
  <si>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</si>
  <si>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</si>
  <si>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</si>
  <si>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</si>
  <si>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</si>
  <si>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</si>
  <si>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</si>
  <si>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</si>
  <si>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</si>
  <si>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</si>
  <si>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</si>
  <si>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</si>
  <si>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</si>
  <si>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</si>
  <si>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</si>
  <si>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</si>
  <si>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</si>
  <si>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</si>
  <si>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</si>
  <si>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</si>
  <si>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</si>
  <si>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</si>
  <si>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</si>
  <si>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</si>
  <si>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</si>
  <si>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</si>
  <si>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</si>
  <si>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</si>
  <si>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</si>
  <si>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</si>
  <si>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</si>
  <si>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</si>
  <si>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</si>
  <si>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</si>
  <si>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</si>
  <si>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</si>
  <si>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</si>
  <si>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</si>
  <si>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</si>
  <si>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</si>
  <si>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</si>
  <si>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</si>
  <si>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</si>
  <si>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</si>
  <si>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</si>
  <si>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</si>
  <si>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</si>
  <si>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</si>
  <si>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</si>
  <si>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</si>
  <si>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</si>
  <si>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</si>
  <si>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</si>
  <si>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</si>
  <si>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</si>
  <si>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</si>
  <si>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</si>
  <si>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</si>
  <si>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</si>
  <si>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</si>
  <si>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</si>
  <si>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</si>
  <si>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</si>
  <si>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</si>
  <si>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</si>
  <si>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</si>
  <si>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</si>
  <si>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</si>
  <si>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</si>
  <si>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</si>
  <si>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</si>
  <si>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</si>
  <si>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</si>
  <si>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</si>
  <si>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</si>
  <si>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</si>
  <si>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</si>
  <si>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</si>
  <si>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</si>
  <si>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</si>
  <si>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</si>
  <si>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</si>
  <si>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</si>
  <si>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</si>
  <si>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</si>
  <si>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</si>
  <si>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</si>
  <si>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</si>
  <si>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</si>
  <si>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</si>
  <si>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</si>
  <si>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</si>
  <si>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</si>
  <si>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</si>
  <si>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</si>
  <si>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</si>
  <si>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</si>
  <si>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</si>
  <si>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</si>
  <si>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</si>
  <si>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</si>
  <si>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</si>
  <si>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</si>
  <si>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</si>
  <si>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</si>
  <si>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</si>
  <si>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</si>
  <si>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</si>
  <si>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</si>
  <si>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</si>
  <si>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</si>
  <si>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</si>
  <si>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</si>
  <si>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</si>
  <si>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</si>
  <si>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</si>
  <si>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</si>
  <si>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</si>
  <si>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</si>
  <si>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</si>
  <si>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</si>
  <si>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</si>
  <si>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</si>
  <si>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</si>
  <si>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</si>
  <si>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</si>
  <si>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</si>
  <si>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</si>
  <si>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</si>
  <si>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</si>
  <si>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</si>
  <si>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</si>
  <si>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</si>
  <si>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</si>
  <si>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</si>
  <si>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</si>
  <si>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</si>
  <si>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</si>
  <si>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</si>
  <si>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</si>
  <si>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</si>
  <si>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</si>
  <si>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</si>
  <si>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</si>
  <si>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</si>
  <si>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</si>
  <si>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</si>
  <si>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</si>
  <si>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</si>
  <si>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</si>
  <si>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</si>
  <si>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</si>
  <si>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</si>
  <si>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</si>
  <si>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</si>
  <si>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</si>
  <si>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</si>
  <si>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</si>
  <si>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</si>
  <si>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</si>
  <si>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</si>
  <si>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</si>
  <si>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</si>
  <si>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</si>
  <si>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</si>
  <si>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</si>
  <si>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</si>
  <si>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</si>
  <si>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</si>
  <si>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</si>
  <si>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</si>
  <si>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</si>
  <si>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</si>
  <si>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</si>
  <si>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</si>
  <si>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</si>
  <si>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</si>
  <si>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</si>
  <si>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</si>
  <si>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</si>
  <si>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</si>
  <si>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</si>
  <si>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</si>
  <si>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</si>
  <si>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</si>
  <si>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</si>
  <si>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</si>
  <si>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</si>
  <si>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</si>
  <si>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</si>
  <si>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</si>
  <si>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</si>
  <si>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</si>
  <si>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</si>
  <si>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</si>
  <si>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</si>
  <si>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</si>
  <si>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</si>
  <si>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</si>
  <si>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</si>
  <si>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</si>
  <si>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</si>
  <si>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</si>
  <si>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</si>
  <si>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</si>
  <si>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</si>
  <si>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</si>
  <si>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</si>
  <si>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</si>
  <si>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</si>
  <si>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</si>
  <si>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</si>
  <si>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</si>
  <si>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</si>
  <si>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</si>
  <si>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</si>
  <si>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</si>
  <si>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</si>
  <si>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</si>
  <si>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</si>
  <si>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</si>
  <si>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</si>
  <si>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</si>
  <si>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</si>
  <si>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</si>
  <si>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</si>
  <si>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</si>
  <si>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</si>
  <si>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</si>
  <si>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</si>
  <si>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</si>
  <si>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</si>
  <si>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</si>
  <si>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</si>
  <si>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</si>
  <si>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</si>
  <si>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</si>
  <si>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</si>
  <si>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</si>
  <si>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</si>
  <si>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</si>
  <si>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</si>
  <si>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</si>
  <si>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</si>
  <si>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</si>
  <si>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</si>
  <si>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</si>
  <si>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</si>
  <si>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</si>
  <si>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</si>
  <si>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</si>
  <si>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</si>
  <si>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</si>
  <si>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</si>
  <si>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</si>
  <si>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</si>
  <si>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</si>
  <si>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</si>
  <si>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</si>
  <si>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</si>
  <si>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</si>
  <si>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</si>
  <si>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</si>
  <si>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</si>
  <si>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</si>
  <si>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</si>
  <si>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</si>
  <si>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</si>
  <si>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</si>
  <si>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</si>
  <si>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</si>
  <si>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</si>
  <si>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</si>
  <si>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</si>
  <si>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</si>
  <si>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</si>
  <si>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</si>
  <si>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</si>
  <si>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</si>
  <si>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</si>
  <si>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</si>
  <si>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</si>
  <si>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</si>
  <si>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</si>
  <si>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</si>
  <si>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</si>
  <si>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</si>
  <si>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</si>
  <si>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</si>
  <si>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</si>
  <si>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</si>
  <si>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</si>
  <si>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</si>
  <si>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</si>
  <si>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</si>
  <si>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</si>
  <si>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</si>
  <si>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</si>
  <si>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</si>
  <si>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</si>
  <si>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</si>
  <si>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</si>
  <si>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</si>
  <si>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</si>
  <si>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</si>
  <si>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</si>
  <si>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</si>
  <si>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</si>
  <si>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</si>
  <si>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</si>
  <si>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</si>
  <si>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</si>
  <si>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</si>
  <si>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</si>
  <si>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</si>
  <si>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</si>
  <si>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</si>
  <si>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</si>
  <si>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</si>
  <si>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</si>
  <si>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</si>
  <si>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</si>
  <si>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</si>
  <si>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</si>
  <si>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</si>
  <si>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</si>
  <si>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</si>
  <si>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</si>
  <si>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</si>
  <si>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</si>
  <si>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</si>
  <si>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</si>
  <si>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</si>
  <si>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</si>
  <si>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</si>
  <si>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</si>
  <si>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</si>
  <si>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</si>
  <si>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</si>
  <si>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</si>
  <si>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</si>
  <si>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</si>
  <si>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</si>
  <si>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</si>
  <si>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</si>
  <si>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</si>
  <si>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</si>
  <si>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</si>
  <si>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</si>
  <si>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</si>
  <si>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</si>
  <si>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</si>
  <si>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</si>
  <si>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</si>
  <si>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</si>
  <si>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</si>
  <si>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</si>
  <si>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</si>
  <si>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</si>
  <si>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</si>
  <si>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</si>
  <si>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</si>
  <si>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</si>
  <si>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</si>
  <si>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</si>
  <si>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</si>
  <si>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</si>
  <si>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</si>
  <si>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</si>
  <si>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</si>
  <si>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</si>
  <si>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</si>
  <si>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</si>
  <si>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</si>
  <si>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</si>
  <si>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</si>
  <si>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</si>
  <si>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</si>
  <si>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</si>
  <si>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</si>
  <si>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</si>
  <si>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</si>
  <si>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</si>
  <si>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</si>
  <si>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</si>
  <si>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</si>
  <si>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</si>
  <si>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</si>
  <si>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</si>
  <si>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</si>
  <si>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</si>
  <si>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</si>
  <si>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</si>
  <si>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</si>
  <si>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</si>
  <si>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</si>
  <si>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</si>
  <si>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</si>
  <si>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</si>
  <si>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</si>
  <si>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</si>
  <si>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</si>
  <si>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</si>
  <si>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</si>
  <si>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</si>
  <si>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</si>
  <si>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</si>
  <si>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</si>
  <si>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</si>
  <si>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</si>
  <si>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</si>
  <si>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</si>
  <si>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</si>
  <si>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</si>
  <si>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</si>
  <si>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</si>
  <si>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</si>
  <si>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</si>
  <si>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</si>
  <si>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</si>
  <si>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</si>
  <si>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</si>
  <si>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</si>
  <si>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</si>
  <si>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</si>
  <si>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</si>
  <si>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</si>
  <si>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</si>
  <si>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</si>
  <si>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</si>
  <si>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</si>
  <si>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</si>
  <si>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</si>
  <si>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</si>
  <si>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</si>
  <si>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</si>
  <si>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</si>
  <si>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</si>
  <si>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</si>
  <si>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</si>
  <si>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</si>
  <si>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</si>
  <si>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</si>
  <si>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</si>
  <si>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</si>
  <si>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</si>
  <si>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</si>
  <si>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</si>
  <si>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</si>
  <si>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</si>
  <si>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</si>
  <si>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</si>
  <si>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</si>
  <si>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</si>
  <si>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</si>
  <si>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</si>
  <si>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</si>
  <si>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</si>
  <si>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</si>
  <si>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</si>
  <si>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</si>
  <si>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</si>
  <si>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</si>
  <si>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</si>
  <si>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</si>
  <si>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</si>
  <si>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</si>
  <si>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</si>
  <si>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</si>
  <si>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</si>
  <si>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</si>
  <si>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</si>
  <si>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</si>
  <si>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</si>
  <si>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</si>
  <si>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</si>
  <si>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</si>
  <si>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</si>
  <si>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</si>
  <si>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</si>
  <si>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</si>
  <si>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</si>
  <si>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</si>
  <si>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</si>
  <si>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</si>
  <si>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</si>
  <si>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</si>
  <si>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</si>
  <si>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</si>
  <si>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</si>
  <si>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</si>
  <si>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</si>
  <si>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</si>
  <si>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</si>
  <si>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</si>
  <si>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</si>
  <si>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</si>
  <si>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</si>
  <si>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</si>
  <si>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</si>
  <si>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</si>
  <si>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</si>
  <si>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</si>
  <si>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</si>
  <si>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</si>
  <si>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</si>
  <si>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</si>
  <si>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</si>
  <si>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</si>
  <si>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</si>
  <si>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</si>
  <si>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</si>
  <si>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</si>
  <si>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</si>
  <si>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</si>
  <si>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</si>
  <si>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</si>
  <si>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</si>
  <si>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</si>
  <si>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</si>
  <si>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</si>
  <si>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</si>
  <si>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</si>
  <si>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</si>
  <si>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</si>
  <si>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</si>
  <si>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</si>
  <si>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</si>
  <si>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</si>
  <si>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</si>
  <si>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</si>
  <si>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</si>
  <si>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</si>
  <si>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</si>
  <si>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</si>
  <si>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</si>
  <si>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</si>
  <si>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</si>
  <si>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</si>
  <si>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</si>
  <si>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</si>
  <si>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</si>
  <si>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</si>
  <si>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</si>
  <si>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</si>
  <si>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</si>
  <si>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</si>
  <si>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</si>
  <si>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</si>
  <si>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</si>
  <si>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</si>
  <si>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</si>
  <si>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</si>
  <si>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</si>
  <si>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</si>
  <si>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</si>
  <si>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</si>
  <si>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</si>
  <si>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</si>
  <si>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</si>
  <si>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</si>
  <si>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</si>
  <si>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</si>
  <si>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</si>
  <si>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</si>
  <si>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</si>
  <si>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</si>
  <si>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</si>
  <si>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</si>
  <si>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</si>
  <si>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</si>
  <si>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</si>
  <si>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</si>
  <si>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</si>
  <si>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</si>
  <si>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</si>
  <si>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</si>
  <si>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</si>
  <si>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</si>
  <si>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</si>
  <si>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</si>
  <si>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</si>
  <si>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</si>
  <si>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</si>
  <si>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</si>
  <si>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</si>
  <si>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</si>
  <si>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</si>
  <si>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</si>
  <si>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</si>
  <si>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</si>
  <si>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</si>
  <si>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</si>
  <si>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</si>
  <si>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</si>
  <si>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</si>
  <si>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</si>
  <si>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</si>
  <si>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</si>
  <si>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</si>
  <si>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</si>
  <si>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</si>
  <si>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</si>
  <si>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</si>
  <si>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</si>
  <si>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</si>
  <si>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</si>
  <si>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</si>
  <si>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</si>
  <si>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</si>
  <si>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</si>
  <si>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</si>
  <si>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</si>
  <si>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</si>
  <si>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</si>
  <si>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</si>
  <si>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</si>
  <si>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</si>
  <si>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</si>
  <si>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</si>
  <si>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</si>
  <si>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</si>
  <si>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</si>
  <si>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</si>
  <si>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</si>
  <si>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</si>
  <si>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</si>
  <si>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</si>
  <si>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</si>
  <si>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</si>
  <si>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</si>
  <si>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</si>
  <si>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</si>
  <si>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</si>
  <si>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</si>
  <si>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</si>
  <si>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</si>
  <si>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</si>
  <si>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</si>
  <si>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</si>
  <si>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</si>
  <si>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</si>
  <si>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</si>
  <si>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</si>
  <si>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</si>
  <si>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</si>
  <si>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</si>
  <si>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</si>
  <si>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</si>
  <si>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</si>
  <si>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</si>
  <si>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</si>
  <si>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</si>
  <si>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</si>
  <si>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</si>
  <si>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</si>
  <si>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</si>
  <si>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</si>
  <si>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</si>
  <si>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</si>
  <si>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</si>
  <si>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</si>
  <si>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</si>
  <si>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</si>
  <si>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</si>
  <si>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</si>
  <si>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</si>
  <si>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</si>
  <si>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</si>
  <si>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</si>
  <si>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</si>
  <si>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</si>
  <si>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</si>
  <si>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</si>
  <si>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</si>
  <si>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</si>
  <si>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</si>
  <si>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</si>
  <si>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</si>
  <si>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</si>
  <si>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</si>
  <si>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</si>
  <si>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</si>
  <si>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</si>
  <si>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</si>
  <si>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</si>
  <si>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</si>
  <si>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</si>
  <si>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</si>
  <si>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</si>
  <si>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</si>
  <si>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</si>
  <si>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</si>
  <si>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</si>
  <si>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</si>
  <si>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</si>
  <si>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</si>
  <si>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</si>
  <si>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</si>
  <si>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</si>
  <si>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</si>
  <si>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</si>
  <si>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</si>
  <si>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</si>
  <si>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</si>
  <si>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</si>
  <si>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</si>
  <si>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</si>
  <si>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</si>
  <si>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</si>
  <si>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</si>
  <si>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</si>
  <si>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</si>
  <si>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</si>
  <si>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</si>
  <si>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</si>
  <si>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</si>
  <si>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</si>
  <si>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</si>
  <si>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</si>
  <si>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</si>
  <si>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</si>
  <si>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</si>
  <si>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</si>
  <si>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</si>
  <si>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</si>
  <si>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</si>
  <si>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</si>
  <si>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</si>
  <si>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</si>
  <si>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</si>
  <si>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</si>
  <si>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</si>
  <si>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</si>
  <si>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</si>
  <si>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</si>
  <si>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</si>
  <si>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</si>
  <si>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</si>
  <si>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</si>
  <si>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</si>
  <si>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</si>
  <si>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</si>
  <si>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</si>
  <si>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</si>
  <si>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</si>
  <si>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</si>
  <si>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</si>
  <si>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</si>
  <si>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</si>
  <si>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</si>
  <si>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</si>
  <si>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</si>
  <si>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</si>
  <si>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</si>
  <si>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</si>
  <si>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</si>
  <si>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</si>
  <si>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</si>
  <si>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</si>
  <si>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</si>
  <si>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</si>
  <si>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</si>
  <si>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</si>
  <si>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</si>
  <si>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</si>
  <si>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</si>
  <si>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</si>
  <si>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</si>
  <si>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</si>
  <si>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</si>
  <si>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</si>
  <si>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</si>
  <si>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</si>
  <si>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</si>
  <si>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</si>
  <si>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</si>
  <si>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</si>
  <si>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</si>
  <si>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</si>
  <si>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</si>
  <si>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</si>
  <si>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</si>
  <si>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</si>
  <si>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</si>
  <si>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</si>
  <si>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</si>
  <si>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</si>
  <si>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</si>
  <si>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</si>
  <si>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</si>
  <si>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</si>
  <si>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</si>
  <si>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</si>
  <si>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</si>
  <si>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</si>
  <si>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</si>
  <si>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</si>
  <si>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</si>
  <si>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</si>
  <si>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</si>
  <si>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</si>
  <si>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</si>
  <si>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</si>
  <si>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</si>
  <si>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</si>
  <si>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</si>
  <si>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</si>
  <si>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</si>
  <si>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</si>
  <si>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</si>
  <si>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</si>
  <si>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</si>
  <si>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</si>
  <si>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</si>
  <si>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</si>
  <si>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</si>
  <si>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</si>
  <si>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</si>
  <si>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</si>
  <si>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</si>
  <si>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</si>
  <si>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</si>
  <si>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</si>
  <si>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</si>
  <si>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</si>
  <si>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</si>
  <si>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</si>
  <si>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</si>
  <si>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</si>
  <si>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</si>
  <si>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</si>
  <si>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</si>
  <si>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</si>
  <si>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</si>
  <si>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</si>
  <si>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</si>
  <si>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</si>
  <si>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</si>
  <si>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</si>
  <si>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</si>
  <si>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</si>
  <si>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</si>
  <si>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</si>
  <si>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</si>
  <si>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</si>
  <si>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</si>
  <si>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</si>
  <si>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</si>
  <si>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</si>
  <si>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</si>
  <si>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</si>
  <si>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</si>
  <si>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</si>
  <si>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</si>
  <si>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</si>
  <si>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</si>
  <si>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</si>
  <si>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</si>
  <si>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</si>
  <si>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</si>
  <si>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</si>
  <si>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</si>
  <si>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</si>
  <si>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</si>
  <si>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</si>
  <si>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</si>
  <si>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</si>
  <si>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</si>
  <si>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</si>
  <si>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</si>
  <si>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</si>
  <si>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</si>
  <si>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</si>
  <si>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</si>
  <si>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</si>
  <si>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</si>
  <si>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</si>
  <si>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</si>
  <si>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</si>
  <si>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</si>
  <si>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</si>
  <si>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</si>
  <si>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</si>
  <si>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</si>
  <si>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</si>
  <si>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</si>
  <si>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</si>
  <si>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</si>
  <si>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</si>
  <si>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</si>
  <si>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</si>
  <si>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</si>
  <si>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</si>
  <si>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</si>
  <si>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</si>
  <si>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</si>
  <si>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</si>
  <si>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</si>
  <si>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</si>
  <si>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</si>
  <si>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</si>
  <si>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</si>
  <si>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</si>
  <si>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</si>
  <si>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</si>
  <si>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</si>
  <si>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</si>
  <si>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</si>
  <si>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</si>
  <si>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</si>
  <si>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</si>
  <si>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</si>
  <si>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</si>
  <si>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</si>
  <si>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</si>
  <si>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</si>
  <si>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</si>
  <si>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</si>
  <si>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</si>
  <si>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</si>
  <si>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</si>
  <si>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</si>
  <si>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</si>
  <si>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</si>
  <si>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</si>
  <si>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</si>
  <si>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</si>
  <si>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</si>
  <si>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</si>
  <si>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</si>
  <si>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</si>
  <si>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</si>
  <si>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</si>
  <si>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</si>
  <si>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</si>
  <si>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</si>
  <si>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</si>
  <si>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</si>
  <si>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</si>
  <si>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</si>
  <si>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</si>
  <si>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</si>
  <si>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</si>
  <si>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</si>
  <si>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</si>
  <si>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</si>
  <si>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</si>
  <si>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</si>
  <si>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</si>
  <si>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</si>
  <si>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</si>
  <si>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</si>
  <si>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</si>
  <si>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</si>
  <si>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</si>
  <si>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</si>
  <si>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</si>
  <si>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</si>
  <si>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</si>
  <si>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</si>
  <si>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</si>
  <si>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</si>
  <si>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</si>
  <si>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</si>
  <si>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</si>
  <si>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</si>
  <si>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</si>
  <si>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</si>
  <si>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</si>
  <si>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</si>
  <si>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</si>
  <si>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</si>
  <si>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</si>
  <si>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</si>
  <si>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</si>
  <si>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</si>
  <si>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</si>
  <si>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</si>
  <si>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</si>
  <si>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</si>
  <si>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</si>
  <si>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</si>
  <si>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</si>
  <si>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</si>
  <si>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</si>
  <si>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</si>
  <si>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</si>
  <si>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</si>
  <si>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</si>
  <si>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</si>
  <si>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</si>
  <si>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</si>
  <si>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</si>
  <si>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</si>
  <si>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</si>
  <si>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</si>
  <si>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</si>
  <si>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</si>
  <si>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</si>
  <si>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</si>
  <si>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</si>
  <si>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</si>
  <si>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</si>
  <si>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</si>
  <si>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</si>
  <si>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</si>
  <si>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</si>
  <si>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</si>
  <si>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</si>
  <si>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</si>
  <si>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</si>
  <si>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</si>
  <si>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</si>
  <si>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</si>
  <si>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</si>
  <si>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</si>
  <si>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</si>
  <si>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</si>
  <si>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</si>
  <si>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</si>
  <si>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</si>
  <si>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</si>
  <si>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</si>
  <si>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</si>
  <si>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</si>
  <si>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</si>
  <si>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</si>
  <si>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</si>
  <si>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</si>
  <si>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</si>
  <si>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</si>
  <si>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</si>
  <si>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</si>
  <si>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</si>
  <si>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</si>
  <si>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</si>
  <si>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</si>
  <si>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</si>
  <si>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</si>
  <si>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</si>
  <si>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</si>
  <si>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</si>
  <si>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</si>
  <si>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</si>
  <si>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</si>
  <si>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</si>
  <si>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</si>
  <si>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</si>
  <si>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</si>
  <si>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</si>
  <si>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</si>
  <si>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</si>
  <si>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</si>
  <si>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</si>
  <si>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</si>
  <si>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</si>
  <si>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</si>
  <si>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</si>
  <si>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</si>
  <si>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</si>
  <si>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</si>
  <si>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</si>
  <si>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</si>
  <si>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</si>
  <si>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</si>
  <si>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</si>
  <si>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</si>
  <si>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</si>
  <si>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</si>
  <si>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</si>
  <si>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</si>
  <si>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</si>
  <si>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</si>
  <si>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</si>
  <si>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</si>
  <si>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</si>
  <si>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</si>
  <si>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</si>
  <si>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</si>
  <si>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</si>
  <si>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</si>
  <si>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G000001018</t>
  </si>
  <si>
    <t>G000000944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</si>
  <si>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</si>
  <si>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</si>
  <si>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</si>
  <si>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</si>
  <si>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</si>
  <si>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</si>
  <si>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</si>
  <si>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</si>
  <si>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</si>
  <si>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</si>
  <si>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</si>
  <si>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</si>
  <si>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</si>
  <si>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</si>
  <si>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</si>
  <si>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</si>
  <si>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</si>
  <si>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</si>
  <si>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CO not part of TM1 CO dimension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</si>
  <si>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</si>
  <si>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</si>
  <si>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</si>
  <si>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</si>
  <si>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</si>
  <si>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</si>
  <si>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</si>
  <si>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</si>
  <si>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</si>
  <si>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</si>
  <si>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</si>
  <si>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</si>
  <si>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</si>
  <si>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</si>
  <si>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</si>
  <si>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</si>
  <si>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</si>
  <si>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</si>
  <si>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</si>
  <si>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</si>
  <si>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</si>
  <si>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</si>
  <si>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</si>
  <si>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</si>
  <si>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</si>
  <si>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</si>
  <si>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</si>
  <si>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</si>
  <si>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</si>
  <si>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</si>
  <si>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</si>
  <si>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</si>
  <si>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</si>
  <si>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</si>
  <si>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</si>
  <si>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</si>
  <si>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</si>
  <si>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</si>
  <si>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</si>
  <si>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</si>
  <si>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</si>
  <si>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</si>
  <si>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</si>
  <si>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</si>
  <si>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</si>
  <si>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</si>
  <si>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</si>
  <si>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</si>
  <si>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</si>
  <si>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</si>
  <si>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</si>
  <si>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</si>
  <si>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</si>
  <si>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</si>
  <si>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DFLTPGCOH_BF-Y6_002394 HUB Organoids Holding B.V., Netherlands</t>
  </si>
  <si>
    <t>DFLTPGCOH_BF-Y6_002395 HUB Organoids IP B.V., Netherlands</t>
  </si>
  <si>
    <t>DFLTPGCOH_BF-ZS_002396 HUB Organoids B.V., Netherlands</t>
  </si>
  <si>
    <t>DFLTPGCOH_BF-C4_001968 EMD Millipore Corp., Puerto Rico Branch, Puerto Rico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</si>
  <si>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</si>
  <si>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</si>
  <si>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</si>
  <si>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</si>
  <si>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</si>
  <si>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</si>
  <si>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</si>
  <si>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</si>
  <si>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</si>
  <si>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</si>
  <si>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</si>
  <si>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</si>
  <si>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</si>
  <si>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</si>
  <si>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</si>
  <si>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</si>
  <si>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</si>
  <si>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</si>
  <si>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</si>
  <si>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</si>
  <si>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</si>
  <si>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</si>
  <si>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</si>
  <si>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</si>
  <si>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</si>
  <si>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</si>
  <si>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</si>
  <si>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</si>
  <si>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</si>
  <si>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</si>
  <si>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</si>
  <si>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</si>
  <si>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</si>
  <si>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</si>
  <si>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</si>
  <si>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</si>
  <si>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</si>
  <si>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</si>
  <si>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</si>
  <si>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</si>
  <si>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</si>
  <si>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</si>
  <si>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</si>
  <si>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</si>
  <si>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</si>
  <si>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</si>
  <si>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</si>
  <si>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</si>
  <si>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</si>
  <si>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</si>
  <si>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</si>
  <si>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</si>
  <si>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</si>
  <si>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</si>
  <si>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</si>
  <si>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</si>
  <si>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</si>
  <si>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</si>
  <si>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P000000193</t>
  </si>
  <si>
    <t>P000000194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</si>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</sst>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25.868568865742" createdVersion="7" refreshedVersion="8" minRefreshableVersion="3" recordCount="2404" xr:uid="{11839AE3-6158-4318-87AD-2C711D0BF451}">
  <cacheSource type="worksheet">
    <worksheetSource name="Proc"/>
  </cacheSource>
  <cacheFields count="19">
    <cacheField name="App" numFmtId="0">
      <sharedItems containsBlank="1" count="144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17T12:12:54"/>
    </cacheField>
    <cacheField name="DateMapped" numFmtId="14">
      <sharedItems containsNonDate="0" containsDate="1" containsString="0" containsBlank="1" minDate="2023-09-01T00:00:00" maxDate="2025-06-18T00:00:00"/>
    </cacheField>
    <cacheField name="DateClosed" numFmtId="14">
      <sharedItems containsNonDate="0" containsDate="1" containsString="0" containsBlank="1" minDate="2023-09-06T00:00:00" maxDate="2025-06-1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2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2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0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9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9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9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9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9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9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9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9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9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9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9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9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9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9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9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9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9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9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9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9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9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9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9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9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9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9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9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9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9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9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9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9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9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9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9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9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9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9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9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9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9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9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9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9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9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9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9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9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9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9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9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9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9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9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9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8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8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8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8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8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8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8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8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8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8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8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8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8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85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8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8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85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8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8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8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8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7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7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7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7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7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7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7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7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7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7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66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6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6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5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5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5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5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5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40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25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25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25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25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25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25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25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25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25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25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25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25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25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25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25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25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25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25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25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25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m/>
    <s v="LFF (MDG-F)"/>
    <s v="DZ50GM1100"/>
    <s v="Changes were saved for change request 25454879"/>
    <b v="0"/>
    <x v="0"/>
    <x v="2"/>
    <d v="2025-05-16T08:45:44"/>
    <m/>
    <m/>
    <x v="1"/>
    <n v="22"/>
    <s v="Jojeff Tagnong"/>
    <m/>
  </r>
  <r>
    <x v="212"/>
    <x v="0"/>
    <x v="2"/>
    <s v="CLFF_1000$$$ZA50GM2100"/>
    <s v="G000000637"/>
    <m/>
    <s v="LFF (MDG-F)"/>
    <s v="ZA50GM2100"/>
    <s v="Changes were saved for change request 25454879"/>
    <b v="0"/>
    <x v="0"/>
    <x v="2"/>
    <d v="2025-05-16T08:45:44"/>
    <m/>
    <m/>
    <x v="1"/>
    <n v="22"/>
    <s v="Jojeff Tagnong"/>
    <m/>
  </r>
  <r>
    <x v="212"/>
    <x v="0"/>
    <x v="2"/>
    <s v="CLFF_7210$$$2053OF0000"/>
    <s v="G000000630"/>
    <m/>
    <s v="LFF (MDG-F)"/>
    <s v="2053OF0000"/>
    <s v="Changes were saved for change request 25454879"/>
    <b v="0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m/>
    <s v="Non-LFF"/>
    <s v=""/>
    <s v="Object was under in checking sheet."/>
    <b v="0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22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22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21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21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20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20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20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20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20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20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20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20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20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16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16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16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16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16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71"/>
    <s v="Non-LFF"/>
    <s v=""/>
    <m/>
    <b v="0"/>
    <x v="1"/>
    <x v="3"/>
    <d v="2025-06-03T11:02:55"/>
    <m/>
    <m/>
    <x v="1"/>
    <n v="10"/>
    <s v="Gay Geanuza del Mundo"/>
    <m/>
  </r>
  <r>
    <x v="249"/>
    <x v="0"/>
    <x v="2"/>
    <s v="CSCALA_1042$EDP_P52"/>
    <s v="G000000635 "/>
    <m/>
    <s v="Non-LFF"/>
    <s v=""/>
    <m/>
    <b v="0"/>
    <x v="0"/>
    <x v="3"/>
    <d v="2025-06-03T11:02:55"/>
    <m/>
    <m/>
    <x v="1"/>
    <n v="10"/>
    <s v="Jojeff Tagnong"/>
    <m/>
  </r>
  <r>
    <x v="250"/>
    <x v="0"/>
    <x v="2"/>
    <s v="PNEXT_D300119210201000000"/>
    <s v="L000011451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m/>
    <s v="Non-LFF"/>
    <s v=""/>
    <m/>
    <b v="0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527"/>
    <s v="LFF (MDG-F)"/>
    <s v="DE2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79"/>
    <s v="LFF (MDG-F)"/>
    <s v="DE1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8"/>
    <s v="LFF (MDG-F)"/>
    <s v="DE1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8"/>
    <s v="LFF (MDG-F)"/>
    <s v="DE1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8"/>
    <s v="LFF (MDG-F)"/>
    <s v="DE1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4"/>
    <s v="LFF (MDG-F)"/>
    <s v="DE2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4"/>
    <s v="LFF (MDG-F)"/>
    <s v="DE2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4"/>
    <s v="LFF (MDG-F)"/>
    <s v="DE2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m/>
    <s v="LFF (MDG-F)"/>
    <s v="DE10594600"/>
    <m/>
    <b v="0"/>
    <x v="0"/>
    <x v="2"/>
    <d v="2025-06-10T08:51:25"/>
    <m/>
    <m/>
    <x v="0"/>
    <n v="5"/>
    <s v="Jojeff Tagnong"/>
    <m/>
  </r>
  <r>
    <x v="254"/>
    <x v="0"/>
    <x v="2"/>
    <s v="CLFF_1000$$$DE10629410"/>
    <s v="G000001281"/>
    <m/>
    <s v="LFF (MDG-F)"/>
    <s v="DE10629410"/>
    <m/>
    <b v="0"/>
    <x v="0"/>
    <x v="2"/>
    <d v="2025-06-10T08:51:25"/>
    <m/>
    <m/>
    <x v="0"/>
    <n v="5"/>
    <s v="Jojeff Tagnong"/>
    <m/>
  </r>
  <r>
    <x v="255"/>
    <x v="0"/>
    <x v="2"/>
    <s v="CNOW_7210$$$PC00011060"/>
    <s v="L000012168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CO not part of TM1 CO dimension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7"/>
    <x v="1"/>
    <x v="2"/>
    <s v="CTEMPEU_1000FR40587001 Cial&amp;RegistStandaMey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9000000264 FR90IC1402AO3121050000 LOYER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9000000265 FR90IC1403AO3121050000 LOYER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9000000268 FR90IC1852AO3121050000 LOYER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LEAN_006010001401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LEAN_006010001420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CFLTFLE_1075SIIF-EI Healthcare Slovenia Income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0003 GB10_Capit.Loss/Ass. Imp."/>
    <s v="H000000007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0112 Asset retirement Gains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PHOENX_000400757258 1500 KGaA-1401 Santè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0810 Ireland IE10 - 3122113000 Transfer remai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1688 Xcharges to Trading Partner 1917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1689 Xcharges to Trading Partner 1927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1691 Xcharges to Trading Partner 1307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3017 Xcharge to BioReliance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3018 Xcharge to SAFC Biosciences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3019 Xcharge to Sigma-Aldrich Company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3020 Xcharge to  SAFC Hitech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3021 Xcharge to Sigma-Aldrich Irelan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4812 Xcharge to Merck Performance Materials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4813 Xcharge to Merck Life Science Lt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2889 Marketing and Selling B8 1500 kgaa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2890 GlobaltechOPS B8 1500 kgaa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2891 Logistic B8 1500 kgaa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1017 PE10 - ITF postings - GL 17950000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0530 GT10 - Sales of Fixed Assets (Incomes)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0532 GT10 - Sales of Fixed Assets (Losses)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0289 CO10 - I/O for  99 Dummy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1042 PA20 - Sales of Fixed Assets (Losses)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3200001474 CH70 Remaining oth inc IC 3122205000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3200001480 CH70 RemOther Exp 3122112000 3rd P AL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9000001569 FR40IC1814OX3122112000 FR40884702 JPAN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CTEMPEU_1000FR40884103 Manufact Litigation"/>
    <s v="H000000970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6"/>
    <s v="CLFF_1000$$$TN50Z01000"/>
    <s v="H000001095"/>
    <m/>
    <s v="LFF (MDG-F)"/>
    <s v="TN50Z01000"/>
    <m/>
    <b v="0"/>
    <x v="1"/>
    <x v="2"/>
    <d v="2025-06-17T11:32:35"/>
    <m/>
    <m/>
    <x v="0"/>
    <n v="0"/>
    <s v="Henry Ifurung Jr."/>
    <m/>
  </r>
  <r>
    <x v="257"/>
    <x v="1"/>
    <x v="6"/>
    <s v="CLFF_1000$$$TN60Z01000"/>
    <s v="H000001095"/>
    <m/>
    <s v="LFF (MDG-F)"/>
    <s v="TN60Z01000"/>
    <m/>
    <b v="0"/>
    <x v="1"/>
    <x v="2"/>
    <d v="2025-06-17T11:32:35"/>
    <m/>
    <m/>
    <x v="0"/>
    <n v="0"/>
    <s v="Henry Ifurung Jr."/>
    <m/>
  </r>
  <r>
    <x v="258"/>
    <x v="1"/>
    <x v="5"/>
    <s v="CNOW_ROW$$$$0000008723"/>
    <s v="G000000560"/>
    <m/>
    <s v="Non-LFF"/>
    <s v=""/>
    <m/>
    <b v="0"/>
    <x v="1"/>
    <x v="2"/>
    <d v="2025-06-17T03:33:06"/>
    <m/>
    <m/>
    <x v="0"/>
    <n v="0"/>
    <s v="Yusuke Hasegawa"/>
    <m/>
  </r>
  <r>
    <x v="259"/>
    <x v="1"/>
    <x v="5"/>
    <s v="CFLTFLE_23940000000450"/>
    <s v="L000007703"/>
    <s v="DFLTPGCOH_BF-Y6_002394 HUB Organoids Holding B.V., Netherlands"/>
    <s v="Non-LFF"/>
    <s v=""/>
    <m/>
    <b v="0"/>
    <x v="2"/>
    <x v="2"/>
    <d v="2025-06-17T09:04:52"/>
    <m/>
    <m/>
    <x v="0"/>
    <n v="0"/>
    <s v="Joan Rose Pena"/>
    <m/>
  </r>
  <r>
    <x v="259"/>
    <x v="1"/>
    <x v="5"/>
    <s v="CFLTFLE_23940000000420"/>
    <s v="L000007871"/>
    <s v="DFLTPGCOH_BF-ZS_002394 HUB Organoids Holding B.V., Netherlands"/>
    <s v="Non-LFF"/>
    <s v=""/>
    <m/>
    <b v="0"/>
    <x v="2"/>
    <x v="2"/>
    <d v="2025-06-17T09:04:52"/>
    <m/>
    <m/>
    <x v="0"/>
    <n v="0"/>
    <s v="Joan Rose Pena"/>
    <m/>
  </r>
  <r>
    <x v="259"/>
    <x v="1"/>
    <x v="5"/>
    <s v="CFLTFLE_23950000000450"/>
    <s v="L000007703"/>
    <s v="DFLTPGCOH_BF-Y6_002395 HUB Organoids IP B.V., Netherlands"/>
    <s v="Non-LFF"/>
    <s v=""/>
    <m/>
    <b v="0"/>
    <x v="2"/>
    <x v="2"/>
    <d v="2025-06-17T09:04:52"/>
    <m/>
    <m/>
    <x v="0"/>
    <n v="0"/>
    <s v="Joan Rose Pena"/>
    <m/>
  </r>
  <r>
    <x v="259"/>
    <x v="1"/>
    <x v="5"/>
    <s v="CFLTFLE_23960000000210"/>
    <s v="L000007871"/>
    <s v="DFLTPGCOH_BF-ZS_002396 HUB Organoids B.V., Netherlands"/>
    <s v="Non-LFF"/>
    <s v=""/>
    <m/>
    <b v="0"/>
    <x v="2"/>
    <x v="2"/>
    <d v="2025-06-17T09:04:52"/>
    <m/>
    <m/>
    <x v="0"/>
    <n v="0"/>
    <s v="Joan Rose Pena"/>
    <m/>
  </r>
  <r>
    <x v="259"/>
    <x v="1"/>
    <x v="5"/>
    <s v="CORAERP_MMOR1968.9751"/>
    <s v="L000011242"/>
    <s v="DFLTPGCOH_BF-C4_001968 EMD Millipore Corp., Puerto Rico Branch, Puerto Rico"/>
    <s v="Non-LFF"/>
    <s v=""/>
    <m/>
    <b v="0"/>
    <x v="2"/>
    <x v="2"/>
    <d v="2025-06-17T09:04:52"/>
    <m/>
    <m/>
    <x v="0"/>
    <n v="0"/>
    <s v="Joan Rose Pena"/>
    <m/>
  </r>
  <r>
    <x v="260"/>
    <x v="1"/>
    <x v="5"/>
    <s v="CPHOENX_01010000611714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16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2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22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4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5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8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0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12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13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14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16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18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2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26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3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4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5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55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6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63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64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7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8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81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0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14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16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2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22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4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5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8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0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12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13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14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16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18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2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26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3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4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5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55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6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63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64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7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8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81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IPHOENX_000400762834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IPHOENX_000400762835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IPHOENX_000400763392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IPHOENX_000400763916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IPHOENX_000400764132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6"/>
    <s v="CLFF_1000$$$DE10N11700"/>
    <s v="L000013834"/>
    <s v="P000000193"/>
    <s v="LFF (MDG-F)"/>
    <s v="DE10N1170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14"/>
    <s v="L000013834"/>
    <s v="P000000193"/>
    <s v="LFF (MDG-F)"/>
    <s v="DE10N11714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16"/>
    <s v="L000013834"/>
    <s v="P000000193"/>
    <s v="LFF (MDG-F)"/>
    <s v="DE10N11716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20"/>
    <s v="L000013834"/>
    <s v="P000000193"/>
    <s v="LFF (MDG-F)"/>
    <s v="DE10N1172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22"/>
    <s v="L000013834"/>
    <s v="P000000193"/>
    <s v="LFF (MDG-F)"/>
    <s v="DE10N11722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40"/>
    <s v="L000013834"/>
    <s v="P000000193"/>
    <s v="LFF (MDG-F)"/>
    <s v="DE10N1174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50"/>
    <s v="L000013834"/>
    <s v="P000000193"/>
    <s v="LFF (MDG-F)"/>
    <s v="DE10N1175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80"/>
    <s v="L000013834"/>
    <s v="P000000193"/>
    <s v="LFF (MDG-F)"/>
    <s v="DE10N1178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00"/>
    <s v="L000013835"/>
    <s v="P000000194"/>
    <s v="LFF (MDG-F)"/>
    <s v="DE10N1180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12"/>
    <s v="L000013835"/>
    <s v="P000000194"/>
    <s v="LFF (MDG-F)"/>
    <s v="DE10N11812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13"/>
    <s v="L000013835"/>
    <s v="P000000194"/>
    <s v="LFF (MDG-F)"/>
    <s v="DE10N11813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14"/>
    <s v="L000013835"/>
    <s v="P000000194"/>
    <s v="LFF (MDG-F)"/>
    <s v="DE10N11814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16"/>
    <s v="L000013835"/>
    <s v="P000000194"/>
    <s v="LFF (MDG-F)"/>
    <s v="DE10N11816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18"/>
    <s v="L000013835"/>
    <s v="P000000194"/>
    <s v="LFF (MDG-F)"/>
    <s v="DE10N11818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20"/>
    <s v="L000013835"/>
    <s v="P000000194"/>
    <s v="LFF (MDG-F)"/>
    <s v="DE10N1182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26"/>
    <s v="L000013835"/>
    <s v="P000000194"/>
    <s v="LFF (MDG-F)"/>
    <s v="DE10N11826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30"/>
    <s v="L000013835"/>
    <s v="P000000194"/>
    <s v="LFF (MDG-F)"/>
    <s v="DE10N1183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40"/>
    <s v="L000013835"/>
    <s v="P000000194"/>
    <s v="LFF (MDG-F)"/>
    <s v="DE10N1184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50"/>
    <s v="L000013835"/>
    <s v="P000000194"/>
    <s v="LFF (MDG-F)"/>
    <s v="DE10N1185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55"/>
    <s v="L000013835"/>
    <s v="P000000194"/>
    <s v="LFF (MDG-F)"/>
    <s v="DE10N11855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60"/>
    <s v="L000013835"/>
    <s v="P000000194"/>
    <s v="LFF (MDG-F)"/>
    <s v="DE10N1186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63"/>
    <s v="L000013835"/>
    <s v="P000000194"/>
    <s v="LFF (MDG-F)"/>
    <s v="DE10N11863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64"/>
    <s v="L000013835"/>
    <s v="P000000194"/>
    <s v="LFF (MDG-F)"/>
    <s v="DE10N11864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70"/>
    <s v="L000013835"/>
    <s v="P000000194"/>
    <s v="LFF (MDG-F)"/>
    <s v="DE10N1187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80"/>
    <s v="L000013835"/>
    <s v="P000000194"/>
    <s v="LFF (MDG-F)"/>
    <s v="DE10N1188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81"/>
    <s v="L000013835"/>
    <s v="P000000194"/>
    <s v="LFF (MDG-F)"/>
    <s v="DE10N11881"/>
    <s v="Changes were saved for change request 25470855"/>
    <b v="0"/>
    <x v="3"/>
    <x v="2"/>
    <d v="2025-06-17T11:26:25"/>
    <m/>
    <m/>
    <x v="0"/>
    <n v="0"/>
    <s v="Roselle Delos Angeles"/>
    <m/>
  </r>
  <r>
    <x v="261"/>
    <x v="1"/>
    <x v="5"/>
    <s v="PQUATRO_D001263DE0413000000 DSA rectification BCP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4DE0413000000 DSA rectification NUL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5DE0413000000 DSA rectification PIN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7DE0413000000 DSA C/H PIN and PSPT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8DE0413000000 DSA Advanced Tech Project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9DE0413000000 KrF resist 9300 series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0DE0413000000 KrF resist polymers"/>
    <s v="P000001013"/>
    <s v="CO not part of TM1 CO dimension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1DE0413000000 KrF Positiv Tone Patterning (China)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2DE0413000000 i-line resist polymers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2US0101000000 Spin-on Metal-containing TIM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3DE0413000000 DCSB Feasibility"/>
    <s v="P000001010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4DE0413000000 SN-888 Supply"/>
    <s v="P000001010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8DE0413000000 SN-909"/>
    <s v="P000001010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93DE0413000000 Low Shrinkage PHPS Feasibility"/>
    <s v="P000001010"/>
    <s v="DFLTPGCOH Default - Unmapped Objects"/>
    <s v="Non-LFF"/>
    <s v=""/>
    <m/>
    <b v="0"/>
    <x v="3"/>
    <x v="2"/>
    <d v="2025-06-17T12:12:54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m="1"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444">
        <item m="1" x="828"/>
        <item x="0"/>
        <item m="1" x="898"/>
        <item m="1" x="1319"/>
        <item m="1" x="481"/>
        <item m="1" x="1336"/>
        <item m="1" x="858"/>
        <item m="1" x="948"/>
        <item m="1" x="1369"/>
        <item m="1" x="1163"/>
        <item m="1" x="851"/>
        <item m="1" x="1435"/>
        <item m="1" x="1181"/>
        <item m="1" x="1425"/>
        <item m="1" x="799"/>
        <item m="1" x="700"/>
        <item m="1" x="404"/>
        <item m="1" x="665"/>
        <item m="1" x="1389"/>
        <item m="1" x="457"/>
        <item m="1" x="765"/>
        <item m="1" x="1133"/>
        <item m="1" x="848"/>
        <item m="1" x="941"/>
        <item m="1" x="1237"/>
        <item m="1" x="1422"/>
        <item m="1" x="883"/>
        <item m="1" x="905"/>
        <item m="1" x="670"/>
        <item m="1" x="1071"/>
        <item m="1" x="830"/>
        <item m="1" x="1376"/>
        <item m="1" x="1033"/>
        <item m="1" x="466"/>
        <item m="1" x="574"/>
        <item m="1" x="1361"/>
        <item m="1" x="1125"/>
        <item m="1" x="379"/>
        <item m="1" x="1211"/>
        <item m="1" x="877"/>
        <item m="1" x="1172"/>
        <item m="1" x="758"/>
        <item m="1" x="1110"/>
        <item m="1" x="369"/>
        <item m="1" x="399"/>
        <item m="1" x="1438"/>
        <item m="1" x="1117"/>
        <item m="1" x="1185"/>
        <item m="1" x="1292"/>
        <item m="1" x="1061"/>
        <item m="1" x="1159"/>
        <item m="1" x="998"/>
        <item m="1" x="453"/>
        <item m="1" x="644"/>
        <item m="1" x="1420"/>
        <item m="1" x="988"/>
        <item m="1" x="1128"/>
        <item m="1" x="656"/>
        <item m="1" x="617"/>
        <item m="1" x="909"/>
        <item m="1" x="801"/>
        <item m="1" x="834"/>
        <item m="1" x="393"/>
        <item m="1" x="532"/>
        <item m="1" x="1194"/>
        <item m="1" x="1411"/>
        <item m="1" x="597"/>
        <item m="1" x="1002"/>
        <item m="1" x="1012"/>
        <item m="1" x="1189"/>
        <item m="1" x="1299"/>
        <item m="1" x="1177"/>
        <item m="1" x="472"/>
        <item m="1" x="1320"/>
        <item m="1" x="1050"/>
        <item m="1" x="1037"/>
        <item m="1" x="572"/>
        <item m="1" x="925"/>
        <item m="1" x="1272"/>
        <item m="1" x="390"/>
        <item m="1" x="969"/>
        <item m="1" x="1322"/>
        <item m="1" x="1160"/>
        <item m="1" x="895"/>
        <item m="1" x="937"/>
        <item m="1" x="818"/>
        <item m="1" x="1053"/>
        <item m="1" x="865"/>
        <item m="1" x="1097"/>
        <item m="1" x="581"/>
        <item m="1" x="1410"/>
        <item m="1" x="935"/>
        <item m="1" x="1221"/>
        <item m="1" x="298"/>
        <item m="1" x="1426"/>
        <item m="1" x="962"/>
        <item m="1" x="1251"/>
        <item m="1" x="1164"/>
        <item m="1" x="942"/>
        <item m="1" x="452"/>
        <item m="1" x="459"/>
        <item m="1" x="499"/>
        <item m="1" x="681"/>
        <item m="1" x="1105"/>
        <item m="1" x="866"/>
        <item m="1" x="982"/>
        <item m="1" x="1045"/>
        <item m="1" x="1192"/>
        <item m="1" x="1275"/>
        <item m="1" x="837"/>
        <item m="1" x="558"/>
        <item m="1" x="401"/>
        <item m="1" x="544"/>
        <item m="1" x="1419"/>
        <item m="1" x="576"/>
        <item m="1" x="1257"/>
        <item m="1" x="1186"/>
        <item m="1" x="804"/>
        <item m="1" x="876"/>
        <item m="1" x="742"/>
        <item m="1" x="999"/>
        <item m="1" x="1374"/>
        <item m="1" x="550"/>
        <item m="1" x="498"/>
        <item m="1" x="433"/>
        <item m="1" x="1099"/>
        <item m="1" x="1359"/>
        <item m="1" x="1287"/>
        <item m="1" x="944"/>
        <item m="1" x="468"/>
        <item m="1" x="1193"/>
        <item m="1" x="645"/>
        <item m="1" x="899"/>
        <item m="1" x="1074"/>
        <item m="1" x="1182"/>
        <item m="1" x="302"/>
        <item m="1" x="1131"/>
        <item m="1" x="1094"/>
        <item m="1" x="535"/>
        <item m="1" x="983"/>
        <item m="1" x="871"/>
        <item m="1" x="824"/>
        <item m="1" x="557"/>
        <item m="1" x="493"/>
        <item m="1" x="733"/>
        <item m="1" x="920"/>
        <item m="1" x="327"/>
        <item m="1" x="666"/>
        <item m="1" x="525"/>
        <item m="1" x="267"/>
        <item m="1" x="777"/>
        <item m="1" x="978"/>
        <item m="1" x="860"/>
        <item m="1" x="906"/>
        <item m="1" x="1225"/>
        <item m="1" x="807"/>
        <item m="1" x="1333"/>
        <item m="1" x="1057"/>
        <item m="1" x="996"/>
        <item m="1" x="510"/>
        <item m="1" x="1143"/>
        <item m="1" x="1421"/>
        <item m="1" x="1109"/>
        <item m="1" x="1093"/>
        <item m="1" x="380"/>
        <item m="1" x="428"/>
        <item m="1" x="963"/>
        <item m="1" x="469"/>
        <item m="1" x="1406"/>
        <item m="1" x="1072"/>
        <item m="1" x="997"/>
        <item m="1" x="949"/>
        <item m="1" x="750"/>
        <item m="1" x="378"/>
        <item m="1" x="478"/>
        <item m="1" x="584"/>
        <item m="1" x="1317"/>
        <item m="1" x="1349"/>
        <item m="1" x="1048"/>
        <item m="1" x="775"/>
        <item m="1" x="863"/>
        <item m="1" x="373"/>
        <item m="1" x="413"/>
        <item m="1" x="752"/>
        <item m="1" x="977"/>
        <item m="1" x="890"/>
        <item m="1" x="548"/>
        <item m="1" x="781"/>
        <item m="1" x="495"/>
        <item m="1" x="690"/>
        <item m="1" x="612"/>
        <item m="1" x="447"/>
        <item m="1" x="583"/>
        <item m="1" x="953"/>
        <item m="1" x="363"/>
        <item m="1" x="602"/>
        <item m="1" x="394"/>
        <item m="1" x="1087"/>
        <item m="1" x="1276"/>
        <item m="1" x="886"/>
        <item m="1" x="530"/>
        <item m="1" x="1180"/>
        <item m="1" x="1025"/>
        <item m="1" x="542"/>
        <item m="1" x="543"/>
        <item m="1" x="728"/>
        <item m="1" x="418"/>
        <item m="1" x="607"/>
        <item m="1" x="402"/>
        <item m="1" x="588"/>
        <item m="1" x="1156"/>
        <item m="1" x="667"/>
        <item m="1" x="1034"/>
        <item m="1" x="1084"/>
        <item m="1" x="1218"/>
        <item m="1" x="1222"/>
        <item m="1" x="939"/>
        <item m="1" x="780"/>
        <item m="1" x="819"/>
        <item m="1" x="1386"/>
        <item m="1" x="679"/>
        <item m="1" x="491"/>
        <item m="1" x="869"/>
        <item m="1" x="326"/>
        <item m="1" x="1390"/>
        <item m="1" x="853"/>
        <item m="1" x="287"/>
        <item m="1" x="1308"/>
        <item m="1" x="1351"/>
        <item m="1" x="1188"/>
        <item m="1" x="565"/>
        <item m="1" x="304"/>
        <item m="1" x="1238"/>
        <item m="1" x="629"/>
        <item m="1" x="265"/>
        <item m="1" x="1409"/>
        <item m="1" x="653"/>
        <item m="1" x="808"/>
        <item m="1" x="1253"/>
        <item m="1" x="340"/>
        <item m="1" x="1165"/>
        <item m="1" x="973"/>
        <item m="1" x="838"/>
        <item m="1" x="708"/>
        <item m="1" x="455"/>
        <item m="1" x="956"/>
        <item m="1" x="658"/>
        <item m="1" x="1196"/>
        <item m="1" x="518"/>
        <item m="1" x="1266"/>
        <item m="1" x="1273"/>
        <item m="1" x="957"/>
        <item m="1" x="1147"/>
        <item m="1" x="564"/>
        <item m="1" x="861"/>
        <item m="1" x="1150"/>
        <item m="1" x="734"/>
        <item m="1" x="1024"/>
        <item m="1" x="663"/>
        <item m="1" x="448"/>
        <item m="1" x="652"/>
        <item m="1" x="1418"/>
        <item m="1" x="1360"/>
        <item m="1" x="505"/>
        <item m="1" x="1306"/>
        <item m="1" x="312"/>
        <item m="1" x="1328"/>
        <item m="1" x="347"/>
        <item m="1" x="649"/>
        <item m="1" x="747"/>
        <item m="1" x="694"/>
        <item m="1" x="1301"/>
        <item m="1" x="1204"/>
        <item m="1" x="445"/>
        <item m="1" x="1015"/>
        <item m="1" x="1223"/>
        <item m="1" x="1357"/>
        <item m="1" x="1264"/>
        <item m="1" x="350"/>
        <item m="1" x="1430"/>
        <item m="1" x="501"/>
        <item m="1" x="782"/>
        <item m="1" x="1226"/>
        <item m="1" x="349"/>
        <item m="1" x="1285"/>
        <item m="1" x="514"/>
        <item m="1" x="1158"/>
        <item m="1" x="1022"/>
        <item m="1" x="1000"/>
        <item m="1" x="579"/>
        <item m="1" x="541"/>
        <item m="1" x="1353"/>
        <item m="1" x="294"/>
        <item m="1" x="476"/>
        <item m="1" x="1135"/>
        <item m="1" x="1246"/>
        <item m="1" x="1173"/>
        <item m="1" x="1377"/>
        <item m="1" x="881"/>
        <item m="1" x="508"/>
        <item m="1" x="628"/>
        <item m="1" x="947"/>
        <item m="1" x="689"/>
        <item m="1" x="1017"/>
        <item m="1" x="630"/>
        <item m="1" x="432"/>
        <item m="1" x="1085"/>
        <item m="1" x="487"/>
        <item m="1" x="367"/>
        <item m="1" x="1219"/>
        <item m="1" x="1366"/>
        <item m="1" x="1067"/>
        <item m="1" x="332"/>
        <item m="1" x="1258"/>
        <item m="1" x="1056"/>
        <item m="1" x="1166"/>
        <item m="1" x="1305"/>
        <item m="1" x="533"/>
        <item m="1" x="725"/>
        <item m="1" x="563"/>
        <item m="1" x="831"/>
        <item m="1" x="755"/>
        <item m="1" x="785"/>
        <item m="1" x="1321"/>
        <item m="1" x="767"/>
        <item m="1" x="970"/>
        <item m="1" x="502"/>
        <item m="1" x="701"/>
        <item m="1" x="675"/>
        <item m="1" x="1018"/>
        <item m="1" x="921"/>
        <item m="1" x="1149"/>
        <item m="1" x="671"/>
        <item m="1" x="1307"/>
        <item m="1" x="509"/>
        <item m="1" x="435"/>
        <item m="1" x="691"/>
        <item m="1" x="1232"/>
        <item m="1" x="342"/>
        <item m="1" x="343"/>
        <item m="1" x="639"/>
        <item m="1" x="1312"/>
        <item m="1" x="706"/>
        <item m="1" x="351"/>
        <item m="1" x="511"/>
        <item m="1" x="753"/>
        <item m="1" x="1064"/>
        <item m="1" x="1036"/>
        <item m="1" x="707"/>
        <item m="1" x="288"/>
        <item m="1" x="426"/>
        <item m="1" x="638"/>
        <item m="1" x="526"/>
        <item m="1" x="283"/>
        <item m="1" x="1236"/>
        <item m="1" x="1365"/>
        <item m="1" x="835"/>
        <item m="1" x="1265"/>
        <item m="1" x="1325"/>
        <item m="1" x="348"/>
        <item m="1" x="1363"/>
        <item m="1" x="1101"/>
        <item m="1" x="524"/>
        <item m="1" x="710"/>
        <item m="1" x="614"/>
        <item m="1" x="976"/>
        <item m="1" x="547"/>
        <item m="1" x="763"/>
        <item m="1" x="1058"/>
        <item m="1" x="1183"/>
        <item m="1" x="686"/>
        <item m="1" x="814"/>
        <item m="1" x="626"/>
        <item m="1" x="552"/>
        <item m="1" x="1063"/>
        <item m="1" x="1178"/>
        <item m="1" x="1340"/>
        <item m="1" x="382"/>
        <item m="1" x="586"/>
        <item m="1" x="1026"/>
        <item m="1" x="427"/>
        <item m="1" x="714"/>
        <item m="1" x="1095"/>
        <item m="1" x="360"/>
        <item m="1" x="570"/>
        <item m="1" x="680"/>
        <item m="1" x="1286"/>
        <item m="1" x="519"/>
        <item m="1" x="789"/>
        <item m="1" x="1342"/>
        <item m="1" x="470"/>
        <item m="1" x="659"/>
        <item m="1" x="847"/>
        <item m="1" x="1184"/>
        <item m="1" x="482"/>
        <item m="1" x="738"/>
        <item m="1" x="580"/>
        <item m="1" x="1076"/>
        <item m="1" x="1262"/>
        <item m="1" x="388"/>
        <item m="1" x="608"/>
        <item m="1" x="1344"/>
        <item m="1" x="1309"/>
        <item m="1" x="409"/>
        <item m="1" x="726"/>
        <item m="1" x="1250"/>
        <item m="1" x="1381"/>
        <item m="1" x="1252"/>
        <item m="1" x="1227"/>
        <item m="1" x="358"/>
        <item m="1" x="534"/>
        <item m="1" x="616"/>
        <item m="1" x="605"/>
        <item m="1" x="832"/>
        <item m="1" x="320"/>
        <item m="1" x="1019"/>
        <item m="1" x="1090"/>
        <item m="1" x="272"/>
        <item m="1" x="1350"/>
        <item m="1" x="1212"/>
        <item m="1" x="1341"/>
        <item m="1" x="1371"/>
        <item m="1" x="1407"/>
        <item m="1" x="1345"/>
        <item m="1" x="709"/>
        <item m="1" x="1069"/>
        <item m="1" x="676"/>
        <item m="1" x="1082"/>
        <item m="1" x="1047"/>
        <item m="1" x="485"/>
        <item m="1" x="523"/>
        <item m="1" x="661"/>
        <item m="1" x="1126"/>
        <item m="1" x="646"/>
        <item m="1" x="392"/>
        <item m="1" x="1391"/>
        <item m="1" x="1141"/>
        <item m="1" x="974"/>
        <item m="1" x="1006"/>
        <item m="1" x="1055"/>
        <item m="1" x="480"/>
        <item m="1" x="822"/>
        <item m="1" x="1167"/>
        <item m="1" x="318"/>
        <item m="1" x="561"/>
        <item m="1" x="461"/>
        <item m="1" x="458"/>
        <item m="1" x="462"/>
        <item m="1" x="263"/>
        <item m="1" x="484"/>
        <item m="1" x="1281"/>
        <item m="1" x="285"/>
        <item m="1" x="931"/>
        <item m="1" x="1368"/>
        <item m="1" x="1179"/>
        <item m="1" x="439"/>
        <item m="1" x="1439"/>
        <item m="1" x="368"/>
        <item m="1" x="735"/>
        <item m="1" x="958"/>
        <item m="1" x="414"/>
        <item m="1" x="867"/>
        <item m="1" x="1027"/>
        <item m="1" x="1295"/>
        <item m="1" x="1197"/>
        <item m="1" x="276"/>
        <item m="1" x="959"/>
        <item m="1" x="359"/>
        <item m="1" x="595"/>
        <item m="1" x="567"/>
        <item m="1" x="329"/>
        <item m="1" x="922"/>
        <item m="1" x="929"/>
        <item m="1" x="1029"/>
        <item m="1" x="778"/>
        <item m="1" x="1278"/>
        <item m="1" x="687"/>
        <item m="1" x="1397"/>
        <item m="1" x="1032"/>
        <item m="1" x="923"/>
        <item m="1" x="587"/>
        <item m="1" x="995"/>
        <item m="1" x="1293"/>
        <item m="1" x="1358"/>
        <item m="1" x="1337"/>
        <item m="1" x="1267"/>
        <item m="1" x="1016"/>
        <item m="1" x="1129"/>
        <item m="1" x="642"/>
        <item m="1" x="1091"/>
        <item m="1" x="916"/>
        <item m="1" x="875"/>
        <item m="1" x="873"/>
        <item m="1" x="874"/>
        <item m="1" x="571"/>
        <item m="1" x="615"/>
        <item m="1" x="1228"/>
        <item m="1" x="793"/>
        <item m="1" x="635"/>
        <item m="1" x="677"/>
        <item m="1" x="723"/>
        <item m="1" x="975"/>
        <item m="1" x="1313"/>
        <item m="1" x="1402"/>
        <item m="1" x="520"/>
        <item m="1" x="471"/>
        <item m="1" x="308"/>
        <item m="1" x="330"/>
        <item m="1" x="627"/>
        <item m="1" x="415"/>
        <item m="1" x="743"/>
        <item m="1" x="1279"/>
        <item m="1" x="620"/>
        <item m="1" x="412"/>
        <item m="1" x="1171"/>
        <item m="1" x="289"/>
        <item m="1" x="1297"/>
        <item m="1" x="1372"/>
        <item m="1" x="1436"/>
        <item m="1" x="1311"/>
        <item m="1" x="554"/>
        <item m="1" x="331"/>
        <item m="1" x="795"/>
        <item m="1" x="879"/>
        <item m="1" x="1075"/>
        <item m="1" x="1043"/>
        <item m="1" x="1079"/>
        <item m="1" x="856"/>
        <item m="1" x="894"/>
        <item m="1" x="1335"/>
        <item m="1" x="1098"/>
        <item m="1" x="1068"/>
        <item m="1" x="1007"/>
        <item m="1" x="1080"/>
        <item m="1" x="281"/>
        <item m="1" x="286"/>
        <item m="1" x="889"/>
        <item m="1" x="1274"/>
        <item m="1" x="844"/>
        <item m="1" x="1414"/>
        <item m="1" x="813"/>
        <item m="1" x="989"/>
        <item m="1" x="1060"/>
        <item m="1" x="674"/>
        <item m="1" x="506"/>
        <item m="1" x="882"/>
        <item m="1" x="568"/>
        <item m="1" x="1423"/>
        <item m="1" x="1338"/>
        <item m="1" x="1151"/>
        <item m="1" x="408"/>
        <item m="1" x="335"/>
        <item m="1" x="908"/>
        <item m="1" x="1152"/>
        <item m="1" x="1441"/>
        <item m="1" x="787"/>
        <item m="1" x="1388"/>
        <item m="1" x="322"/>
        <item m="1" x="436"/>
        <item m="1" x="748"/>
        <item m="1" x="839"/>
        <item m="1" x="1268"/>
        <item m="1" x="592"/>
        <item m="1" x="1271"/>
        <item m="1" x="688"/>
        <item m="1" x="1260"/>
        <item m="1" x="1424"/>
        <item m="1" x="352"/>
        <item m="1" x="1408"/>
        <item m="1" x="299"/>
        <item m="1" x="1161"/>
        <item m="1" x="779"/>
        <item m="1" x="610"/>
        <item m="1" x="573"/>
        <item m="1" x="717"/>
        <item m="1" x="316"/>
        <item m="1" x="1401"/>
        <item m="1" x="400"/>
        <item m="1" x="421"/>
        <item m="1" x="1294"/>
        <item m="1" x="1373"/>
        <item m="1" x="887"/>
        <item m="1" x="1028"/>
        <item m="1" x="729"/>
        <item m="1" x="842"/>
        <item m="1" x="991"/>
        <item m="1" x="1108"/>
        <item m="1" x="695"/>
        <item m="1" x="971"/>
        <item m="1" x="790"/>
        <item m="1" x="1427"/>
        <item m="1" x="280"/>
        <item m="1" x="719"/>
        <item m="1" x="660"/>
        <item m="1" x="621"/>
        <item m="1" x="1415"/>
        <item m="1" x="1233"/>
        <item m="1" x="1364"/>
        <item m="1" x="377"/>
        <item m="1" x="1375"/>
        <item m="1" x="1362"/>
        <item m="1" x="1239"/>
        <item m="1" x="474"/>
        <item m="1" x="843"/>
        <item m="1" x="936"/>
        <item m="1" x="682"/>
        <item m="1" x="1280"/>
        <item m="1" x="1066"/>
        <item m="1" x="1086"/>
        <item m="1" x="980"/>
        <item m="1" x="323"/>
        <item m="1" x="1153"/>
        <item m="1" x="1315"/>
        <item m="1" x="720"/>
        <item m="1" x="1434"/>
        <item m="1" x="928"/>
        <item m="1" x="515"/>
        <item m="1" x="648"/>
        <item m="1" x="684"/>
        <item m="1" x="1343"/>
        <item m="1" x="1327"/>
        <item m="1" x="387"/>
        <item m="1" x="389"/>
        <item m="1" x="303"/>
        <item m="1" x="1263"/>
        <item m="1" x="305"/>
        <item m="1" x="722"/>
        <item m="1" x="622"/>
        <item m="1" x="1078"/>
        <item m="1" x="1021"/>
        <item m="1" x="1370"/>
        <item m="1" x="1302"/>
        <item m="1" x="794"/>
        <item m="1" x="1008"/>
        <item m="1" x="1243"/>
        <item m="1" x="356"/>
        <item m="1" x="788"/>
        <item m="1" x="718"/>
        <item m="1" x="1412"/>
        <item m="1" x="1379"/>
        <item m="1" x="810"/>
        <item m="1" x="416"/>
        <item m="1" x="711"/>
        <item m="1" x="884"/>
        <item m="1" x="338"/>
        <item m="1" x="1174"/>
        <item m="1" x="768"/>
        <item m="1" x="578"/>
        <item m="1" x="672"/>
        <item m="1" x="1118"/>
        <item m="1" x="1417"/>
        <item m="1" x="496"/>
        <item m="1" x="1269"/>
        <item m="1" x="490"/>
        <item m="1" x="1054"/>
        <item m="1" x="826"/>
        <item m="1" x="757"/>
        <item m="1" x="479"/>
        <item m="1" x="546"/>
        <item m="1" x="334"/>
        <item m="1" x="1134"/>
        <item m="1" x="647"/>
        <item m="1" x="371"/>
        <item m="1" x="985"/>
        <item m="1" x="1300"/>
        <item m="1" x="840"/>
        <item m="1" x="798"/>
        <item m="1" x="269"/>
        <item m="1" x="1405"/>
        <item m="1" x="655"/>
        <item m="1" x="715"/>
        <item m="1" x="1122"/>
        <item m="1" x="1399"/>
        <item m="1" x="1324"/>
        <item m="1" x="1175"/>
        <item m="1" x="1290"/>
        <item m="1" x="451"/>
        <item m="1" x="650"/>
        <item m="1" x="483"/>
        <item m="1" x="275"/>
        <item m="1" x="888"/>
        <item m="1" x="337"/>
        <item m="1" x="559"/>
        <item m="1" x="503"/>
        <item m="1" x="449"/>
        <item m="1" x="1404"/>
        <item m="1" x="500"/>
        <item m="1" x="1102"/>
        <item m="1" x="1314"/>
        <item m="1" x="440"/>
        <item m="1" x="344"/>
        <item m="1" x="1137"/>
        <item m="1" x="1113"/>
        <item m="1" x="1154"/>
        <item m="1" x="1073"/>
        <item m="1" x="417"/>
        <item m="1" x="773"/>
        <item m="1" x="1041"/>
        <item m="1" x="1291"/>
        <item m="1" x="885"/>
        <item m="1" x="1003"/>
        <item m="1" x="1347"/>
        <item m="1" x="759"/>
        <item m="1" x="603"/>
        <item m="1" x="836"/>
        <item m="1" x="783"/>
        <item m="1" x="713"/>
        <item m="1" x="1230"/>
        <item m="1" x="917"/>
        <item m="1" x="1013"/>
        <item m="1" x="264"/>
        <item m="1" x="809"/>
        <item m="1" x="411"/>
        <item m="1" x="678"/>
        <item m="1" x="816"/>
        <item m="1" x="346"/>
        <item m="1" x="463"/>
        <item m="1" x="918"/>
        <item m="1" x="1115"/>
        <item m="1" x="1385"/>
        <item m="1" x="1428"/>
        <item m="1" x="1038"/>
        <item m="1" x="386"/>
        <item m="1" x="314"/>
        <item m="1" x="900"/>
        <item m="1" x="522"/>
        <item m="1" x="796"/>
        <item m="1" x="424"/>
        <item m="1" x="527"/>
        <item m="1" x="954"/>
        <item m="1" x="1310"/>
        <item m="1" x="1241"/>
        <item m="1" x="657"/>
        <item m="1" x="692"/>
        <item m="1" x="968"/>
        <item m="1" x="1398"/>
        <item m="1" x="1124"/>
        <item m="1" x="290"/>
        <item m="1" x="1352"/>
        <item m="1" x="398"/>
        <item m="1" x="1044"/>
        <item m="1" x="1089"/>
        <item m="1" x="1092"/>
        <item m="1" x="1432"/>
        <item m="1" x="325"/>
        <item m="1" x="1103"/>
        <item m="1" x="1200"/>
        <item m="1" x="972"/>
        <item m="1" x="1142"/>
        <item m="1" x="384"/>
        <item m="1" x="776"/>
        <item m="1" x="623"/>
        <item m="1" x="1235"/>
        <item m="1" x="1330"/>
        <item m="1" x="859"/>
        <item m="1" x="1298"/>
        <item m="1" x="1346"/>
        <item m="1" x="699"/>
        <item m="1" x="1202"/>
        <item m="1" x="1065"/>
        <item m="1" x="1348"/>
        <item m="1" x="1392"/>
        <item m="1" x="1130"/>
        <item m="1" x="740"/>
        <item m="1" x="545"/>
        <item m="1" x="1380"/>
        <item m="1" x="927"/>
        <item m="1" x="901"/>
        <item m="1" x="910"/>
        <item m="1" x="1431"/>
        <item m="1" x="1155"/>
        <item m="1" x="850"/>
        <item m="1" x="1119"/>
        <item m="1" x="1096"/>
        <item m="1" x="712"/>
        <item m="1" x="613"/>
        <item m="1" x="1112"/>
        <item m="1" x="507"/>
        <item m="1" x="464"/>
        <item m="1" x="406"/>
        <item m="1" x="1393"/>
        <item m="1" x="1009"/>
        <item m="1" x="744"/>
        <item m="1" x="825"/>
        <item m="1" x="306"/>
        <item m="1" x="1382"/>
        <item m="1" x="933"/>
        <item m="1" x="1081"/>
        <item m="1" x="529"/>
        <item m="1" x="1213"/>
        <item m="1" x="716"/>
        <item m="1" x="609"/>
        <item m="1" x="1437"/>
        <item m="1" x="739"/>
        <item m="1" x="1378"/>
        <item m="1" x="964"/>
        <item m="1" x="640"/>
        <item m="1" x="431"/>
        <item m="1" x="374"/>
        <item m="1" x="668"/>
        <item m="1" x="365"/>
        <item m="1" x="336"/>
        <item m="1" x="353"/>
        <item m="1" x="632"/>
        <item m="1" x="477"/>
        <item m="1" x="784"/>
        <item m="1" x="841"/>
        <item m="1" x="940"/>
        <item m="1" x="811"/>
        <item m="1" x="1144"/>
        <item m="1" x="1208"/>
        <item m="1" x="420"/>
        <item m="1" x="430"/>
        <item m="1" x="619"/>
        <item m="1" x="761"/>
        <item m="1" x="551"/>
        <item m="1" x="1104"/>
        <item m="1" x="854"/>
        <item m="1" x="771"/>
        <item m="1" x="904"/>
        <item m="1" x="1210"/>
        <item m="1" x="1148"/>
        <item m="1" x="1234"/>
        <item m="1" x="990"/>
        <item m="1" x="410"/>
        <item m="1" x="1416"/>
        <item m="1" x="829"/>
        <item m="1" x="444"/>
        <item m="1" x="268"/>
        <item m="1" x="1413"/>
        <item m="1" x="897"/>
        <item m="1" x="864"/>
        <item m="1" x="636"/>
        <item m="1" x="516"/>
        <item m="1" x="600"/>
        <item m="1" x="754"/>
        <item m="1" x="1329"/>
        <item m="1" x="1248"/>
        <item m="1" x="624"/>
        <item m="1" x="697"/>
        <item m="1" x="704"/>
        <item m="1" x="1242"/>
        <item m="1" x="845"/>
        <item m="1" x="317"/>
        <item m="1" x="878"/>
        <item m="1" x="1157"/>
        <item m="1" x="1283"/>
        <item m="1" x="1176"/>
        <item m="1" x="984"/>
        <item m="1" x="1282"/>
        <item m="1" x="296"/>
        <item m="1" x="1199"/>
        <item m="1" x="278"/>
        <item m="1" x="618"/>
        <item m="1" x="282"/>
        <item m="1" x="441"/>
        <item m="1" x="531"/>
        <item m="1" x="537"/>
        <item m="1" x="955"/>
        <item m="1" x="1209"/>
        <item m="1" x="736"/>
        <item m="1" x="307"/>
        <item m="1" x="513"/>
        <item m="1" x="301"/>
        <item m="1" x="1296"/>
        <item m="1" x="521"/>
        <item m="1" x="857"/>
        <item m="1" x="1316"/>
        <item m="1" x="643"/>
        <item m="1" x="585"/>
        <item m="1" x="981"/>
        <item m="1" x="538"/>
        <item m="1" x="846"/>
        <item m="1" x="1140"/>
        <item m="1" x="279"/>
        <item m="1" x="792"/>
        <item m="1" x="911"/>
        <item m="1" x="403"/>
        <item m="1" x="745"/>
        <item m="1" x="880"/>
        <item m="1" x="631"/>
        <item m="1" x="669"/>
        <item m="1" x="396"/>
        <item m="1" x="802"/>
        <item m="1" x="266"/>
        <item m="1" x="938"/>
        <item m="1" x="1331"/>
        <item m="1" x="1052"/>
        <item m="1" x="1046"/>
        <item m="1" x="945"/>
        <item m="1" x="271"/>
        <item m="1" x="1077"/>
        <item m="1" x="1120"/>
        <item m="1" x="926"/>
        <item m="1" x="270"/>
        <item m="1" x="1277"/>
        <item m="1" x="1244"/>
        <item m="1" x="274"/>
        <item m="1" x="553"/>
        <item m="1" x="943"/>
        <item m="1" x="1198"/>
        <item m="1" x="395"/>
        <item m="1" x="291"/>
        <item m="1" x="450"/>
        <item m="1" x="341"/>
        <item m="1" x="749"/>
        <item m="1" x="562"/>
        <item m="1" x="560"/>
        <item m="1" x="731"/>
        <item m="1" x="833"/>
        <item m="1" x="737"/>
        <item m="1" x="934"/>
        <item m="1" x="786"/>
        <item m="1" x="651"/>
        <item m="1" x="766"/>
        <item m="1" x="1259"/>
        <item m="1" x="1354"/>
        <item m="1" x="611"/>
        <item m="1" x="1334"/>
        <item m="1" x="376"/>
        <item m="1" x="1323"/>
        <item m="1" x="1020"/>
        <item m="1" x="1191"/>
        <item m="1" x="1270"/>
        <item m="1" x="950"/>
        <item m="1" x="1162"/>
        <item m="1" x="454"/>
        <item m="1" x="437"/>
        <item m="1" x="1059"/>
        <item m="1" x="1031"/>
        <item m="1" x="593"/>
        <item m="1" x="1429"/>
        <item m="1" x="1001"/>
        <item m="1" x="741"/>
        <item m="1" x="815"/>
        <item m="1" x="774"/>
        <item m="1" x="1284"/>
        <item m="1" x="1288"/>
        <item m="1" x="284"/>
        <item m="1" x="1168"/>
        <item m="1" x="1214"/>
        <item m="1" x="333"/>
        <item m="1" x="705"/>
        <item m="1" x="696"/>
        <item m="1" x="1203"/>
        <item m="1" x="902"/>
        <item m="1" x="1106"/>
        <item m="1" x="772"/>
        <item m="1" x="1123"/>
        <item m="1" x="311"/>
        <item m="1" x="434"/>
        <item m="1" x="1403"/>
        <item m="1" x="1023"/>
        <item m="1" x="1395"/>
        <item m="1" x="315"/>
        <item m="1" x="575"/>
        <item m="1" x="391"/>
        <item m="1" x="324"/>
        <item m="1" x="339"/>
        <item m="1" x="891"/>
        <item m="1" x="924"/>
        <item m="1" x="596"/>
        <item m="1" x="1014"/>
        <item m="1" x="1332"/>
        <item m="1" x="683"/>
        <item m="1" x="762"/>
        <item m="1" x="912"/>
        <item m="1" x="1400"/>
        <item m="1" x="577"/>
        <item m="1" x="589"/>
        <item m="1" x="599"/>
        <item m="1" x="1220"/>
        <item m="1" x="1356"/>
        <item m="1" x="273"/>
        <item m="1" x="1100"/>
        <item m="1" x="1396"/>
        <item m="1" x="497"/>
        <item m="1" x="812"/>
        <item m="1" x="1433"/>
        <item m="1" x="1339"/>
        <item m="1" x="486"/>
        <item m="1" x="598"/>
        <item m="1" x="685"/>
        <item m="1" x="1010"/>
        <item m="1" x="1207"/>
        <item m="1" x="442"/>
        <item m="1" x="913"/>
        <item m="1" x="438"/>
        <item m="1" x="407"/>
        <item m="1" x="355"/>
        <item m="1" x="1326"/>
        <item m="1" x="919"/>
        <item m="1" x="1367"/>
        <item m="1" x="760"/>
        <item m="1" x="1384"/>
        <item m="1" x="1136"/>
        <item m="1" x="425"/>
        <item m="1" x="1240"/>
        <item m="1" x="1254"/>
        <item m="1" x="914"/>
        <item m="1" x="1289"/>
        <item m="1" x="1127"/>
        <item m="1" x="992"/>
        <item m="1" x="309"/>
        <item m="1" x="1138"/>
        <item m="1" x="870"/>
        <item m="1" x="803"/>
        <item m="1" x="1146"/>
        <item m="1" x="730"/>
        <item m="1" x="364"/>
        <item m="1" x="536"/>
        <item m="1" x="313"/>
        <item m="1" x="662"/>
        <item m="1" x="1040"/>
        <item m="1" x="625"/>
        <item m="1" x="488"/>
        <item m="1" x="703"/>
        <item m="1" x="381"/>
        <item m="1" x="633"/>
        <item m="1" x="504"/>
        <item m="1" x="855"/>
        <item m="1" x="1442"/>
        <item m="1" x="896"/>
        <item m="1" x="492"/>
        <item m="1" x="769"/>
        <item m="1" x="475"/>
        <item m="1" x="528"/>
        <item m="1" x="820"/>
        <item m="1" x="1088"/>
        <item m="1" x="805"/>
        <item m="1" x="1255"/>
        <item m="1" x="817"/>
        <item m="1" x="1051"/>
        <item m="1" x="366"/>
        <item m="1" x="849"/>
        <item m="1" x="489"/>
        <item m="1" x="419"/>
        <item m="1" x="1145"/>
        <item m="1" x="460"/>
        <item m="1" x="1169"/>
        <item m="1" x="361"/>
        <item m="1" x="986"/>
        <item m="1" x="993"/>
        <item m="1" x="397"/>
        <item m="1" x="915"/>
        <item m="1" x="293"/>
        <item m="1" x="1116"/>
        <item m="1" x="821"/>
        <item m="1" x="1042"/>
        <item m="1" x="1011"/>
        <item m="1" x="1231"/>
        <item m="1" x="1004"/>
        <item m="1" x="582"/>
        <item m="1" x="1083"/>
        <item m="1" x="1217"/>
        <item m="1" x="907"/>
        <item m="1" x="1039"/>
        <item m="1" x="372"/>
        <item m="1" x="1205"/>
        <item m="1" x="862"/>
        <item m="1" x="727"/>
        <item m="1" x="1111"/>
        <item m="1" x="637"/>
        <item m="1" x="960"/>
        <item m="1" x="494"/>
        <item m="1" x="590"/>
        <item m="1" x="987"/>
        <item m="1" x="756"/>
        <item m="1" x="300"/>
        <item m="1" x="634"/>
        <item m="1" x="1114"/>
        <item m="1" x="1216"/>
        <item m="1" x="319"/>
        <item m="1" x="604"/>
        <item m="1" x="539"/>
        <item m="1" x="872"/>
        <item m="1" x="965"/>
        <item m="1" x="405"/>
        <item m="1" x="1387"/>
        <item m="1" x="370"/>
        <item m="1" x="443"/>
        <item m="1" x="1224"/>
        <item m="1" x="732"/>
        <item m="1" x="746"/>
        <item m="1" x="800"/>
        <item m="1" x="375"/>
        <item m="1" x="654"/>
        <item m="1" x="1049"/>
        <item m="1" x="961"/>
        <item m="1" x="751"/>
        <item m="1" x="698"/>
        <item m="1" x="328"/>
        <item m="1" x="566"/>
        <item m="1" x="1030"/>
        <item m="1" x="664"/>
        <item m="1" x="827"/>
        <item m="1" x="764"/>
        <item m="1" x="946"/>
        <item m="1" x="310"/>
        <item m="1" x="791"/>
        <item m="1" x="465"/>
        <item m="1" x="868"/>
        <item m="1" x="994"/>
        <item m="1" x="1070"/>
        <item m="1" x="1005"/>
        <item m="1" x="966"/>
        <item m="1" x="892"/>
        <item m="1" x="1303"/>
        <item m="1" x="1195"/>
        <item m="1" x="446"/>
        <item m="1" x="1187"/>
        <item m="1" x="641"/>
        <item m="1" x="951"/>
        <item m="1" x="357"/>
        <item m="1" x="930"/>
        <item m="1" x="797"/>
        <item m="1" x="1229"/>
        <item m="1" x="383"/>
        <item m="1" x="1440"/>
        <item m="1" x="422"/>
        <item m="1" x="362"/>
        <item m="1" x="932"/>
        <item m="1" x="1132"/>
        <item m="1" x="1035"/>
        <item m="1" x="321"/>
        <item m="1" x="473"/>
        <item m="1" x="1261"/>
        <item m="1" x="1201"/>
        <item m="1" x="456"/>
        <item m="1" x="429"/>
        <item m="1" x="724"/>
        <item m="1" x="345"/>
        <item m="1" x="952"/>
        <item m="1" x="385"/>
        <item m="1" x="555"/>
        <item m="1" x="852"/>
        <item m="1" x="1383"/>
        <item m="1" x="423"/>
        <item m="1" x="693"/>
        <item m="1" x="540"/>
        <item m="1" x="702"/>
        <item m="1" x="1256"/>
        <item m="1" x="1139"/>
        <item m="1" x="601"/>
        <item m="1" x="354"/>
        <item m="1" x="1304"/>
        <item m="1" x="467"/>
        <item m="1" x="1249"/>
        <item m="1" x="806"/>
        <item m="1" x="1190"/>
        <item m="1" x="549"/>
        <item m="1" x="721"/>
        <item m="1" x="1206"/>
        <item m="1" x="1394"/>
        <item m="1" x="1170"/>
        <item m="1" x="569"/>
        <item m="1" x="512"/>
        <item m="1" x="1215"/>
        <item m="1" x="979"/>
        <item m="1" x="823"/>
        <item m="1" x="1247"/>
        <item m="1" x="295"/>
        <item m="1" x="292"/>
        <item m="1" x="967"/>
        <item m="1" x="1107"/>
        <item m="1" x="1062"/>
        <item m="1" x="1245"/>
        <item m="1" x="770"/>
        <item m="1" x="517"/>
        <item m="1" x="591"/>
        <item m="1" x="1121"/>
        <item m="1" x="673"/>
        <item m="1" x="903"/>
        <item m="1" x="1318"/>
        <item m="1" x="556"/>
        <item m="1" x="893"/>
        <item m="1" x="277"/>
        <item m="1" x="60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594"/>
        <item m="1" x="1355"/>
        <item m="1" x="297"/>
        <item m="1" x="26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/>
    </i>
    <i r="1">
      <x v="1434"/>
    </i>
    <i r="2">
      <x v="3"/>
    </i>
    <i r="2">
      <x v="11"/>
    </i>
    <i r="1">
      <x v="1435"/>
    </i>
    <i r="2">
      <x v="8"/>
    </i>
    <i r="1">
      <x v="1436"/>
    </i>
    <i r="2">
      <x v="8"/>
    </i>
    <i r="1">
      <x v="1437"/>
    </i>
    <i r="2">
      <x v="8"/>
    </i>
    <i r="2">
      <x v="11"/>
    </i>
    <i r="1">
      <x v="1438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81" totalsRowShown="0" totalsRowDxfId="23">
  <autoFilter ref="A1:C1181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06" totalsRowShown="0">
  <autoFilter ref="A1:S2406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D6" sqref="D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137</v>
      </c>
      <c r="C5"/>
      <c r="D5"/>
      <c r="E5"/>
    </row>
    <row r="6" spans="1:6">
      <c r="A6" s="67" t="s">
        <v>4659</v>
      </c>
      <c r="B6" s="96">
        <v>35</v>
      </c>
      <c r="C6"/>
      <c r="D6"/>
      <c r="E6"/>
    </row>
    <row r="7" spans="1:6">
      <c r="A7" s="68" t="s">
        <v>369</v>
      </c>
      <c r="B7" s="96">
        <v>33</v>
      </c>
      <c r="C7"/>
      <c r="D7"/>
      <c r="E7"/>
    </row>
    <row r="8" spans="1:6">
      <c r="A8" s="68" t="s">
        <v>375</v>
      </c>
      <c r="B8" s="96">
        <v>2</v>
      </c>
      <c r="C8" s="56"/>
      <c r="D8"/>
      <c r="E8"/>
    </row>
    <row r="9" spans="1:6">
      <c r="A9" s="67" t="s">
        <v>4700</v>
      </c>
      <c r="B9" s="96">
        <v>1</v>
      </c>
      <c r="C9"/>
      <c r="D9"/>
    </row>
    <row r="10" spans="1:6">
      <c r="A10" s="68" t="s">
        <v>370</v>
      </c>
      <c r="B10" s="96">
        <v>1</v>
      </c>
      <c r="C10" s="53"/>
      <c r="D10"/>
    </row>
    <row r="11" spans="1:6">
      <c r="A11" s="67" t="s">
        <v>4711</v>
      </c>
      <c r="B11" s="96">
        <v>5</v>
      </c>
      <c r="C11"/>
      <c r="D11"/>
    </row>
    <row r="12" spans="1:6">
      <c r="A12" s="68" t="s">
        <v>370</v>
      </c>
      <c r="B12" s="96">
        <v>5</v>
      </c>
      <c r="C12"/>
      <c r="D12"/>
    </row>
    <row r="13" spans="1:6">
      <c r="A13" s="67" t="s">
        <v>4712</v>
      </c>
      <c r="B13" s="96">
        <v>82</v>
      </c>
      <c r="C13"/>
      <c r="D13"/>
    </row>
    <row r="14" spans="1:6">
      <c r="A14" s="68" t="s">
        <v>370</v>
      </c>
      <c r="B14" s="96">
        <v>56</v>
      </c>
      <c r="C14" s="53"/>
      <c r="D14"/>
    </row>
    <row r="15" spans="1:6">
      <c r="A15" s="68" t="s">
        <v>375</v>
      </c>
      <c r="B15" s="96">
        <v>26</v>
      </c>
      <c r="C15"/>
      <c r="D15"/>
    </row>
    <row r="16" spans="1:6">
      <c r="A16" s="67" t="s">
        <v>4813</v>
      </c>
      <c r="B16" s="96">
        <v>14</v>
      </c>
      <c r="C16"/>
      <c r="D16"/>
    </row>
    <row r="17" spans="1:4">
      <c r="A17" s="68" t="s">
        <v>370</v>
      </c>
      <c r="B17" s="96">
        <v>14</v>
      </c>
      <c r="C17"/>
      <c r="D17"/>
    </row>
    <row r="18" spans="1:4">
      <c r="A18" s="17" t="s">
        <v>381</v>
      </c>
      <c r="B18" s="96">
        <v>137</v>
      </c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81"/>
  <sheetViews>
    <sheetView topLeftCell="A1155" workbookViewId="0">
      <selection activeCell="C1179" sqref="C1179:C118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3703</v>
      </c>
      <c r="B1137">
        <v>1</v>
      </c>
      <c r="C1137" s="86" t="s">
        <v>4</v>
      </c>
    </row>
    <row r="1138" spans="1:3">
      <c r="A1138" t="s">
        <v>3739</v>
      </c>
      <c r="B1138">
        <v>28</v>
      </c>
      <c r="C1138" s="86" t="s">
        <v>4</v>
      </c>
    </row>
    <row r="1139" spans="1:3">
      <c r="A1139" t="s">
        <v>3743</v>
      </c>
      <c r="B1139">
        <v>1</v>
      </c>
      <c r="C1139" s="86" t="s">
        <v>4</v>
      </c>
    </row>
    <row r="1140" spans="1:3">
      <c r="A1140" t="s">
        <v>3710</v>
      </c>
      <c r="B1140">
        <v>1</v>
      </c>
      <c r="C1140" s="91" t="s">
        <v>4</v>
      </c>
    </row>
    <row r="1141" spans="1:3">
      <c r="A1141" t="s">
        <v>3767</v>
      </c>
      <c r="B1141">
        <v>3</v>
      </c>
      <c r="C1141" s="91" t="s">
        <v>4</v>
      </c>
    </row>
    <row r="1142" spans="1:3">
      <c r="A1142" t="s">
        <v>3777</v>
      </c>
      <c r="B1142">
        <v>1</v>
      </c>
      <c r="C1142" s="91" t="s">
        <v>4</v>
      </c>
    </row>
    <row r="1143" spans="1:3">
      <c r="A1143" t="s">
        <v>3779</v>
      </c>
      <c r="B1143">
        <v>4</v>
      </c>
      <c r="C1143" s="91" t="s">
        <v>4</v>
      </c>
    </row>
    <row r="1144" spans="1:3">
      <c r="A1144" t="s">
        <v>3748</v>
      </c>
      <c r="B1144">
        <v>1</v>
      </c>
      <c r="C1144" s="91" t="s">
        <v>4</v>
      </c>
    </row>
    <row r="1145" spans="1:3">
      <c r="A1145" t="s">
        <v>3750</v>
      </c>
      <c r="B1145">
        <v>10</v>
      </c>
      <c r="C1145" s="91" t="s">
        <v>4</v>
      </c>
    </row>
    <row r="1146" spans="1:3">
      <c r="A1146" t="s">
        <v>3790</v>
      </c>
      <c r="B1146">
        <v>2</v>
      </c>
      <c r="C1146" s="91" t="s">
        <v>4</v>
      </c>
    </row>
    <row r="1147" spans="1:3">
      <c r="A1147" t="s">
        <v>3798</v>
      </c>
      <c r="B1147">
        <v>1</v>
      </c>
      <c r="C1147" s="91" t="s">
        <v>4</v>
      </c>
    </row>
    <row r="1148" spans="1:3">
      <c r="A1148" t="s">
        <v>3808</v>
      </c>
      <c r="B1148">
        <v>9</v>
      </c>
      <c r="C1148" s="91" t="s">
        <v>4</v>
      </c>
    </row>
    <row r="1149" spans="1:3">
      <c r="A1149" t="s">
        <v>3821</v>
      </c>
      <c r="B1149">
        <v>55</v>
      </c>
      <c r="C1149" s="91" t="s">
        <v>4</v>
      </c>
    </row>
    <row r="1150" spans="1:3">
      <c r="A1150" t="s">
        <v>3830</v>
      </c>
      <c r="B1150">
        <v>1</v>
      </c>
      <c r="C1150" s="91" t="s">
        <v>4</v>
      </c>
    </row>
    <row r="1151" spans="1:3">
      <c r="A1151" t="s">
        <v>3804</v>
      </c>
      <c r="B1151">
        <v>2</v>
      </c>
      <c r="C1151" s="91" t="s">
        <v>4</v>
      </c>
    </row>
    <row r="1152" spans="1:3">
      <c r="A1152" t="s">
        <v>3799</v>
      </c>
      <c r="B1152">
        <v>1</v>
      </c>
      <c r="C1152" s="91" t="s">
        <v>4</v>
      </c>
    </row>
    <row r="1153" spans="1:3">
      <c r="A1153" t="s">
        <v>3831</v>
      </c>
      <c r="B1153">
        <v>112</v>
      </c>
      <c r="C1153" s="91" t="s">
        <v>4</v>
      </c>
    </row>
    <row r="1154" spans="1:3">
      <c r="A1154" t="s">
        <v>4034</v>
      </c>
      <c r="B1154">
        <v>7</v>
      </c>
      <c r="C1154" s="91" t="s">
        <v>4</v>
      </c>
    </row>
    <row r="1155" spans="1:3">
      <c r="A1155" t="s">
        <v>4049</v>
      </c>
      <c r="B1155">
        <v>8</v>
      </c>
      <c r="C1155" s="91" t="s">
        <v>4</v>
      </c>
    </row>
    <row r="1156" spans="1:3">
      <c r="A1156" t="s">
        <v>4059</v>
      </c>
      <c r="B1156">
        <v>5</v>
      </c>
      <c r="C1156" s="91" t="s">
        <v>4</v>
      </c>
    </row>
    <row r="1157" spans="1:3">
      <c r="A1157" t="s">
        <v>4067</v>
      </c>
      <c r="B1157">
        <v>14</v>
      </c>
      <c r="C1157" s="91" t="s">
        <v>4</v>
      </c>
    </row>
    <row r="1158" spans="1:3">
      <c r="A1158" t="s">
        <v>4094</v>
      </c>
      <c r="B1158">
        <v>3</v>
      </c>
      <c r="C1158" s="91" t="s">
        <v>4</v>
      </c>
    </row>
    <row r="1159" spans="1:3">
      <c r="A1159" t="s">
        <v>3769</v>
      </c>
      <c r="B1159">
        <v>6</v>
      </c>
      <c r="C1159" s="91" t="s">
        <v>4</v>
      </c>
    </row>
    <row r="1160" spans="1:3">
      <c r="A1160" t="s">
        <v>4119</v>
      </c>
      <c r="B1160">
        <v>1</v>
      </c>
      <c r="C1160" s="95" t="s">
        <v>4</v>
      </c>
    </row>
    <row r="1161" spans="1:3">
      <c r="A1161" t="s">
        <v>4095</v>
      </c>
      <c r="B1161">
        <v>6</v>
      </c>
      <c r="C1161" s="95" t="s">
        <v>4</v>
      </c>
    </row>
    <row r="1162" spans="1:3">
      <c r="A1162" t="s">
        <v>4124</v>
      </c>
      <c r="B1162">
        <v>2</v>
      </c>
      <c r="C1162" s="95" t="s">
        <v>4</v>
      </c>
    </row>
    <row r="1163" spans="1:3">
      <c r="A1163" t="s">
        <v>4105</v>
      </c>
      <c r="B1163">
        <v>5</v>
      </c>
      <c r="C1163" s="95" t="s">
        <v>4</v>
      </c>
    </row>
    <row r="1164" spans="1:3">
      <c r="A1164" t="s">
        <v>4118</v>
      </c>
      <c r="B1164">
        <v>1</v>
      </c>
      <c r="C1164" s="95" t="s">
        <v>4</v>
      </c>
    </row>
    <row r="1165" spans="1:3">
      <c r="A1165" t="s">
        <v>4127</v>
      </c>
      <c r="B1165">
        <v>6</v>
      </c>
      <c r="C1165" s="95" t="s">
        <v>4</v>
      </c>
    </row>
    <row r="1166" spans="1:3">
      <c r="A1166" t="s">
        <v>4138</v>
      </c>
      <c r="B1166">
        <v>1</v>
      </c>
      <c r="C1166" s="95" t="s">
        <v>4</v>
      </c>
    </row>
    <row r="1167" spans="1:3">
      <c r="A1167" t="s">
        <v>4140</v>
      </c>
      <c r="B1167">
        <v>98</v>
      </c>
      <c r="C1167" s="95" t="s">
        <v>4</v>
      </c>
    </row>
    <row r="1168" spans="1:3">
      <c r="A1168" t="s">
        <v>4247</v>
      </c>
      <c r="B1168">
        <v>319</v>
      </c>
      <c r="C1168" s="95" t="s">
        <v>4</v>
      </c>
    </row>
    <row r="1169" spans="1:3">
      <c r="A1169" t="s">
        <v>4580</v>
      </c>
      <c r="B1169">
        <v>1</v>
      </c>
      <c r="C1169" s="95" t="s">
        <v>4</v>
      </c>
    </row>
    <row r="1170" spans="1:3">
      <c r="A1170" t="s">
        <v>4583</v>
      </c>
      <c r="B1170">
        <v>5</v>
      </c>
      <c r="C1170" s="95" t="s">
        <v>4</v>
      </c>
    </row>
    <row r="1171" spans="1:3">
      <c r="A1171" t="s">
        <v>4592</v>
      </c>
      <c r="B1171">
        <v>7</v>
      </c>
      <c r="C1171" s="95" t="s">
        <v>4</v>
      </c>
    </row>
    <row r="1172" spans="1:3">
      <c r="A1172" t="s">
        <v>4608</v>
      </c>
      <c r="B1172">
        <v>1</v>
      </c>
      <c r="C1172" s="99" t="s">
        <v>4</v>
      </c>
    </row>
    <row r="1173" spans="1:3">
      <c r="A1173" t="s">
        <v>4614</v>
      </c>
      <c r="B1173">
        <v>1</v>
      </c>
      <c r="C1173" s="99" t="s">
        <v>4</v>
      </c>
    </row>
    <row r="1174" spans="1:3">
      <c r="A1174" t="s">
        <v>4634</v>
      </c>
      <c r="B1174">
        <v>8</v>
      </c>
      <c r="C1174" s="105" t="s">
        <v>4</v>
      </c>
    </row>
    <row r="1175" spans="1:3">
      <c r="A1175" t="s">
        <v>4637</v>
      </c>
      <c r="B1175">
        <v>1</v>
      </c>
      <c r="C1175" s="105" t="s">
        <v>4</v>
      </c>
    </row>
    <row r="1176" spans="1:3">
      <c r="A1176" t="s">
        <v>4642</v>
      </c>
      <c r="B1176">
        <v>1</v>
      </c>
      <c r="C1176" s="105" t="s">
        <v>4</v>
      </c>
    </row>
    <row r="1177" spans="1:3">
      <c r="A1177" t="s">
        <v>4615</v>
      </c>
      <c r="B1177">
        <v>1</v>
      </c>
      <c r="C1177" s="105" t="s">
        <v>4</v>
      </c>
    </row>
    <row r="1178" spans="1:3">
      <c r="A1178" t="s">
        <v>4620</v>
      </c>
      <c r="B1178">
        <v>2</v>
      </c>
      <c r="C1178" s="105" t="s">
        <v>4</v>
      </c>
    </row>
    <row r="1179" spans="1:3">
      <c r="A1179" t="s">
        <v>4638</v>
      </c>
      <c r="B1179">
        <v>2</v>
      </c>
      <c r="C1179" s="105" t="s">
        <v>4</v>
      </c>
    </row>
    <row r="1180" spans="1:3">
      <c r="A1180" t="s">
        <v>4653</v>
      </c>
      <c r="B1180">
        <v>7</v>
      </c>
      <c r="C1180" s="105" t="s">
        <v>4</v>
      </c>
    </row>
    <row r="1181" spans="1:3">
      <c r="A1181" t="s">
        <v>3702</v>
      </c>
      <c r="B1181">
        <v>4</v>
      </c>
      <c r="C1181" s="105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06"/>
  <sheetViews>
    <sheetView tabSelected="1" topLeftCell="A2394" zoomScale="85" zoomScaleNormal="85" workbookViewId="0">
      <selection activeCell="A2406" sqref="A240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127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102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102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102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102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102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102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102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102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102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102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102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98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95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95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95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95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95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95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95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95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95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95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95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95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95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95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95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95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95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95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95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95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95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95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95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95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95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95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95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95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95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95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95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95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95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95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95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95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95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95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95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95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95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94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94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94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94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94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94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94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94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94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94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94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94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94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94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94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94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94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94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94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94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94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94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94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94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94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94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94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94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94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94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94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94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94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94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94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94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94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94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94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94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94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94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94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94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94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94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94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94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94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94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94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94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94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94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94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94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94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94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94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93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93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93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93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93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92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92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90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90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89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86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86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86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86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86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86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86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86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86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86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86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86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86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86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86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86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86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86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86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86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86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85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85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85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85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85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80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80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80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75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75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75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75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75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75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75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75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75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75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75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75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75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75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75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75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75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75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71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71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71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66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65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65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65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65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65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65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65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65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65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65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65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65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51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51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50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50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50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40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25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25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25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25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25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25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25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25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25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25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25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25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25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25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25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25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25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25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25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25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4655</v>
      </c>
      <c r="E1513" t="s">
        <v>2674</v>
      </c>
      <c r="F1513" s="87"/>
      <c r="G1513" s="105" t="s">
        <v>406</v>
      </c>
      <c r="H1513" s="87" t="str">
        <f>IF(Proc[[#This Row],[type]]="LFF (MDG-F)",MID(Proc[[#This Row],[Obj]],13,10),"")</f>
        <v>DZ50GM1100</v>
      </c>
      <c r="I1513" t="s">
        <v>4657</v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22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105" t="s">
        <v>369</v>
      </c>
      <c r="D1514" t="s">
        <v>4656</v>
      </c>
      <c r="E1514" t="s">
        <v>2674</v>
      </c>
      <c r="F1514" s="87"/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4657</v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22</v>
      </c>
      <c r="R1514" s="88" t="s">
        <v>538</v>
      </c>
      <c r="S1514" s="87"/>
    </row>
    <row r="1515" spans="1:19" s="105" customFormat="1" hidden="1">
      <c r="A1515" s="105" t="s">
        <v>3702</v>
      </c>
      <c r="B1515" s="96" t="str">
        <f>IFERROR(VLOOKUP(Proc[[#This Row],[App]],Table2[],3,0),"open")</f>
        <v>ok</v>
      </c>
      <c r="C1515" s="65" t="s">
        <v>369</v>
      </c>
      <c r="D1515" s="105" t="s">
        <v>4654</v>
      </c>
      <c r="E1515" s="105" t="s">
        <v>494</v>
      </c>
      <c r="F1515" s="96"/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4657</v>
      </c>
      <c r="J1515" s="96" t="b">
        <f>Proc[[#This Row],[Requested]]=Proc[[#This Row],[CurrentParent]]</f>
        <v>0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2841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538</v>
      </c>
      <c r="S1515" s="96"/>
    </row>
    <row r="1516" spans="1:19" s="105" customFormat="1" hidden="1">
      <c r="A1516" s="105" t="s">
        <v>3702</v>
      </c>
      <c r="B1516" s="96" t="str">
        <f>IFERROR(VLOOKUP(Proc[[#This Row],[App]],Table2[],3,0),"open")</f>
        <v>ok</v>
      </c>
      <c r="C1516" s="105" t="s">
        <v>369</v>
      </c>
      <c r="D1516" s="105" t="s">
        <v>2703</v>
      </c>
      <c r="E1516" s="105" t="s">
        <v>566</v>
      </c>
      <c r="F1516" s="96"/>
      <c r="G1516" s="105" t="s">
        <v>400</v>
      </c>
      <c r="H1516" s="96" t="str">
        <f>IF(Proc[[#This Row],[type]]="LFF (MDG-F)",MID(Proc[[#This Row],[Obj]],13,10),"")</f>
        <v/>
      </c>
      <c r="I1516" s="105" t="s">
        <v>4658</v>
      </c>
      <c r="J1516" s="96" t="b">
        <f>Proc[[#This Row],[Requested]]=Proc[[#This Row],[CurrentParent]]</f>
        <v>0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2841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538</v>
      </c>
      <c r="S1516" s="96"/>
    </row>
    <row r="1517" spans="1:19" hidden="1">
      <c r="A1517" t="s">
        <v>3703</v>
      </c>
      <c r="B1517" s="87" t="str">
        <f>IFERROR(VLOOKUP(Proc[[#This Row],[App]],Table2[],3,0),"open")</f>
        <v>ok</v>
      </c>
      <c r="C1517" s="86" t="s">
        <v>369</v>
      </c>
      <c r="D1517" t="s">
        <v>3704</v>
      </c>
      <c r="E1517" t="s">
        <v>3705</v>
      </c>
      <c r="F1517" s="87" t="s">
        <v>3706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2841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22</v>
      </c>
      <c r="R1517" s="88" t="s">
        <v>3701</v>
      </c>
      <c r="S1517" s="87"/>
    </row>
    <row r="1518" spans="1:19" hidden="1">
      <c r="A1518" t="s">
        <v>3710</v>
      </c>
      <c r="B1518" s="87" t="str">
        <f>IFERROR(VLOOKUP(Proc[[#This Row],[App]],Table2[],3,0),"open")</f>
        <v>ok</v>
      </c>
      <c r="C1518" s="91" t="s">
        <v>369</v>
      </c>
      <c r="D1518" t="s">
        <v>3707</v>
      </c>
      <c r="E1518" t="s">
        <v>3708</v>
      </c>
      <c r="F1518" s="87" t="s">
        <v>3709</v>
      </c>
      <c r="G1518" t="s">
        <v>406</v>
      </c>
      <c r="H1518" s="87" t="str">
        <f>IF(Proc[[#This Row],[type]]="LFF (MDG-F)",MID(Proc[[#This Row],[Obj]],13,10),"")</f>
        <v>2137C00001</v>
      </c>
      <c r="I1518" t="s">
        <v>3746</v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2841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22</v>
      </c>
      <c r="R1518" s="88" t="s">
        <v>3701</v>
      </c>
      <c r="S1518" s="87"/>
    </row>
    <row r="1519" spans="1:19" hidden="1">
      <c r="A1519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3711</v>
      </c>
      <c r="E1519" t="s">
        <v>2354</v>
      </c>
      <c r="F1519" s="87" t="s">
        <v>2355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21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3712</v>
      </c>
      <c r="E1520" t="s">
        <v>2354</v>
      </c>
      <c r="F1520" s="87" t="s">
        <v>2362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21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3713</v>
      </c>
      <c r="E1521" t="s">
        <v>2354</v>
      </c>
      <c r="F1521" s="87" t="s">
        <v>2360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21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3714</v>
      </c>
      <c r="E1522" t="s">
        <v>2354</v>
      </c>
      <c r="F1522" s="87" t="s">
        <v>2360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21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3715</v>
      </c>
      <c r="E1523" t="s">
        <v>2354</v>
      </c>
      <c r="F1523" s="87" t="s">
        <v>2366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21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3716</v>
      </c>
      <c r="E1524" t="s">
        <v>2354</v>
      </c>
      <c r="F1524" s="87" t="s">
        <v>2362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21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3717</v>
      </c>
      <c r="E1525" t="s">
        <v>2354</v>
      </c>
      <c r="F1525" s="87" t="s">
        <v>2362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21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3718</v>
      </c>
      <c r="E1526" t="s">
        <v>2354</v>
      </c>
      <c r="F1526" s="87" t="s">
        <v>2372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21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3719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21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3720</v>
      </c>
      <c r="E1528" t="s">
        <v>2354</v>
      </c>
      <c r="F1528" s="87" t="s">
        <v>2364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21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3721</v>
      </c>
      <c r="E1529" t="s">
        <v>2354</v>
      </c>
      <c r="F1529" s="87" t="s">
        <v>3740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21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3722</v>
      </c>
      <c r="E1530" t="s">
        <v>2354</v>
      </c>
      <c r="F1530" s="87" t="s">
        <v>3740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21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3723</v>
      </c>
      <c r="E1531" t="s">
        <v>2354</v>
      </c>
      <c r="F1531" s="87" t="s">
        <v>2358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21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3724</v>
      </c>
      <c r="E1532" t="s">
        <v>2354</v>
      </c>
      <c r="F1532" s="87" t="s">
        <v>2358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21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3725</v>
      </c>
      <c r="E1533" t="s">
        <v>2354</v>
      </c>
      <c r="F1533" s="87" t="s">
        <v>3741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21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3726</v>
      </c>
      <c r="E1534" t="s">
        <v>2354</v>
      </c>
      <c r="F1534" s="87" t="s">
        <v>2360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21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3727</v>
      </c>
      <c r="E1535" t="s">
        <v>2354</v>
      </c>
      <c r="F1535" s="87" t="s">
        <v>2366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21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3728</v>
      </c>
      <c r="E1536" t="s">
        <v>2354</v>
      </c>
      <c r="F1536" s="87" t="s">
        <v>2370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21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3729</v>
      </c>
      <c r="E1537" t="s">
        <v>2354</v>
      </c>
      <c r="F1537" s="87" t="s">
        <v>2370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21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3730</v>
      </c>
      <c r="E1538" t="s">
        <v>2354</v>
      </c>
      <c r="F1538" s="87" t="s">
        <v>2364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21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3731</v>
      </c>
      <c r="E1539" t="s">
        <v>2354</v>
      </c>
      <c r="F1539" s="87" t="s">
        <v>3740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21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3732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21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3733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21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3734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21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3735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21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3736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21</v>
      </c>
      <c r="R1544" s="88" t="s">
        <v>496</v>
      </c>
      <c r="S1544" s="87"/>
    </row>
    <row r="1545" spans="1:19" hidden="1">
      <c r="A1545" s="86" t="s">
        <v>3739</v>
      </c>
      <c r="B1545" s="87" t="str">
        <f>IFERROR(VLOOKUP(Proc[[#This Row],[App]],Table2[],3,0),"open")</f>
        <v>ok</v>
      </c>
      <c r="C1545" s="86" t="s">
        <v>369</v>
      </c>
      <c r="D1545" t="s">
        <v>3737</v>
      </c>
      <c r="E1545" t="s">
        <v>2354</v>
      </c>
      <c r="F1545" s="87" t="s">
        <v>3742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21</v>
      </c>
      <c r="R1545" s="88" t="s">
        <v>496</v>
      </c>
      <c r="S1545" s="87"/>
    </row>
    <row r="1546" spans="1:19" hidden="1">
      <c r="A1546" s="86" t="s">
        <v>3739</v>
      </c>
      <c r="B1546" s="87" t="str">
        <f>IFERROR(VLOOKUP(Proc[[#This Row],[App]],Table2[],3,0),"open")</f>
        <v>ok</v>
      </c>
      <c r="C1546" s="86" t="s">
        <v>369</v>
      </c>
      <c r="D1546" t="s">
        <v>3738</v>
      </c>
      <c r="E1546" t="s">
        <v>2354</v>
      </c>
      <c r="F1546" s="87" t="s">
        <v>3742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21</v>
      </c>
      <c r="R1546" s="88" t="s">
        <v>496</v>
      </c>
      <c r="S1546" s="87"/>
    </row>
    <row r="1547" spans="1:19" hidden="1">
      <c r="A1547" t="s">
        <v>3743</v>
      </c>
      <c r="B1547" s="87" t="str">
        <f>IFERROR(VLOOKUP(Proc[[#This Row],[App]],Table2[],3,0),"open")</f>
        <v>ok</v>
      </c>
      <c r="C1547" s="86" t="s">
        <v>369</v>
      </c>
      <c r="D1547" t="s">
        <v>3744</v>
      </c>
      <c r="E1547" t="s">
        <v>2376</v>
      </c>
      <c r="F1547" s="87" t="s">
        <v>3745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2841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21</v>
      </c>
      <c r="R1547" s="88" t="s">
        <v>496</v>
      </c>
      <c r="S1547" s="87"/>
    </row>
    <row r="1548" spans="1:19" hidden="1">
      <c r="A1548" t="s">
        <v>3748</v>
      </c>
      <c r="B1548" s="87" t="str">
        <f>IFERROR(VLOOKUP(Proc[[#This Row],[App]],Table2[],3,0),"open")</f>
        <v>ok</v>
      </c>
      <c r="C1548" s="91" t="s">
        <v>369</v>
      </c>
      <c r="D1548" t="s">
        <v>3747</v>
      </c>
      <c r="E1548" t="s">
        <v>3682</v>
      </c>
      <c r="F1548" s="87" t="s">
        <v>3749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2841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21</v>
      </c>
      <c r="R1548" s="88" t="s">
        <v>3694</v>
      </c>
      <c r="S1548" s="87"/>
    </row>
    <row r="1549" spans="1:19" hidden="1">
      <c r="A1549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3751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20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3752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20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3753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20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3754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20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3755</v>
      </c>
      <c r="E1553" t="s">
        <v>1944</v>
      </c>
      <c r="F1553" s="87" t="s">
        <v>3763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20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3756</v>
      </c>
      <c r="E1554" t="s">
        <v>1944</v>
      </c>
      <c r="F1554" s="87" t="s">
        <v>3763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20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3757</v>
      </c>
      <c r="E1555" t="s">
        <v>3761</v>
      </c>
      <c r="F1555" s="87" t="s">
        <v>3764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20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3758</v>
      </c>
      <c r="E1556" t="s">
        <v>1075</v>
      </c>
      <c r="F1556" s="87" t="s">
        <v>3765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20</v>
      </c>
      <c r="R1556" s="88" t="s">
        <v>1003</v>
      </c>
      <c r="S1556" s="87"/>
    </row>
    <row r="1557" spans="1:19" hidden="1">
      <c r="A1557" s="86" t="s">
        <v>3750</v>
      </c>
      <c r="B1557" s="87" t="str">
        <f>IFERROR(VLOOKUP(Proc[[#This Row],[App]],Table2[],3,0),"open")</f>
        <v>ok</v>
      </c>
      <c r="C1557" s="91" t="s">
        <v>369</v>
      </c>
      <c r="D1557" t="s">
        <v>3759</v>
      </c>
      <c r="E1557" t="s">
        <v>2618</v>
      </c>
      <c r="F1557" s="87" t="s">
        <v>3766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20</v>
      </c>
      <c r="R1557" s="88" t="s">
        <v>1003</v>
      </c>
      <c r="S1557" s="87"/>
    </row>
    <row r="1558" spans="1:19" hidden="1">
      <c r="A1558" s="86" t="s">
        <v>3750</v>
      </c>
      <c r="B1558" s="87" t="str">
        <f>IFERROR(VLOOKUP(Proc[[#This Row],[App]],Table2[],3,0),"open")</f>
        <v>ok</v>
      </c>
      <c r="C1558" s="91" t="s">
        <v>369</v>
      </c>
      <c r="D1558" t="s">
        <v>3760</v>
      </c>
      <c r="E1558" t="s">
        <v>3762</v>
      </c>
      <c r="F1558" s="87" t="s">
        <v>2636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20</v>
      </c>
      <c r="R1558" s="88" t="s">
        <v>1003</v>
      </c>
      <c r="S1558" s="87"/>
    </row>
    <row r="1559" spans="1:19" hidden="1">
      <c r="A1559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3781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20</v>
      </c>
      <c r="R1559" s="88" t="s">
        <v>577</v>
      </c>
      <c r="S1559" s="87"/>
    </row>
    <row r="1560" spans="1:19" hidden="1">
      <c r="A1560" s="90" t="s">
        <v>3767</v>
      </c>
      <c r="B1560" s="87" t="str">
        <f>IFERROR(VLOOKUP(Proc[[#This Row],[App]],Table2[],3,0),"open")</f>
        <v>ok</v>
      </c>
      <c r="C1560" s="91" t="s">
        <v>369</v>
      </c>
      <c r="D1560" t="s">
        <v>3782</v>
      </c>
      <c r="E1560" t="s">
        <v>3768</v>
      </c>
      <c r="F1560" s="87"/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2841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20</v>
      </c>
      <c r="R1560" s="88" t="s">
        <v>577</v>
      </c>
      <c r="S1560" s="87"/>
    </row>
    <row r="1561" spans="1:19" hidden="1">
      <c r="A1561" s="90" t="s">
        <v>3767</v>
      </c>
      <c r="B1561" s="87" t="str">
        <f>IFERROR(VLOOKUP(Proc[[#This Row],[App]],Table2[],3,0),"open")</f>
        <v>ok</v>
      </c>
      <c r="C1561" s="91" t="s">
        <v>369</v>
      </c>
      <c r="D1561" t="s">
        <v>3783</v>
      </c>
      <c r="E1561" t="s">
        <v>3768</v>
      </c>
      <c r="F1561" s="87"/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2841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20</v>
      </c>
      <c r="R1561" s="88" t="s">
        <v>577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t="s">
        <v>369</v>
      </c>
      <c r="D1562" t="s">
        <v>3770</v>
      </c>
      <c r="E1562" t="s">
        <v>3771</v>
      </c>
      <c r="F1562" s="87"/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3772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1" t="s">
        <v>369</v>
      </c>
      <c r="D1564" t="s">
        <v>3773</v>
      </c>
      <c r="E1564" t="s">
        <v>3771</v>
      </c>
      <c r="F1564" s="87"/>
      <c r="G1564" s="90" t="s">
        <v>406</v>
      </c>
      <c r="H1564" s="87" t="str">
        <f>IF(Proc[[#This Row],[type]]="LFF (MDG-F)",MID(Proc[[#This Row],[Obj]],13,10),"")</f>
        <v>DE10GMW030</v>
      </c>
      <c r="I1564" t="s">
        <v>3789</v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0" t="s">
        <v>369</v>
      </c>
      <c r="D1565" t="s">
        <v>3774</v>
      </c>
      <c r="E1565" t="s">
        <v>3771</v>
      </c>
      <c r="F1565" s="87"/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3769</v>
      </c>
      <c r="B1566" s="87" t="str">
        <f>IFERROR(VLOOKUP(Proc[[#This Row],[App]],Table2[],3,0),"open")</f>
        <v>ok</v>
      </c>
      <c r="C1566" s="90" t="s">
        <v>369</v>
      </c>
      <c r="D1566" t="s">
        <v>3775</v>
      </c>
      <c r="E1566" t="s">
        <v>3771</v>
      </c>
      <c r="F1566" s="87"/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2841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538</v>
      </c>
      <c r="S1566" s="87"/>
    </row>
    <row r="1567" spans="1:19" hidden="1">
      <c r="A1567" t="s">
        <v>3769</v>
      </c>
      <c r="B1567" s="87" t="str">
        <f>IFERROR(VLOOKUP(Proc[[#This Row],[App]],Table2[],3,0),"open")</f>
        <v>ok</v>
      </c>
      <c r="C1567" s="91" t="s">
        <v>369</v>
      </c>
      <c r="D1567" t="s">
        <v>3776</v>
      </c>
      <c r="E1567" t="s">
        <v>3771</v>
      </c>
      <c r="F1567" s="87"/>
      <c r="G1567" s="90" t="s">
        <v>406</v>
      </c>
      <c r="H1567" s="87" t="str">
        <f>IF(Proc[[#This Row],[type]]="LFF (MDG-F)",MID(Proc[[#This Row],[Obj]],13,10),"")</f>
        <v>CN90GHR110</v>
      </c>
      <c r="I1567" s="91" t="s">
        <v>3789</v>
      </c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2841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538</v>
      </c>
      <c r="S1567" s="87"/>
    </row>
    <row r="1568" spans="1:19" hidden="1">
      <c r="A1568" t="s">
        <v>3777</v>
      </c>
      <c r="B1568" s="87" t="str">
        <f>IFERROR(VLOOKUP(Proc[[#This Row],[App]],Table2[],3,0),"open")</f>
        <v>ok</v>
      </c>
      <c r="C1568" s="91" t="s">
        <v>369</v>
      </c>
      <c r="D1568" s="91" t="s">
        <v>3784</v>
      </c>
      <c r="E1568" t="s">
        <v>3778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20</v>
      </c>
      <c r="R1568" s="88" t="s">
        <v>577</v>
      </c>
      <c r="S1568" s="87"/>
    </row>
    <row r="1569" spans="1:19" hidden="1">
      <c r="A1569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3785</v>
      </c>
      <c r="E1569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20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3786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20</v>
      </c>
      <c r="R1570" s="88" t="s">
        <v>577</v>
      </c>
      <c r="S1570" s="87"/>
    </row>
    <row r="1571" spans="1:19" hidden="1">
      <c r="A1571" s="91" t="s">
        <v>3779</v>
      </c>
      <c r="B1571" s="87" t="str">
        <f>IFERROR(VLOOKUP(Proc[[#This Row],[App]],Table2[],3,0),"open")</f>
        <v>ok</v>
      </c>
      <c r="C1571" s="91" t="s">
        <v>369</v>
      </c>
      <c r="D1571" t="s">
        <v>3787</v>
      </c>
      <c r="E1571" s="91" t="s">
        <v>3780</v>
      </c>
      <c r="F1571" s="87"/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2841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20</v>
      </c>
      <c r="R1571" s="88" t="s">
        <v>577</v>
      </c>
      <c r="S1571" s="87"/>
    </row>
    <row r="1572" spans="1:19" hidden="1">
      <c r="A1572" s="91" t="s">
        <v>3779</v>
      </c>
      <c r="B1572" s="87" t="str">
        <f>IFERROR(VLOOKUP(Proc[[#This Row],[App]],Table2[],3,0),"open")</f>
        <v>ok</v>
      </c>
      <c r="C1572" s="91" t="s">
        <v>369</v>
      </c>
      <c r="D1572" t="s">
        <v>3788</v>
      </c>
      <c r="E1572" s="91" t="s">
        <v>3780</v>
      </c>
      <c r="F1572" s="87"/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2841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20</v>
      </c>
      <c r="R1572" s="88" t="s">
        <v>577</v>
      </c>
      <c r="S1572" s="87"/>
    </row>
    <row r="1573" spans="1:19" hidden="1">
      <c r="A1573" t="s">
        <v>3790</v>
      </c>
      <c r="B1573" s="87" t="str">
        <f>IFERROR(VLOOKUP(Proc[[#This Row],[App]],Table2[],3,0),"open")</f>
        <v>ok</v>
      </c>
      <c r="C1573" s="91" t="s">
        <v>369</v>
      </c>
      <c r="D1573" t="s">
        <v>3791</v>
      </c>
      <c r="E1573" t="s">
        <v>3793</v>
      </c>
      <c r="F1573" s="87" t="s">
        <v>3795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2841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538</v>
      </c>
      <c r="S1573" s="87"/>
    </row>
    <row r="1574" spans="1:19" hidden="1">
      <c r="A1574" s="91" t="s">
        <v>3790</v>
      </c>
      <c r="B1574" s="87" t="str">
        <f>IFERROR(VLOOKUP(Proc[[#This Row],[App]],Table2[],3,0),"open")</f>
        <v>ok</v>
      </c>
      <c r="C1574" s="91" t="s">
        <v>369</v>
      </c>
      <c r="D1574" t="s">
        <v>3792</v>
      </c>
      <c r="E1574" t="s">
        <v>3794</v>
      </c>
      <c r="F1574" s="87" t="s">
        <v>3796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2841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538</v>
      </c>
      <c r="S1574" s="87"/>
    </row>
    <row r="1575" spans="1:19" hidden="1">
      <c r="A1575" t="s">
        <v>3798</v>
      </c>
      <c r="B1575" s="87" t="str">
        <f>IFERROR(VLOOKUP(Proc[[#This Row],[App]],Table2[],3,0),"open")</f>
        <v>ok</v>
      </c>
      <c r="C1575" s="91" t="s">
        <v>369</v>
      </c>
      <c r="D1575" t="s">
        <v>3797</v>
      </c>
      <c r="E1575" t="s">
        <v>498</v>
      </c>
      <c r="F1575" s="87"/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2841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1003</v>
      </c>
      <c r="S1575" s="87"/>
    </row>
    <row r="1576" spans="1:19" hidden="1">
      <c r="A1576" t="s">
        <v>3799</v>
      </c>
      <c r="B1576" s="87" t="str">
        <f>IFERROR(VLOOKUP(Proc[[#This Row],[App]],Table2[],3,0),"open")</f>
        <v>ok</v>
      </c>
      <c r="C1576" s="91" t="s">
        <v>369</v>
      </c>
      <c r="D1576" t="s">
        <v>3800</v>
      </c>
      <c r="E1576" t="s">
        <v>3801</v>
      </c>
      <c r="F1576" s="87"/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2841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411</v>
      </c>
      <c r="S1576" s="87"/>
    </row>
    <row r="1577" spans="1:19" hidden="1">
      <c r="A1577" t="s">
        <v>3804</v>
      </c>
      <c r="B1577" s="87" t="str">
        <f>IFERROR(VLOOKUP(Proc[[#This Row],[App]],Table2[],3,0),"open")</f>
        <v>ok</v>
      </c>
      <c r="C1577" s="91" t="s">
        <v>369</v>
      </c>
      <c r="D1577" t="s">
        <v>3802</v>
      </c>
      <c r="E1577" t="s">
        <v>2777</v>
      </c>
      <c r="F1577" s="87" t="s">
        <v>3805</v>
      </c>
      <c r="G1577" t="s">
        <v>406</v>
      </c>
      <c r="H1577" s="87" t="str">
        <f>IF(Proc[[#This Row],[type]]="LFF (MDG-F)",MID(Proc[[#This Row],[Obj]],13,10),"")</f>
        <v>DE20538638</v>
      </c>
      <c r="I1577" t="s">
        <v>3807</v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2841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499</v>
      </c>
      <c r="S1577" s="87"/>
    </row>
    <row r="1578" spans="1:19" hidden="1">
      <c r="A1578" s="91" t="s">
        <v>3804</v>
      </c>
      <c r="B1578" s="87" t="str">
        <f>IFERROR(VLOOKUP(Proc[[#This Row],[App]],Table2[],3,0),"open")</f>
        <v>ok</v>
      </c>
      <c r="C1578" s="91" t="s">
        <v>369</v>
      </c>
      <c r="D1578" t="s">
        <v>3803</v>
      </c>
      <c r="E1578" t="s">
        <v>2777</v>
      </c>
      <c r="F1578" s="87" t="s">
        <v>3806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3807</v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2841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499</v>
      </c>
      <c r="S1578" s="87"/>
    </row>
    <row r="1579" spans="1:19" hidden="1">
      <c r="A1579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3809</v>
      </c>
      <c r="E1579" t="s">
        <v>3818</v>
      </c>
      <c r="F1579" s="87" t="s">
        <v>3819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3810</v>
      </c>
      <c r="E1580" t="s">
        <v>3801</v>
      </c>
      <c r="F1580" s="87" t="s">
        <v>3820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3811</v>
      </c>
      <c r="E1581" t="s">
        <v>3801</v>
      </c>
      <c r="F1581" s="87" t="s">
        <v>2376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3812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3813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3814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3815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s="91" t="s">
        <v>3808</v>
      </c>
      <c r="B1586" s="87" t="str">
        <f>IFERROR(VLOOKUP(Proc[[#This Row],[App]],Table2[],3,0),"open")</f>
        <v>ok</v>
      </c>
      <c r="C1586" s="91" t="s">
        <v>369</v>
      </c>
      <c r="D1586" t="s">
        <v>3816</v>
      </c>
      <c r="E1586" t="s">
        <v>3801</v>
      </c>
      <c r="F1586" s="87" t="s">
        <v>2345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3808</v>
      </c>
      <c r="B1587" s="87" t="str">
        <f>IFERROR(VLOOKUP(Proc[[#This Row],[App]],Table2[],3,0),"open")</f>
        <v>ok</v>
      </c>
      <c r="C1587" s="91" t="s">
        <v>369</v>
      </c>
      <c r="D1587" t="s">
        <v>3817</v>
      </c>
      <c r="E1587" t="s">
        <v>3801</v>
      </c>
      <c r="F1587" s="87" t="s">
        <v>2345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3259</v>
      </c>
      <c r="E1588" t="s">
        <v>3822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3260</v>
      </c>
      <c r="E1589" t="s">
        <v>3822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3261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3262</v>
      </c>
      <c r="E1591" t="s">
        <v>3823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3263</v>
      </c>
      <c r="E1592" t="s">
        <v>3823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3264</v>
      </c>
      <c r="E1593" t="s">
        <v>3824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3265</v>
      </c>
      <c r="E1594" t="s">
        <v>3822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3266</v>
      </c>
      <c r="E1595" t="s">
        <v>3822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3267</v>
      </c>
      <c r="E1596" t="s">
        <v>3825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3268</v>
      </c>
      <c r="E1597" t="s">
        <v>3825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3269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3270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3271</v>
      </c>
      <c r="E1600" t="s">
        <v>3826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3272</v>
      </c>
      <c r="E1601" t="s">
        <v>3826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3273</v>
      </c>
      <c r="E1602" t="s">
        <v>3823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3274</v>
      </c>
      <c r="E1603" t="s">
        <v>3823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3275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3276</v>
      </c>
      <c r="E1605" t="s">
        <v>3826</v>
      </c>
      <c r="F1605" s="87" t="s">
        <v>3321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3277</v>
      </c>
      <c r="E1606" t="s">
        <v>3826</v>
      </c>
      <c r="F1606" s="87" t="s">
        <v>3321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3278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3279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3280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3281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3282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3283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3284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3285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3286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3287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3288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3289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3290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3291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3292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3293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3294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3295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3296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3297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3298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3299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3300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3301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3302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3303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3304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3305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3306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3307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3308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3309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3310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3311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s="91" t="s">
        <v>3821</v>
      </c>
      <c r="B1641" s="87" t="str">
        <f>IFERROR(VLOOKUP(Proc[[#This Row],[App]],Table2[],3,0),"open")</f>
        <v>ok</v>
      </c>
      <c r="C1641" s="91" t="s">
        <v>369</v>
      </c>
      <c r="D1641" t="s">
        <v>3312</v>
      </c>
      <c r="E1641" t="s">
        <v>3827</v>
      </c>
      <c r="F1641" s="87" t="s">
        <v>3322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2841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411</v>
      </c>
      <c r="S1641" s="87"/>
    </row>
    <row r="1642" spans="1:19" hidden="1">
      <c r="A1642" s="91" t="s">
        <v>3821</v>
      </c>
      <c r="B1642" s="87" t="str">
        <f>IFERROR(VLOOKUP(Proc[[#This Row],[App]],Table2[],3,0),"open")</f>
        <v>ok</v>
      </c>
      <c r="C1642" s="91" t="s">
        <v>369</v>
      </c>
      <c r="D1642" t="s">
        <v>3313</v>
      </c>
      <c r="E1642" t="s">
        <v>3827</v>
      </c>
      <c r="F1642" s="87" t="s">
        <v>3322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2841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411</v>
      </c>
      <c r="S1642" s="87"/>
    </row>
    <row r="1643" spans="1:19" hidden="1">
      <c r="A1643" t="s">
        <v>3830</v>
      </c>
      <c r="B1643" s="87" t="str">
        <f>IFERROR(VLOOKUP(Proc[[#This Row],[App]],Table2[],3,0),"open")</f>
        <v>ok</v>
      </c>
      <c r="C1643" s="91" t="s">
        <v>369</v>
      </c>
      <c r="D1643" t="s">
        <v>3828</v>
      </c>
      <c r="E1643" t="s">
        <v>2216</v>
      </c>
      <c r="F1643" s="87" t="s">
        <v>3829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2841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538</v>
      </c>
      <c r="S1643" s="87"/>
    </row>
    <row r="1644" spans="1:19" hidden="1">
      <c r="A1644" t="s">
        <v>3831</v>
      </c>
      <c r="B1644" s="87" t="str">
        <f>IFERROR(VLOOKUP(Proc[[#This Row],[App]],Table2[],3,0),"open")</f>
        <v>ok</v>
      </c>
      <c r="C1644" t="s">
        <v>369</v>
      </c>
      <c r="D1644" t="s">
        <v>3832</v>
      </c>
      <c r="E1644" t="s">
        <v>4001</v>
      </c>
      <c r="F1644" s="87" t="s">
        <v>3941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3833</v>
      </c>
      <c r="E1645" t="s">
        <v>4002</v>
      </c>
      <c r="F1645" s="87" t="s">
        <v>3942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3834</v>
      </c>
      <c r="E1646" t="s">
        <v>4002</v>
      </c>
      <c r="F1646" s="87" t="s">
        <v>3942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3835</v>
      </c>
      <c r="E1647" t="s">
        <v>4003</v>
      </c>
      <c r="F1647" s="87" t="s">
        <v>3943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3836</v>
      </c>
      <c r="E1648" t="s">
        <v>4004</v>
      </c>
      <c r="F1648" s="87" t="s">
        <v>3944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3837</v>
      </c>
      <c r="E1649" t="s">
        <v>4004</v>
      </c>
      <c r="F1649" s="87" t="s">
        <v>3944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3838</v>
      </c>
      <c r="E1650" t="s">
        <v>4004</v>
      </c>
      <c r="F1650" s="87" t="s">
        <v>3945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3839</v>
      </c>
      <c r="E1651" t="s">
        <v>4005</v>
      </c>
      <c r="F1651" s="87" t="s">
        <v>3946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3840</v>
      </c>
      <c r="E1652" t="s">
        <v>4002</v>
      </c>
      <c r="F1652" s="87" t="s">
        <v>3942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3841</v>
      </c>
      <c r="E1653" t="s">
        <v>4006</v>
      </c>
      <c r="F1653" s="87" t="s">
        <v>3942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3842</v>
      </c>
      <c r="E1654" t="s">
        <v>4007</v>
      </c>
      <c r="F1654" s="87" t="s">
        <v>3947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3843</v>
      </c>
      <c r="E1655" t="s">
        <v>4007</v>
      </c>
      <c r="F1655" s="87" t="s">
        <v>3947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3844</v>
      </c>
      <c r="E1656" t="s">
        <v>4008</v>
      </c>
      <c r="F1656" s="87" t="s">
        <v>3948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3845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3846</v>
      </c>
      <c r="E1658" t="s">
        <v>4009</v>
      </c>
      <c r="F1658" s="87" t="s">
        <v>3949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3847</v>
      </c>
      <c r="E1659" t="s">
        <v>4002</v>
      </c>
      <c r="F1659" s="87" t="s">
        <v>3942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3848</v>
      </c>
      <c r="E1660" t="s">
        <v>4002</v>
      </c>
      <c r="F1660" s="87" t="s">
        <v>3942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3849</v>
      </c>
      <c r="E1661" t="s">
        <v>4010</v>
      </c>
      <c r="F1661" s="87" t="s">
        <v>3950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3850</v>
      </c>
      <c r="E1662" t="s">
        <v>4011</v>
      </c>
      <c r="F1662" s="87" t="s">
        <v>3951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3851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3852</v>
      </c>
      <c r="E1664" t="s">
        <v>4002</v>
      </c>
      <c r="F1664" s="87" t="s">
        <v>3942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3853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3854</v>
      </c>
      <c r="E1666" t="s">
        <v>4012</v>
      </c>
      <c r="F1666" s="87" t="s">
        <v>3952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3855</v>
      </c>
      <c r="E1667" t="s">
        <v>4002</v>
      </c>
      <c r="F1667" s="87" t="s">
        <v>3942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3856</v>
      </c>
      <c r="E1668" t="s">
        <v>4013</v>
      </c>
      <c r="F1668" s="87" t="s">
        <v>3953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3587</v>
      </c>
      <c r="E1669" t="s">
        <v>1585</v>
      </c>
      <c r="F1669" s="87" t="s">
        <v>3954</v>
      </c>
      <c r="G1669" t="s">
        <v>406</v>
      </c>
      <c r="H1669" s="87" t="str">
        <f>IF(Proc[[#This Row],[type]]="LFF (MDG-F)",MID(Proc[[#This Row],[Obj]],13,10),"")</f>
        <v>KE50C0FF10</v>
      </c>
      <c r="I1669" t="s">
        <v>1250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3857</v>
      </c>
      <c r="E1670" t="s">
        <v>2613</v>
      </c>
      <c r="F1670" s="87" t="s">
        <v>3955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3858</v>
      </c>
      <c r="E1671" t="s">
        <v>4012</v>
      </c>
      <c r="F1671" s="87" t="s">
        <v>3956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3859</v>
      </c>
      <c r="E1672" t="s">
        <v>4014</v>
      </c>
      <c r="F1672" s="87" t="s">
        <v>3957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3860</v>
      </c>
      <c r="E1673" t="s">
        <v>4015</v>
      </c>
      <c r="F1673" s="87" t="s">
        <v>3947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3861</v>
      </c>
      <c r="E1674" t="s">
        <v>4016</v>
      </c>
      <c r="F1674" s="87" t="s">
        <v>3958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3862</v>
      </c>
      <c r="E1675" t="s">
        <v>4003</v>
      </c>
      <c r="F1675" s="87" t="s">
        <v>3948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3863</v>
      </c>
      <c r="E1676" t="s">
        <v>4017</v>
      </c>
      <c r="F1676" s="87" t="s">
        <v>3943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3864</v>
      </c>
      <c r="E1677" t="s">
        <v>4018</v>
      </c>
      <c r="F1677" s="87" t="s">
        <v>3959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3865</v>
      </c>
      <c r="E1678" t="s">
        <v>4019</v>
      </c>
      <c r="F1678" s="87" t="s">
        <v>3960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3866</v>
      </c>
      <c r="E1679" t="s">
        <v>4013</v>
      </c>
      <c r="F1679" s="87" t="s">
        <v>3953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3867</v>
      </c>
      <c r="E1680" t="s">
        <v>4018</v>
      </c>
      <c r="F1680" s="87" t="s">
        <v>3959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3868</v>
      </c>
      <c r="E1681" t="s">
        <v>4018</v>
      </c>
      <c r="F1681" s="87" t="s">
        <v>3961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3869</v>
      </c>
      <c r="E1682" t="s">
        <v>4013</v>
      </c>
      <c r="F1682" s="87" t="s">
        <v>3953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3870</v>
      </c>
      <c r="E1683" t="s">
        <v>4018</v>
      </c>
      <c r="F1683" s="87" t="s">
        <v>3959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3871</v>
      </c>
      <c r="E1684" t="s">
        <v>4015</v>
      </c>
      <c r="F1684" s="87" t="s">
        <v>3962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3872</v>
      </c>
      <c r="E1685" t="s">
        <v>4014</v>
      </c>
      <c r="F1685" s="87" t="s">
        <v>3963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3873</v>
      </c>
      <c r="E1686" t="s">
        <v>4020</v>
      </c>
      <c r="F1686" s="87" t="s">
        <v>3964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3874</v>
      </c>
      <c r="E1687" t="s">
        <v>4006</v>
      </c>
      <c r="F1687" s="87" t="s">
        <v>3942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3875</v>
      </c>
      <c r="E1688" t="s">
        <v>4021</v>
      </c>
      <c r="F1688" s="87" t="s">
        <v>3962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3876</v>
      </c>
      <c r="E1689" t="s">
        <v>4003</v>
      </c>
      <c r="F1689" s="87" t="s">
        <v>3949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3877</v>
      </c>
      <c r="E1690" t="s">
        <v>4022</v>
      </c>
      <c r="F1690" s="87" t="s">
        <v>3965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3878</v>
      </c>
      <c r="E1691" t="s">
        <v>4022</v>
      </c>
      <c r="F1691" s="87" t="s">
        <v>3965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4048</v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3879</v>
      </c>
      <c r="E1692" t="s">
        <v>4016</v>
      </c>
      <c r="F1692" s="87" t="s">
        <v>3966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4048</v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3880</v>
      </c>
      <c r="E1693" t="s">
        <v>4015</v>
      </c>
      <c r="F1693" s="87" t="s">
        <v>3946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3881</v>
      </c>
      <c r="E1694" t="s">
        <v>4004</v>
      </c>
      <c r="F1694" s="87" t="s">
        <v>3967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3882</v>
      </c>
      <c r="E1695" t="s">
        <v>4003</v>
      </c>
      <c r="F1695" s="87" t="s">
        <v>3948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3883</v>
      </c>
      <c r="E1696" t="s">
        <v>4001</v>
      </c>
      <c r="F1696" s="87" t="s">
        <v>3968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3884</v>
      </c>
      <c r="E1697" t="s">
        <v>4018</v>
      </c>
      <c r="F1697" s="87" t="s">
        <v>3969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3885</v>
      </c>
      <c r="E1698" t="s">
        <v>4018</v>
      </c>
      <c r="F1698" s="87" t="s">
        <v>3970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3886</v>
      </c>
      <c r="E1699" t="s">
        <v>4021</v>
      </c>
      <c r="F1699" s="87" t="s">
        <v>3971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3887</v>
      </c>
      <c r="E1700" t="s">
        <v>4003</v>
      </c>
      <c r="F1700" s="87" t="s">
        <v>3972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3888</v>
      </c>
      <c r="E1701" t="s">
        <v>4001</v>
      </c>
      <c r="F1701" s="87" t="s">
        <v>3973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3889</v>
      </c>
      <c r="E1702" t="s">
        <v>4023</v>
      </c>
      <c r="F1702" s="87" t="s">
        <v>3958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3890</v>
      </c>
      <c r="E1703" t="s">
        <v>4002</v>
      </c>
      <c r="F1703" s="87" t="s">
        <v>3942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3891</v>
      </c>
      <c r="E1704" t="s">
        <v>4002</v>
      </c>
      <c r="F1704" s="87" t="s">
        <v>3942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3892</v>
      </c>
      <c r="E1705" t="s">
        <v>4002</v>
      </c>
      <c r="F1705" s="87" t="s">
        <v>3958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3893</v>
      </c>
      <c r="E1706" t="s">
        <v>4016</v>
      </c>
      <c r="F1706" s="87" t="s">
        <v>3966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3894</v>
      </c>
      <c r="E1707" t="s">
        <v>4021</v>
      </c>
      <c r="F1707" s="87" t="s">
        <v>3947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3895</v>
      </c>
      <c r="E1708" t="s">
        <v>4018</v>
      </c>
      <c r="F1708" s="87" t="s">
        <v>3974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3896</v>
      </c>
      <c r="E1709" t="s">
        <v>4024</v>
      </c>
      <c r="F1709" s="87" t="s">
        <v>3975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3897</v>
      </c>
      <c r="E1710" t="s">
        <v>4014</v>
      </c>
      <c r="F1710" s="87" t="s">
        <v>3976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3898</v>
      </c>
      <c r="E1711" t="s">
        <v>4025</v>
      </c>
      <c r="F1711" s="87" t="s">
        <v>3949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2860</v>
      </c>
      <c r="E1712" t="s">
        <v>4026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3899</v>
      </c>
      <c r="E1713" t="s">
        <v>4001</v>
      </c>
      <c r="F1713" s="87" t="s">
        <v>3945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2861</v>
      </c>
      <c r="E1714" t="s">
        <v>4027</v>
      </c>
      <c r="F1714" s="87" t="s">
        <v>3977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3900</v>
      </c>
      <c r="E1715" t="s">
        <v>4007</v>
      </c>
      <c r="F1715" s="87" t="s">
        <v>3962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3901</v>
      </c>
      <c r="E1716" t="s">
        <v>4014</v>
      </c>
      <c r="F1716" s="87" t="s">
        <v>3957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3902</v>
      </c>
      <c r="E1717" t="s">
        <v>4014</v>
      </c>
      <c r="F1717" s="87" t="s">
        <v>3978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3903</v>
      </c>
      <c r="E1718" t="s">
        <v>4003</v>
      </c>
      <c r="F1718" s="87" t="s">
        <v>3972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3904</v>
      </c>
      <c r="E1719" t="s">
        <v>4003</v>
      </c>
      <c r="F1719" s="87" t="s">
        <v>3979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3905</v>
      </c>
      <c r="E1720" t="s">
        <v>4010</v>
      </c>
      <c r="F1720" s="87" t="s">
        <v>3980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3906</v>
      </c>
      <c r="E1721" t="s">
        <v>4023</v>
      </c>
      <c r="F1721" s="87" t="s">
        <v>3966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3907</v>
      </c>
      <c r="E1722" t="s">
        <v>4017</v>
      </c>
      <c r="F1722" s="87" t="s">
        <v>3981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3908</v>
      </c>
      <c r="E1723" t="s">
        <v>4011</v>
      </c>
      <c r="F1723" s="87" t="s">
        <v>3961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3909</v>
      </c>
      <c r="E1724" t="s">
        <v>4017</v>
      </c>
      <c r="F1724" s="87" t="s">
        <v>3982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3910</v>
      </c>
      <c r="E1725" t="s">
        <v>4024</v>
      </c>
      <c r="F1725" s="87" t="s">
        <v>3983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3911</v>
      </c>
      <c r="E1726" t="s">
        <v>4014</v>
      </c>
      <c r="F1726" s="87" t="s">
        <v>3984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3912</v>
      </c>
      <c r="E1727" t="s">
        <v>4028</v>
      </c>
      <c r="F1727" s="87" t="s">
        <v>3961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3913</v>
      </c>
      <c r="E1728" t="s">
        <v>4011</v>
      </c>
      <c r="F1728" s="87" t="s">
        <v>3985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3914</v>
      </c>
      <c r="E1729" t="s">
        <v>4001</v>
      </c>
      <c r="F1729" s="87" t="s">
        <v>3986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3915</v>
      </c>
      <c r="E1730" t="s">
        <v>4003</v>
      </c>
      <c r="F1730" s="87" t="s">
        <v>3987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3916</v>
      </c>
      <c r="E1731" t="s">
        <v>4017</v>
      </c>
      <c r="F1731" s="87" t="s">
        <v>3988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3917</v>
      </c>
      <c r="E1732" t="s">
        <v>4010</v>
      </c>
      <c r="F1732" s="87" t="s">
        <v>3989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3918</v>
      </c>
      <c r="E1733" t="s">
        <v>4014</v>
      </c>
      <c r="F1733" s="87" t="s">
        <v>3990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3919</v>
      </c>
      <c r="E1734" t="s">
        <v>4003</v>
      </c>
      <c r="F1734" s="87" t="s">
        <v>3949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3920</v>
      </c>
      <c r="E1735" t="s">
        <v>4029</v>
      </c>
      <c r="F1735" s="87" t="s">
        <v>3991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3921</v>
      </c>
      <c r="E1736" t="s">
        <v>4001</v>
      </c>
      <c r="F1736" s="87" t="s">
        <v>3992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3922</v>
      </c>
      <c r="E1737" t="s">
        <v>4003</v>
      </c>
      <c r="F1737" s="87" t="s">
        <v>3993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3923</v>
      </c>
      <c r="E1738" t="s">
        <v>4010</v>
      </c>
      <c r="F1738" s="87" t="s">
        <v>3994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3924</v>
      </c>
      <c r="E1739" t="s">
        <v>4030</v>
      </c>
      <c r="F1739" s="87" t="s">
        <v>3959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3925</v>
      </c>
      <c r="E1740" t="s">
        <v>4012</v>
      </c>
      <c r="F1740" s="87" t="s">
        <v>3995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3926</v>
      </c>
      <c r="E1741" t="s">
        <v>4018</v>
      </c>
      <c r="F1741" s="87" t="s">
        <v>3996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3927</v>
      </c>
      <c r="E1742" t="s">
        <v>4004</v>
      </c>
      <c r="F1742" s="87" t="s">
        <v>3945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3928</v>
      </c>
      <c r="E1743" t="s">
        <v>4014</v>
      </c>
      <c r="F1743" s="87" t="s">
        <v>3997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3929</v>
      </c>
      <c r="E1744" t="s">
        <v>4031</v>
      </c>
      <c r="F1744" s="87" t="s">
        <v>3997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3930</v>
      </c>
      <c r="E1745" t="s">
        <v>4001</v>
      </c>
      <c r="F1745" s="87" t="s">
        <v>3945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3931</v>
      </c>
      <c r="E1746" t="s">
        <v>2100</v>
      </c>
      <c r="F1746" s="87" t="s">
        <v>3985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3932</v>
      </c>
      <c r="E1747" t="s">
        <v>4032</v>
      </c>
      <c r="F1747" s="87" t="s">
        <v>3998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3933</v>
      </c>
      <c r="E1748" t="s">
        <v>4030</v>
      </c>
      <c r="F1748" s="87" t="s">
        <v>3959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3934</v>
      </c>
      <c r="E1749" t="s">
        <v>4002</v>
      </c>
      <c r="F1749" s="87" t="s">
        <v>3942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3935</v>
      </c>
      <c r="E1750" t="s">
        <v>2613</v>
      </c>
      <c r="F1750" s="87" t="s">
        <v>3999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3936</v>
      </c>
      <c r="E1751" t="s">
        <v>4028</v>
      </c>
      <c r="F1751" s="87" t="s">
        <v>4000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3937</v>
      </c>
      <c r="E1752" t="s">
        <v>4010</v>
      </c>
      <c r="F1752" s="87" t="s">
        <v>3955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3938</v>
      </c>
      <c r="E1753" t="s">
        <v>4013</v>
      </c>
      <c r="F1753" s="87" t="s">
        <v>3958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</v>
      </c>
      <c r="R1753" s="92" t="s">
        <v>508</v>
      </c>
      <c r="S1753" s="87"/>
    </row>
    <row r="1754" spans="1:19" hidden="1">
      <c r="A1754" s="91" t="s">
        <v>3831</v>
      </c>
      <c r="B1754" s="87" t="str">
        <f>IFERROR(VLOOKUP(Proc[[#This Row],[App]],Table2[],3,0),"open")</f>
        <v>ok</v>
      </c>
      <c r="C1754" s="91" t="s">
        <v>369</v>
      </c>
      <c r="D1754" t="s">
        <v>3939</v>
      </c>
      <c r="E1754" t="s">
        <v>4033</v>
      </c>
      <c r="F1754" s="87" t="s">
        <v>3997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</v>
      </c>
      <c r="R1754" s="92" t="s">
        <v>508</v>
      </c>
      <c r="S1754" s="87"/>
    </row>
    <row r="1755" spans="1:19" hidden="1">
      <c r="A1755" s="91" t="s">
        <v>3831</v>
      </c>
      <c r="B1755" s="87" t="str">
        <f>IFERROR(VLOOKUP(Proc[[#This Row],[App]],Table2[],3,0),"open")</f>
        <v>ok</v>
      </c>
      <c r="C1755" s="91" t="s">
        <v>369</v>
      </c>
      <c r="D1755" t="s">
        <v>3940</v>
      </c>
      <c r="E1755" t="s">
        <v>4021</v>
      </c>
      <c r="F1755" s="87" t="s">
        <v>3947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</v>
      </c>
      <c r="R1755" s="92" t="s">
        <v>508</v>
      </c>
      <c r="S1755" s="87"/>
    </row>
    <row r="1756" spans="1:19" hidden="1">
      <c r="A1756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4035</v>
      </c>
      <c r="E1756" t="s">
        <v>4042</v>
      </c>
      <c r="F1756" s="87" t="s">
        <v>4045</v>
      </c>
      <c r="G1756" t="s">
        <v>406</v>
      </c>
      <c r="H1756" s="87" t="str">
        <f>IF(Proc[[#This Row],[type]]="LFF (MDG-F)",MID(Proc[[#This Row],[Obj]],13,10),"")</f>
        <v>DE10639300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4036</v>
      </c>
      <c r="E1757" t="s">
        <v>4043</v>
      </c>
      <c r="F1757" s="87" t="s">
        <v>4045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4048</v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4037</v>
      </c>
      <c r="E1758" t="s">
        <v>4043</v>
      </c>
      <c r="F1758" s="87" t="s">
        <v>4046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4048</v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4038</v>
      </c>
      <c r="E1759" t="s">
        <v>4043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4039</v>
      </c>
      <c r="E1760" t="s">
        <v>4043</v>
      </c>
      <c r="F1760" s="87" t="s">
        <v>4045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</v>
      </c>
      <c r="R1760" s="92" t="s">
        <v>508</v>
      </c>
      <c r="S1760" s="87"/>
    </row>
    <row r="1761" spans="1:19" hidden="1">
      <c r="A1761" s="91" t="s">
        <v>4034</v>
      </c>
      <c r="B1761" s="87" t="str">
        <f>IFERROR(VLOOKUP(Proc[[#This Row],[App]],Table2[],3,0),"open")</f>
        <v>ok</v>
      </c>
      <c r="C1761" s="91" t="s">
        <v>369</v>
      </c>
      <c r="D1761" t="s">
        <v>4040</v>
      </c>
      <c r="E1761" t="s">
        <v>4042</v>
      </c>
      <c r="F1761" s="87" t="s">
        <v>4045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2841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</v>
      </c>
      <c r="R1761" s="92" t="s">
        <v>508</v>
      </c>
      <c r="S1761" s="87"/>
    </row>
    <row r="1762" spans="1:19" hidden="1">
      <c r="A1762" s="91" t="s">
        <v>4034</v>
      </c>
      <c r="B1762" s="87" t="str">
        <f>IFERROR(VLOOKUP(Proc[[#This Row],[App]],Table2[],3,0),"open")</f>
        <v>ok</v>
      </c>
      <c r="C1762" s="91" t="s">
        <v>369</v>
      </c>
      <c r="D1762" t="s">
        <v>4041</v>
      </c>
      <c r="E1762" t="s">
        <v>4044</v>
      </c>
      <c r="F1762" s="87" t="s">
        <v>4047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2841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</v>
      </c>
      <c r="R1762" s="92" t="s">
        <v>508</v>
      </c>
      <c r="S1762" s="87"/>
    </row>
    <row r="1763" spans="1:19" hidden="1">
      <c r="A1763" t="s">
        <v>4049</v>
      </c>
      <c r="B1763" s="87" t="str">
        <f>IFERROR(VLOOKUP(Proc[[#This Row],[App]],Table2[],3,0),"open")</f>
        <v>ok</v>
      </c>
      <c r="C1763" t="s">
        <v>369</v>
      </c>
      <c r="D1763" t="s">
        <v>4050</v>
      </c>
      <c r="E1763" t="s">
        <v>2354</v>
      </c>
      <c r="F1763" s="87" t="s">
        <v>4051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4052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4053</v>
      </c>
      <c r="E1765" t="s">
        <v>2354</v>
      </c>
      <c r="F1765" s="87" t="s">
        <v>2372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4054</v>
      </c>
      <c r="E1766" t="s">
        <v>2354</v>
      </c>
      <c r="F1766" s="87" t="s">
        <v>2366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4055</v>
      </c>
      <c r="E1767" t="s">
        <v>2354</v>
      </c>
      <c r="F1767" s="87" t="s">
        <v>2366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4056</v>
      </c>
      <c r="E1768" t="s">
        <v>2354</v>
      </c>
      <c r="F1768" s="87" t="s">
        <v>2364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s="91" t="s">
        <v>4049</v>
      </c>
      <c r="B1769" s="87" t="str">
        <f>IFERROR(VLOOKUP(Proc[[#This Row],[App]],Table2[],3,0),"open")</f>
        <v>ok</v>
      </c>
      <c r="C1769" s="91" t="s">
        <v>369</v>
      </c>
      <c r="D1769" t="s">
        <v>4057</v>
      </c>
      <c r="E1769" t="s">
        <v>2354</v>
      </c>
      <c r="F1769" s="87" t="s">
        <v>2358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2841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496</v>
      </c>
      <c r="S1769" s="87"/>
    </row>
    <row r="1770" spans="1:19" hidden="1">
      <c r="A1770" s="91" t="s">
        <v>4049</v>
      </c>
      <c r="B1770" s="87" t="str">
        <f>IFERROR(VLOOKUP(Proc[[#This Row],[App]],Table2[],3,0),"open")</f>
        <v>ok</v>
      </c>
      <c r="C1770" s="91" t="s">
        <v>369</v>
      </c>
      <c r="D1770" t="s">
        <v>4058</v>
      </c>
      <c r="E1770" t="s">
        <v>2354</v>
      </c>
      <c r="F1770" s="87" t="s">
        <v>3742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2841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496</v>
      </c>
      <c r="S1770" s="87"/>
    </row>
    <row r="1771" spans="1:19" hidden="1">
      <c r="A177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4060</v>
      </c>
      <c r="E1771" t="s">
        <v>4061</v>
      </c>
      <c r="F1771" s="87" t="s">
        <v>4062</v>
      </c>
      <c r="G1771" t="s">
        <v>406</v>
      </c>
      <c r="H1771" s="87" t="str">
        <f>IF(Proc[[#This Row],[type]]="LFF (MDG-F)",MID(Proc[[#This Row],[Obj]],13,10),"")</f>
        <v>2102TMCZ91</v>
      </c>
      <c r="I1771" t="s">
        <v>4085</v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4063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4064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s="91" t="s">
        <v>4059</v>
      </c>
      <c r="B1774" s="87" t="str">
        <f>IFERROR(VLOOKUP(Proc[[#This Row],[App]],Table2[],3,0),"open")</f>
        <v>ok</v>
      </c>
      <c r="C1774" s="91" t="s">
        <v>369</v>
      </c>
      <c r="D1774" t="s">
        <v>4065</v>
      </c>
      <c r="E1774" t="s">
        <v>4061</v>
      </c>
      <c r="F1774" s="87" t="s">
        <v>4062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2841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508</v>
      </c>
      <c r="S1774" s="87"/>
    </row>
    <row r="1775" spans="1:19" hidden="1">
      <c r="A1775" s="91" t="s">
        <v>4059</v>
      </c>
      <c r="B1775" s="87" t="str">
        <f>IFERROR(VLOOKUP(Proc[[#This Row],[App]],Table2[],3,0),"open")</f>
        <v>ok</v>
      </c>
      <c r="C1775" s="91" t="s">
        <v>369</v>
      </c>
      <c r="D1775" t="s">
        <v>4066</v>
      </c>
      <c r="E1775" t="s">
        <v>4061</v>
      </c>
      <c r="F1775" s="87" t="s">
        <v>4062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2841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508</v>
      </c>
      <c r="S1775" s="87"/>
    </row>
    <row r="1776" spans="1:19" hidden="1">
      <c r="A1776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4068</v>
      </c>
      <c r="E1776" t="s">
        <v>4069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4070</v>
      </c>
      <c r="E1777" t="s">
        <v>2177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4071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4072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4073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4074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4075</v>
      </c>
      <c r="E1782" t="s">
        <v>2175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4076</v>
      </c>
      <c r="E1783" t="s">
        <v>2175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4077</v>
      </c>
      <c r="E1784" t="s">
        <v>4078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4079</v>
      </c>
      <c r="E1785" t="s">
        <v>1267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4080</v>
      </c>
      <c r="E1786" t="s">
        <v>4081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4082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s="91" t="s">
        <v>4067</v>
      </c>
      <c r="B1788" s="87" t="str">
        <f>IFERROR(VLOOKUP(Proc[[#This Row],[App]],Table2[],3,0),"open")</f>
        <v>ok</v>
      </c>
      <c r="C1788" s="91" t="s">
        <v>369</v>
      </c>
      <c r="D1788" t="s">
        <v>4083</v>
      </c>
      <c r="E1788" t="s">
        <v>420</v>
      </c>
      <c r="F1788" s="87" t="s">
        <v>1098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2841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1112</v>
      </c>
      <c r="S1788" s="87"/>
    </row>
    <row r="1789" spans="1:19" hidden="1">
      <c r="A1789" s="91" t="s">
        <v>4067</v>
      </c>
      <c r="B1789" s="87" t="str">
        <f>IFERROR(VLOOKUP(Proc[[#This Row],[App]],Table2[],3,0),"open")</f>
        <v>ok</v>
      </c>
      <c r="C1789" s="91" t="s">
        <v>369</v>
      </c>
      <c r="D1789" t="s">
        <v>4084</v>
      </c>
      <c r="E1789" t="s">
        <v>420</v>
      </c>
      <c r="F1789" s="87" t="s">
        <v>1098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2841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1112</v>
      </c>
      <c r="S1789" s="87"/>
    </row>
    <row r="1790" spans="1:19" hidden="1">
      <c r="A1790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4086</v>
      </c>
      <c r="E1790" t="s">
        <v>4089</v>
      </c>
      <c r="F1790" s="87" t="s">
        <v>4091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s="91" t="s">
        <v>4094</v>
      </c>
      <c r="B1791" s="87" t="str">
        <f>IFERROR(VLOOKUP(Proc[[#This Row],[App]],Table2[],3,0),"open")</f>
        <v>ok</v>
      </c>
      <c r="C1791" s="91" t="s">
        <v>369</v>
      </c>
      <c r="D1791" t="s">
        <v>4087</v>
      </c>
      <c r="E1791" t="s">
        <v>4090</v>
      </c>
      <c r="F1791" s="87" t="s">
        <v>4092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2841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1044</v>
      </c>
      <c r="S1791" s="87"/>
    </row>
    <row r="1792" spans="1:19" hidden="1">
      <c r="A1792" s="91" t="s">
        <v>4094</v>
      </c>
      <c r="B1792" s="87" t="str">
        <f>IFERROR(VLOOKUP(Proc[[#This Row],[App]],Table2[],3,0),"open")</f>
        <v>ok</v>
      </c>
      <c r="C1792" s="91" t="s">
        <v>369</v>
      </c>
      <c r="D1792" t="s">
        <v>4088</v>
      </c>
      <c r="E1792" t="s">
        <v>4090</v>
      </c>
      <c r="F1792" s="87" t="s">
        <v>4093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2841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1044</v>
      </c>
      <c r="S1792" s="87"/>
    </row>
    <row r="1793" spans="1:19" hidden="1">
      <c r="A1793" t="s">
        <v>4095</v>
      </c>
      <c r="B1793" s="87" t="str">
        <f>IFERROR(VLOOKUP(Proc[[#This Row],[App]],Table2[],3,0),"open")</f>
        <v>ok</v>
      </c>
      <c r="C1793" t="s">
        <v>369</v>
      </c>
      <c r="D1793" t="s">
        <v>4096</v>
      </c>
      <c r="E1793" t="s">
        <v>4097</v>
      </c>
      <c r="F1793" s="87" t="s">
        <v>4098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4099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4101</v>
      </c>
      <c r="E1795" t="s">
        <v>4097</v>
      </c>
      <c r="F1795" s="87" t="s">
        <v>4100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4102</v>
      </c>
      <c r="E1796" t="s">
        <v>4097</v>
      </c>
      <c r="F1796" s="87" t="s">
        <v>4100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s="91" t="s">
        <v>4095</v>
      </c>
      <c r="B1797" s="87" t="str">
        <f>IFERROR(VLOOKUP(Proc[[#This Row],[App]],Table2[],3,0),"open")</f>
        <v>ok</v>
      </c>
      <c r="C1797" s="91" t="s">
        <v>369</v>
      </c>
      <c r="D1797" t="s">
        <v>4103</v>
      </c>
      <c r="E1797" t="s">
        <v>4097</v>
      </c>
      <c r="F1797" s="87" t="s">
        <v>2579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496</v>
      </c>
      <c r="S1797" s="87"/>
    </row>
    <row r="1798" spans="1:19" hidden="1">
      <c r="A1798" s="91" t="s">
        <v>4095</v>
      </c>
      <c r="B1798" s="87" t="str">
        <f>IFERROR(VLOOKUP(Proc[[#This Row],[App]],Table2[],3,0),"open")</f>
        <v>ok</v>
      </c>
      <c r="C1798" s="91" t="s">
        <v>369</v>
      </c>
      <c r="D1798" t="s">
        <v>4104</v>
      </c>
      <c r="E1798" t="s">
        <v>4097</v>
      </c>
      <c r="F1798" s="87" t="s">
        <v>4098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496</v>
      </c>
      <c r="S1798" s="87"/>
    </row>
    <row r="1799" spans="1:19" hidden="1">
      <c r="A1799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4106</v>
      </c>
      <c r="E1799" t="s">
        <v>4112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4107</v>
      </c>
      <c r="E1800" t="s">
        <v>4113</v>
      </c>
      <c r="F1800" s="87" t="s">
        <v>1087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4108</v>
      </c>
      <c r="E1801" t="s">
        <v>4114</v>
      </c>
      <c r="F1801" s="87" t="s">
        <v>1319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s="91" t="s">
        <v>4105</v>
      </c>
      <c r="B1802" s="87" t="str">
        <f>IFERROR(VLOOKUP(Proc[[#This Row],[App]],Table2[],3,0),"open")</f>
        <v>ok</v>
      </c>
      <c r="C1802" s="91" t="s">
        <v>369</v>
      </c>
      <c r="D1802" t="s">
        <v>4109</v>
      </c>
      <c r="E1802" t="s">
        <v>2415</v>
      </c>
      <c r="F1802" s="87" t="s">
        <v>1152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1003</v>
      </c>
      <c r="S1802" s="87"/>
    </row>
    <row r="1803" spans="1:19" hidden="1">
      <c r="A1803" s="91" t="s">
        <v>4105</v>
      </c>
      <c r="B1803" s="87" t="str">
        <f>IFERROR(VLOOKUP(Proc[[#This Row],[App]],Table2[],3,0),"open")</f>
        <v>ok</v>
      </c>
      <c r="C1803" s="91" t="s">
        <v>369</v>
      </c>
      <c r="D1803" t="s">
        <v>4110</v>
      </c>
      <c r="E1803" t="s">
        <v>1816</v>
      </c>
      <c r="F1803" s="87" t="s">
        <v>4111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1003</v>
      </c>
      <c r="S1803" s="87"/>
    </row>
    <row r="1804" spans="1:19" hidden="1">
      <c r="A1804" t="s">
        <v>4118</v>
      </c>
      <c r="B1804" s="87" t="str">
        <f>IFERROR(VLOOKUP(Proc[[#This Row],[App]],Table2[],3,0),"open")</f>
        <v>ok</v>
      </c>
      <c r="C1804" s="91" t="s">
        <v>369</v>
      </c>
      <c r="D1804" t="s">
        <v>4115</v>
      </c>
      <c r="E1804" t="s">
        <v>4116</v>
      </c>
      <c r="F1804" s="87" t="s">
        <v>4117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4123</v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508</v>
      </c>
      <c r="S1804" s="87"/>
    </row>
    <row r="1805" spans="1:19" hidden="1">
      <c r="A1805" t="s">
        <v>4119</v>
      </c>
      <c r="B1805" s="87" t="str">
        <f>IFERROR(VLOOKUP(Proc[[#This Row],[App]],Table2[],3,0),"open")</f>
        <v>ok</v>
      </c>
      <c r="C1805" s="91" t="s">
        <v>369</v>
      </c>
      <c r="D1805" t="s">
        <v>4120</v>
      </c>
      <c r="E1805" t="s">
        <v>4121</v>
      </c>
      <c r="F1805" s="87" t="s">
        <v>4122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1325</v>
      </c>
      <c r="S1805" s="87"/>
    </row>
    <row r="1806" spans="1:19" hidden="1">
      <c r="A1806" t="s">
        <v>4124</v>
      </c>
      <c r="B1806" s="87" t="str">
        <f>IFERROR(VLOOKUP(Proc[[#This Row],[App]],Table2[],3,0),"open")</f>
        <v>ok</v>
      </c>
      <c r="C1806" t="s">
        <v>369</v>
      </c>
      <c r="D1806" t="s">
        <v>4126</v>
      </c>
      <c r="E1806" t="s">
        <v>4125</v>
      </c>
      <c r="F1806" s="87"/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496</v>
      </c>
      <c r="S1806" s="87"/>
    </row>
    <row r="1807" spans="1:19" hidden="1">
      <c r="A1807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4130</v>
      </c>
      <c r="E1807" t="s">
        <v>2283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4131</v>
      </c>
      <c r="E1808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4132</v>
      </c>
      <c r="E1809" t="s">
        <v>4128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4133</v>
      </c>
      <c r="E1810" s="94" t="s">
        <v>4128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s="94" t="s">
        <v>4127</v>
      </c>
      <c r="B1811" s="87" t="str">
        <f>IFERROR(VLOOKUP(Proc[[#This Row],[App]],Table2[],3,0),"open")</f>
        <v>ok</v>
      </c>
      <c r="C1811" s="95" t="s">
        <v>369</v>
      </c>
      <c r="D1811" s="94" t="s">
        <v>4134</v>
      </c>
      <c r="E1811" t="s">
        <v>2351</v>
      </c>
      <c r="F1811" s="87"/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0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766</v>
      </c>
      <c r="S1811" s="87"/>
    </row>
    <row r="1812" spans="1:19" hidden="1">
      <c r="A1812" s="94" t="s">
        <v>4127</v>
      </c>
      <c r="B1812" s="87" t="str">
        <f>IFERROR(VLOOKUP(Proc[[#This Row],[App]],Table2[],3,0),"open")</f>
        <v>ok</v>
      </c>
      <c r="C1812" s="95" t="s">
        <v>369</v>
      </c>
      <c r="D1812" s="94" t="s">
        <v>4135</v>
      </c>
      <c r="E1812" t="s">
        <v>4129</v>
      </c>
      <c r="F1812" s="87"/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0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766</v>
      </c>
      <c r="S1812" s="87"/>
    </row>
    <row r="1813" spans="1:19" hidden="1">
      <c r="A1813" t="s">
        <v>4138</v>
      </c>
      <c r="B1813" s="96" t="str">
        <f>IFERROR(VLOOKUP(Proc[[#This Row],[App]],Table2[],3,0),"open")</f>
        <v>ok</v>
      </c>
      <c r="C1813" s="95" t="s">
        <v>369</v>
      </c>
      <c r="D1813" s="95" t="s">
        <v>4136</v>
      </c>
      <c r="E1813" t="s">
        <v>4137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4139</v>
      </c>
      <c r="S1813" s="96"/>
    </row>
    <row r="1814" spans="1:19" hidden="1">
      <c r="A1814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4141</v>
      </c>
      <c r="E1814" t="s">
        <v>4239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4142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4143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4144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4145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4146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4147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4148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4149</v>
      </c>
      <c r="E1822" t="s">
        <v>3318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4150</v>
      </c>
      <c r="E1823" t="s">
        <v>3318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4151</v>
      </c>
      <c r="E1824" t="s">
        <v>4240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4152</v>
      </c>
      <c r="E1825" t="s">
        <v>3315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4153</v>
      </c>
      <c r="E1826" t="s">
        <v>3316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4154</v>
      </c>
      <c r="E1827" t="s">
        <v>3318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4155</v>
      </c>
      <c r="E1828" t="s">
        <v>3318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4156</v>
      </c>
      <c r="E1829" t="s">
        <v>3316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4157</v>
      </c>
      <c r="E1830" t="s">
        <v>3316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4158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4159</v>
      </c>
      <c r="E1832" t="s">
        <v>3315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4160</v>
      </c>
      <c r="E1833" t="s">
        <v>3315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4161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4162</v>
      </c>
      <c r="E1835" t="s">
        <v>3317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4163</v>
      </c>
      <c r="E1836" t="s">
        <v>3317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4164</v>
      </c>
      <c r="E1837" t="s">
        <v>3316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4165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4166</v>
      </c>
      <c r="E1839" t="s">
        <v>3315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4167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4168</v>
      </c>
      <c r="E1841" t="s">
        <v>4240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4169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4170</v>
      </c>
      <c r="E1843" t="s">
        <v>3315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4171</v>
      </c>
      <c r="E1844" t="s">
        <v>3315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4172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4173</v>
      </c>
      <c r="E1846" t="s">
        <v>3317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4174</v>
      </c>
      <c r="E1847" t="s">
        <v>3317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4175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4176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4177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4178</v>
      </c>
      <c r="E1851" t="s">
        <v>3315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4179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4180</v>
      </c>
      <c r="E1853" t="s">
        <v>3316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4181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4182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4183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4184</v>
      </c>
      <c r="E1857" t="s">
        <v>3315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4185</v>
      </c>
      <c r="E1858" t="s">
        <v>3315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4186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4187</v>
      </c>
      <c r="E1860" t="s">
        <v>3317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4188</v>
      </c>
      <c r="E1861" t="s">
        <v>3317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4189</v>
      </c>
      <c r="E1862" t="s">
        <v>3315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4190</v>
      </c>
      <c r="E1863" t="s">
        <v>4240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4191</v>
      </c>
      <c r="E1864" t="s">
        <v>4241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4192</v>
      </c>
      <c r="E1865" t="s">
        <v>4243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4193</v>
      </c>
      <c r="E1866" t="s">
        <v>4245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4194</v>
      </c>
      <c r="E1867" t="s">
        <v>4241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4195</v>
      </c>
      <c r="E1868" s="95" t="s">
        <v>4243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4196</v>
      </c>
      <c r="E1869" t="s">
        <v>4243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4197</v>
      </c>
      <c r="E1870" t="s">
        <v>4246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4198</v>
      </c>
      <c r="E1871" t="s">
        <v>4245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369</v>
      </c>
      <c r="D1872" t="s">
        <v>4199</v>
      </c>
      <c r="E1872" t="s">
        <v>4244</v>
      </c>
      <c r="F1872" s="96"/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4200</v>
      </c>
      <c r="E1873" t="s">
        <v>4243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377</v>
      </c>
      <c r="D1874" t="s">
        <v>4201</v>
      </c>
      <c r="E1874" t="s">
        <v>4242</v>
      </c>
      <c r="F1874" s="96"/>
      <c r="G1874" s="95" t="s">
        <v>400</v>
      </c>
      <c r="H1874" s="96" t="str">
        <f>IF(Proc[[#This Row],[type]]="LFF (MDG-F)",MID(Proc[[#This Row],[Obj]],13,10),"")</f>
        <v/>
      </c>
      <c r="I1874" t="s">
        <v>4576</v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4202</v>
      </c>
      <c r="E187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4203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4204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4205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4206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4207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4208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4209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4210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4211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4212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4213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4214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4215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4216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4217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4218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4219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4220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4221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4222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4223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4224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4225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4226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4227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4228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4229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4230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4231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4232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4233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4234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4235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4236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s="95" t="s">
        <v>4140</v>
      </c>
      <c r="B1910" s="96" t="str">
        <f>IFERROR(VLOOKUP(Proc[[#This Row],[App]],Table2[],3,0),"open")</f>
        <v>ok</v>
      </c>
      <c r="C1910" s="95" t="s">
        <v>369</v>
      </c>
      <c r="D1910" t="s">
        <v>4237</v>
      </c>
      <c r="E1910" s="95" t="s">
        <v>3827</v>
      </c>
      <c r="F1910" s="96"/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4140</v>
      </c>
      <c r="B1911" s="96" t="str">
        <f>IFERROR(VLOOKUP(Proc[[#This Row],[App]],Table2[],3,0),"open")</f>
        <v>ok</v>
      </c>
      <c r="C1911" s="95" t="s">
        <v>369</v>
      </c>
      <c r="D1911" t="s">
        <v>4238</v>
      </c>
      <c r="E1911" s="95" t="s">
        <v>3827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t="s">
        <v>4247</v>
      </c>
      <c r="B1912" s="96" t="str">
        <f>IFERROR(VLOOKUP(Proc[[#This Row],[App]],Table2[],3,0),"open")</f>
        <v>ok</v>
      </c>
      <c r="C1912" s="95" t="s">
        <v>377</v>
      </c>
      <c r="D1912" t="s">
        <v>4577</v>
      </c>
      <c r="E1912" t="s">
        <v>4572</v>
      </c>
      <c r="F1912" s="96"/>
      <c r="G1912" s="95" t="s">
        <v>400</v>
      </c>
      <c r="H1912" s="96" t="str">
        <f>IF(Proc[[#This Row],[type]]="LFF (MDG-F)",MID(Proc[[#This Row],[Obj]],13,10),"")</f>
        <v/>
      </c>
      <c r="I1912" t="s">
        <v>4579</v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4248</v>
      </c>
      <c r="E1913" t="s">
        <v>4573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4249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4250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4251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4252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4253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4254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4255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4256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4257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4258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4259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4260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4261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4262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4263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4264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4265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4266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4267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4268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4269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4270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4271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4272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4273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4274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4275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4276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4277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4278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4279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4280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4281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4282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4283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4284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4285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4286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4287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4288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4289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4290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4291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4292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4293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4294</v>
      </c>
      <c r="E1959" t="s">
        <v>4574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4295</v>
      </c>
      <c r="E1960" t="s">
        <v>4574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4296</v>
      </c>
      <c r="E1961" t="s">
        <v>4572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4297</v>
      </c>
      <c r="E1962" t="s">
        <v>4573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4298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4299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4300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4301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4302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4303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4304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4305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4306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4307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4308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4309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4310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4311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4312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4313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4314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4315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4316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4317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4318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4319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4320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4321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4322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4323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4324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4325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4326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4327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4328</v>
      </c>
      <c r="E1993" t="s">
        <v>4574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4329</v>
      </c>
      <c r="E1994" t="s">
        <v>4574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4330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4331</v>
      </c>
      <c r="E1996" t="s">
        <v>2507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4332</v>
      </c>
      <c r="E1997" t="s">
        <v>2507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4333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4334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4335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4336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4337</v>
      </c>
      <c r="E2002" t="s">
        <v>4574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4338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4339</v>
      </c>
      <c r="E2004" t="s">
        <v>2507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4340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4341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4342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4343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4344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4345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4346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4347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4348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4349</v>
      </c>
      <c r="E2014" t="s">
        <v>4574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4350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4351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4352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4353</v>
      </c>
      <c r="E2018" t="s">
        <v>2507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4354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4355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4356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4357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4358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4359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4360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4361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4362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4363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4364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4365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4366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4367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4368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4369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4370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4371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4372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4373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4374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4375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4376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4377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4378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4379</v>
      </c>
      <c r="E2044" t="s">
        <v>4574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4380</v>
      </c>
      <c r="E2045" t="s">
        <v>4574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4381</v>
      </c>
      <c r="E2046" t="s">
        <v>2507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4382</v>
      </c>
      <c r="E2047" t="s">
        <v>2507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4383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4384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4385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4386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4387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4388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4389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4390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4391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4392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4393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4394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4395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4396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4397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4398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4399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4400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4401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4402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4403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4404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4405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4406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4407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4408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4409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4410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4411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4412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4413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4414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4415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4416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4417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4418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4419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4420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4421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4422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4423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4424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4425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4426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4427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4428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4429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4430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4431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4432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4433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4434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4435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4436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4437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4438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4439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4440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4441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4442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4443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4444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4445</v>
      </c>
      <c r="E2110" t="s">
        <v>4574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4446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4447</v>
      </c>
      <c r="E2112" t="s">
        <v>2507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4448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4449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4450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4451</v>
      </c>
      <c r="E2116" t="s">
        <v>4574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4452</v>
      </c>
      <c r="E2117" t="s">
        <v>4574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4453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4454</v>
      </c>
      <c r="E2119" t="s">
        <v>2507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4455</v>
      </c>
      <c r="E2120" t="s">
        <v>2507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4456</v>
      </c>
      <c r="E2121" t="s">
        <v>4575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4457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4458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4459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4460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4461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4462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4463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4464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4465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4466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4467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4468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4469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4470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4471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4472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4473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4474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4475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4476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4477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4478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4479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4480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4481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4482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4483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4484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4485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4486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4487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4488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4489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4490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4491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4492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4493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4494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4495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4496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4497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4498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4499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4500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4501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4502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4503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4504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4505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4506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4507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4508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4509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4510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4511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4512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4513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4514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4515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4516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4517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4518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4519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4520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4521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4522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4523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4524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4525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4526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4527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4528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4529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4530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4531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4532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4533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4534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4535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4536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4537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4538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4539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4540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4541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4542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4543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4544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4545</v>
      </c>
      <c r="E2210" t="s">
        <v>4574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4546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4547</v>
      </c>
      <c r="E2212" t="s">
        <v>2507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4548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4549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4550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4551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4552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4553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4554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4555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4556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4557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4558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4559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4560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4561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4562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4563</v>
      </c>
      <c r="E2228" t="s">
        <v>4574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s="95" t="s">
        <v>4247</v>
      </c>
      <c r="B2229" s="96" t="str">
        <f>IFERROR(VLOOKUP(Proc[[#This Row],[App]],Table2[],3,0),"open")</f>
        <v>ok</v>
      </c>
      <c r="C2229" s="95" t="s">
        <v>369</v>
      </c>
      <c r="D2229" t="s">
        <v>4564</v>
      </c>
      <c r="E2229" t="s">
        <v>4574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1044</v>
      </c>
      <c r="S2229" s="96"/>
    </row>
    <row r="2230" spans="1:19" hidden="1">
      <c r="A2230" s="95" t="s">
        <v>4247</v>
      </c>
      <c r="B2230" s="96" t="str">
        <f>IFERROR(VLOOKUP(Proc[[#This Row],[App]],Table2[],3,0),"open")</f>
        <v>ok</v>
      </c>
      <c r="C2230" s="95" t="s">
        <v>369</v>
      </c>
      <c r="D2230" t="s">
        <v>4565</v>
      </c>
      <c r="E2230" t="s">
        <v>2507</v>
      </c>
      <c r="F2230" s="96"/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1044</v>
      </c>
      <c r="S2230" s="96"/>
    </row>
    <row r="2231" spans="1:19" hidden="1">
      <c r="A2231" t="s">
        <v>4124</v>
      </c>
      <c r="B2231" s="96" t="str">
        <f>IFERROR(VLOOKUP(Proc[[#This Row],[App]],Table2[],3,0),"open")</f>
        <v>ok</v>
      </c>
      <c r="C2231" s="95" t="s">
        <v>369</v>
      </c>
      <c r="D2231" t="s">
        <v>4578</v>
      </c>
      <c r="E2231" t="s">
        <v>4125</v>
      </c>
      <c r="F2231" s="96"/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496</v>
      </c>
      <c r="S2231" s="96"/>
    </row>
    <row r="2232" spans="1:19" hidden="1">
      <c r="A2232" t="s">
        <v>4580</v>
      </c>
      <c r="B2232" s="96" t="str">
        <f>IFERROR(VLOOKUP(Proc[[#This Row],[App]],Table2[],3,0),"open")</f>
        <v>ok</v>
      </c>
      <c r="C2232" t="s">
        <v>369</v>
      </c>
      <c r="D2232" t="s">
        <v>4581</v>
      </c>
      <c r="E2232" t="s">
        <v>1593</v>
      </c>
      <c r="F2232" s="96" t="s">
        <v>4582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508</v>
      </c>
      <c r="S2232" s="96"/>
    </row>
    <row r="2233" spans="1:19" hidden="1">
      <c r="A2233" t="s">
        <v>4583</v>
      </c>
      <c r="B2233" s="96" t="str">
        <f>IFERROR(VLOOKUP(Proc[[#This Row],[App]],Table2[],3,0),"open")</f>
        <v>ok</v>
      </c>
      <c r="C2233" t="s">
        <v>369</v>
      </c>
      <c r="D2233" t="s">
        <v>4584</v>
      </c>
      <c r="E2233" t="s">
        <v>2674</v>
      </c>
      <c r="F2233" s="96" t="s">
        <v>4588</v>
      </c>
      <c r="G2233" t="s">
        <v>406</v>
      </c>
      <c r="H2233" s="96" t="str">
        <f>IF(Proc[[#This Row],[type]]="LFF (MDG-F)",MID(Proc[[#This Row],[Obj]],13,10),"")</f>
        <v>CZ50GIT01D</v>
      </c>
      <c r="I2233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4586</v>
      </c>
      <c r="E2235" t="s">
        <v>2674</v>
      </c>
      <c r="F2235" s="96" t="s">
        <v>4589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s="95" t="s">
        <v>4583</v>
      </c>
      <c r="B2236" s="96" t="str">
        <f>IFERROR(VLOOKUP(Proc[[#This Row],[App]],Table2[],3,0),"open")</f>
        <v>ok</v>
      </c>
      <c r="C2236" s="95" t="s">
        <v>369</v>
      </c>
      <c r="D2236" t="s">
        <v>4585</v>
      </c>
      <c r="E2236" t="s">
        <v>2674</v>
      </c>
      <c r="F2236" s="96" t="s">
        <v>2771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4591</v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538</v>
      </c>
      <c r="S2236" s="96"/>
    </row>
    <row r="2237" spans="1:19" hidden="1">
      <c r="A2237" s="95" t="s">
        <v>4583</v>
      </c>
      <c r="B2237" s="96" t="str">
        <f>IFERROR(VLOOKUP(Proc[[#This Row],[App]],Table2[],3,0),"open")</f>
        <v>ok</v>
      </c>
      <c r="C2237" s="95" t="s">
        <v>369</v>
      </c>
      <c r="D2237" t="s">
        <v>4587</v>
      </c>
      <c r="E2237" t="s">
        <v>2674</v>
      </c>
      <c r="F2237" s="96" t="s">
        <v>4590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4591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538</v>
      </c>
      <c r="S2237" s="96"/>
    </row>
    <row r="2238" spans="1:19" hidden="1">
      <c r="A2238" t="s">
        <v>4592</v>
      </c>
      <c r="B2238" s="96" t="str">
        <f>IFERROR(VLOOKUP(Proc[[#This Row],[App]],Table2[],3,0),"open")</f>
        <v>ok</v>
      </c>
      <c r="C2238" t="s">
        <v>369</v>
      </c>
      <c r="D2238" t="s">
        <v>4607</v>
      </c>
      <c r="E2238" t="s">
        <v>689</v>
      </c>
      <c r="F2238" s="96" t="s">
        <v>4599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4593</v>
      </c>
      <c r="E2239" t="s">
        <v>2903</v>
      </c>
      <c r="F2239" s="96" t="s">
        <v>4600</v>
      </c>
      <c r="G2239" t="s">
        <v>406</v>
      </c>
      <c r="H2239" s="96" t="str">
        <f>IF(Proc[[#This Row],[type]]="LFF (MDG-F)",MID(Proc[[#This Row],[Obj]],13,10),"")</f>
        <v>CH75GIT060</v>
      </c>
      <c r="I2239" t="s">
        <v>4606</v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4594</v>
      </c>
      <c r="E2240" t="s">
        <v>2575</v>
      </c>
      <c r="F2240" s="96" t="s">
        <v>4601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4606</v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4595</v>
      </c>
      <c r="E2241" t="s">
        <v>2577</v>
      </c>
      <c r="F2241" s="96" t="s">
        <v>4602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4596</v>
      </c>
      <c r="E2242" t="s">
        <v>2577</v>
      </c>
      <c r="F2242" s="96" t="s">
        <v>4603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 hidden="1">
      <c r="A2243" s="95" t="s">
        <v>4592</v>
      </c>
      <c r="B2243" s="96" t="str">
        <f>IFERROR(VLOOKUP(Proc[[#This Row],[App]],Table2[],3,0),"open")</f>
        <v>ok</v>
      </c>
      <c r="C2243" s="95" t="s">
        <v>369</v>
      </c>
      <c r="D2243" t="s">
        <v>4597</v>
      </c>
      <c r="E2243" t="s">
        <v>2577</v>
      </c>
      <c r="F2243" s="96" t="s">
        <v>4604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1530</v>
      </c>
      <c r="S2243" s="96"/>
    </row>
    <row r="2244" spans="1:19" hidden="1">
      <c r="A2244" s="95" t="s">
        <v>4592</v>
      </c>
      <c r="B2244" s="96" t="str">
        <f>IFERROR(VLOOKUP(Proc[[#This Row],[App]],Table2[],3,0),"open")</f>
        <v>ok</v>
      </c>
      <c r="C2244" s="95" t="s">
        <v>369</v>
      </c>
      <c r="D2244" t="s">
        <v>4598</v>
      </c>
      <c r="E2244" t="s">
        <v>427</v>
      </c>
      <c r="F2244" s="96" t="s">
        <v>4605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0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1530</v>
      </c>
      <c r="S2244" s="96"/>
    </row>
    <row r="2245" spans="1:19" hidden="1">
      <c r="A2245" t="s">
        <v>4608</v>
      </c>
      <c r="B2245" s="96" t="str">
        <f>IFERROR(VLOOKUP(Proc[[#This Row],[App]],Table2[],3,0),"open")</f>
        <v>ok</v>
      </c>
      <c r="C2245" t="s">
        <v>369</v>
      </c>
      <c r="D2245" t="s">
        <v>4609</v>
      </c>
      <c r="E2245" t="s">
        <v>4610</v>
      </c>
      <c r="F2245" s="96" t="s">
        <v>4611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0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</v>
      </c>
      <c r="R2245" s="97" t="s">
        <v>792</v>
      </c>
      <c r="S2245" s="96"/>
    </row>
    <row r="2246" spans="1:19" hidden="1">
      <c r="A2246" t="s">
        <v>4614</v>
      </c>
      <c r="B2246" s="96" t="str">
        <f>IFERROR(VLOOKUP(Proc[[#This Row],[App]],Table2[],3,0),"open")</f>
        <v>ok</v>
      </c>
      <c r="C2246" s="99" t="s">
        <v>369</v>
      </c>
      <c r="D2246" s="99" t="s">
        <v>4612</v>
      </c>
      <c r="E2246" s="99" t="s">
        <v>4613</v>
      </c>
      <c r="F2246" s="96"/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0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</v>
      </c>
      <c r="R2246" s="97" t="s">
        <v>538</v>
      </c>
      <c r="S2246" s="96"/>
    </row>
    <row r="2247" spans="1:19" hidden="1">
      <c r="A2247" t="s">
        <v>4615</v>
      </c>
      <c r="B2247" s="96" t="str">
        <f>IFERROR(VLOOKUP(Proc[[#This Row],[App]],Table2[],3,0),"open")</f>
        <v>ok</v>
      </c>
      <c r="C2247" s="105" t="s">
        <v>369</v>
      </c>
      <c r="D2247" t="s">
        <v>4616</v>
      </c>
      <c r="E2247" t="s">
        <v>4617</v>
      </c>
      <c r="F2247" s="96"/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0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508</v>
      </c>
      <c r="S2247" s="96"/>
    </row>
    <row r="2248" spans="1:19" hidden="1">
      <c r="A2248" t="s">
        <v>4620</v>
      </c>
      <c r="B2248" s="96" t="str">
        <f>IFERROR(VLOOKUP(Proc[[#This Row],[App]],Table2[],3,0),"open")</f>
        <v>ok</v>
      </c>
      <c r="C2248" s="99" t="s">
        <v>369</v>
      </c>
      <c r="D2248" t="s">
        <v>4621</v>
      </c>
      <c r="E2248" t="s">
        <v>1289</v>
      </c>
      <c r="F2248" s="96"/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0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508</v>
      </c>
      <c r="S2248" s="96"/>
    </row>
    <row r="2249" spans="1:19" hidden="1">
      <c r="A2249" t="s">
        <v>4620</v>
      </c>
      <c r="B2249" s="96" t="str">
        <f>IFERROR(VLOOKUP(Proc[[#This Row],[App]],Table2[],3,0),"open")</f>
        <v>ok</v>
      </c>
      <c r="C2249" s="99" t="s">
        <v>377</v>
      </c>
      <c r="D2249" t="s">
        <v>4618</v>
      </c>
      <c r="E2249" t="s">
        <v>4619</v>
      </c>
      <c r="F2249" s="96"/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0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508</v>
      </c>
      <c r="S2249" s="96"/>
    </row>
    <row r="2250" spans="1:19" hidden="1">
      <c r="A2250" t="s">
        <v>4634</v>
      </c>
      <c r="B2250" s="96" t="str">
        <f>IFERROR(VLOOKUP(Proc[[#This Row],[App]],Table2[],3,0),"open")</f>
        <v>ok</v>
      </c>
      <c r="C2250" s="105" t="s">
        <v>369</v>
      </c>
      <c r="D2250" t="s">
        <v>4622</v>
      </c>
      <c r="E2250" t="s">
        <v>4630</v>
      </c>
      <c r="F2250" s="96" t="s">
        <v>2192</v>
      </c>
      <c r="G2250" t="s">
        <v>406</v>
      </c>
      <c r="H2250" s="96" t="str">
        <f>IF(Proc[[#This Row],[type]]="LFF (MDG-F)",MID(Proc[[#This Row],[Obj]],13,10),"")</f>
        <v>DE20538353</v>
      </c>
      <c r="I2250" t="s">
        <v>4635</v>
      </c>
      <c r="J2250" s="96" t="b">
        <f>Proc[[#This Row],[Requested]]=Proc[[#This Row],[CurrentParent]]</f>
        <v>0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499</v>
      </c>
      <c r="S2250" s="96"/>
    </row>
    <row r="2251" spans="1:19" hidden="1">
      <c r="A2251" s="99" t="s">
        <v>4634</v>
      </c>
      <c r="B2251" s="96" t="str">
        <f>IFERROR(VLOOKUP(Proc[[#This Row],[App]],Table2[],3,0),"open")</f>
        <v>ok</v>
      </c>
      <c r="C2251" s="105" t="s">
        <v>369</v>
      </c>
      <c r="D2251" t="s">
        <v>4623</v>
      </c>
      <c r="E2251" t="s">
        <v>4631</v>
      </c>
      <c r="F2251" s="96" t="s">
        <v>2193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4635</v>
      </c>
      <c r="J2251" s="96" t="b">
        <f>Proc[[#This Row],[Requested]]=Proc[[#This Row],[CurrentParent]]</f>
        <v>0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499</v>
      </c>
      <c r="S2251" s="96"/>
    </row>
    <row r="2252" spans="1:19" hidden="1">
      <c r="A2252" s="99" t="s">
        <v>4634</v>
      </c>
      <c r="B2252" s="96" t="str">
        <f>IFERROR(VLOOKUP(Proc[[#This Row],[App]],Table2[],3,0),"open")</f>
        <v>ok</v>
      </c>
      <c r="C2252" s="105" t="s">
        <v>369</v>
      </c>
      <c r="D2252" t="s">
        <v>4624</v>
      </c>
      <c r="E2252" t="s">
        <v>3806</v>
      </c>
      <c r="F2252" s="96" t="s">
        <v>4632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4635</v>
      </c>
      <c r="J2252" s="96" t="b">
        <f>Proc[[#This Row],[Requested]]=Proc[[#This Row],[CurrentParent]]</f>
        <v>0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499</v>
      </c>
      <c r="S2252" s="96"/>
    </row>
    <row r="2253" spans="1:19" hidden="1">
      <c r="A2253" s="99" t="s">
        <v>4634</v>
      </c>
      <c r="B2253" s="96" t="str">
        <f>IFERROR(VLOOKUP(Proc[[#This Row],[App]],Table2[],3,0),"open")</f>
        <v>ok</v>
      </c>
      <c r="C2253" s="105" t="s">
        <v>369</v>
      </c>
      <c r="D2253" t="s">
        <v>4625</v>
      </c>
      <c r="E2253" t="s">
        <v>3806</v>
      </c>
      <c r="F2253" s="96" t="s">
        <v>4632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4635</v>
      </c>
      <c r="J2253" s="96" t="b">
        <f>Proc[[#This Row],[Requested]]=Proc[[#This Row],[CurrentParent]]</f>
        <v>0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499</v>
      </c>
      <c r="S2253" s="96"/>
    </row>
    <row r="2254" spans="1:19" hidden="1">
      <c r="A2254" s="99" t="s">
        <v>4634</v>
      </c>
      <c r="B2254" s="96" t="str">
        <f>IFERROR(VLOOKUP(Proc[[#This Row],[App]],Table2[],3,0),"open")</f>
        <v>ok</v>
      </c>
      <c r="C2254" s="105" t="s">
        <v>369</v>
      </c>
      <c r="D2254" t="s">
        <v>4626</v>
      </c>
      <c r="E2254" t="s">
        <v>3806</v>
      </c>
      <c r="F2254" s="96" t="s">
        <v>4632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4635</v>
      </c>
      <c r="J2254" s="96" t="b">
        <f>Proc[[#This Row],[Requested]]=Proc[[#This Row],[CurrentParent]]</f>
        <v>0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499</v>
      </c>
      <c r="S2254" s="96"/>
    </row>
    <row r="2255" spans="1:19" hidden="1">
      <c r="A2255" s="99" t="s">
        <v>4634</v>
      </c>
      <c r="B2255" s="96" t="str">
        <f>IFERROR(VLOOKUP(Proc[[#This Row],[App]],Table2[],3,0),"open")</f>
        <v>ok</v>
      </c>
      <c r="C2255" s="105" t="s">
        <v>369</v>
      </c>
      <c r="D2255" t="s">
        <v>4627</v>
      </c>
      <c r="E2255" t="s">
        <v>3805</v>
      </c>
      <c r="F2255" s="96" t="s">
        <v>4633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4635</v>
      </c>
      <c r="J2255" s="96" t="b">
        <f>Proc[[#This Row],[Requested]]=Proc[[#This Row],[CurrentParent]]</f>
        <v>0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499</v>
      </c>
      <c r="S2255" s="96"/>
    </row>
    <row r="2256" spans="1:19" hidden="1">
      <c r="A2256" s="99" t="s">
        <v>4634</v>
      </c>
      <c r="B2256" s="96" t="str">
        <f>IFERROR(VLOOKUP(Proc[[#This Row],[App]],Table2[],3,0),"open")</f>
        <v>ok</v>
      </c>
      <c r="C2256" s="105" t="s">
        <v>369</v>
      </c>
      <c r="D2256" t="s">
        <v>4628</v>
      </c>
      <c r="E2256" t="s">
        <v>3805</v>
      </c>
      <c r="F2256" s="96" t="s">
        <v>4633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4635</v>
      </c>
      <c r="J2256" s="96" t="b">
        <f>Proc[[#This Row],[Requested]]=Proc[[#This Row],[CurrentParent]]</f>
        <v>0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499</v>
      </c>
      <c r="S2256" s="96"/>
    </row>
    <row r="2257" spans="1:19" hidden="1">
      <c r="A2257" s="99" t="s">
        <v>4634</v>
      </c>
      <c r="B2257" s="96" t="str">
        <f>IFERROR(VLOOKUP(Proc[[#This Row],[App]],Table2[],3,0),"open")</f>
        <v>ok</v>
      </c>
      <c r="C2257" s="105" t="s">
        <v>369</v>
      </c>
      <c r="D2257" t="s">
        <v>4629</v>
      </c>
      <c r="E2257" t="s">
        <v>3805</v>
      </c>
      <c r="F2257" s="96" t="s">
        <v>4633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4635</v>
      </c>
      <c r="J2257" s="96" t="b">
        <f>Proc[[#This Row],[Requested]]=Proc[[#This Row],[CurrentParent]]</f>
        <v>0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499</v>
      </c>
      <c r="S2257" s="96"/>
    </row>
    <row r="2258" spans="1:19" hidden="1">
      <c r="A2258" t="s">
        <v>4637</v>
      </c>
      <c r="B2258" s="96" t="str">
        <f>IFERROR(VLOOKUP(Proc[[#This Row],[App]],Table2[],3,0),"open")</f>
        <v>ok</v>
      </c>
      <c r="C2258" s="105" t="s">
        <v>369</v>
      </c>
      <c r="D2258" s="101" t="s">
        <v>4636</v>
      </c>
      <c r="E2258" t="s">
        <v>4617</v>
      </c>
      <c r="F2258" s="96"/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0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508</v>
      </c>
      <c r="S2258" s="96"/>
    </row>
    <row r="2259" spans="1:19" hidden="1">
      <c r="A2259" t="s">
        <v>4638</v>
      </c>
      <c r="B2259" s="96" t="str">
        <f>IFERROR(VLOOKUP(Proc[[#This Row],[App]],Table2[],3,0),"open")</f>
        <v>ok</v>
      </c>
      <c r="C2259" s="105" t="s">
        <v>369</v>
      </c>
      <c r="D2259" s="103" t="s">
        <v>4699</v>
      </c>
      <c r="E2259" t="s">
        <v>4639</v>
      </c>
      <c r="F2259" s="96"/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0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2841</v>
      </c>
      <c r="M2259" s="100">
        <v>45818.369039351855</v>
      </c>
      <c r="N2259" s="102"/>
      <c r="O2259" s="102"/>
      <c r="P2259" s="100" t="str">
        <f ca="1">IF(Proc[[#This Row],[DaysAgeing]]&gt;5,"yep","on track")</f>
        <v>on track</v>
      </c>
      <c r="Q2259" s="3">
        <f ca="1">IF(Proc[[#This Row],[DateClosed]]="",ABS(NETWORKDAYS(Proc[[#This Row],[DateOpened]],TODAY()))-1,ABS(NETWORKDAYS(Proc[[#This Row],[DateOpened]],Proc[[#This Row],[DateClosed]]))-1)</f>
        <v>5</v>
      </c>
      <c r="R2259" s="100" t="s">
        <v>538</v>
      </c>
      <c r="S2259" s="96"/>
    </row>
    <row r="2260" spans="1:19" hidden="1">
      <c r="A2260" s="103" t="s">
        <v>4638</v>
      </c>
      <c r="B2260" s="96" t="str">
        <f>IFERROR(VLOOKUP(Proc[[#This Row],[App]],Table2[],3,0),"open")</f>
        <v>ok</v>
      </c>
      <c r="C2260" s="103" t="s">
        <v>369</v>
      </c>
      <c r="D2260" s="104" t="s">
        <v>4698</v>
      </c>
      <c r="E2260" t="s">
        <v>4640</v>
      </c>
      <c r="F2260" s="96"/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0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2841</v>
      </c>
      <c r="M2260" s="100">
        <v>45818.369039351855</v>
      </c>
      <c r="N2260" s="102"/>
      <c r="O2260" s="102"/>
      <c r="P2260" s="100" t="str">
        <f ca="1">IF(Proc[[#This Row],[DaysAgeing]]&gt;5,"yep","on track")</f>
        <v>on track</v>
      </c>
      <c r="Q2260" s="3">
        <f ca="1">IF(Proc[[#This Row],[DateClosed]]="",ABS(NETWORKDAYS(Proc[[#This Row],[DateOpened]],TODAY()))-1,ABS(NETWORKDAYS(Proc[[#This Row],[DateOpened]],Proc[[#This Row],[DateClosed]]))-1)</f>
        <v>5</v>
      </c>
      <c r="R2260" s="100" t="s">
        <v>538</v>
      </c>
      <c r="S2260" s="96"/>
    </row>
    <row r="2261" spans="1:19" hidden="1">
      <c r="A2261" t="s">
        <v>4642</v>
      </c>
      <c r="B2261" s="96" t="str">
        <f>IFERROR(VLOOKUP(Proc[[#This Row],[App]],Table2[],3,0),"open")</f>
        <v>ok</v>
      </c>
      <c r="C2261" s="105" t="s">
        <v>369</v>
      </c>
      <c r="D2261" s="101" t="s">
        <v>4641</v>
      </c>
      <c r="E2261" s="105" t="s">
        <v>3664</v>
      </c>
      <c r="F2261" s="96"/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0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508</v>
      </c>
      <c r="S2261" s="96"/>
    </row>
    <row r="2262" spans="1:19" hidden="1">
      <c r="A2262" t="s">
        <v>4653</v>
      </c>
      <c r="B2262" s="96" t="str">
        <f>IFERROR(VLOOKUP(Proc[[#This Row],[App]],Table2[],3,0),"open")</f>
        <v>ok</v>
      </c>
      <c r="C2262" t="s">
        <v>369</v>
      </c>
      <c r="D2262" t="s">
        <v>4643</v>
      </c>
      <c r="E2262" t="s">
        <v>1266</v>
      </c>
      <c r="F2262" s="96" t="s">
        <v>1098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0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2841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808</v>
      </c>
      <c r="S2262" s="96"/>
    </row>
    <row r="2263" spans="1:19" hidden="1">
      <c r="A2263" s="105" t="s">
        <v>4653</v>
      </c>
      <c r="B2263" s="96" t="str">
        <f>IFERROR(VLOOKUP(Proc[[#This Row],[App]],Table2[],3,0),"open")</f>
        <v>ok</v>
      </c>
      <c r="C2263" s="105" t="s">
        <v>369</v>
      </c>
      <c r="D2263" t="s">
        <v>4644</v>
      </c>
      <c r="E2263" t="s">
        <v>1267</v>
      </c>
      <c r="F2263" s="96" t="s">
        <v>1098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0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2841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808</v>
      </c>
      <c r="S2263" s="96"/>
    </row>
    <row r="2264" spans="1:19" hidden="1">
      <c r="A2264" s="105" t="s">
        <v>4653</v>
      </c>
      <c r="B2264" s="96" t="str">
        <f>IFERROR(VLOOKUP(Proc[[#This Row],[App]],Table2[],3,0),"open")</f>
        <v>ok</v>
      </c>
      <c r="C2264" s="105" t="s">
        <v>369</v>
      </c>
      <c r="D2264" t="s">
        <v>4645</v>
      </c>
      <c r="E2264" t="s">
        <v>1267</v>
      </c>
      <c r="F2264" s="96" t="s">
        <v>4652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0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2841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808</v>
      </c>
      <c r="S2264" s="96"/>
    </row>
    <row r="2265" spans="1:19" hidden="1">
      <c r="A2265" s="105" t="s">
        <v>4653</v>
      </c>
      <c r="B2265" s="96" t="str">
        <f>IFERROR(VLOOKUP(Proc[[#This Row],[App]],Table2[],3,0),"open")</f>
        <v>ok</v>
      </c>
      <c r="C2265" s="105" t="s">
        <v>369</v>
      </c>
      <c r="D2265" t="s">
        <v>4646</v>
      </c>
      <c r="E2265" t="s">
        <v>4650</v>
      </c>
      <c r="F2265" s="96" t="s">
        <v>1098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0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2841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808</v>
      </c>
      <c r="S2265" s="96"/>
    </row>
    <row r="2266" spans="1:19" hidden="1">
      <c r="A2266" s="105" t="s">
        <v>4653</v>
      </c>
      <c r="B2266" s="96" t="str">
        <f>IFERROR(VLOOKUP(Proc[[#This Row],[App]],Table2[],3,0),"open")</f>
        <v>ok</v>
      </c>
      <c r="C2266" s="105" t="s">
        <v>369</v>
      </c>
      <c r="D2266" t="s">
        <v>4647</v>
      </c>
      <c r="E2266" t="s">
        <v>4650</v>
      </c>
      <c r="F2266" s="96" t="s">
        <v>1098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0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2841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808</v>
      </c>
      <c r="S2266" s="96"/>
    </row>
    <row r="2267" spans="1:19" hidden="1">
      <c r="A2267" s="105" t="s">
        <v>4653</v>
      </c>
      <c r="B2267" s="96" t="str">
        <f>IFERROR(VLOOKUP(Proc[[#This Row],[App]],Table2[],3,0),"open")</f>
        <v>ok</v>
      </c>
      <c r="C2267" s="105" t="s">
        <v>369</v>
      </c>
      <c r="D2267" t="s">
        <v>4648</v>
      </c>
      <c r="E2267" t="s">
        <v>4651</v>
      </c>
      <c r="F2267" s="96" t="s">
        <v>1098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0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2841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808</v>
      </c>
      <c r="S2267" s="96"/>
    </row>
    <row r="2268" spans="1:19" hidden="1">
      <c r="A2268" s="105" t="s">
        <v>4653</v>
      </c>
      <c r="B2268" s="96" t="str">
        <f>IFERROR(VLOOKUP(Proc[[#This Row],[App]],Table2[],3,0),"open")</f>
        <v>ok</v>
      </c>
      <c r="C2268" s="105" t="s">
        <v>369</v>
      </c>
      <c r="D2268" t="s">
        <v>4649</v>
      </c>
      <c r="E2268" t="s">
        <v>4651</v>
      </c>
      <c r="F2268" s="96" t="s">
        <v>1098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0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2841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808</v>
      </c>
      <c r="S2268" s="96"/>
    </row>
    <row r="2269" spans="1:19" hidden="1">
      <c r="A2269" t="s">
        <v>4659</v>
      </c>
      <c r="B2269" s="96" t="str">
        <f>IFERROR(VLOOKUP(Proc[[#This Row],[App]],Table2[],3,0),"open")</f>
        <v>open</v>
      </c>
      <c r="C2269" s="105" t="s">
        <v>369</v>
      </c>
      <c r="D2269" t="s">
        <v>4660</v>
      </c>
      <c r="E2269" t="s">
        <v>4693</v>
      </c>
      <c r="F2269" s="96"/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0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2841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411</v>
      </c>
      <c r="S2269" s="96"/>
    </row>
    <row r="2270" spans="1:19" hidden="1">
      <c r="A2270" s="105" t="s">
        <v>4659</v>
      </c>
      <c r="B2270" s="96" t="str">
        <f>IFERROR(VLOOKUP(Proc[[#This Row],[App]],Table2[],3,0),"open")</f>
        <v>open</v>
      </c>
      <c r="C2270" s="105" t="s">
        <v>369</v>
      </c>
      <c r="D2270" t="s">
        <v>4661</v>
      </c>
      <c r="E2270" t="s">
        <v>4694</v>
      </c>
      <c r="F2270" s="96"/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0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2841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411</v>
      </c>
      <c r="S2270" s="96"/>
    </row>
    <row r="2271" spans="1:19" hidden="1">
      <c r="A2271" s="105" t="s">
        <v>4659</v>
      </c>
      <c r="B2271" s="96" t="str">
        <f>IFERROR(VLOOKUP(Proc[[#This Row],[App]],Table2[],3,0),"open")</f>
        <v>open</v>
      </c>
      <c r="C2271" s="105" t="s">
        <v>369</v>
      </c>
      <c r="D2271" t="s">
        <v>4662</v>
      </c>
      <c r="E2271" t="s">
        <v>4694</v>
      </c>
      <c r="F2271" s="96"/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0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2841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411</v>
      </c>
      <c r="S2271" s="96"/>
    </row>
    <row r="2272" spans="1:19" hidden="1">
      <c r="A2272" s="105" t="s">
        <v>4659</v>
      </c>
      <c r="B2272" s="96" t="str">
        <f>IFERROR(VLOOKUP(Proc[[#This Row],[App]],Table2[],3,0),"open")</f>
        <v>open</v>
      </c>
      <c r="C2272" s="105" t="s">
        <v>369</v>
      </c>
      <c r="D2272" t="s">
        <v>4663</v>
      </c>
      <c r="E2272" t="s">
        <v>4694</v>
      </c>
      <c r="F2272" s="96"/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0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2841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411</v>
      </c>
      <c r="S2272" s="96"/>
    </row>
    <row r="2273" spans="1:19" hidden="1">
      <c r="A2273" s="105" t="s">
        <v>4659</v>
      </c>
      <c r="B2273" s="96" t="str">
        <f>IFERROR(VLOOKUP(Proc[[#This Row],[App]],Table2[],3,0),"open")</f>
        <v>open</v>
      </c>
      <c r="C2273" s="105" t="s">
        <v>369</v>
      </c>
      <c r="D2273" t="s">
        <v>4664</v>
      </c>
      <c r="E2273" t="s">
        <v>4693</v>
      </c>
      <c r="F2273" s="96"/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0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2841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411</v>
      </c>
      <c r="S2273" s="96"/>
    </row>
    <row r="2274" spans="1:19" hidden="1">
      <c r="A2274" s="105" t="s">
        <v>4659</v>
      </c>
      <c r="B2274" s="96" t="str">
        <f>IFERROR(VLOOKUP(Proc[[#This Row],[App]],Table2[],3,0),"open")</f>
        <v>open</v>
      </c>
      <c r="C2274" s="105" t="s">
        <v>369</v>
      </c>
      <c r="D2274" t="s">
        <v>4665</v>
      </c>
      <c r="E2274" t="s">
        <v>4693</v>
      </c>
      <c r="F2274" s="96"/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0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2841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411</v>
      </c>
      <c r="S2274" s="96"/>
    </row>
    <row r="2275" spans="1:19" hidden="1">
      <c r="A2275" s="105" t="s">
        <v>4659</v>
      </c>
      <c r="B2275" s="96" t="str">
        <f>IFERROR(VLOOKUP(Proc[[#This Row],[App]],Table2[],3,0),"open")</f>
        <v>open</v>
      </c>
      <c r="C2275" s="105" t="s">
        <v>369</v>
      </c>
      <c r="D2275" t="s">
        <v>4666</v>
      </c>
      <c r="E2275" t="s">
        <v>4693</v>
      </c>
      <c r="F2275" s="96"/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0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2841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411</v>
      </c>
      <c r="S2275" s="96"/>
    </row>
    <row r="2276" spans="1:19" hidden="1">
      <c r="A2276" s="105" t="s">
        <v>4659</v>
      </c>
      <c r="B2276" s="96" t="str">
        <f>IFERROR(VLOOKUP(Proc[[#This Row],[App]],Table2[],3,0),"open")</f>
        <v>open</v>
      </c>
      <c r="C2276" s="105" t="s">
        <v>369</v>
      </c>
      <c r="D2276" t="s">
        <v>4667</v>
      </c>
      <c r="E2276" t="s">
        <v>4590</v>
      </c>
      <c r="F2276" s="96"/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0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2841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411</v>
      </c>
      <c r="S2276" s="96"/>
    </row>
    <row r="2277" spans="1:19" hidden="1">
      <c r="A2277" s="105" t="s">
        <v>4659</v>
      </c>
      <c r="B2277" s="96" t="str">
        <f>IFERROR(VLOOKUP(Proc[[#This Row],[App]],Table2[],3,0),"open")</f>
        <v>open</v>
      </c>
      <c r="C2277" s="105" t="s">
        <v>369</v>
      </c>
      <c r="D2277" t="s">
        <v>4668</v>
      </c>
      <c r="E2277" t="s">
        <v>4694</v>
      </c>
      <c r="F2277" s="96"/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0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2841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411</v>
      </c>
      <c r="S2277" s="96"/>
    </row>
    <row r="2278" spans="1:19" hidden="1">
      <c r="A2278" s="105" t="s">
        <v>4659</v>
      </c>
      <c r="B2278" s="96" t="str">
        <f>IFERROR(VLOOKUP(Proc[[#This Row],[App]],Table2[],3,0),"open")</f>
        <v>open</v>
      </c>
      <c r="C2278" s="105" t="s">
        <v>369</v>
      </c>
      <c r="D2278" t="s">
        <v>4669</v>
      </c>
      <c r="E2278" t="s">
        <v>4693</v>
      </c>
      <c r="F2278" s="96"/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0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2841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411</v>
      </c>
      <c r="S2278" s="96"/>
    </row>
    <row r="2279" spans="1:19" hidden="1">
      <c r="A2279" s="105" t="s">
        <v>4659</v>
      </c>
      <c r="B2279" s="96" t="str">
        <f>IFERROR(VLOOKUP(Proc[[#This Row],[App]],Table2[],3,0),"open")</f>
        <v>open</v>
      </c>
      <c r="C2279" s="105" t="s">
        <v>369</v>
      </c>
      <c r="D2279" t="s">
        <v>4670</v>
      </c>
      <c r="E2279" t="s">
        <v>4693</v>
      </c>
      <c r="F2279" s="96"/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0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2841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411</v>
      </c>
      <c r="S2279" s="96"/>
    </row>
    <row r="2280" spans="1:19" hidden="1">
      <c r="A2280" s="105" t="s">
        <v>4659</v>
      </c>
      <c r="B2280" s="96" t="str">
        <f>IFERROR(VLOOKUP(Proc[[#This Row],[App]],Table2[],3,0),"open")</f>
        <v>open</v>
      </c>
      <c r="C2280" s="105" t="s">
        <v>369</v>
      </c>
      <c r="D2280" t="s">
        <v>4671</v>
      </c>
      <c r="E2280" t="s">
        <v>4693</v>
      </c>
      <c r="F2280" s="96"/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0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2841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411</v>
      </c>
      <c r="S2280" s="96"/>
    </row>
    <row r="2281" spans="1:19" hidden="1">
      <c r="A2281" s="105" t="s">
        <v>4659</v>
      </c>
      <c r="B2281" s="96" t="str">
        <f>IFERROR(VLOOKUP(Proc[[#This Row],[App]],Table2[],3,0),"open")</f>
        <v>open</v>
      </c>
      <c r="C2281" s="105" t="s">
        <v>369</v>
      </c>
      <c r="D2281" t="s">
        <v>4672</v>
      </c>
      <c r="E2281" t="s">
        <v>4693</v>
      </c>
      <c r="F2281" s="96"/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0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2841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411</v>
      </c>
      <c r="S2281" s="96"/>
    </row>
    <row r="2282" spans="1:19" hidden="1">
      <c r="A2282" s="105" t="s">
        <v>4659</v>
      </c>
      <c r="B2282" s="96" t="str">
        <f>IFERROR(VLOOKUP(Proc[[#This Row],[App]],Table2[],3,0),"open")</f>
        <v>open</v>
      </c>
      <c r="C2282" s="105" t="s">
        <v>369</v>
      </c>
      <c r="D2282" t="s">
        <v>4673</v>
      </c>
      <c r="E2282" t="s">
        <v>4693</v>
      </c>
      <c r="F2282" s="96"/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0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2841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411</v>
      </c>
      <c r="S2282" s="96"/>
    </row>
    <row r="2283" spans="1:19" hidden="1">
      <c r="A2283" s="105" t="s">
        <v>4659</v>
      </c>
      <c r="B2283" s="96" t="str">
        <f>IFERROR(VLOOKUP(Proc[[#This Row],[App]],Table2[],3,0),"open")</f>
        <v>open</v>
      </c>
      <c r="C2283" s="105" t="s">
        <v>369</v>
      </c>
      <c r="D2283" t="s">
        <v>4674</v>
      </c>
      <c r="E2283" t="s">
        <v>4693</v>
      </c>
      <c r="F2283" s="96"/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0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2841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411</v>
      </c>
      <c r="S2283" s="96"/>
    </row>
    <row r="2284" spans="1:19" hidden="1">
      <c r="A2284" s="105" t="s">
        <v>4659</v>
      </c>
      <c r="B2284" s="96" t="str">
        <f>IFERROR(VLOOKUP(Proc[[#This Row],[App]],Table2[],3,0),"open")</f>
        <v>open</v>
      </c>
      <c r="C2284" s="105" t="s">
        <v>369</v>
      </c>
      <c r="D2284" t="s">
        <v>4675</v>
      </c>
      <c r="E2284" t="s">
        <v>4693</v>
      </c>
      <c r="F2284" s="96"/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0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2841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411</v>
      </c>
      <c r="S2284" s="96"/>
    </row>
    <row r="2285" spans="1:19" hidden="1">
      <c r="A2285" s="105" t="s">
        <v>4659</v>
      </c>
      <c r="B2285" s="96" t="str">
        <f>IFERROR(VLOOKUP(Proc[[#This Row],[App]],Table2[],3,0),"open")</f>
        <v>open</v>
      </c>
      <c r="C2285" s="105" t="s">
        <v>369</v>
      </c>
      <c r="D2285" t="s">
        <v>4676</v>
      </c>
      <c r="E2285" t="s">
        <v>4693</v>
      </c>
      <c r="F2285" s="96"/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0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2841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411</v>
      </c>
      <c r="S2285" s="96"/>
    </row>
    <row r="2286" spans="1:19" hidden="1">
      <c r="A2286" s="105" t="s">
        <v>4659</v>
      </c>
      <c r="B2286" s="96" t="str">
        <f>IFERROR(VLOOKUP(Proc[[#This Row],[App]],Table2[],3,0),"open")</f>
        <v>open</v>
      </c>
      <c r="C2286" s="105" t="s">
        <v>369</v>
      </c>
      <c r="D2286" t="s">
        <v>4677</v>
      </c>
      <c r="E2286" t="s">
        <v>4693</v>
      </c>
      <c r="F2286" s="96"/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0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2841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411</v>
      </c>
      <c r="S2286" s="96"/>
    </row>
    <row r="2287" spans="1:19" hidden="1">
      <c r="A2287" s="105" t="s">
        <v>4659</v>
      </c>
      <c r="B2287" s="96" t="str">
        <f>IFERROR(VLOOKUP(Proc[[#This Row],[App]],Table2[],3,0),"open")</f>
        <v>open</v>
      </c>
      <c r="C2287" s="105" t="s">
        <v>369</v>
      </c>
      <c r="D2287" t="s">
        <v>4678</v>
      </c>
      <c r="E2287" t="s">
        <v>4693</v>
      </c>
      <c r="F2287" s="96"/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0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2841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411</v>
      </c>
      <c r="S2287" s="96"/>
    </row>
    <row r="2288" spans="1:19" hidden="1">
      <c r="A2288" s="105" t="s">
        <v>4659</v>
      </c>
      <c r="B2288" s="96" t="str">
        <f>IFERROR(VLOOKUP(Proc[[#This Row],[App]],Table2[],3,0),"open")</f>
        <v>open</v>
      </c>
      <c r="C2288" s="105" t="s">
        <v>369</v>
      </c>
      <c r="D2288" t="s">
        <v>4679</v>
      </c>
      <c r="E2288" t="s">
        <v>4693</v>
      </c>
      <c r="F2288" s="96"/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0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2841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411</v>
      </c>
      <c r="S2288" s="96"/>
    </row>
    <row r="2289" spans="1:19" hidden="1">
      <c r="A2289" s="105" t="s">
        <v>4659</v>
      </c>
      <c r="B2289" s="96" t="str">
        <f>IFERROR(VLOOKUP(Proc[[#This Row],[App]],Table2[],3,0),"open")</f>
        <v>open</v>
      </c>
      <c r="C2289" s="105" t="s">
        <v>369</v>
      </c>
      <c r="D2289" t="s">
        <v>4680</v>
      </c>
      <c r="E2289" t="s">
        <v>4693</v>
      </c>
      <c r="F2289" s="96"/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0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2841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411</v>
      </c>
      <c r="S2289" s="96"/>
    </row>
    <row r="2290" spans="1:19" hidden="1">
      <c r="A2290" s="105" t="s">
        <v>4659</v>
      </c>
      <c r="B2290" s="96" t="str">
        <f>IFERROR(VLOOKUP(Proc[[#This Row],[App]],Table2[],3,0),"open")</f>
        <v>open</v>
      </c>
      <c r="C2290" s="105" t="s">
        <v>369</v>
      </c>
      <c r="D2290" t="s">
        <v>4681</v>
      </c>
      <c r="E2290" t="s">
        <v>4693</v>
      </c>
      <c r="F2290" s="96"/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0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2841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411</v>
      </c>
      <c r="S2290" s="96"/>
    </row>
    <row r="2291" spans="1:19" hidden="1">
      <c r="A2291" s="105" t="s">
        <v>4659</v>
      </c>
      <c r="B2291" s="96" t="str">
        <f>IFERROR(VLOOKUP(Proc[[#This Row],[App]],Table2[],3,0),"open")</f>
        <v>open</v>
      </c>
      <c r="C2291" s="105" t="s">
        <v>369</v>
      </c>
      <c r="D2291" t="s">
        <v>4682</v>
      </c>
      <c r="E2291" t="s">
        <v>4693</v>
      </c>
      <c r="F2291" s="96"/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0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2841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411</v>
      </c>
      <c r="S2291" s="96"/>
    </row>
    <row r="2292" spans="1:19" hidden="1">
      <c r="A2292" s="105" t="s">
        <v>4659</v>
      </c>
      <c r="B2292" s="96" t="str">
        <f>IFERROR(VLOOKUP(Proc[[#This Row],[App]],Table2[],3,0),"open")</f>
        <v>open</v>
      </c>
      <c r="C2292" s="105" t="s">
        <v>369</v>
      </c>
      <c r="D2292" t="s">
        <v>4683</v>
      </c>
      <c r="E2292" t="s">
        <v>4693</v>
      </c>
      <c r="F2292" s="96"/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0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2841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411</v>
      </c>
      <c r="S2292" s="96"/>
    </row>
    <row r="2293" spans="1:19" hidden="1">
      <c r="A2293" s="105" t="s">
        <v>4659</v>
      </c>
      <c r="B2293" s="96" t="str">
        <f>IFERROR(VLOOKUP(Proc[[#This Row],[App]],Table2[],3,0),"open")</f>
        <v>open</v>
      </c>
      <c r="C2293" s="105" t="s">
        <v>369</v>
      </c>
      <c r="D2293" t="s">
        <v>4684</v>
      </c>
      <c r="E2293" t="s">
        <v>4694</v>
      </c>
      <c r="F2293" s="96"/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0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2841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411</v>
      </c>
      <c r="S2293" s="96"/>
    </row>
    <row r="2294" spans="1:19" hidden="1">
      <c r="A2294" s="105" t="s">
        <v>4659</v>
      </c>
      <c r="B2294" s="96" t="str">
        <f>IFERROR(VLOOKUP(Proc[[#This Row],[App]],Table2[],3,0),"open")</f>
        <v>open</v>
      </c>
      <c r="C2294" s="105" t="s">
        <v>369</v>
      </c>
      <c r="D2294" t="s">
        <v>4685</v>
      </c>
      <c r="E2294" t="s">
        <v>4694</v>
      </c>
      <c r="F2294" s="96"/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0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2841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411</v>
      </c>
      <c r="S2294" s="96"/>
    </row>
    <row r="2295" spans="1:19" hidden="1">
      <c r="A2295" s="105" t="s">
        <v>4659</v>
      </c>
      <c r="B2295" s="96" t="str">
        <f>IFERROR(VLOOKUP(Proc[[#This Row],[App]],Table2[],3,0),"open")</f>
        <v>open</v>
      </c>
      <c r="C2295" s="105" t="s">
        <v>369</v>
      </c>
      <c r="D2295" t="s">
        <v>4686</v>
      </c>
      <c r="E2295" t="s">
        <v>4694</v>
      </c>
      <c r="F2295" s="96"/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0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2841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411</v>
      </c>
      <c r="S2295" s="96"/>
    </row>
    <row r="2296" spans="1:19" hidden="1">
      <c r="A2296" s="105" t="s">
        <v>4659</v>
      </c>
      <c r="B2296" s="96" t="str">
        <f>IFERROR(VLOOKUP(Proc[[#This Row],[App]],Table2[],3,0),"open")</f>
        <v>open</v>
      </c>
      <c r="C2296" s="105" t="s">
        <v>369</v>
      </c>
      <c r="D2296" t="s">
        <v>4687</v>
      </c>
      <c r="E2296" t="s">
        <v>4694</v>
      </c>
      <c r="F2296" s="96"/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0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2841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411</v>
      </c>
      <c r="S2296" s="96"/>
    </row>
    <row r="2297" spans="1:19" hidden="1">
      <c r="A2297" s="105" t="s">
        <v>4659</v>
      </c>
      <c r="B2297" s="96" t="str">
        <f>IFERROR(VLOOKUP(Proc[[#This Row],[App]],Table2[],3,0),"open")</f>
        <v>open</v>
      </c>
      <c r="C2297" s="105" t="s">
        <v>369</v>
      </c>
      <c r="D2297" t="s">
        <v>4688</v>
      </c>
      <c r="E2297" t="s">
        <v>4694</v>
      </c>
      <c r="F2297" s="96"/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0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2841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411</v>
      </c>
      <c r="S2297" s="96"/>
    </row>
    <row r="2298" spans="1:19" hidden="1">
      <c r="A2298" s="105" t="s">
        <v>4659</v>
      </c>
      <c r="B2298" s="96" t="str">
        <f>IFERROR(VLOOKUP(Proc[[#This Row],[App]],Table2[],3,0),"open")</f>
        <v>open</v>
      </c>
      <c r="C2298" s="105" t="s">
        <v>369</v>
      </c>
      <c r="D2298" t="s">
        <v>4689</v>
      </c>
      <c r="E2298" t="s">
        <v>4693</v>
      </c>
      <c r="F2298" s="96"/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0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2841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411</v>
      </c>
      <c r="S2298" s="96"/>
    </row>
    <row r="2299" spans="1:19" hidden="1">
      <c r="A2299" s="105" t="s">
        <v>4659</v>
      </c>
      <c r="B2299" s="96" t="str">
        <f>IFERROR(VLOOKUP(Proc[[#This Row],[App]],Table2[],3,0),"open")</f>
        <v>open</v>
      </c>
      <c r="C2299" s="105" t="s">
        <v>369</v>
      </c>
      <c r="D2299" t="s">
        <v>4690</v>
      </c>
      <c r="E2299" t="s">
        <v>4693</v>
      </c>
      <c r="F2299" s="96"/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0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2841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411</v>
      </c>
      <c r="S2299" s="96"/>
    </row>
    <row r="2300" spans="1:19" hidden="1">
      <c r="A2300" s="105" t="s">
        <v>4659</v>
      </c>
      <c r="B2300" s="96" t="str">
        <f>IFERROR(VLOOKUP(Proc[[#This Row],[App]],Table2[],3,0),"open")</f>
        <v>open</v>
      </c>
      <c r="C2300" s="105" t="s">
        <v>369</v>
      </c>
      <c r="D2300" t="s">
        <v>4691</v>
      </c>
      <c r="E2300" t="s">
        <v>4694</v>
      </c>
      <c r="F2300" s="96"/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0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2841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411</v>
      </c>
      <c r="S2300" s="96"/>
    </row>
    <row r="2301" spans="1:19" hidden="1">
      <c r="A2301" s="105" t="s">
        <v>4659</v>
      </c>
      <c r="B2301" s="96" t="str">
        <f>IFERROR(VLOOKUP(Proc[[#This Row],[App]],Table2[],3,0),"open")</f>
        <v>open</v>
      </c>
      <c r="C2301" s="105" t="s">
        <v>369</v>
      </c>
      <c r="D2301" t="s">
        <v>4692</v>
      </c>
      <c r="E2301" t="s">
        <v>4695</v>
      </c>
      <c r="F2301" s="96"/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0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2841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411</v>
      </c>
      <c r="S2301" s="96"/>
    </row>
    <row r="2302" spans="1:19">
      <c r="A2302" s="105" t="s">
        <v>4659</v>
      </c>
      <c r="B2302" s="96" t="str">
        <f>IFERROR(VLOOKUP(Proc[[#This Row],[App]],Table2[],3,0),"open")</f>
        <v>open</v>
      </c>
      <c r="C2302" s="105" t="s">
        <v>375</v>
      </c>
      <c r="D2302" t="s">
        <v>4696</v>
      </c>
      <c r="E2302" t="s">
        <v>4693</v>
      </c>
      <c r="F2302" s="96"/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0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2841</v>
      </c>
      <c r="M2302" s="106">
        <v>45825.48096064815</v>
      </c>
      <c r="N2302" s="107"/>
      <c r="O2302" s="107"/>
      <c r="P2302" s="106" t="str">
        <f ca="1">IF(Proc[[#This Row],[DaysAgeing]]&gt;5,"yep","on track")</f>
        <v>on track</v>
      </c>
      <c r="Q2302" s="3">
        <f ca="1">IF(Proc[[#This Row],[DateClosed]]="",ABS(NETWORKDAYS(Proc[[#This Row],[DateOpened]],TODAY()))-1,ABS(NETWORKDAYS(Proc[[#This Row],[DateOpened]],Proc[[#This Row],[DateClosed]]))-1)</f>
        <v>0</v>
      </c>
      <c r="R2302" s="106" t="s">
        <v>411</v>
      </c>
      <c r="S2302" s="96"/>
    </row>
    <row r="2303" spans="1:19">
      <c r="A2303" s="105" t="s">
        <v>4659</v>
      </c>
      <c r="B2303" s="96" t="str">
        <f>IFERROR(VLOOKUP(Proc[[#This Row],[App]],Table2[],3,0),"open")</f>
        <v>open</v>
      </c>
      <c r="C2303" s="105" t="s">
        <v>375</v>
      </c>
      <c r="D2303" t="s">
        <v>4697</v>
      </c>
      <c r="E2303" t="s">
        <v>4693</v>
      </c>
      <c r="F2303" s="96"/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0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2841</v>
      </c>
      <c r="M2303" s="106">
        <v>45825.48096064815</v>
      </c>
      <c r="N2303" s="107"/>
      <c r="O2303" s="107"/>
      <c r="P2303" s="106" t="str">
        <f ca="1">IF(Proc[[#This Row],[DaysAgeing]]&gt;5,"yep","on track")</f>
        <v>on track</v>
      </c>
      <c r="Q2303" s="3">
        <f ca="1">IF(Proc[[#This Row],[DateClosed]]="",ABS(NETWORKDAYS(Proc[[#This Row],[DateOpened]],TODAY()))-1,ABS(NETWORKDAYS(Proc[[#This Row],[DateOpened]],Proc[[#This Row],[DateClosed]]))-1)</f>
        <v>0</v>
      </c>
      <c r="R2303" s="106" t="s">
        <v>411</v>
      </c>
      <c r="S2303" s="96"/>
    </row>
    <row r="2304" spans="1:19">
      <c r="A2304" t="s">
        <v>4700</v>
      </c>
      <c r="B2304" s="96" t="str">
        <f>IFERROR(VLOOKUP(Proc[[#This Row],[App]],Table2[],3,0),"open")</f>
        <v>open</v>
      </c>
      <c r="C2304" t="s">
        <v>370</v>
      </c>
      <c r="D2304" t="s">
        <v>4701</v>
      </c>
      <c r="E2304" t="s">
        <v>2773</v>
      </c>
      <c r="F2304" s="96"/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0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2841</v>
      </c>
      <c r="M2304" s="107">
        <v>45825.147986111115</v>
      </c>
      <c r="N2304" s="107"/>
      <c r="O2304" s="107"/>
      <c r="P2304" s="108" t="str">
        <f ca="1">IF(Proc[[#This Row],[DaysAgeing]]&gt;5,"yep","on track")</f>
        <v>on track</v>
      </c>
      <c r="Q2304" s="3">
        <f ca="1">IF(Proc[[#This Row],[DateClosed]]="",ABS(NETWORKDAYS(Proc[[#This Row],[DateOpened]],TODAY()))-1,ABS(NETWORKDAYS(Proc[[#This Row],[DateOpened]],Proc[[#This Row],[DateClosed]]))-1)</f>
        <v>0</v>
      </c>
      <c r="R2304" s="108" t="s">
        <v>983</v>
      </c>
      <c r="S2304" s="96"/>
    </row>
    <row r="2305" spans="1:19">
      <c r="A2305" t="s">
        <v>4711</v>
      </c>
      <c r="B2305" s="96" t="str">
        <f>IFERROR(VLOOKUP(Proc[[#This Row],[App]],Table2[],3,0),"open")</f>
        <v>open</v>
      </c>
      <c r="C2305" s="105" t="s">
        <v>370</v>
      </c>
      <c r="D2305" t="s">
        <v>4702</v>
      </c>
      <c r="E2305" t="s">
        <v>498</v>
      </c>
      <c r="F2305" s="96" t="s">
        <v>4707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0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2841</v>
      </c>
      <c r="M2305" s="107">
        <v>45825.378379629627</v>
      </c>
      <c r="N2305" s="107"/>
      <c r="O2305" s="107"/>
      <c r="P2305" s="108" t="str">
        <f ca="1">IF(Proc[[#This Row],[DaysAgeing]]&gt;5,"yep","on track")</f>
        <v>on track</v>
      </c>
      <c r="Q2305" s="3">
        <f ca="1">IF(Proc[[#This Row],[DateClosed]]="",ABS(NETWORKDAYS(Proc[[#This Row],[DateOpened]],TODAY()))-1,ABS(NETWORKDAYS(Proc[[#This Row],[DateOpened]],Proc[[#This Row],[DateClosed]]))-1)</f>
        <v>0</v>
      </c>
      <c r="R2305" s="108" t="s">
        <v>1003</v>
      </c>
      <c r="S2305" s="96"/>
    </row>
    <row r="2306" spans="1:19">
      <c r="A2306" s="105" t="s">
        <v>4711</v>
      </c>
      <c r="B2306" s="96" t="str">
        <f>IFERROR(VLOOKUP(Proc[[#This Row],[App]],Table2[],3,0),"open")</f>
        <v>open</v>
      </c>
      <c r="C2306" s="105" t="s">
        <v>370</v>
      </c>
      <c r="D2306" t="s">
        <v>4703</v>
      </c>
      <c r="E2306" t="s">
        <v>1944</v>
      </c>
      <c r="F2306" s="96" t="s">
        <v>3763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0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2841</v>
      </c>
      <c r="M2306" s="107">
        <v>45825.378379629627</v>
      </c>
      <c r="N2306" s="107"/>
      <c r="O2306" s="107"/>
      <c r="P2306" s="108" t="str">
        <f ca="1">IF(Proc[[#This Row],[DaysAgeing]]&gt;5,"yep","on track")</f>
        <v>on track</v>
      </c>
      <c r="Q2306" s="3">
        <f ca="1">IF(Proc[[#This Row],[DateClosed]]="",ABS(NETWORKDAYS(Proc[[#This Row],[DateOpened]],TODAY()))-1,ABS(NETWORKDAYS(Proc[[#This Row],[DateOpened]],Proc[[#This Row],[DateClosed]]))-1)</f>
        <v>0</v>
      </c>
      <c r="R2306" s="108" t="s">
        <v>1003</v>
      </c>
      <c r="S2306" s="96"/>
    </row>
    <row r="2307" spans="1:19">
      <c r="A2307" s="105" t="s">
        <v>4711</v>
      </c>
      <c r="B2307" s="96" t="str">
        <f>IFERROR(VLOOKUP(Proc[[#This Row],[App]],Table2[],3,0),"open")</f>
        <v>open</v>
      </c>
      <c r="C2307" s="105" t="s">
        <v>370</v>
      </c>
      <c r="D2307" t="s">
        <v>4704</v>
      </c>
      <c r="E2307" t="s">
        <v>498</v>
      </c>
      <c r="F2307" s="96" t="s">
        <v>4708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0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2841</v>
      </c>
      <c r="M2307" s="107">
        <v>45825.378379629627</v>
      </c>
      <c r="N2307" s="107"/>
      <c r="O2307" s="107"/>
      <c r="P2307" s="108" t="str">
        <f ca="1">IF(Proc[[#This Row],[DaysAgeing]]&gt;5,"yep","on track")</f>
        <v>on track</v>
      </c>
      <c r="Q2307" s="3">
        <f ca="1">IF(Proc[[#This Row],[DateClosed]]="",ABS(NETWORKDAYS(Proc[[#This Row],[DateOpened]],TODAY()))-1,ABS(NETWORKDAYS(Proc[[#This Row],[DateOpened]],Proc[[#This Row],[DateClosed]]))-1)</f>
        <v>0</v>
      </c>
      <c r="R2307" s="108" t="s">
        <v>1003</v>
      </c>
      <c r="S2307" s="96"/>
    </row>
    <row r="2308" spans="1:19">
      <c r="A2308" s="105" t="s">
        <v>4711</v>
      </c>
      <c r="B2308" s="96" t="str">
        <f>IFERROR(VLOOKUP(Proc[[#This Row],[App]],Table2[],3,0),"open")</f>
        <v>open</v>
      </c>
      <c r="C2308" s="105" t="s">
        <v>370</v>
      </c>
      <c r="D2308" t="s">
        <v>4705</v>
      </c>
      <c r="E2308" t="s">
        <v>1944</v>
      </c>
      <c r="F2308" s="96" t="s">
        <v>4709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0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2841</v>
      </c>
      <c r="M2308" s="107">
        <v>45825.378379629627</v>
      </c>
      <c r="N2308" s="107"/>
      <c r="O2308" s="107"/>
      <c r="P2308" s="108" t="str">
        <f ca="1">IF(Proc[[#This Row],[DaysAgeing]]&gt;5,"yep","on track")</f>
        <v>on track</v>
      </c>
      <c r="Q2308" s="3">
        <f ca="1">IF(Proc[[#This Row],[DateClosed]]="",ABS(NETWORKDAYS(Proc[[#This Row],[DateOpened]],TODAY()))-1,ABS(NETWORKDAYS(Proc[[#This Row],[DateOpened]],Proc[[#This Row],[DateClosed]]))-1)</f>
        <v>0</v>
      </c>
      <c r="R2308" s="108" t="s">
        <v>1003</v>
      </c>
      <c r="S2308" s="96"/>
    </row>
    <row r="2309" spans="1:19">
      <c r="A2309" s="105" t="s">
        <v>4711</v>
      </c>
      <c r="B2309" s="96" t="str">
        <f>IFERROR(VLOOKUP(Proc[[#This Row],[App]],Table2[],3,0),"open")</f>
        <v>open</v>
      </c>
      <c r="C2309" s="105" t="s">
        <v>370</v>
      </c>
      <c r="D2309" t="s">
        <v>4706</v>
      </c>
      <c r="E2309" t="s">
        <v>450</v>
      </c>
      <c r="F2309" s="96" t="s">
        <v>4710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0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2841</v>
      </c>
      <c r="M2309" s="107">
        <v>45825.378379629627</v>
      </c>
      <c r="N2309" s="107"/>
      <c r="O2309" s="107"/>
      <c r="P2309" s="108" t="str">
        <f ca="1">IF(Proc[[#This Row],[DaysAgeing]]&gt;5,"yep","on track")</f>
        <v>on track</v>
      </c>
      <c r="Q2309" s="3">
        <f ca="1">IF(Proc[[#This Row],[DateClosed]]="",ABS(NETWORKDAYS(Proc[[#This Row],[DateOpened]],TODAY()))-1,ABS(NETWORKDAYS(Proc[[#This Row],[DateOpened]],Proc[[#This Row],[DateClosed]]))-1)</f>
        <v>0</v>
      </c>
      <c r="R2309" s="108" t="s">
        <v>1003</v>
      </c>
      <c r="S2309" s="96"/>
    </row>
    <row r="2310" spans="1:19">
      <c r="A2310" t="s">
        <v>4712</v>
      </c>
      <c r="B2310" s="96" t="str">
        <f>IFERROR(VLOOKUP(Proc[[#This Row],[App]],Table2[],3,0),"open")</f>
        <v>open</v>
      </c>
      <c r="C2310" s="105" t="s">
        <v>370</v>
      </c>
      <c r="D2310" t="s">
        <v>4713</v>
      </c>
      <c r="E2310" t="s">
        <v>4771</v>
      </c>
      <c r="F2310" s="96" t="s">
        <v>4769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0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2841</v>
      </c>
      <c r="M2310" s="107">
        <v>45825.476678240739</v>
      </c>
      <c r="N2310" s="107"/>
      <c r="O2310" s="107"/>
      <c r="P2310" s="108" t="str">
        <f ca="1">IF(Proc[[#This Row],[DaysAgeing]]&gt;5,"yep","on track")</f>
        <v>on track</v>
      </c>
      <c r="Q2310" s="3">
        <f ca="1">IF(Proc[[#This Row],[DateClosed]]="",ABS(NETWORKDAYS(Proc[[#This Row],[DateOpened]],TODAY()))-1,ABS(NETWORKDAYS(Proc[[#This Row],[DateOpened]],Proc[[#This Row],[DateClosed]]))-1)</f>
        <v>0</v>
      </c>
      <c r="R2310" s="108" t="s">
        <v>808</v>
      </c>
      <c r="S2310" s="96"/>
    </row>
    <row r="2311" spans="1:19">
      <c r="A2311" s="105" t="s">
        <v>4712</v>
      </c>
      <c r="B2311" s="96" t="str">
        <f>IFERROR(VLOOKUP(Proc[[#This Row],[App]],Table2[],3,0),"open")</f>
        <v>open</v>
      </c>
      <c r="C2311" s="105" t="s">
        <v>370</v>
      </c>
      <c r="D2311" t="s">
        <v>4714</v>
      </c>
      <c r="E2311" t="s">
        <v>4771</v>
      </c>
      <c r="F2311" s="96" t="s">
        <v>4769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0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2841</v>
      </c>
      <c r="M2311" s="107">
        <v>45825.476678240739</v>
      </c>
      <c r="N2311" s="107"/>
      <c r="O2311" s="107"/>
      <c r="P2311" s="108" t="str">
        <f ca="1">IF(Proc[[#This Row],[DaysAgeing]]&gt;5,"yep","on track")</f>
        <v>on track</v>
      </c>
      <c r="Q2311" s="3">
        <f ca="1">IF(Proc[[#This Row],[DateClosed]]="",ABS(NETWORKDAYS(Proc[[#This Row],[DateOpened]],TODAY()))-1,ABS(NETWORKDAYS(Proc[[#This Row],[DateOpened]],Proc[[#This Row],[DateClosed]]))-1)</f>
        <v>0</v>
      </c>
      <c r="R2311" s="108" t="s">
        <v>808</v>
      </c>
      <c r="S2311" s="96"/>
    </row>
    <row r="2312" spans="1:19">
      <c r="A2312" s="105" t="s">
        <v>4712</v>
      </c>
      <c r="B2312" s="96" t="str">
        <f>IFERROR(VLOOKUP(Proc[[#This Row],[App]],Table2[],3,0),"open")</f>
        <v>open</v>
      </c>
      <c r="C2312" s="105" t="s">
        <v>370</v>
      </c>
      <c r="D2312" t="s">
        <v>4715</v>
      </c>
      <c r="E2312" t="s">
        <v>4771</v>
      </c>
      <c r="F2312" s="96" t="s">
        <v>4769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0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2841</v>
      </c>
      <c r="M2312" s="107">
        <v>45825.476678240739</v>
      </c>
      <c r="N2312" s="107"/>
      <c r="O2312" s="107"/>
      <c r="P2312" s="108" t="str">
        <f ca="1">IF(Proc[[#This Row],[DaysAgeing]]&gt;5,"yep","on track")</f>
        <v>on track</v>
      </c>
      <c r="Q2312" s="3">
        <f ca="1">IF(Proc[[#This Row],[DateClosed]]="",ABS(NETWORKDAYS(Proc[[#This Row],[DateOpened]],TODAY()))-1,ABS(NETWORKDAYS(Proc[[#This Row],[DateOpened]],Proc[[#This Row],[DateClosed]]))-1)</f>
        <v>0</v>
      </c>
      <c r="R2312" s="108" t="s">
        <v>808</v>
      </c>
      <c r="S2312" s="96"/>
    </row>
    <row r="2313" spans="1:19">
      <c r="A2313" s="105" t="s">
        <v>4712</v>
      </c>
      <c r="B2313" s="96" t="str">
        <f>IFERROR(VLOOKUP(Proc[[#This Row],[App]],Table2[],3,0),"open")</f>
        <v>open</v>
      </c>
      <c r="C2313" s="105" t="s">
        <v>370</v>
      </c>
      <c r="D2313" t="s">
        <v>4716</v>
      </c>
      <c r="E2313" t="s">
        <v>4771</v>
      </c>
      <c r="F2313" s="96" t="s">
        <v>4769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0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2841</v>
      </c>
      <c r="M2313" s="107">
        <v>45825.476678240739</v>
      </c>
      <c r="N2313" s="107"/>
      <c r="O2313" s="107"/>
      <c r="P2313" s="108" t="str">
        <f ca="1">IF(Proc[[#This Row],[DaysAgeing]]&gt;5,"yep","on track")</f>
        <v>on track</v>
      </c>
      <c r="Q2313" s="3">
        <f ca="1">IF(Proc[[#This Row],[DateClosed]]="",ABS(NETWORKDAYS(Proc[[#This Row],[DateOpened]],TODAY()))-1,ABS(NETWORKDAYS(Proc[[#This Row],[DateOpened]],Proc[[#This Row],[DateClosed]]))-1)</f>
        <v>0</v>
      </c>
      <c r="R2313" s="108" t="s">
        <v>808</v>
      </c>
      <c r="S2313" s="96"/>
    </row>
    <row r="2314" spans="1:19">
      <c r="A2314" s="105" t="s">
        <v>4712</v>
      </c>
      <c r="B2314" s="96" t="str">
        <f>IFERROR(VLOOKUP(Proc[[#This Row],[App]],Table2[],3,0),"open")</f>
        <v>open</v>
      </c>
      <c r="C2314" s="105" t="s">
        <v>370</v>
      </c>
      <c r="D2314" t="s">
        <v>4717</v>
      </c>
      <c r="E2314" t="s">
        <v>4771</v>
      </c>
      <c r="F2314" s="96" t="s">
        <v>4769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0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2841</v>
      </c>
      <c r="M2314" s="107">
        <v>45825.476678240739</v>
      </c>
      <c r="N2314" s="107"/>
      <c r="O2314" s="107"/>
      <c r="P2314" s="108" t="str">
        <f ca="1">IF(Proc[[#This Row],[DaysAgeing]]&gt;5,"yep","on track")</f>
        <v>on track</v>
      </c>
      <c r="Q2314" s="3">
        <f ca="1">IF(Proc[[#This Row],[DateClosed]]="",ABS(NETWORKDAYS(Proc[[#This Row],[DateOpened]],TODAY()))-1,ABS(NETWORKDAYS(Proc[[#This Row],[DateOpened]],Proc[[#This Row],[DateClosed]]))-1)</f>
        <v>0</v>
      </c>
      <c r="R2314" s="108" t="s">
        <v>808</v>
      </c>
      <c r="S2314" s="96"/>
    </row>
    <row r="2315" spans="1:19">
      <c r="A2315" s="105" t="s">
        <v>4712</v>
      </c>
      <c r="B2315" s="96" t="str">
        <f>IFERROR(VLOOKUP(Proc[[#This Row],[App]],Table2[],3,0),"open")</f>
        <v>open</v>
      </c>
      <c r="C2315" s="105" t="s">
        <v>370</v>
      </c>
      <c r="D2315" t="s">
        <v>4718</v>
      </c>
      <c r="E2315" t="s">
        <v>4771</v>
      </c>
      <c r="F2315" s="96" t="s">
        <v>4769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0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2841</v>
      </c>
      <c r="M2315" s="107">
        <v>45825.476678240739</v>
      </c>
      <c r="N2315" s="107"/>
      <c r="O2315" s="107"/>
      <c r="P2315" s="108" t="str">
        <f ca="1">IF(Proc[[#This Row],[DaysAgeing]]&gt;5,"yep","on track")</f>
        <v>on track</v>
      </c>
      <c r="Q2315" s="3">
        <f ca="1">IF(Proc[[#This Row],[DateClosed]]="",ABS(NETWORKDAYS(Proc[[#This Row],[DateOpened]],TODAY()))-1,ABS(NETWORKDAYS(Proc[[#This Row],[DateOpened]],Proc[[#This Row],[DateClosed]]))-1)</f>
        <v>0</v>
      </c>
      <c r="R2315" s="108" t="s">
        <v>808</v>
      </c>
      <c r="S2315" s="96"/>
    </row>
    <row r="2316" spans="1:19">
      <c r="A2316" s="105" t="s">
        <v>4712</v>
      </c>
      <c r="B2316" s="96" t="str">
        <f>IFERROR(VLOOKUP(Proc[[#This Row],[App]],Table2[],3,0),"open")</f>
        <v>open</v>
      </c>
      <c r="C2316" s="105" t="s">
        <v>370</v>
      </c>
      <c r="D2316" t="s">
        <v>4719</v>
      </c>
      <c r="E2316" t="s">
        <v>4771</v>
      </c>
      <c r="F2316" s="96" t="s">
        <v>4769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0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2841</v>
      </c>
      <c r="M2316" s="107">
        <v>45825.476678240739</v>
      </c>
      <c r="N2316" s="107"/>
      <c r="O2316" s="107"/>
      <c r="P2316" s="108" t="str">
        <f ca="1">IF(Proc[[#This Row],[DaysAgeing]]&gt;5,"yep","on track")</f>
        <v>on track</v>
      </c>
      <c r="Q2316" s="3">
        <f ca="1">IF(Proc[[#This Row],[DateClosed]]="",ABS(NETWORKDAYS(Proc[[#This Row],[DateOpened]],TODAY()))-1,ABS(NETWORKDAYS(Proc[[#This Row],[DateOpened]],Proc[[#This Row],[DateClosed]]))-1)</f>
        <v>0</v>
      </c>
      <c r="R2316" s="108" t="s">
        <v>808</v>
      </c>
      <c r="S2316" s="96"/>
    </row>
    <row r="2317" spans="1:19">
      <c r="A2317" s="105" t="s">
        <v>4712</v>
      </c>
      <c r="B2317" s="96" t="str">
        <f>IFERROR(VLOOKUP(Proc[[#This Row],[App]],Table2[],3,0),"open")</f>
        <v>open</v>
      </c>
      <c r="C2317" s="105" t="s">
        <v>370</v>
      </c>
      <c r="D2317" t="s">
        <v>4720</v>
      </c>
      <c r="E2317" t="s">
        <v>4772</v>
      </c>
      <c r="F2317" s="96" t="s">
        <v>4770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0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2841</v>
      </c>
      <c r="M2317" s="107">
        <v>45825.476678240739</v>
      </c>
      <c r="N2317" s="107"/>
      <c r="O2317" s="107"/>
      <c r="P2317" s="108" t="str">
        <f ca="1">IF(Proc[[#This Row],[DaysAgeing]]&gt;5,"yep","on track")</f>
        <v>on track</v>
      </c>
      <c r="Q2317" s="3">
        <f ca="1">IF(Proc[[#This Row],[DateClosed]]="",ABS(NETWORKDAYS(Proc[[#This Row],[DateOpened]],TODAY()))-1,ABS(NETWORKDAYS(Proc[[#This Row],[DateOpened]],Proc[[#This Row],[DateClosed]]))-1)</f>
        <v>0</v>
      </c>
      <c r="R2317" s="108" t="s">
        <v>808</v>
      </c>
      <c r="S2317" s="96"/>
    </row>
    <row r="2318" spans="1:19">
      <c r="A2318" s="105" t="s">
        <v>4712</v>
      </c>
      <c r="B2318" s="96" t="str">
        <f>IFERROR(VLOOKUP(Proc[[#This Row],[App]],Table2[],3,0),"open")</f>
        <v>open</v>
      </c>
      <c r="C2318" s="105" t="s">
        <v>370</v>
      </c>
      <c r="D2318" t="s">
        <v>4721</v>
      </c>
      <c r="E2318" t="s">
        <v>4772</v>
      </c>
      <c r="F2318" s="96" t="s">
        <v>4770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0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2841</v>
      </c>
      <c r="M2318" s="107">
        <v>45825.476678240739</v>
      </c>
      <c r="N2318" s="107"/>
      <c r="O2318" s="107"/>
      <c r="P2318" s="108" t="str">
        <f ca="1">IF(Proc[[#This Row],[DaysAgeing]]&gt;5,"yep","on track")</f>
        <v>on track</v>
      </c>
      <c r="Q2318" s="3">
        <f ca="1">IF(Proc[[#This Row],[DateClosed]]="",ABS(NETWORKDAYS(Proc[[#This Row],[DateOpened]],TODAY()))-1,ABS(NETWORKDAYS(Proc[[#This Row],[DateOpened]],Proc[[#This Row],[DateClosed]]))-1)</f>
        <v>0</v>
      </c>
      <c r="R2318" s="108" t="s">
        <v>808</v>
      </c>
      <c r="S2318" s="96"/>
    </row>
    <row r="2319" spans="1:19">
      <c r="A2319" s="105" t="s">
        <v>4712</v>
      </c>
      <c r="B2319" s="96" t="str">
        <f>IFERROR(VLOOKUP(Proc[[#This Row],[App]],Table2[],3,0),"open")</f>
        <v>open</v>
      </c>
      <c r="C2319" s="105" t="s">
        <v>370</v>
      </c>
      <c r="D2319" t="s">
        <v>4722</v>
      </c>
      <c r="E2319" t="s">
        <v>4772</v>
      </c>
      <c r="F2319" s="96" t="s">
        <v>4770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0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2841</v>
      </c>
      <c r="M2319" s="107">
        <v>45825.476678240739</v>
      </c>
      <c r="N2319" s="107"/>
      <c r="O2319" s="107"/>
      <c r="P2319" s="108" t="str">
        <f ca="1">IF(Proc[[#This Row],[DaysAgeing]]&gt;5,"yep","on track")</f>
        <v>on track</v>
      </c>
      <c r="Q2319" s="3">
        <f ca="1">IF(Proc[[#This Row],[DateClosed]]="",ABS(NETWORKDAYS(Proc[[#This Row],[DateOpened]],TODAY()))-1,ABS(NETWORKDAYS(Proc[[#This Row],[DateOpened]],Proc[[#This Row],[DateClosed]]))-1)</f>
        <v>0</v>
      </c>
      <c r="R2319" s="108" t="s">
        <v>808</v>
      </c>
      <c r="S2319" s="96"/>
    </row>
    <row r="2320" spans="1:19">
      <c r="A2320" s="105" t="s">
        <v>4712</v>
      </c>
      <c r="B2320" s="96" t="str">
        <f>IFERROR(VLOOKUP(Proc[[#This Row],[App]],Table2[],3,0),"open")</f>
        <v>open</v>
      </c>
      <c r="C2320" s="105" t="s">
        <v>370</v>
      </c>
      <c r="D2320" t="s">
        <v>4723</v>
      </c>
      <c r="E2320" t="s">
        <v>4772</v>
      </c>
      <c r="F2320" s="96" t="s">
        <v>4770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0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2841</v>
      </c>
      <c r="M2320" s="107">
        <v>45825.476678240739</v>
      </c>
      <c r="N2320" s="107"/>
      <c r="O2320" s="107"/>
      <c r="P2320" s="108" t="str">
        <f ca="1">IF(Proc[[#This Row],[DaysAgeing]]&gt;5,"yep","on track")</f>
        <v>on track</v>
      </c>
      <c r="Q2320" s="3">
        <f ca="1">IF(Proc[[#This Row],[DateClosed]]="",ABS(NETWORKDAYS(Proc[[#This Row],[DateOpened]],TODAY()))-1,ABS(NETWORKDAYS(Proc[[#This Row],[DateOpened]],Proc[[#This Row],[DateClosed]]))-1)</f>
        <v>0</v>
      </c>
      <c r="R2320" s="108" t="s">
        <v>808</v>
      </c>
      <c r="S2320" s="96"/>
    </row>
    <row r="2321" spans="1:19">
      <c r="A2321" s="105" t="s">
        <v>4712</v>
      </c>
      <c r="B2321" s="96" t="str">
        <f>IFERROR(VLOOKUP(Proc[[#This Row],[App]],Table2[],3,0),"open")</f>
        <v>open</v>
      </c>
      <c r="C2321" s="105" t="s">
        <v>370</v>
      </c>
      <c r="D2321" t="s">
        <v>4724</v>
      </c>
      <c r="E2321" t="s">
        <v>4772</v>
      </c>
      <c r="F2321" s="96" t="s">
        <v>4770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0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2841</v>
      </c>
      <c r="M2321" s="107">
        <v>45825.476678240739</v>
      </c>
      <c r="N2321" s="107"/>
      <c r="O2321" s="107"/>
      <c r="P2321" s="108" t="str">
        <f ca="1">IF(Proc[[#This Row],[DaysAgeing]]&gt;5,"yep","on track")</f>
        <v>on track</v>
      </c>
      <c r="Q2321" s="3">
        <f ca="1">IF(Proc[[#This Row],[DateClosed]]="",ABS(NETWORKDAYS(Proc[[#This Row],[DateOpened]],TODAY()))-1,ABS(NETWORKDAYS(Proc[[#This Row],[DateOpened]],Proc[[#This Row],[DateClosed]]))-1)</f>
        <v>0</v>
      </c>
      <c r="R2321" s="108" t="s">
        <v>808</v>
      </c>
      <c r="S2321" s="96"/>
    </row>
    <row r="2322" spans="1:19">
      <c r="A2322" s="105" t="s">
        <v>4712</v>
      </c>
      <c r="B2322" s="96" t="str">
        <f>IFERROR(VLOOKUP(Proc[[#This Row],[App]],Table2[],3,0),"open")</f>
        <v>open</v>
      </c>
      <c r="C2322" s="105" t="s">
        <v>370</v>
      </c>
      <c r="D2322" t="s">
        <v>4725</v>
      </c>
      <c r="E2322" t="s">
        <v>4772</v>
      </c>
      <c r="F2322" s="96" t="s">
        <v>4770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0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2841</v>
      </c>
      <c r="M2322" s="107">
        <v>45825.476678240739</v>
      </c>
      <c r="N2322" s="107"/>
      <c r="O2322" s="107"/>
      <c r="P2322" s="108" t="str">
        <f ca="1">IF(Proc[[#This Row],[DaysAgeing]]&gt;5,"yep","on track")</f>
        <v>on track</v>
      </c>
      <c r="Q2322" s="3">
        <f ca="1">IF(Proc[[#This Row],[DateClosed]]="",ABS(NETWORKDAYS(Proc[[#This Row],[DateOpened]],TODAY()))-1,ABS(NETWORKDAYS(Proc[[#This Row],[DateOpened]],Proc[[#This Row],[DateClosed]]))-1)</f>
        <v>0</v>
      </c>
      <c r="R2322" s="108" t="s">
        <v>808</v>
      </c>
      <c r="S2322" s="96"/>
    </row>
    <row r="2323" spans="1:19">
      <c r="A2323" s="105" t="s">
        <v>4712</v>
      </c>
      <c r="B2323" s="96" t="str">
        <f>IFERROR(VLOOKUP(Proc[[#This Row],[App]],Table2[],3,0),"open")</f>
        <v>open</v>
      </c>
      <c r="C2323" s="105" t="s">
        <v>370</v>
      </c>
      <c r="D2323" t="s">
        <v>4726</v>
      </c>
      <c r="E2323" t="s">
        <v>4772</v>
      </c>
      <c r="F2323" s="96" t="s">
        <v>4770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0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2841</v>
      </c>
      <c r="M2323" s="107">
        <v>45825.476678240739</v>
      </c>
      <c r="N2323" s="107"/>
      <c r="O2323" s="107"/>
      <c r="P2323" s="108" t="str">
        <f ca="1">IF(Proc[[#This Row],[DaysAgeing]]&gt;5,"yep","on track")</f>
        <v>on track</v>
      </c>
      <c r="Q2323" s="3">
        <f ca="1">IF(Proc[[#This Row],[DateClosed]]="",ABS(NETWORKDAYS(Proc[[#This Row],[DateOpened]],TODAY()))-1,ABS(NETWORKDAYS(Proc[[#This Row],[DateOpened]],Proc[[#This Row],[DateClosed]]))-1)</f>
        <v>0</v>
      </c>
      <c r="R2323" s="108" t="s">
        <v>808</v>
      </c>
      <c r="S2323" s="96"/>
    </row>
    <row r="2324" spans="1:19">
      <c r="A2324" s="105" t="s">
        <v>4712</v>
      </c>
      <c r="B2324" s="96" t="str">
        <f>IFERROR(VLOOKUP(Proc[[#This Row],[App]],Table2[],3,0),"open")</f>
        <v>open</v>
      </c>
      <c r="C2324" s="105" t="s">
        <v>370</v>
      </c>
      <c r="D2324" t="s">
        <v>4727</v>
      </c>
      <c r="E2324" t="s">
        <v>4772</v>
      </c>
      <c r="F2324" s="96" t="s">
        <v>4770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0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2841</v>
      </c>
      <c r="M2324" s="107">
        <v>45825.476678240739</v>
      </c>
      <c r="N2324" s="107"/>
      <c r="O2324" s="107"/>
      <c r="P2324" s="108" t="str">
        <f ca="1">IF(Proc[[#This Row],[DaysAgeing]]&gt;5,"yep","on track")</f>
        <v>on track</v>
      </c>
      <c r="Q2324" s="3">
        <f ca="1">IF(Proc[[#This Row],[DateClosed]]="",ABS(NETWORKDAYS(Proc[[#This Row],[DateOpened]],TODAY()))-1,ABS(NETWORKDAYS(Proc[[#This Row],[DateOpened]],Proc[[#This Row],[DateClosed]]))-1)</f>
        <v>0</v>
      </c>
      <c r="R2324" s="108" t="s">
        <v>808</v>
      </c>
      <c r="S2324" s="96"/>
    </row>
    <row r="2325" spans="1:19">
      <c r="A2325" s="105" t="s">
        <v>4712</v>
      </c>
      <c r="B2325" s="96" t="str">
        <f>IFERROR(VLOOKUP(Proc[[#This Row],[App]],Table2[],3,0),"open")</f>
        <v>open</v>
      </c>
      <c r="C2325" s="105" t="s">
        <v>370</v>
      </c>
      <c r="D2325" t="s">
        <v>4728</v>
      </c>
      <c r="E2325" t="s">
        <v>4772</v>
      </c>
      <c r="F2325" s="96" t="s">
        <v>4770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0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2841</v>
      </c>
      <c r="M2325" s="107">
        <v>45825.476678240739</v>
      </c>
      <c r="N2325" s="107"/>
      <c r="O2325" s="107"/>
      <c r="P2325" s="108" t="str">
        <f ca="1">IF(Proc[[#This Row],[DaysAgeing]]&gt;5,"yep","on track")</f>
        <v>on track</v>
      </c>
      <c r="Q2325" s="3">
        <f ca="1">IF(Proc[[#This Row],[DateClosed]]="",ABS(NETWORKDAYS(Proc[[#This Row],[DateOpened]],TODAY()))-1,ABS(NETWORKDAYS(Proc[[#This Row],[DateOpened]],Proc[[#This Row],[DateClosed]]))-1)</f>
        <v>0</v>
      </c>
      <c r="R2325" s="108" t="s">
        <v>808</v>
      </c>
      <c r="S2325" s="96"/>
    </row>
    <row r="2326" spans="1:19">
      <c r="A2326" s="105" t="s">
        <v>4712</v>
      </c>
      <c r="B2326" s="96" t="str">
        <f>IFERROR(VLOOKUP(Proc[[#This Row],[App]],Table2[],3,0),"open")</f>
        <v>open</v>
      </c>
      <c r="C2326" s="105" t="s">
        <v>370</v>
      </c>
      <c r="D2326" t="s">
        <v>4729</v>
      </c>
      <c r="E2326" t="s">
        <v>4772</v>
      </c>
      <c r="F2326" s="96" t="s">
        <v>4770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0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2841</v>
      </c>
      <c r="M2326" s="107">
        <v>45825.476678240739</v>
      </c>
      <c r="N2326" s="107"/>
      <c r="O2326" s="107"/>
      <c r="P2326" s="108" t="str">
        <f ca="1">IF(Proc[[#This Row],[DaysAgeing]]&gt;5,"yep","on track")</f>
        <v>on track</v>
      </c>
      <c r="Q2326" s="3">
        <f ca="1">IF(Proc[[#This Row],[DateClosed]]="",ABS(NETWORKDAYS(Proc[[#This Row],[DateOpened]],TODAY()))-1,ABS(NETWORKDAYS(Proc[[#This Row],[DateOpened]],Proc[[#This Row],[DateClosed]]))-1)</f>
        <v>0</v>
      </c>
      <c r="R2326" s="108" t="s">
        <v>808</v>
      </c>
      <c r="S2326" s="96"/>
    </row>
    <row r="2327" spans="1:19">
      <c r="A2327" s="105" t="s">
        <v>4712</v>
      </c>
      <c r="B2327" s="96" t="str">
        <f>IFERROR(VLOOKUP(Proc[[#This Row],[App]],Table2[],3,0),"open")</f>
        <v>open</v>
      </c>
      <c r="C2327" s="105" t="s">
        <v>370</v>
      </c>
      <c r="D2327" t="s">
        <v>4730</v>
      </c>
      <c r="E2327" t="s">
        <v>4772</v>
      </c>
      <c r="F2327" s="96" t="s">
        <v>4770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0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2841</v>
      </c>
      <c r="M2327" s="107">
        <v>45825.476678240739</v>
      </c>
      <c r="N2327" s="107"/>
      <c r="O2327" s="107"/>
      <c r="P2327" s="108" t="str">
        <f ca="1">IF(Proc[[#This Row],[DaysAgeing]]&gt;5,"yep","on track")</f>
        <v>on track</v>
      </c>
      <c r="Q2327" s="3">
        <f ca="1">IF(Proc[[#This Row],[DateClosed]]="",ABS(NETWORKDAYS(Proc[[#This Row],[DateOpened]],TODAY()))-1,ABS(NETWORKDAYS(Proc[[#This Row],[DateOpened]],Proc[[#This Row],[DateClosed]]))-1)</f>
        <v>0</v>
      </c>
      <c r="R2327" s="108" t="s">
        <v>808</v>
      </c>
      <c r="S2327" s="96"/>
    </row>
    <row r="2328" spans="1:19">
      <c r="A2328" s="105" t="s">
        <v>4712</v>
      </c>
      <c r="B2328" s="96" t="str">
        <f>IFERROR(VLOOKUP(Proc[[#This Row],[App]],Table2[],3,0),"open")</f>
        <v>open</v>
      </c>
      <c r="C2328" s="105" t="s">
        <v>370</v>
      </c>
      <c r="D2328" t="s">
        <v>4731</v>
      </c>
      <c r="E2328" t="s">
        <v>4772</v>
      </c>
      <c r="F2328" s="96" t="s">
        <v>4770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0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2841</v>
      </c>
      <c r="M2328" s="107">
        <v>45825.476678240739</v>
      </c>
      <c r="N2328" s="107"/>
      <c r="O2328" s="107"/>
      <c r="P2328" s="108" t="str">
        <f ca="1">IF(Proc[[#This Row],[DaysAgeing]]&gt;5,"yep","on track")</f>
        <v>on track</v>
      </c>
      <c r="Q2328" s="3">
        <f ca="1">IF(Proc[[#This Row],[DateClosed]]="",ABS(NETWORKDAYS(Proc[[#This Row],[DateOpened]],TODAY()))-1,ABS(NETWORKDAYS(Proc[[#This Row],[DateOpened]],Proc[[#This Row],[DateClosed]]))-1)</f>
        <v>0</v>
      </c>
      <c r="R2328" s="108" t="s">
        <v>808</v>
      </c>
      <c r="S2328" s="96"/>
    </row>
    <row r="2329" spans="1:19">
      <c r="A2329" s="105" t="s">
        <v>4712</v>
      </c>
      <c r="B2329" s="96" t="str">
        <f>IFERROR(VLOOKUP(Proc[[#This Row],[App]],Table2[],3,0),"open")</f>
        <v>open</v>
      </c>
      <c r="C2329" s="105" t="s">
        <v>370</v>
      </c>
      <c r="D2329" t="s">
        <v>4732</v>
      </c>
      <c r="E2329" t="s">
        <v>4772</v>
      </c>
      <c r="F2329" s="96" t="s">
        <v>4770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0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2841</v>
      </c>
      <c r="M2329" s="107">
        <v>45825.476678240739</v>
      </c>
      <c r="N2329" s="107"/>
      <c r="O2329" s="107"/>
      <c r="P2329" s="108" t="str">
        <f ca="1">IF(Proc[[#This Row],[DaysAgeing]]&gt;5,"yep","on track")</f>
        <v>on track</v>
      </c>
      <c r="Q2329" s="3">
        <f ca="1">IF(Proc[[#This Row],[DateClosed]]="",ABS(NETWORKDAYS(Proc[[#This Row],[DateOpened]],TODAY()))-1,ABS(NETWORKDAYS(Proc[[#This Row],[DateOpened]],Proc[[#This Row],[DateClosed]]))-1)</f>
        <v>0</v>
      </c>
      <c r="R2329" s="108" t="s">
        <v>808</v>
      </c>
      <c r="S2329" s="96"/>
    </row>
    <row r="2330" spans="1:19">
      <c r="A2330" s="105" t="s">
        <v>4712</v>
      </c>
      <c r="B2330" s="96" t="str">
        <f>IFERROR(VLOOKUP(Proc[[#This Row],[App]],Table2[],3,0),"open")</f>
        <v>open</v>
      </c>
      <c r="C2330" s="105" t="s">
        <v>370</v>
      </c>
      <c r="D2330" t="s">
        <v>4733</v>
      </c>
      <c r="E2330" t="s">
        <v>4772</v>
      </c>
      <c r="F2330" s="96" t="s">
        <v>4770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0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2841</v>
      </c>
      <c r="M2330" s="107">
        <v>45825.476678240739</v>
      </c>
      <c r="N2330" s="107"/>
      <c r="O2330" s="107"/>
      <c r="P2330" s="108" t="str">
        <f ca="1">IF(Proc[[#This Row],[DaysAgeing]]&gt;5,"yep","on track")</f>
        <v>on track</v>
      </c>
      <c r="Q2330" s="3">
        <f ca="1">IF(Proc[[#This Row],[DateClosed]]="",ABS(NETWORKDAYS(Proc[[#This Row],[DateOpened]],TODAY()))-1,ABS(NETWORKDAYS(Proc[[#This Row],[DateOpened]],Proc[[#This Row],[DateClosed]]))-1)</f>
        <v>0</v>
      </c>
      <c r="R2330" s="108" t="s">
        <v>808</v>
      </c>
      <c r="S2330" s="96"/>
    </row>
    <row r="2331" spans="1:19">
      <c r="A2331" s="105" t="s">
        <v>4712</v>
      </c>
      <c r="B2331" s="96" t="str">
        <f>IFERROR(VLOOKUP(Proc[[#This Row],[App]],Table2[],3,0),"open")</f>
        <v>open</v>
      </c>
      <c r="C2331" s="105" t="s">
        <v>370</v>
      </c>
      <c r="D2331" t="s">
        <v>4734</v>
      </c>
      <c r="E2331" t="s">
        <v>4772</v>
      </c>
      <c r="F2331" s="96" t="s">
        <v>4770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0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2841</v>
      </c>
      <c r="M2331" s="107">
        <v>45825.476678240739</v>
      </c>
      <c r="N2331" s="107"/>
      <c r="O2331" s="107"/>
      <c r="P2331" s="108" t="str">
        <f ca="1">IF(Proc[[#This Row],[DaysAgeing]]&gt;5,"yep","on track")</f>
        <v>on track</v>
      </c>
      <c r="Q2331" s="3">
        <f ca="1">IF(Proc[[#This Row],[DateClosed]]="",ABS(NETWORKDAYS(Proc[[#This Row],[DateOpened]],TODAY()))-1,ABS(NETWORKDAYS(Proc[[#This Row],[DateOpened]],Proc[[#This Row],[DateClosed]]))-1)</f>
        <v>0</v>
      </c>
      <c r="R2331" s="108" t="s">
        <v>808</v>
      </c>
      <c r="S2331" s="96"/>
    </row>
    <row r="2332" spans="1:19">
      <c r="A2332" s="105" t="s">
        <v>4712</v>
      </c>
      <c r="B2332" s="96" t="str">
        <f>IFERROR(VLOOKUP(Proc[[#This Row],[App]],Table2[],3,0),"open")</f>
        <v>open</v>
      </c>
      <c r="C2332" s="105" t="s">
        <v>370</v>
      </c>
      <c r="D2332" t="s">
        <v>4735</v>
      </c>
      <c r="E2332" t="s">
        <v>4772</v>
      </c>
      <c r="F2332" s="96" t="s">
        <v>4770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0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2841</v>
      </c>
      <c r="M2332" s="107">
        <v>45825.476678240739</v>
      </c>
      <c r="N2332" s="107"/>
      <c r="O2332" s="107"/>
      <c r="P2332" s="108" t="str">
        <f ca="1">IF(Proc[[#This Row],[DaysAgeing]]&gt;5,"yep","on track")</f>
        <v>on track</v>
      </c>
      <c r="Q2332" s="3">
        <f ca="1">IF(Proc[[#This Row],[DateClosed]]="",ABS(NETWORKDAYS(Proc[[#This Row],[DateOpened]],TODAY()))-1,ABS(NETWORKDAYS(Proc[[#This Row],[DateOpened]],Proc[[#This Row],[DateClosed]]))-1)</f>
        <v>0</v>
      </c>
      <c r="R2332" s="108" t="s">
        <v>808</v>
      </c>
      <c r="S2332" s="96"/>
    </row>
    <row r="2333" spans="1:19">
      <c r="A2333" s="105" t="s">
        <v>4712</v>
      </c>
      <c r="B2333" s="96" t="str">
        <f>IFERROR(VLOOKUP(Proc[[#This Row],[App]],Table2[],3,0),"open")</f>
        <v>open</v>
      </c>
      <c r="C2333" s="105" t="s">
        <v>370</v>
      </c>
      <c r="D2333" t="s">
        <v>4736</v>
      </c>
      <c r="E2333" t="s">
        <v>4772</v>
      </c>
      <c r="F2333" s="96" t="s">
        <v>4770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0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2841</v>
      </c>
      <c r="M2333" s="107">
        <v>45825.476678240739</v>
      </c>
      <c r="N2333" s="107"/>
      <c r="O2333" s="107"/>
      <c r="P2333" s="108" t="str">
        <f ca="1">IF(Proc[[#This Row],[DaysAgeing]]&gt;5,"yep","on track")</f>
        <v>on track</v>
      </c>
      <c r="Q2333" s="3">
        <f ca="1">IF(Proc[[#This Row],[DateClosed]]="",ABS(NETWORKDAYS(Proc[[#This Row],[DateOpened]],TODAY()))-1,ABS(NETWORKDAYS(Proc[[#This Row],[DateOpened]],Proc[[#This Row],[DateClosed]]))-1)</f>
        <v>0</v>
      </c>
      <c r="R2333" s="108" t="s">
        <v>808</v>
      </c>
      <c r="S2333" s="96"/>
    </row>
    <row r="2334" spans="1:19">
      <c r="A2334" s="105" t="s">
        <v>4712</v>
      </c>
      <c r="B2334" s="96" t="str">
        <f>IFERROR(VLOOKUP(Proc[[#This Row],[App]],Table2[],3,0),"open")</f>
        <v>open</v>
      </c>
      <c r="C2334" s="105" t="s">
        <v>370</v>
      </c>
      <c r="D2334" t="s">
        <v>4737</v>
      </c>
      <c r="E2334" t="s">
        <v>4772</v>
      </c>
      <c r="F2334" s="96" t="s">
        <v>4770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0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2841</v>
      </c>
      <c r="M2334" s="107">
        <v>45825.476678240739</v>
      </c>
      <c r="N2334" s="107"/>
      <c r="O2334" s="107"/>
      <c r="P2334" s="108" t="str">
        <f ca="1">IF(Proc[[#This Row],[DaysAgeing]]&gt;5,"yep","on track")</f>
        <v>on track</v>
      </c>
      <c r="Q2334" s="3">
        <f ca="1">IF(Proc[[#This Row],[DateClosed]]="",ABS(NETWORKDAYS(Proc[[#This Row],[DateOpened]],TODAY()))-1,ABS(NETWORKDAYS(Proc[[#This Row],[DateOpened]],Proc[[#This Row],[DateClosed]]))-1)</f>
        <v>0</v>
      </c>
      <c r="R2334" s="108" t="s">
        <v>808</v>
      </c>
      <c r="S2334" s="96"/>
    </row>
    <row r="2335" spans="1:19">
      <c r="A2335" s="105" t="s">
        <v>4712</v>
      </c>
      <c r="B2335" s="96" t="str">
        <f>IFERROR(VLOOKUP(Proc[[#This Row],[App]],Table2[],3,0),"open")</f>
        <v>open</v>
      </c>
      <c r="C2335" s="105" t="s">
        <v>370</v>
      </c>
      <c r="D2335" t="s">
        <v>4738</v>
      </c>
      <c r="E2335" t="s">
        <v>4771</v>
      </c>
      <c r="F2335" s="96" t="s">
        <v>4769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0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2841</v>
      </c>
      <c r="M2335" s="107">
        <v>45825.476678240739</v>
      </c>
      <c r="N2335" s="107"/>
      <c r="O2335" s="107"/>
      <c r="P2335" s="108" t="str">
        <f ca="1">IF(Proc[[#This Row],[DaysAgeing]]&gt;5,"yep","on track")</f>
        <v>on track</v>
      </c>
      <c r="Q2335" s="3">
        <f ca="1">IF(Proc[[#This Row],[DateClosed]]="",ABS(NETWORKDAYS(Proc[[#This Row],[DateOpened]],TODAY()))-1,ABS(NETWORKDAYS(Proc[[#This Row],[DateOpened]],Proc[[#This Row],[DateClosed]]))-1)</f>
        <v>0</v>
      </c>
      <c r="R2335" s="108" t="s">
        <v>808</v>
      </c>
      <c r="S2335" s="96"/>
    </row>
    <row r="2336" spans="1:19">
      <c r="A2336" s="105" t="s">
        <v>4712</v>
      </c>
      <c r="B2336" s="96" t="str">
        <f>IFERROR(VLOOKUP(Proc[[#This Row],[App]],Table2[],3,0),"open")</f>
        <v>open</v>
      </c>
      <c r="C2336" s="105" t="s">
        <v>370</v>
      </c>
      <c r="D2336" t="s">
        <v>4739</v>
      </c>
      <c r="E2336" t="s">
        <v>4771</v>
      </c>
      <c r="F2336" s="96" t="s">
        <v>4769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0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2841</v>
      </c>
      <c r="M2336" s="107">
        <v>45825.476678240739</v>
      </c>
      <c r="N2336" s="107"/>
      <c r="O2336" s="107"/>
      <c r="P2336" s="108" t="str">
        <f ca="1">IF(Proc[[#This Row],[DaysAgeing]]&gt;5,"yep","on track")</f>
        <v>on track</v>
      </c>
      <c r="Q2336" s="3">
        <f ca="1">IF(Proc[[#This Row],[DateClosed]]="",ABS(NETWORKDAYS(Proc[[#This Row],[DateOpened]],TODAY()))-1,ABS(NETWORKDAYS(Proc[[#This Row],[DateOpened]],Proc[[#This Row],[DateClosed]]))-1)</f>
        <v>0</v>
      </c>
      <c r="R2336" s="108" t="s">
        <v>808</v>
      </c>
      <c r="S2336" s="96"/>
    </row>
    <row r="2337" spans="1:19">
      <c r="A2337" s="105" t="s">
        <v>4712</v>
      </c>
      <c r="B2337" s="96" t="str">
        <f>IFERROR(VLOOKUP(Proc[[#This Row],[App]],Table2[],3,0),"open")</f>
        <v>open</v>
      </c>
      <c r="C2337" s="105" t="s">
        <v>370</v>
      </c>
      <c r="D2337" t="s">
        <v>4740</v>
      </c>
      <c r="E2337" t="s">
        <v>4771</v>
      </c>
      <c r="F2337" s="96" t="s">
        <v>4769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0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2841</v>
      </c>
      <c r="M2337" s="107">
        <v>45825.476678240739</v>
      </c>
      <c r="N2337" s="107"/>
      <c r="O2337" s="107"/>
      <c r="P2337" s="108" t="str">
        <f ca="1">IF(Proc[[#This Row],[DaysAgeing]]&gt;5,"yep","on track")</f>
        <v>on track</v>
      </c>
      <c r="Q2337" s="3">
        <f ca="1">IF(Proc[[#This Row],[DateClosed]]="",ABS(NETWORKDAYS(Proc[[#This Row],[DateOpened]],TODAY()))-1,ABS(NETWORKDAYS(Proc[[#This Row],[DateOpened]],Proc[[#This Row],[DateClosed]]))-1)</f>
        <v>0</v>
      </c>
      <c r="R2337" s="108" t="s">
        <v>808</v>
      </c>
      <c r="S2337" s="96"/>
    </row>
    <row r="2338" spans="1:19">
      <c r="A2338" s="105" t="s">
        <v>4712</v>
      </c>
      <c r="B2338" s="96" t="str">
        <f>IFERROR(VLOOKUP(Proc[[#This Row],[App]],Table2[],3,0),"open")</f>
        <v>open</v>
      </c>
      <c r="C2338" s="105" t="s">
        <v>370</v>
      </c>
      <c r="D2338" t="s">
        <v>4741</v>
      </c>
      <c r="E2338" t="s">
        <v>4771</v>
      </c>
      <c r="F2338" s="96" t="s">
        <v>4769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0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2841</v>
      </c>
      <c r="M2338" s="107">
        <v>45825.476678240739</v>
      </c>
      <c r="N2338" s="107"/>
      <c r="O2338" s="107"/>
      <c r="P2338" s="108" t="str">
        <f ca="1">IF(Proc[[#This Row],[DaysAgeing]]&gt;5,"yep","on track")</f>
        <v>on track</v>
      </c>
      <c r="Q2338" s="3">
        <f ca="1">IF(Proc[[#This Row],[DateClosed]]="",ABS(NETWORKDAYS(Proc[[#This Row],[DateOpened]],TODAY()))-1,ABS(NETWORKDAYS(Proc[[#This Row],[DateOpened]],Proc[[#This Row],[DateClosed]]))-1)</f>
        <v>0</v>
      </c>
      <c r="R2338" s="108" t="s">
        <v>808</v>
      </c>
      <c r="S2338" s="96"/>
    </row>
    <row r="2339" spans="1:19">
      <c r="A2339" s="105" t="s">
        <v>4712</v>
      </c>
      <c r="B2339" s="96" t="str">
        <f>IFERROR(VLOOKUP(Proc[[#This Row],[App]],Table2[],3,0),"open")</f>
        <v>open</v>
      </c>
      <c r="C2339" s="105" t="s">
        <v>370</v>
      </c>
      <c r="D2339" t="s">
        <v>4742</v>
      </c>
      <c r="E2339" t="s">
        <v>4771</v>
      </c>
      <c r="F2339" s="96" t="s">
        <v>4769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0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2841</v>
      </c>
      <c r="M2339" s="107">
        <v>45825.476678240739</v>
      </c>
      <c r="N2339" s="107"/>
      <c r="O2339" s="107"/>
      <c r="P2339" s="108" t="str">
        <f ca="1">IF(Proc[[#This Row],[DaysAgeing]]&gt;5,"yep","on track")</f>
        <v>on track</v>
      </c>
      <c r="Q2339" s="3">
        <f ca="1">IF(Proc[[#This Row],[DateClosed]]="",ABS(NETWORKDAYS(Proc[[#This Row],[DateOpened]],TODAY()))-1,ABS(NETWORKDAYS(Proc[[#This Row],[DateOpened]],Proc[[#This Row],[DateClosed]]))-1)</f>
        <v>0</v>
      </c>
      <c r="R2339" s="108" t="s">
        <v>808</v>
      </c>
      <c r="S2339" s="96"/>
    </row>
    <row r="2340" spans="1:19">
      <c r="A2340" s="105" t="s">
        <v>4712</v>
      </c>
      <c r="B2340" s="96" t="str">
        <f>IFERROR(VLOOKUP(Proc[[#This Row],[App]],Table2[],3,0),"open")</f>
        <v>open</v>
      </c>
      <c r="C2340" s="105" t="s">
        <v>370</v>
      </c>
      <c r="D2340" t="s">
        <v>4743</v>
      </c>
      <c r="E2340" t="s">
        <v>4771</v>
      </c>
      <c r="F2340" s="96" t="s">
        <v>4769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0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2841</v>
      </c>
      <c r="M2340" s="107">
        <v>45825.476678240739</v>
      </c>
      <c r="N2340" s="107"/>
      <c r="O2340" s="107"/>
      <c r="P2340" s="108" t="str">
        <f ca="1">IF(Proc[[#This Row],[DaysAgeing]]&gt;5,"yep","on track")</f>
        <v>on track</v>
      </c>
      <c r="Q2340" s="3">
        <f ca="1">IF(Proc[[#This Row],[DateClosed]]="",ABS(NETWORKDAYS(Proc[[#This Row],[DateOpened]],TODAY()))-1,ABS(NETWORKDAYS(Proc[[#This Row],[DateOpened]],Proc[[#This Row],[DateClosed]]))-1)</f>
        <v>0</v>
      </c>
      <c r="R2340" s="108" t="s">
        <v>808</v>
      </c>
      <c r="S2340" s="96"/>
    </row>
    <row r="2341" spans="1:19">
      <c r="A2341" s="105" t="s">
        <v>4712</v>
      </c>
      <c r="B2341" s="96" t="str">
        <f>IFERROR(VLOOKUP(Proc[[#This Row],[App]],Table2[],3,0),"open")</f>
        <v>open</v>
      </c>
      <c r="C2341" s="105" t="s">
        <v>370</v>
      </c>
      <c r="D2341" t="s">
        <v>4744</v>
      </c>
      <c r="E2341" t="s">
        <v>4771</v>
      </c>
      <c r="F2341" s="96" t="s">
        <v>4769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0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2841</v>
      </c>
      <c r="M2341" s="107">
        <v>45825.476678240739</v>
      </c>
      <c r="N2341" s="107"/>
      <c r="O2341" s="107"/>
      <c r="P2341" s="108" t="str">
        <f ca="1">IF(Proc[[#This Row],[DaysAgeing]]&gt;5,"yep","on track")</f>
        <v>on track</v>
      </c>
      <c r="Q2341" s="3">
        <f ca="1">IF(Proc[[#This Row],[DateClosed]]="",ABS(NETWORKDAYS(Proc[[#This Row],[DateOpened]],TODAY()))-1,ABS(NETWORKDAYS(Proc[[#This Row],[DateOpened]],Proc[[#This Row],[DateClosed]]))-1)</f>
        <v>0</v>
      </c>
      <c r="R2341" s="108" t="s">
        <v>808</v>
      </c>
      <c r="S2341" s="96"/>
    </row>
    <row r="2342" spans="1:19">
      <c r="A2342" s="105" t="s">
        <v>4712</v>
      </c>
      <c r="B2342" s="96" t="str">
        <f>IFERROR(VLOOKUP(Proc[[#This Row],[App]],Table2[],3,0),"open")</f>
        <v>open</v>
      </c>
      <c r="C2342" s="105" t="s">
        <v>370</v>
      </c>
      <c r="D2342" t="s">
        <v>4745</v>
      </c>
      <c r="E2342" t="s">
        <v>4771</v>
      </c>
      <c r="F2342" s="96" t="s">
        <v>4769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0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2841</v>
      </c>
      <c r="M2342" s="107">
        <v>45825.476678240739</v>
      </c>
      <c r="N2342" s="107"/>
      <c r="O2342" s="107"/>
      <c r="P2342" s="108" t="str">
        <f ca="1">IF(Proc[[#This Row],[DaysAgeing]]&gt;5,"yep","on track")</f>
        <v>on track</v>
      </c>
      <c r="Q2342" s="3">
        <f ca="1">IF(Proc[[#This Row],[DateClosed]]="",ABS(NETWORKDAYS(Proc[[#This Row],[DateOpened]],TODAY()))-1,ABS(NETWORKDAYS(Proc[[#This Row],[DateOpened]],Proc[[#This Row],[DateClosed]]))-1)</f>
        <v>0</v>
      </c>
      <c r="R2342" s="108" t="s">
        <v>808</v>
      </c>
      <c r="S2342" s="96"/>
    </row>
    <row r="2343" spans="1:19">
      <c r="A2343" s="105" t="s">
        <v>4712</v>
      </c>
      <c r="B2343" s="96" t="str">
        <f>IFERROR(VLOOKUP(Proc[[#This Row],[App]],Table2[],3,0),"open")</f>
        <v>open</v>
      </c>
      <c r="C2343" s="105" t="s">
        <v>370</v>
      </c>
      <c r="D2343" t="s">
        <v>4746</v>
      </c>
      <c r="E2343" t="s">
        <v>4772</v>
      </c>
      <c r="F2343" s="96" t="s">
        <v>4770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0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2841</v>
      </c>
      <c r="M2343" s="107">
        <v>45825.476678240739</v>
      </c>
      <c r="N2343" s="107"/>
      <c r="O2343" s="107"/>
      <c r="P2343" s="108" t="str">
        <f ca="1">IF(Proc[[#This Row],[DaysAgeing]]&gt;5,"yep","on track")</f>
        <v>on track</v>
      </c>
      <c r="Q2343" s="3">
        <f ca="1">IF(Proc[[#This Row],[DateClosed]]="",ABS(NETWORKDAYS(Proc[[#This Row],[DateOpened]],TODAY()))-1,ABS(NETWORKDAYS(Proc[[#This Row],[DateOpened]],Proc[[#This Row],[DateClosed]]))-1)</f>
        <v>0</v>
      </c>
      <c r="R2343" s="108" t="s">
        <v>808</v>
      </c>
      <c r="S2343" s="96"/>
    </row>
    <row r="2344" spans="1:19">
      <c r="A2344" s="105" t="s">
        <v>4712</v>
      </c>
      <c r="B2344" s="96" t="str">
        <f>IFERROR(VLOOKUP(Proc[[#This Row],[App]],Table2[],3,0),"open")</f>
        <v>open</v>
      </c>
      <c r="C2344" s="105" t="s">
        <v>370</v>
      </c>
      <c r="D2344" t="s">
        <v>4747</v>
      </c>
      <c r="E2344" t="s">
        <v>4772</v>
      </c>
      <c r="F2344" s="96" t="s">
        <v>4770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0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2841</v>
      </c>
      <c r="M2344" s="107">
        <v>45825.476678240739</v>
      </c>
      <c r="N2344" s="107"/>
      <c r="O2344" s="107"/>
      <c r="P2344" s="108" t="str">
        <f ca="1">IF(Proc[[#This Row],[DaysAgeing]]&gt;5,"yep","on track")</f>
        <v>on track</v>
      </c>
      <c r="Q2344" s="3">
        <f ca="1">IF(Proc[[#This Row],[DateClosed]]="",ABS(NETWORKDAYS(Proc[[#This Row],[DateOpened]],TODAY()))-1,ABS(NETWORKDAYS(Proc[[#This Row],[DateOpened]],Proc[[#This Row],[DateClosed]]))-1)</f>
        <v>0</v>
      </c>
      <c r="R2344" s="108" t="s">
        <v>808</v>
      </c>
      <c r="S2344" s="96"/>
    </row>
    <row r="2345" spans="1:19">
      <c r="A2345" s="105" t="s">
        <v>4712</v>
      </c>
      <c r="B2345" s="96" t="str">
        <f>IFERROR(VLOOKUP(Proc[[#This Row],[App]],Table2[],3,0),"open")</f>
        <v>open</v>
      </c>
      <c r="C2345" s="105" t="s">
        <v>370</v>
      </c>
      <c r="D2345" t="s">
        <v>4748</v>
      </c>
      <c r="E2345" t="s">
        <v>4772</v>
      </c>
      <c r="F2345" s="96" t="s">
        <v>4770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0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2841</v>
      </c>
      <c r="M2345" s="107">
        <v>45825.476678240739</v>
      </c>
      <c r="N2345" s="107"/>
      <c r="O2345" s="107"/>
      <c r="P2345" s="108" t="str">
        <f ca="1">IF(Proc[[#This Row],[DaysAgeing]]&gt;5,"yep","on track")</f>
        <v>on track</v>
      </c>
      <c r="Q2345" s="3">
        <f ca="1">IF(Proc[[#This Row],[DateClosed]]="",ABS(NETWORKDAYS(Proc[[#This Row],[DateOpened]],TODAY()))-1,ABS(NETWORKDAYS(Proc[[#This Row],[DateOpened]],Proc[[#This Row],[DateClosed]]))-1)</f>
        <v>0</v>
      </c>
      <c r="R2345" s="108" t="s">
        <v>808</v>
      </c>
      <c r="S2345" s="96"/>
    </row>
    <row r="2346" spans="1:19">
      <c r="A2346" s="105" t="s">
        <v>4712</v>
      </c>
      <c r="B2346" s="96" t="str">
        <f>IFERROR(VLOOKUP(Proc[[#This Row],[App]],Table2[],3,0),"open")</f>
        <v>open</v>
      </c>
      <c r="C2346" s="105" t="s">
        <v>370</v>
      </c>
      <c r="D2346" t="s">
        <v>4749</v>
      </c>
      <c r="E2346" t="s">
        <v>4772</v>
      </c>
      <c r="F2346" s="96" t="s">
        <v>4770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0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2841</v>
      </c>
      <c r="M2346" s="107">
        <v>45825.476678240739</v>
      </c>
      <c r="N2346" s="107"/>
      <c r="O2346" s="107"/>
      <c r="P2346" s="108" t="str">
        <f ca="1">IF(Proc[[#This Row],[DaysAgeing]]&gt;5,"yep","on track")</f>
        <v>on track</v>
      </c>
      <c r="Q2346" s="3">
        <f ca="1">IF(Proc[[#This Row],[DateClosed]]="",ABS(NETWORKDAYS(Proc[[#This Row],[DateOpened]],TODAY()))-1,ABS(NETWORKDAYS(Proc[[#This Row],[DateOpened]],Proc[[#This Row],[DateClosed]]))-1)</f>
        <v>0</v>
      </c>
      <c r="R2346" s="108" t="s">
        <v>808</v>
      </c>
      <c r="S2346" s="96"/>
    </row>
    <row r="2347" spans="1:19">
      <c r="A2347" s="105" t="s">
        <v>4712</v>
      </c>
      <c r="B2347" s="96" t="str">
        <f>IFERROR(VLOOKUP(Proc[[#This Row],[App]],Table2[],3,0),"open")</f>
        <v>open</v>
      </c>
      <c r="C2347" s="105" t="s">
        <v>370</v>
      </c>
      <c r="D2347" t="s">
        <v>4750</v>
      </c>
      <c r="E2347" t="s">
        <v>4772</v>
      </c>
      <c r="F2347" s="96" t="s">
        <v>4770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0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2841</v>
      </c>
      <c r="M2347" s="107">
        <v>45825.476678240739</v>
      </c>
      <c r="N2347" s="107"/>
      <c r="O2347" s="107"/>
      <c r="P2347" s="108" t="str">
        <f ca="1">IF(Proc[[#This Row],[DaysAgeing]]&gt;5,"yep","on track")</f>
        <v>on track</v>
      </c>
      <c r="Q2347" s="3">
        <f ca="1">IF(Proc[[#This Row],[DateClosed]]="",ABS(NETWORKDAYS(Proc[[#This Row],[DateOpened]],TODAY()))-1,ABS(NETWORKDAYS(Proc[[#This Row],[DateOpened]],Proc[[#This Row],[DateClosed]]))-1)</f>
        <v>0</v>
      </c>
      <c r="R2347" s="108" t="s">
        <v>808</v>
      </c>
      <c r="S2347" s="96"/>
    </row>
    <row r="2348" spans="1:19">
      <c r="A2348" s="105" t="s">
        <v>4712</v>
      </c>
      <c r="B2348" s="96" t="str">
        <f>IFERROR(VLOOKUP(Proc[[#This Row],[App]],Table2[],3,0),"open")</f>
        <v>open</v>
      </c>
      <c r="C2348" s="105" t="s">
        <v>370</v>
      </c>
      <c r="D2348" t="s">
        <v>4751</v>
      </c>
      <c r="E2348" t="s">
        <v>4772</v>
      </c>
      <c r="F2348" s="96" t="s">
        <v>4770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0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2841</v>
      </c>
      <c r="M2348" s="107">
        <v>45825.476678240739</v>
      </c>
      <c r="N2348" s="107"/>
      <c r="O2348" s="107"/>
      <c r="P2348" s="108" t="str">
        <f ca="1">IF(Proc[[#This Row],[DaysAgeing]]&gt;5,"yep","on track")</f>
        <v>on track</v>
      </c>
      <c r="Q2348" s="3">
        <f ca="1">IF(Proc[[#This Row],[DateClosed]]="",ABS(NETWORKDAYS(Proc[[#This Row],[DateOpened]],TODAY()))-1,ABS(NETWORKDAYS(Proc[[#This Row],[DateOpened]],Proc[[#This Row],[DateClosed]]))-1)</f>
        <v>0</v>
      </c>
      <c r="R2348" s="108" t="s">
        <v>808</v>
      </c>
      <c r="S2348" s="96"/>
    </row>
    <row r="2349" spans="1:19">
      <c r="A2349" s="105" t="s">
        <v>4712</v>
      </c>
      <c r="B2349" s="96" t="str">
        <f>IFERROR(VLOOKUP(Proc[[#This Row],[App]],Table2[],3,0),"open")</f>
        <v>open</v>
      </c>
      <c r="C2349" s="105" t="s">
        <v>370</v>
      </c>
      <c r="D2349" t="s">
        <v>4752</v>
      </c>
      <c r="E2349" t="s">
        <v>4772</v>
      </c>
      <c r="F2349" s="96" t="s">
        <v>4770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0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2841</v>
      </c>
      <c r="M2349" s="107">
        <v>45825.476678240739</v>
      </c>
      <c r="N2349" s="107"/>
      <c r="O2349" s="107"/>
      <c r="P2349" s="108" t="str">
        <f ca="1">IF(Proc[[#This Row],[DaysAgeing]]&gt;5,"yep","on track")</f>
        <v>on track</v>
      </c>
      <c r="Q2349" s="3">
        <f ca="1">IF(Proc[[#This Row],[DateClosed]]="",ABS(NETWORKDAYS(Proc[[#This Row],[DateOpened]],TODAY()))-1,ABS(NETWORKDAYS(Proc[[#This Row],[DateOpened]],Proc[[#This Row],[DateClosed]]))-1)</f>
        <v>0</v>
      </c>
      <c r="R2349" s="108" t="s">
        <v>808</v>
      </c>
      <c r="S2349" s="96"/>
    </row>
    <row r="2350" spans="1:19">
      <c r="A2350" s="105" t="s">
        <v>4712</v>
      </c>
      <c r="B2350" s="96" t="str">
        <f>IFERROR(VLOOKUP(Proc[[#This Row],[App]],Table2[],3,0),"open")</f>
        <v>open</v>
      </c>
      <c r="C2350" s="105" t="s">
        <v>370</v>
      </c>
      <c r="D2350" t="s">
        <v>4753</v>
      </c>
      <c r="E2350" t="s">
        <v>4772</v>
      </c>
      <c r="F2350" s="96" t="s">
        <v>4770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0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2841</v>
      </c>
      <c r="M2350" s="107">
        <v>45825.476678240739</v>
      </c>
      <c r="N2350" s="107"/>
      <c r="O2350" s="107"/>
      <c r="P2350" s="108" t="str">
        <f ca="1">IF(Proc[[#This Row],[DaysAgeing]]&gt;5,"yep","on track")</f>
        <v>on track</v>
      </c>
      <c r="Q2350" s="3">
        <f ca="1">IF(Proc[[#This Row],[DateClosed]]="",ABS(NETWORKDAYS(Proc[[#This Row],[DateOpened]],TODAY()))-1,ABS(NETWORKDAYS(Proc[[#This Row],[DateOpened]],Proc[[#This Row],[DateClosed]]))-1)</f>
        <v>0</v>
      </c>
      <c r="R2350" s="108" t="s">
        <v>808</v>
      </c>
      <c r="S2350" s="96"/>
    </row>
    <row r="2351" spans="1:19">
      <c r="A2351" s="105" t="s">
        <v>4712</v>
      </c>
      <c r="B2351" s="96" t="str">
        <f>IFERROR(VLOOKUP(Proc[[#This Row],[App]],Table2[],3,0),"open")</f>
        <v>open</v>
      </c>
      <c r="C2351" s="105" t="s">
        <v>370</v>
      </c>
      <c r="D2351" t="s">
        <v>4754</v>
      </c>
      <c r="E2351" t="s">
        <v>4772</v>
      </c>
      <c r="F2351" s="96" t="s">
        <v>4770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0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2841</v>
      </c>
      <c r="M2351" s="107">
        <v>45825.476678240739</v>
      </c>
      <c r="N2351" s="107"/>
      <c r="O2351" s="107"/>
      <c r="P2351" s="108" t="str">
        <f ca="1">IF(Proc[[#This Row],[DaysAgeing]]&gt;5,"yep","on track")</f>
        <v>on track</v>
      </c>
      <c r="Q2351" s="3">
        <f ca="1">IF(Proc[[#This Row],[DateClosed]]="",ABS(NETWORKDAYS(Proc[[#This Row],[DateOpened]],TODAY()))-1,ABS(NETWORKDAYS(Proc[[#This Row],[DateOpened]],Proc[[#This Row],[DateClosed]]))-1)</f>
        <v>0</v>
      </c>
      <c r="R2351" s="108" t="s">
        <v>808</v>
      </c>
      <c r="S2351" s="96"/>
    </row>
    <row r="2352" spans="1:19">
      <c r="A2352" s="105" t="s">
        <v>4712</v>
      </c>
      <c r="B2352" s="96" t="str">
        <f>IFERROR(VLOOKUP(Proc[[#This Row],[App]],Table2[],3,0),"open")</f>
        <v>open</v>
      </c>
      <c r="C2352" s="105" t="s">
        <v>370</v>
      </c>
      <c r="D2352" t="s">
        <v>4755</v>
      </c>
      <c r="E2352" t="s">
        <v>4772</v>
      </c>
      <c r="F2352" s="96" t="s">
        <v>4770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0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2841</v>
      </c>
      <c r="M2352" s="107">
        <v>45825.476678240739</v>
      </c>
      <c r="N2352" s="107"/>
      <c r="O2352" s="107"/>
      <c r="P2352" s="108" t="str">
        <f ca="1">IF(Proc[[#This Row],[DaysAgeing]]&gt;5,"yep","on track")</f>
        <v>on track</v>
      </c>
      <c r="Q2352" s="3">
        <f ca="1">IF(Proc[[#This Row],[DateClosed]]="",ABS(NETWORKDAYS(Proc[[#This Row],[DateOpened]],TODAY()))-1,ABS(NETWORKDAYS(Proc[[#This Row],[DateOpened]],Proc[[#This Row],[DateClosed]]))-1)</f>
        <v>0</v>
      </c>
      <c r="R2352" s="108" t="s">
        <v>808</v>
      </c>
      <c r="S2352" s="96"/>
    </row>
    <row r="2353" spans="1:19">
      <c r="A2353" s="105" t="s">
        <v>4712</v>
      </c>
      <c r="B2353" s="96" t="str">
        <f>IFERROR(VLOOKUP(Proc[[#This Row],[App]],Table2[],3,0),"open")</f>
        <v>open</v>
      </c>
      <c r="C2353" s="105" t="s">
        <v>370</v>
      </c>
      <c r="D2353" t="s">
        <v>4756</v>
      </c>
      <c r="E2353" t="s">
        <v>4772</v>
      </c>
      <c r="F2353" s="96" t="s">
        <v>4770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0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2841</v>
      </c>
      <c r="M2353" s="107">
        <v>45825.476678240739</v>
      </c>
      <c r="N2353" s="107"/>
      <c r="O2353" s="107"/>
      <c r="P2353" s="108" t="str">
        <f ca="1">IF(Proc[[#This Row],[DaysAgeing]]&gt;5,"yep","on track")</f>
        <v>on track</v>
      </c>
      <c r="Q2353" s="3">
        <f ca="1">IF(Proc[[#This Row],[DateClosed]]="",ABS(NETWORKDAYS(Proc[[#This Row],[DateOpened]],TODAY()))-1,ABS(NETWORKDAYS(Proc[[#This Row],[DateOpened]],Proc[[#This Row],[DateClosed]]))-1)</f>
        <v>0</v>
      </c>
      <c r="R2353" s="108" t="s">
        <v>808</v>
      </c>
      <c r="S2353" s="96"/>
    </row>
    <row r="2354" spans="1:19">
      <c r="A2354" s="105" t="s">
        <v>4712</v>
      </c>
      <c r="B2354" s="96" t="str">
        <f>IFERROR(VLOOKUP(Proc[[#This Row],[App]],Table2[],3,0),"open")</f>
        <v>open</v>
      </c>
      <c r="C2354" s="105" t="s">
        <v>370</v>
      </c>
      <c r="D2354" t="s">
        <v>4757</v>
      </c>
      <c r="E2354" t="s">
        <v>4772</v>
      </c>
      <c r="F2354" s="96" t="s">
        <v>4770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0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2841</v>
      </c>
      <c r="M2354" s="107">
        <v>45825.476678240739</v>
      </c>
      <c r="N2354" s="107"/>
      <c r="O2354" s="107"/>
      <c r="P2354" s="108" t="str">
        <f ca="1">IF(Proc[[#This Row],[DaysAgeing]]&gt;5,"yep","on track")</f>
        <v>on track</v>
      </c>
      <c r="Q2354" s="3">
        <f ca="1">IF(Proc[[#This Row],[DateClosed]]="",ABS(NETWORKDAYS(Proc[[#This Row],[DateOpened]],TODAY()))-1,ABS(NETWORKDAYS(Proc[[#This Row],[DateOpened]],Proc[[#This Row],[DateClosed]]))-1)</f>
        <v>0</v>
      </c>
      <c r="R2354" s="108" t="s">
        <v>808</v>
      </c>
      <c r="S2354" s="96"/>
    </row>
    <row r="2355" spans="1:19">
      <c r="A2355" s="105" t="s">
        <v>4712</v>
      </c>
      <c r="B2355" s="96" t="str">
        <f>IFERROR(VLOOKUP(Proc[[#This Row],[App]],Table2[],3,0),"open")</f>
        <v>open</v>
      </c>
      <c r="C2355" s="105" t="s">
        <v>370</v>
      </c>
      <c r="D2355" t="s">
        <v>4758</v>
      </c>
      <c r="E2355" t="s">
        <v>4772</v>
      </c>
      <c r="F2355" s="96" t="s">
        <v>4770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0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2841</v>
      </c>
      <c r="M2355" s="107">
        <v>45825.476678240739</v>
      </c>
      <c r="N2355" s="107"/>
      <c r="O2355" s="107"/>
      <c r="P2355" s="108" t="str">
        <f ca="1">IF(Proc[[#This Row],[DaysAgeing]]&gt;5,"yep","on track")</f>
        <v>on track</v>
      </c>
      <c r="Q2355" s="3">
        <f ca="1">IF(Proc[[#This Row],[DateClosed]]="",ABS(NETWORKDAYS(Proc[[#This Row],[DateOpened]],TODAY()))-1,ABS(NETWORKDAYS(Proc[[#This Row],[DateOpened]],Proc[[#This Row],[DateClosed]]))-1)</f>
        <v>0</v>
      </c>
      <c r="R2355" s="108" t="s">
        <v>808</v>
      </c>
      <c r="S2355" s="96"/>
    </row>
    <row r="2356" spans="1:19">
      <c r="A2356" s="105" t="s">
        <v>4712</v>
      </c>
      <c r="B2356" s="96" t="str">
        <f>IFERROR(VLOOKUP(Proc[[#This Row],[App]],Table2[],3,0),"open")</f>
        <v>open</v>
      </c>
      <c r="C2356" s="105" t="s">
        <v>370</v>
      </c>
      <c r="D2356" t="s">
        <v>4759</v>
      </c>
      <c r="E2356" t="s">
        <v>4772</v>
      </c>
      <c r="F2356" s="96" t="s">
        <v>4770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0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2841</v>
      </c>
      <c r="M2356" s="107">
        <v>45825.476678240739</v>
      </c>
      <c r="N2356" s="107"/>
      <c r="O2356" s="107"/>
      <c r="P2356" s="108" t="str">
        <f ca="1">IF(Proc[[#This Row],[DaysAgeing]]&gt;5,"yep","on track")</f>
        <v>on track</v>
      </c>
      <c r="Q2356" s="3">
        <f ca="1">IF(Proc[[#This Row],[DateClosed]]="",ABS(NETWORKDAYS(Proc[[#This Row],[DateOpened]],TODAY()))-1,ABS(NETWORKDAYS(Proc[[#This Row],[DateOpened]],Proc[[#This Row],[DateClosed]]))-1)</f>
        <v>0</v>
      </c>
      <c r="R2356" s="108" t="s">
        <v>808</v>
      </c>
      <c r="S2356" s="96"/>
    </row>
    <row r="2357" spans="1:19">
      <c r="A2357" s="105" t="s">
        <v>4712</v>
      </c>
      <c r="B2357" s="96" t="str">
        <f>IFERROR(VLOOKUP(Proc[[#This Row],[App]],Table2[],3,0),"open")</f>
        <v>open</v>
      </c>
      <c r="C2357" s="105" t="s">
        <v>370</v>
      </c>
      <c r="D2357" t="s">
        <v>4760</v>
      </c>
      <c r="E2357" t="s">
        <v>4772</v>
      </c>
      <c r="F2357" s="96" t="s">
        <v>4770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0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2841</v>
      </c>
      <c r="M2357" s="107">
        <v>45825.476678240739</v>
      </c>
      <c r="N2357" s="107"/>
      <c r="O2357" s="107"/>
      <c r="P2357" s="108" t="str">
        <f ca="1">IF(Proc[[#This Row],[DaysAgeing]]&gt;5,"yep","on track")</f>
        <v>on track</v>
      </c>
      <c r="Q2357" s="3">
        <f ca="1">IF(Proc[[#This Row],[DateClosed]]="",ABS(NETWORKDAYS(Proc[[#This Row],[DateOpened]],TODAY()))-1,ABS(NETWORKDAYS(Proc[[#This Row],[DateOpened]],Proc[[#This Row],[DateClosed]]))-1)</f>
        <v>0</v>
      </c>
      <c r="R2357" s="108" t="s">
        <v>808</v>
      </c>
      <c r="S2357" s="96"/>
    </row>
    <row r="2358" spans="1:19">
      <c r="A2358" s="105" t="s">
        <v>4712</v>
      </c>
      <c r="B2358" s="96" t="str">
        <f>IFERROR(VLOOKUP(Proc[[#This Row],[App]],Table2[],3,0),"open")</f>
        <v>open</v>
      </c>
      <c r="C2358" s="105" t="s">
        <v>370</v>
      </c>
      <c r="D2358" t="s">
        <v>4761</v>
      </c>
      <c r="E2358" t="s">
        <v>4772</v>
      </c>
      <c r="F2358" s="96" t="s">
        <v>4770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0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2841</v>
      </c>
      <c r="M2358" s="107">
        <v>45825.476678240739</v>
      </c>
      <c r="N2358" s="107"/>
      <c r="O2358" s="107"/>
      <c r="P2358" s="108" t="str">
        <f ca="1">IF(Proc[[#This Row],[DaysAgeing]]&gt;5,"yep","on track")</f>
        <v>on track</v>
      </c>
      <c r="Q2358" s="3">
        <f ca="1">IF(Proc[[#This Row],[DateClosed]]="",ABS(NETWORKDAYS(Proc[[#This Row],[DateOpened]],TODAY()))-1,ABS(NETWORKDAYS(Proc[[#This Row],[DateOpened]],Proc[[#This Row],[DateClosed]]))-1)</f>
        <v>0</v>
      </c>
      <c r="R2358" s="108" t="s">
        <v>808</v>
      </c>
      <c r="S2358" s="96"/>
    </row>
    <row r="2359" spans="1:19">
      <c r="A2359" s="105" t="s">
        <v>4712</v>
      </c>
      <c r="B2359" s="96" t="str">
        <f>IFERROR(VLOOKUP(Proc[[#This Row],[App]],Table2[],3,0),"open")</f>
        <v>open</v>
      </c>
      <c r="C2359" s="105" t="s">
        <v>370</v>
      </c>
      <c r="D2359" t="s">
        <v>4762</v>
      </c>
      <c r="E2359" t="s">
        <v>4772</v>
      </c>
      <c r="F2359" s="96" t="s">
        <v>4770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0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2841</v>
      </c>
      <c r="M2359" s="107">
        <v>45825.476678240739</v>
      </c>
      <c r="N2359" s="107"/>
      <c r="O2359" s="107"/>
      <c r="P2359" s="108" t="str">
        <f ca="1">IF(Proc[[#This Row],[DaysAgeing]]&gt;5,"yep","on track")</f>
        <v>on track</v>
      </c>
      <c r="Q2359" s="3">
        <f ca="1">IF(Proc[[#This Row],[DateClosed]]="",ABS(NETWORKDAYS(Proc[[#This Row],[DateOpened]],TODAY()))-1,ABS(NETWORKDAYS(Proc[[#This Row],[DateOpened]],Proc[[#This Row],[DateClosed]]))-1)</f>
        <v>0</v>
      </c>
      <c r="R2359" s="108" t="s">
        <v>808</v>
      </c>
      <c r="S2359" s="96"/>
    </row>
    <row r="2360" spans="1:19">
      <c r="A2360" s="105" t="s">
        <v>4712</v>
      </c>
      <c r="B2360" s="96" t="str">
        <f>IFERROR(VLOOKUP(Proc[[#This Row],[App]],Table2[],3,0),"open")</f>
        <v>open</v>
      </c>
      <c r="C2360" s="105" t="s">
        <v>370</v>
      </c>
      <c r="D2360" t="s">
        <v>4763</v>
      </c>
      <c r="E2360" t="s">
        <v>4772</v>
      </c>
      <c r="F2360" s="96" t="s">
        <v>4770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0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2841</v>
      </c>
      <c r="M2360" s="107">
        <v>45825.476678240739</v>
      </c>
      <c r="N2360" s="107"/>
      <c r="O2360" s="107"/>
      <c r="P2360" s="108" t="str">
        <f ca="1">IF(Proc[[#This Row],[DaysAgeing]]&gt;5,"yep","on track")</f>
        <v>on track</v>
      </c>
      <c r="Q2360" s="3">
        <f ca="1">IF(Proc[[#This Row],[DateClosed]]="",ABS(NETWORKDAYS(Proc[[#This Row],[DateOpened]],TODAY()))-1,ABS(NETWORKDAYS(Proc[[#This Row],[DateOpened]],Proc[[#This Row],[DateClosed]]))-1)</f>
        <v>0</v>
      </c>
      <c r="R2360" s="108" t="s">
        <v>808</v>
      </c>
      <c r="S2360" s="96"/>
    </row>
    <row r="2361" spans="1:19">
      <c r="A2361" s="105" t="s">
        <v>4712</v>
      </c>
      <c r="B2361" s="96" t="str">
        <f>IFERROR(VLOOKUP(Proc[[#This Row],[App]],Table2[],3,0),"open")</f>
        <v>open</v>
      </c>
      <c r="C2361" s="105" t="s">
        <v>370</v>
      </c>
      <c r="D2361" t="s">
        <v>4764</v>
      </c>
      <c r="E2361" t="s">
        <v>4772</v>
      </c>
      <c r="F2361" s="96" t="s">
        <v>4770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0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2841</v>
      </c>
      <c r="M2361" s="107">
        <v>45825.476678240739</v>
      </c>
      <c r="N2361" s="107"/>
      <c r="O2361" s="107"/>
      <c r="P2361" s="108" t="str">
        <f ca="1">IF(Proc[[#This Row],[DaysAgeing]]&gt;5,"yep","on track")</f>
        <v>on track</v>
      </c>
      <c r="Q2361" s="3">
        <f ca="1">IF(Proc[[#This Row],[DateClosed]]="",ABS(NETWORKDAYS(Proc[[#This Row],[DateOpened]],TODAY()))-1,ABS(NETWORKDAYS(Proc[[#This Row],[DateOpened]],Proc[[#This Row],[DateClosed]]))-1)</f>
        <v>0</v>
      </c>
      <c r="R2361" s="108" t="s">
        <v>808</v>
      </c>
      <c r="S2361" s="96"/>
    </row>
    <row r="2362" spans="1:19">
      <c r="A2362" s="105" t="s">
        <v>4712</v>
      </c>
      <c r="B2362" s="96" t="str">
        <f>IFERROR(VLOOKUP(Proc[[#This Row],[App]],Table2[],3,0),"open")</f>
        <v>open</v>
      </c>
      <c r="C2362" s="105" t="s">
        <v>370</v>
      </c>
      <c r="D2362" t="s">
        <v>4765</v>
      </c>
      <c r="E2362" t="s">
        <v>4772</v>
      </c>
      <c r="F2362" s="96" t="s">
        <v>4770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0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2841</v>
      </c>
      <c r="M2362" s="107">
        <v>45825.476678240739</v>
      </c>
      <c r="N2362" s="107"/>
      <c r="O2362" s="107"/>
      <c r="P2362" s="108" t="str">
        <f ca="1">IF(Proc[[#This Row],[DaysAgeing]]&gt;5,"yep","on track")</f>
        <v>on track</v>
      </c>
      <c r="Q2362" s="3">
        <f ca="1">IF(Proc[[#This Row],[DateClosed]]="",ABS(NETWORKDAYS(Proc[[#This Row],[DateOpened]],TODAY()))-1,ABS(NETWORKDAYS(Proc[[#This Row],[DateOpened]],Proc[[#This Row],[DateClosed]]))-1)</f>
        <v>0</v>
      </c>
      <c r="R2362" s="108" t="s">
        <v>808</v>
      </c>
      <c r="S2362" s="96"/>
    </row>
    <row r="2363" spans="1:19">
      <c r="A2363" s="105" t="s">
        <v>4712</v>
      </c>
      <c r="B2363" s="96" t="str">
        <f>IFERROR(VLOOKUP(Proc[[#This Row],[App]],Table2[],3,0),"open")</f>
        <v>open</v>
      </c>
      <c r="C2363" s="105" t="s">
        <v>370</v>
      </c>
      <c r="D2363" t="s">
        <v>4766</v>
      </c>
      <c r="E2363" t="s">
        <v>4772</v>
      </c>
      <c r="F2363" s="96" t="s">
        <v>4770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0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2841</v>
      </c>
      <c r="M2363" s="107">
        <v>45825.476678240739</v>
      </c>
      <c r="N2363" s="107"/>
      <c r="O2363" s="107"/>
      <c r="P2363" s="108" t="str">
        <f ca="1">IF(Proc[[#This Row],[DaysAgeing]]&gt;5,"yep","on track")</f>
        <v>on track</v>
      </c>
      <c r="Q2363" s="3">
        <f ca="1">IF(Proc[[#This Row],[DateClosed]]="",ABS(NETWORKDAYS(Proc[[#This Row],[DateOpened]],TODAY()))-1,ABS(NETWORKDAYS(Proc[[#This Row],[DateOpened]],Proc[[#This Row],[DateClosed]]))-1)</f>
        <v>0</v>
      </c>
      <c r="R2363" s="108" t="s">
        <v>808</v>
      </c>
      <c r="S2363" s="96"/>
    </row>
    <row r="2364" spans="1:19">
      <c r="A2364" s="105" t="s">
        <v>4712</v>
      </c>
      <c r="B2364" s="96" t="str">
        <f>IFERROR(VLOOKUP(Proc[[#This Row],[App]],Table2[],3,0),"open")</f>
        <v>open</v>
      </c>
      <c r="C2364" s="105" t="s">
        <v>370</v>
      </c>
      <c r="D2364" t="s">
        <v>4767</v>
      </c>
      <c r="E2364" t="s">
        <v>4771</v>
      </c>
      <c r="F2364" s="96" t="s">
        <v>4769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0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2841</v>
      </c>
      <c r="M2364" s="107">
        <v>45825.476678240739</v>
      </c>
      <c r="N2364" s="107"/>
      <c r="O2364" s="107"/>
      <c r="P2364" s="108" t="str">
        <f ca="1">IF(Proc[[#This Row],[DaysAgeing]]&gt;5,"yep","on track")</f>
        <v>on track</v>
      </c>
      <c r="Q2364" s="3">
        <f ca="1">IF(Proc[[#This Row],[DateClosed]]="",ABS(NETWORKDAYS(Proc[[#This Row],[DateOpened]],TODAY()))-1,ABS(NETWORKDAYS(Proc[[#This Row],[DateOpened]],Proc[[#This Row],[DateClosed]]))-1)</f>
        <v>0</v>
      </c>
      <c r="R2364" s="108" t="s">
        <v>808</v>
      </c>
      <c r="S2364" s="96"/>
    </row>
    <row r="2365" spans="1:19">
      <c r="A2365" s="105" t="s">
        <v>4712</v>
      </c>
      <c r="B2365" s="96" t="str">
        <f>IFERROR(VLOOKUP(Proc[[#This Row],[App]],Table2[],3,0),"open")</f>
        <v>open</v>
      </c>
      <c r="C2365" s="105" t="s">
        <v>370</v>
      </c>
      <c r="D2365" t="s">
        <v>4768</v>
      </c>
      <c r="E2365" t="s">
        <v>4772</v>
      </c>
      <c r="F2365" s="96" t="s">
        <v>4770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0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2841</v>
      </c>
      <c r="M2365" s="107">
        <v>45825.476678240739</v>
      </c>
      <c r="N2365" s="107"/>
      <c r="O2365" s="107"/>
      <c r="P2365" s="108" t="str">
        <f ca="1">IF(Proc[[#This Row],[DaysAgeing]]&gt;5,"yep","on track")</f>
        <v>on track</v>
      </c>
      <c r="Q2365" s="3">
        <f ca="1">IF(Proc[[#This Row],[DateClosed]]="",ABS(NETWORKDAYS(Proc[[#This Row],[DateOpened]],TODAY()))-1,ABS(NETWORKDAYS(Proc[[#This Row],[DateOpened]],Proc[[#This Row],[DateClosed]]))-1)</f>
        <v>0</v>
      </c>
      <c r="R2365" s="108" t="s">
        <v>808</v>
      </c>
      <c r="S2365" s="96"/>
    </row>
    <row r="2366" spans="1:19">
      <c r="A2366" s="105" t="s">
        <v>4712</v>
      </c>
      <c r="B2366" s="96" t="str">
        <f>IFERROR(VLOOKUP(Proc[[#This Row],[App]],Table2[],3,0),"open")</f>
        <v>open</v>
      </c>
      <c r="C2366" s="105" t="s">
        <v>375</v>
      </c>
      <c r="D2366" t="s">
        <v>4773</v>
      </c>
      <c r="E2366" t="s">
        <v>4771</v>
      </c>
      <c r="F2366" s="96" t="s">
        <v>4769</v>
      </c>
      <c r="G2366" t="s">
        <v>406</v>
      </c>
      <c r="H2366" s="96" t="str">
        <f>IF(Proc[[#This Row],[type]]="LFF (MDG-F)",MID(Proc[[#This Row],[Obj]],13,10),"")</f>
        <v>DE10N11700</v>
      </c>
      <c r="I2366" t="s">
        <v>4814</v>
      </c>
      <c r="J2366" s="96" t="b">
        <f>Proc[[#This Row],[Requested]]=Proc[[#This Row],[CurrentParent]]</f>
        <v>0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2841</v>
      </c>
      <c r="M2366" s="107">
        <v>45825.476678240739</v>
      </c>
      <c r="N2366" s="107"/>
      <c r="O2366" s="107"/>
      <c r="P2366" s="108" t="str">
        <f ca="1">IF(Proc[[#This Row],[DaysAgeing]]&gt;5,"yep","on track")</f>
        <v>on track</v>
      </c>
      <c r="Q2366" s="3">
        <f ca="1">IF(Proc[[#This Row],[DateClosed]]="",ABS(NETWORKDAYS(Proc[[#This Row],[DateOpened]],TODAY()))-1,ABS(NETWORKDAYS(Proc[[#This Row],[DateOpened]],Proc[[#This Row],[DateClosed]]))-1)</f>
        <v>0</v>
      </c>
      <c r="R2366" s="108" t="s">
        <v>808</v>
      </c>
      <c r="S2366" s="96"/>
    </row>
    <row r="2367" spans="1:19">
      <c r="A2367" s="105" t="s">
        <v>4712</v>
      </c>
      <c r="B2367" s="96" t="str">
        <f>IFERROR(VLOOKUP(Proc[[#This Row],[App]],Table2[],3,0),"open")</f>
        <v>open</v>
      </c>
      <c r="C2367" s="105" t="s">
        <v>375</v>
      </c>
      <c r="D2367" t="s">
        <v>4774</v>
      </c>
      <c r="E2367" t="s">
        <v>4771</v>
      </c>
      <c r="F2367" s="96" t="s">
        <v>4769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4814</v>
      </c>
      <c r="J2367" s="96" t="b">
        <f>Proc[[#This Row],[Requested]]=Proc[[#This Row],[CurrentParent]]</f>
        <v>0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2841</v>
      </c>
      <c r="M2367" s="107">
        <v>45825.476678240739</v>
      </c>
      <c r="N2367" s="107"/>
      <c r="O2367" s="107"/>
      <c r="P2367" s="108" t="str">
        <f ca="1">IF(Proc[[#This Row],[DaysAgeing]]&gt;5,"yep","on track")</f>
        <v>on track</v>
      </c>
      <c r="Q2367" s="3">
        <f ca="1">IF(Proc[[#This Row],[DateClosed]]="",ABS(NETWORKDAYS(Proc[[#This Row],[DateOpened]],TODAY()))-1,ABS(NETWORKDAYS(Proc[[#This Row],[DateOpened]],Proc[[#This Row],[DateClosed]]))-1)</f>
        <v>0</v>
      </c>
      <c r="R2367" s="108" t="s">
        <v>808</v>
      </c>
      <c r="S2367" s="96"/>
    </row>
    <row r="2368" spans="1:19">
      <c r="A2368" s="105" t="s">
        <v>4712</v>
      </c>
      <c r="B2368" s="96" t="str">
        <f>IFERROR(VLOOKUP(Proc[[#This Row],[App]],Table2[],3,0),"open")</f>
        <v>open</v>
      </c>
      <c r="C2368" s="105" t="s">
        <v>375</v>
      </c>
      <c r="D2368" t="s">
        <v>4775</v>
      </c>
      <c r="E2368" t="s">
        <v>4771</v>
      </c>
      <c r="F2368" s="96" t="s">
        <v>4769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4814</v>
      </c>
      <c r="J2368" s="96" t="b">
        <f>Proc[[#This Row],[Requested]]=Proc[[#This Row],[CurrentParent]]</f>
        <v>0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2841</v>
      </c>
      <c r="M2368" s="107">
        <v>45825.476678240739</v>
      </c>
      <c r="N2368" s="107"/>
      <c r="O2368" s="107"/>
      <c r="P2368" s="108" t="str">
        <f ca="1">IF(Proc[[#This Row],[DaysAgeing]]&gt;5,"yep","on track")</f>
        <v>on track</v>
      </c>
      <c r="Q2368" s="3">
        <f ca="1">IF(Proc[[#This Row],[DateClosed]]="",ABS(NETWORKDAYS(Proc[[#This Row],[DateOpened]],TODAY()))-1,ABS(NETWORKDAYS(Proc[[#This Row],[DateOpened]],Proc[[#This Row],[DateClosed]]))-1)</f>
        <v>0</v>
      </c>
      <c r="R2368" s="108" t="s">
        <v>808</v>
      </c>
      <c r="S2368" s="96"/>
    </row>
    <row r="2369" spans="1:19">
      <c r="A2369" s="105" t="s">
        <v>4712</v>
      </c>
      <c r="B2369" s="96" t="str">
        <f>IFERROR(VLOOKUP(Proc[[#This Row],[App]],Table2[],3,0),"open")</f>
        <v>open</v>
      </c>
      <c r="C2369" s="105" t="s">
        <v>375</v>
      </c>
      <c r="D2369" t="s">
        <v>4776</v>
      </c>
      <c r="E2369" t="s">
        <v>4771</v>
      </c>
      <c r="F2369" s="96" t="s">
        <v>4769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4814</v>
      </c>
      <c r="J2369" s="96" t="b">
        <f>Proc[[#This Row],[Requested]]=Proc[[#This Row],[CurrentParent]]</f>
        <v>0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2841</v>
      </c>
      <c r="M2369" s="107">
        <v>45825.476678240739</v>
      </c>
      <c r="N2369" s="107"/>
      <c r="O2369" s="107"/>
      <c r="P2369" s="108" t="str">
        <f ca="1">IF(Proc[[#This Row],[DaysAgeing]]&gt;5,"yep","on track")</f>
        <v>on track</v>
      </c>
      <c r="Q2369" s="3">
        <f ca="1">IF(Proc[[#This Row],[DateClosed]]="",ABS(NETWORKDAYS(Proc[[#This Row],[DateOpened]],TODAY()))-1,ABS(NETWORKDAYS(Proc[[#This Row],[DateOpened]],Proc[[#This Row],[DateClosed]]))-1)</f>
        <v>0</v>
      </c>
      <c r="R2369" s="108" t="s">
        <v>808</v>
      </c>
      <c r="S2369" s="96"/>
    </row>
    <row r="2370" spans="1:19">
      <c r="A2370" s="105" t="s">
        <v>4712</v>
      </c>
      <c r="B2370" s="96" t="str">
        <f>IFERROR(VLOOKUP(Proc[[#This Row],[App]],Table2[],3,0),"open")</f>
        <v>open</v>
      </c>
      <c r="C2370" s="105" t="s">
        <v>375</v>
      </c>
      <c r="D2370" t="s">
        <v>4777</v>
      </c>
      <c r="E2370" t="s">
        <v>4771</v>
      </c>
      <c r="F2370" s="96" t="s">
        <v>4769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4814</v>
      </c>
      <c r="J2370" s="96" t="b">
        <f>Proc[[#This Row],[Requested]]=Proc[[#This Row],[CurrentParent]]</f>
        <v>0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2841</v>
      </c>
      <c r="M2370" s="107">
        <v>45825.476678240739</v>
      </c>
      <c r="N2370" s="107"/>
      <c r="O2370" s="107"/>
      <c r="P2370" s="108" t="str">
        <f ca="1">IF(Proc[[#This Row],[DaysAgeing]]&gt;5,"yep","on track")</f>
        <v>on track</v>
      </c>
      <c r="Q2370" s="3">
        <f ca="1">IF(Proc[[#This Row],[DateClosed]]="",ABS(NETWORKDAYS(Proc[[#This Row],[DateOpened]],TODAY()))-1,ABS(NETWORKDAYS(Proc[[#This Row],[DateOpened]],Proc[[#This Row],[DateClosed]]))-1)</f>
        <v>0</v>
      </c>
      <c r="R2370" s="108" t="s">
        <v>808</v>
      </c>
      <c r="S2370" s="96"/>
    </row>
    <row r="2371" spans="1:19">
      <c r="A2371" s="105" t="s">
        <v>4712</v>
      </c>
      <c r="B2371" s="96" t="str">
        <f>IFERROR(VLOOKUP(Proc[[#This Row],[App]],Table2[],3,0),"open")</f>
        <v>open</v>
      </c>
      <c r="C2371" s="105" t="s">
        <v>375</v>
      </c>
      <c r="D2371" t="s">
        <v>4778</v>
      </c>
      <c r="E2371" t="s">
        <v>4771</v>
      </c>
      <c r="F2371" s="96" t="s">
        <v>4769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4814</v>
      </c>
      <c r="J2371" s="96" t="b">
        <f>Proc[[#This Row],[Requested]]=Proc[[#This Row],[CurrentParent]]</f>
        <v>0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2841</v>
      </c>
      <c r="M2371" s="107">
        <v>45825.476678240739</v>
      </c>
      <c r="N2371" s="107"/>
      <c r="O2371" s="107"/>
      <c r="P2371" s="108" t="str">
        <f ca="1">IF(Proc[[#This Row],[DaysAgeing]]&gt;5,"yep","on track")</f>
        <v>on track</v>
      </c>
      <c r="Q2371" s="3">
        <f ca="1">IF(Proc[[#This Row],[DateClosed]]="",ABS(NETWORKDAYS(Proc[[#This Row],[DateOpened]],TODAY()))-1,ABS(NETWORKDAYS(Proc[[#This Row],[DateOpened]],Proc[[#This Row],[DateClosed]]))-1)</f>
        <v>0</v>
      </c>
      <c r="R2371" s="108" t="s">
        <v>808</v>
      </c>
      <c r="S2371" s="96"/>
    </row>
    <row r="2372" spans="1:19">
      <c r="A2372" s="105" t="s">
        <v>4712</v>
      </c>
      <c r="B2372" s="96" t="str">
        <f>IFERROR(VLOOKUP(Proc[[#This Row],[App]],Table2[],3,0),"open")</f>
        <v>open</v>
      </c>
      <c r="C2372" s="105" t="s">
        <v>375</v>
      </c>
      <c r="D2372" t="s">
        <v>4779</v>
      </c>
      <c r="E2372" t="s">
        <v>4771</v>
      </c>
      <c r="F2372" s="96" t="s">
        <v>4769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4814</v>
      </c>
      <c r="J2372" s="96" t="b">
        <f>Proc[[#This Row],[Requested]]=Proc[[#This Row],[CurrentParent]]</f>
        <v>0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2841</v>
      </c>
      <c r="M2372" s="107">
        <v>45825.476678240739</v>
      </c>
      <c r="N2372" s="107"/>
      <c r="O2372" s="107"/>
      <c r="P2372" s="108" t="str">
        <f ca="1">IF(Proc[[#This Row],[DaysAgeing]]&gt;5,"yep","on track")</f>
        <v>on track</v>
      </c>
      <c r="Q2372" s="3">
        <f ca="1">IF(Proc[[#This Row],[DateClosed]]="",ABS(NETWORKDAYS(Proc[[#This Row],[DateOpened]],TODAY()))-1,ABS(NETWORKDAYS(Proc[[#This Row],[DateOpened]],Proc[[#This Row],[DateClosed]]))-1)</f>
        <v>0</v>
      </c>
      <c r="R2372" s="108" t="s">
        <v>808</v>
      </c>
      <c r="S2372" s="96"/>
    </row>
    <row r="2373" spans="1:19">
      <c r="A2373" s="105" t="s">
        <v>4712</v>
      </c>
      <c r="B2373" s="96" t="str">
        <f>IFERROR(VLOOKUP(Proc[[#This Row],[App]],Table2[],3,0),"open")</f>
        <v>open</v>
      </c>
      <c r="C2373" s="105" t="s">
        <v>375</v>
      </c>
      <c r="D2373" t="s">
        <v>4780</v>
      </c>
      <c r="E2373" t="s">
        <v>4771</v>
      </c>
      <c r="F2373" s="96" t="s">
        <v>4769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4814</v>
      </c>
      <c r="J2373" s="96" t="b">
        <f>Proc[[#This Row],[Requested]]=Proc[[#This Row],[CurrentParent]]</f>
        <v>0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2841</v>
      </c>
      <c r="M2373" s="107">
        <v>45825.476678240739</v>
      </c>
      <c r="N2373" s="107"/>
      <c r="O2373" s="107"/>
      <c r="P2373" s="108" t="str">
        <f ca="1">IF(Proc[[#This Row],[DaysAgeing]]&gt;5,"yep","on track")</f>
        <v>on track</v>
      </c>
      <c r="Q2373" s="3">
        <f ca="1">IF(Proc[[#This Row],[DateClosed]]="",ABS(NETWORKDAYS(Proc[[#This Row],[DateOpened]],TODAY()))-1,ABS(NETWORKDAYS(Proc[[#This Row],[DateOpened]],Proc[[#This Row],[DateClosed]]))-1)</f>
        <v>0</v>
      </c>
      <c r="R2373" s="108" t="s">
        <v>808</v>
      </c>
      <c r="S2373" s="96"/>
    </row>
    <row r="2374" spans="1:19">
      <c r="A2374" s="105" t="s">
        <v>4712</v>
      </c>
      <c r="B2374" s="96" t="str">
        <f>IFERROR(VLOOKUP(Proc[[#This Row],[App]],Table2[],3,0),"open")</f>
        <v>open</v>
      </c>
      <c r="C2374" s="105" t="s">
        <v>375</v>
      </c>
      <c r="D2374" t="s">
        <v>4781</v>
      </c>
      <c r="E2374" t="s">
        <v>4772</v>
      </c>
      <c r="F2374" s="96" t="s">
        <v>4770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4814</v>
      </c>
      <c r="J2374" s="96" t="b">
        <f>Proc[[#This Row],[Requested]]=Proc[[#This Row],[CurrentParent]]</f>
        <v>0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2841</v>
      </c>
      <c r="M2374" s="107">
        <v>45825.476678240739</v>
      </c>
      <c r="N2374" s="107"/>
      <c r="O2374" s="107"/>
      <c r="P2374" s="108" t="str">
        <f ca="1">IF(Proc[[#This Row],[DaysAgeing]]&gt;5,"yep","on track")</f>
        <v>on track</v>
      </c>
      <c r="Q2374" s="3">
        <f ca="1">IF(Proc[[#This Row],[DateClosed]]="",ABS(NETWORKDAYS(Proc[[#This Row],[DateOpened]],TODAY()))-1,ABS(NETWORKDAYS(Proc[[#This Row],[DateOpened]],Proc[[#This Row],[DateClosed]]))-1)</f>
        <v>0</v>
      </c>
      <c r="R2374" s="108" t="s">
        <v>808</v>
      </c>
      <c r="S2374" s="96"/>
    </row>
    <row r="2375" spans="1:19">
      <c r="A2375" s="105" t="s">
        <v>4712</v>
      </c>
      <c r="B2375" s="96" t="str">
        <f>IFERROR(VLOOKUP(Proc[[#This Row],[App]],Table2[],3,0),"open")</f>
        <v>open</v>
      </c>
      <c r="C2375" s="105" t="s">
        <v>375</v>
      </c>
      <c r="D2375" t="s">
        <v>4782</v>
      </c>
      <c r="E2375" t="s">
        <v>4772</v>
      </c>
      <c r="F2375" s="96" t="s">
        <v>4770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4814</v>
      </c>
      <c r="J2375" s="96" t="b">
        <f>Proc[[#This Row],[Requested]]=Proc[[#This Row],[CurrentParent]]</f>
        <v>0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2841</v>
      </c>
      <c r="M2375" s="107">
        <v>45825.476678240739</v>
      </c>
      <c r="N2375" s="107"/>
      <c r="O2375" s="107"/>
      <c r="P2375" s="108" t="str">
        <f ca="1">IF(Proc[[#This Row],[DaysAgeing]]&gt;5,"yep","on track")</f>
        <v>on track</v>
      </c>
      <c r="Q2375" s="3">
        <f ca="1">IF(Proc[[#This Row],[DateClosed]]="",ABS(NETWORKDAYS(Proc[[#This Row],[DateOpened]],TODAY()))-1,ABS(NETWORKDAYS(Proc[[#This Row],[DateOpened]],Proc[[#This Row],[DateClosed]]))-1)</f>
        <v>0</v>
      </c>
      <c r="R2375" s="108" t="s">
        <v>808</v>
      </c>
      <c r="S2375" s="96"/>
    </row>
    <row r="2376" spans="1:19">
      <c r="A2376" s="105" t="s">
        <v>4712</v>
      </c>
      <c r="B2376" s="96" t="str">
        <f>IFERROR(VLOOKUP(Proc[[#This Row],[App]],Table2[],3,0),"open")</f>
        <v>open</v>
      </c>
      <c r="C2376" s="105" t="s">
        <v>375</v>
      </c>
      <c r="D2376" t="s">
        <v>4783</v>
      </c>
      <c r="E2376" t="s">
        <v>4772</v>
      </c>
      <c r="F2376" s="96" t="s">
        <v>4770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4814</v>
      </c>
      <c r="J2376" s="96" t="b">
        <f>Proc[[#This Row],[Requested]]=Proc[[#This Row],[CurrentParent]]</f>
        <v>0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2841</v>
      </c>
      <c r="M2376" s="107">
        <v>45825.476678240739</v>
      </c>
      <c r="N2376" s="107"/>
      <c r="O2376" s="107"/>
      <c r="P2376" s="108" t="str">
        <f ca="1">IF(Proc[[#This Row],[DaysAgeing]]&gt;5,"yep","on track")</f>
        <v>on track</v>
      </c>
      <c r="Q2376" s="3">
        <f ca="1">IF(Proc[[#This Row],[DateClosed]]="",ABS(NETWORKDAYS(Proc[[#This Row],[DateOpened]],TODAY()))-1,ABS(NETWORKDAYS(Proc[[#This Row],[DateOpened]],Proc[[#This Row],[DateClosed]]))-1)</f>
        <v>0</v>
      </c>
      <c r="R2376" s="108" t="s">
        <v>808</v>
      </c>
      <c r="S2376" s="96"/>
    </row>
    <row r="2377" spans="1:19">
      <c r="A2377" s="105" t="s">
        <v>4712</v>
      </c>
      <c r="B2377" s="96" t="str">
        <f>IFERROR(VLOOKUP(Proc[[#This Row],[App]],Table2[],3,0),"open")</f>
        <v>open</v>
      </c>
      <c r="C2377" s="105" t="s">
        <v>375</v>
      </c>
      <c r="D2377" t="s">
        <v>4784</v>
      </c>
      <c r="E2377" t="s">
        <v>4772</v>
      </c>
      <c r="F2377" s="96" t="s">
        <v>4770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4814</v>
      </c>
      <c r="J2377" s="96" t="b">
        <f>Proc[[#This Row],[Requested]]=Proc[[#This Row],[CurrentParent]]</f>
        <v>0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2841</v>
      </c>
      <c r="M2377" s="107">
        <v>45825.476678240739</v>
      </c>
      <c r="N2377" s="107"/>
      <c r="O2377" s="107"/>
      <c r="P2377" s="108" t="str">
        <f ca="1">IF(Proc[[#This Row],[DaysAgeing]]&gt;5,"yep","on track")</f>
        <v>on track</v>
      </c>
      <c r="Q2377" s="3">
        <f ca="1">IF(Proc[[#This Row],[DateClosed]]="",ABS(NETWORKDAYS(Proc[[#This Row],[DateOpened]],TODAY()))-1,ABS(NETWORKDAYS(Proc[[#This Row],[DateOpened]],Proc[[#This Row],[DateClosed]]))-1)</f>
        <v>0</v>
      </c>
      <c r="R2377" s="108" t="s">
        <v>808</v>
      </c>
      <c r="S2377" s="96"/>
    </row>
    <row r="2378" spans="1:19">
      <c r="A2378" s="105" t="s">
        <v>4712</v>
      </c>
      <c r="B2378" s="96" t="str">
        <f>IFERROR(VLOOKUP(Proc[[#This Row],[App]],Table2[],3,0),"open")</f>
        <v>open</v>
      </c>
      <c r="C2378" s="105" t="s">
        <v>375</v>
      </c>
      <c r="D2378" t="s">
        <v>4785</v>
      </c>
      <c r="E2378" t="s">
        <v>4772</v>
      </c>
      <c r="F2378" s="96" t="s">
        <v>4770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4814</v>
      </c>
      <c r="J2378" s="96" t="b">
        <f>Proc[[#This Row],[Requested]]=Proc[[#This Row],[CurrentParent]]</f>
        <v>0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2841</v>
      </c>
      <c r="M2378" s="107">
        <v>45825.476678240739</v>
      </c>
      <c r="N2378" s="107"/>
      <c r="O2378" s="107"/>
      <c r="P2378" s="108" t="str">
        <f ca="1">IF(Proc[[#This Row],[DaysAgeing]]&gt;5,"yep","on track")</f>
        <v>on track</v>
      </c>
      <c r="Q2378" s="3">
        <f ca="1">IF(Proc[[#This Row],[DateClosed]]="",ABS(NETWORKDAYS(Proc[[#This Row],[DateOpened]],TODAY()))-1,ABS(NETWORKDAYS(Proc[[#This Row],[DateOpened]],Proc[[#This Row],[DateClosed]]))-1)</f>
        <v>0</v>
      </c>
      <c r="R2378" s="108" t="s">
        <v>808</v>
      </c>
      <c r="S2378" s="96"/>
    </row>
    <row r="2379" spans="1:19">
      <c r="A2379" s="105" t="s">
        <v>4712</v>
      </c>
      <c r="B2379" s="96" t="str">
        <f>IFERROR(VLOOKUP(Proc[[#This Row],[App]],Table2[],3,0),"open")</f>
        <v>open</v>
      </c>
      <c r="C2379" s="105" t="s">
        <v>375</v>
      </c>
      <c r="D2379" t="s">
        <v>4786</v>
      </c>
      <c r="E2379" t="s">
        <v>4772</v>
      </c>
      <c r="F2379" s="96" t="s">
        <v>4770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4814</v>
      </c>
      <c r="J2379" s="96" t="b">
        <f>Proc[[#This Row],[Requested]]=Proc[[#This Row],[CurrentParent]]</f>
        <v>0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2841</v>
      </c>
      <c r="M2379" s="107">
        <v>45825.476678240739</v>
      </c>
      <c r="N2379" s="107"/>
      <c r="O2379" s="107"/>
      <c r="P2379" s="108" t="str">
        <f ca="1">IF(Proc[[#This Row],[DaysAgeing]]&gt;5,"yep","on track")</f>
        <v>on track</v>
      </c>
      <c r="Q2379" s="3">
        <f ca="1">IF(Proc[[#This Row],[DateClosed]]="",ABS(NETWORKDAYS(Proc[[#This Row],[DateOpened]],TODAY()))-1,ABS(NETWORKDAYS(Proc[[#This Row],[DateOpened]],Proc[[#This Row],[DateClosed]]))-1)</f>
        <v>0</v>
      </c>
      <c r="R2379" s="108" t="s">
        <v>808</v>
      </c>
      <c r="S2379" s="96"/>
    </row>
    <row r="2380" spans="1:19">
      <c r="A2380" s="105" t="s">
        <v>4712</v>
      </c>
      <c r="B2380" s="96" t="str">
        <f>IFERROR(VLOOKUP(Proc[[#This Row],[App]],Table2[],3,0),"open")</f>
        <v>open</v>
      </c>
      <c r="C2380" s="105" t="s">
        <v>375</v>
      </c>
      <c r="D2380" t="s">
        <v>4787</v>
      </c>
      <c r="E2380" t="s">
        <v>4772</v>
      </c>
      <c r="F2380" s="96" t="s">
        <v>4770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4814</v>
      </c>
      <c r="J2380" s="96" t="b">
        <f>Proc[[#This Row],[Requested]]=Proc[[#This Row],[CurrentParent]]</f>
        <v>0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2841</v>
      </c>
      <c r="M2380" s="107">
        <v>45825.476678240739</v>
      </c>
      <c r="N2380" s="107"/>
      <c r="O2380" s="107"/>
      <c r="P2380" s="108" t="str">
        <f ca="1">IF(Proc[[#This Row],[DaysAgeing]]&gt;5,"yep","on track")</f>
        <v>on track</v>
      </c>
      <c r="Q2380" s="3">
        <f ca="1">IF(Proc[[#This Row],[DateClosed]]="",ABS(NETWORKDAYS(Proc[[#This Row],[DateOpened]],TODAY()))-1,ABS(NETWORKDAYS(Proc[[#This Row],[DateOpened]],Proc[[#This Row],[DateClosed]]))-1)</f>
        <v>0</v>
      </c>
      <c r="R2380" s="108" t="s">
        <v>808</v>
      </c>
      <c r="S2380" s="96"/>
    </row>
    <row r="2381" spans="1:19">
      <c r="A2381" s="105" t="s">
        <v>4712</v>
      </c>
      <c r="B2381" s="96" t="str">
        <f>IFERROR(VLOOKUP(Proc[[#This Row],[App]],Table2[],3,0),"open")</f>
        <v>open</v>
      </c>
      <c r="C2381" s="105" t="s">
        <v>375</v>
      </c>
      <c r="D2381" t="s">
        <v>4788</v>
      </c>
      <c r="E2381" t="s">
        <v>4772</v>
      </c>
      <c r="F2381" s="96" t="s">
        <v>4770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4814</v>
      </c>
      <c r="J2381" s="96" t="b">
        <f>Proc[[#This Row],[Requested]]=Proc[[#This Row],[CurrentParent]]</f>
        <v>0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2841</v>
      </c>
      <c r="M2381" s="107">
        <v>45825.476678240739</v>
      </c>
      <c r="N2381" s="107"/>
      <c r="O2381" s="107"/>
      <c r="P2381" s="108" t="str">
        <f ca="1">IF(Proc[[#This Row],[DaysAgeing]]&gt;5,"yep","on track")</f>
        <v>on track</v>
      </c>
      <c r="Q2381" s="3">
        <f ca="1">IF(Proc[[#This Row],[DateClosed]]="",ABS(NETWORKDAYS(Proc[[#This Row],[DateOpened]],TODAY()))-1,ABS(NETWORKDAYS(Proc[[#This Row],[DateOpened]],Proc[[#This Row],[DateClosed]]))-1)</f>
        <v>0</v>
      </c>
      <c r="R2381" s="108" t="s">
        <v>808</v>
      </c>
      <c r="S2381" s="96"/>
    </row>
    <row r="2382" spans="1:19">
      <c r="A2382" s="105" t="s">
        <v>4712</v>
      </c>
      <c r="B2382" s="96" t="str">
        <f>IFERROR(VLOOKUP(Proc[[#This Row],[App]],Table2[],3,0),"open")</f>
        <v>open</v>
      </c>
      <c r="C2382" s="105" t="s">
        <v>375</v>
      </c>
      <c r="D2382" t="s">
        <v>4789</v>
      </c>
      <c r="E2382" t="s">
        <v>4772</v>
      </c>
      <c r="F2382" s="96" t="s">
        <v>4770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4814</v>
      </c>
      <c r="J2382" s="96" t="b">
        <f>Proc[[#This Row],[Requested]]=Proc[[#This Row],[CurrentParent]]</f>
        <v>0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2841</v>
      </c>
      <c r="M2382" s="107">
        <v>45825.476678240739</v>
      </c>
      <c r="N2382" s="107"/>
      <c r="O2382" s="107"/>
      <c r="P2382" s="108" t="str">
        <f ca="1">IF(Proc[[#This Row],[DaysAgeing]]&gt;5,"yep","on track")</f>
        <v>on track</v>
      </c>
      <c r="Q2382" s="3">
        <f ca="1">IF(Proc[[#This Row],[DateClosed]]="",ABS(NETWORKDAYS(Proc[[#This Row],[DateOpened]],TODAY()))-1,ABS(NETWORKDAYS(Proc[[#This Row],[DateOpened]],Proc[[#This Row],[DateClosed]]))-1)</f>
        <v>0</v>
      </c>
      <c r="R2382" s="108" t="s">
        <v>808</v>
      </c>
      <c r="S2382" s="96"/>
    </row>
    <row r="2383" spans="1:19">
      <c r="A2383" s="105" t="s">
        <v>4712</v>
      </c>
      <c r="B2383" s="96" t="str">
        <f>IFERROR(VLOOKUP(Proc[[#This Row],[App]],Table2[],3,0),"open")</f>
        <v>open</v>
      </c>
      <c r="C2383" s="105" t="s">
        <v>375</v>
      </c>
      <c r="D2383" t="s">
        <v>4790</v>
      </c>
      <c r="E2383" t="s">
        <v>4772</v>
      </c>
      <c r="F2383" s="96" t="s">
        <v>4770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4814</v>
      </c>
      <c r="J2383" s="96" t="b">
        <f>Proc[[#This Row],[Requested]]=Proc[[#This Row],[CurrentParent]]</f>
        <v>0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2841</v>
      </c>
      <c r="M2383" s="107">
        <v>45825.476678240739</v>
      </c>
      <c r="N2383" s="107"/>
      <c r="O2383" s="107"/>
      <c r="P2383" s="108" t="str">
        <f ca="1">IF(Proc[[#This Row],[DaysAgeing]]&gt;5,"yep","on track")</f>
        <v>on track</v>
      </c>
      <c r="Q2383" s="3">
        <f ca="1">IF(Proc[[#This Row],[DateClosed]]="",ABS(NETWORKDAYS(Proc[[#This Row],[DateOpened]],TODAY()))-1,ABS(NETWORKDAYS(Proc[[#This Row],[DateOpened]],Proc[[#This Row],[DateClosed]]))-1)</f>
        <v>0</v>
      </c>
      <c r="R2383" s="108" t="s">
        <v>808</v>
      </c>
      <c r="S2383" s="96"/>
    </row>
    <row r="2384" spans="1:19">
      <c r="A2384" s="105" t="s">
        <v>4712</v>
      </c>
      <c r="B2384" s="96" t="str">
        <f>IFERROR(VLOOKUP(Proc[[#This Row],[App]],Table2[],3,0),"open")</f>
        <v>open</v>
      </c>
      <c r="C2384" s="105" t="s">
        <v>375</v>
      </c>
      <c r="D2384" t="s">
        <v>4791</v>
      </c>
      <c r="E2384" t="s">
        <v>4772</v>
      </c>
      <c r="F2384" s="96" t="s">
        <v>4770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4814</v>
      </c>
      <c r="J2384" s="96" t="b">
        <f>Proc[[#This Row],[Requested]]=Proc[[#This Row],[CurrentParent]]</f>
        <v>0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2841</v>
      </c>
      <c r="M2384" s="107">
        <v>45825.476678240739</v>
      </c>
      <c r="N2384" s="107"/>
      <c r="O2384" s="107"/>
      <c r="P2384" s="108" t="str">
        <f ca="1">IF(Proc[[#This Row],[DaysAgeing]]&gt;5,"yep","on track")</f>
        <v>on track</v>
      </c>
      <c r="Q2384" s="3">
        <f ca="1">IF(Proc[[#This Row],[DateClosed]]="",ABS(NETWORKDAYS(Proc[[#This Row],[DateOpened]],TODAY()))-1,ABS(NETWORKDAYS(Proc[[#This Row],[DateOpened]],Proc[[#This Row],[DateClosed]]))-1)</f>
        <v>0</v>
      </c>
      <c r="R2384" s="108" t="s">
        <v>808</v>
      </c>
      <c r="S2384" s="96"/>
    </row>
    <row r="2385" spans="1:19">
      <c r="A2385" s="105" t="s">
        <v>4712</v>
      </c>
      <c r="B2385" s="96" t="str">
        <f>IFERROR(VLOOKUP(Proc[[#This Row],[App]],Table2[],3,0),"open")</f>
        <v>open</v>
      </c>
      <c r="C2385" s="105" t="s">
        <v>375</v>
      </c>
      <c r="D2385" t="s">
        <v>4792</v>
      </c>
      <c r="E2385" t="s">
        <v>4772</v>
      </c>
      <c r="F2385" s="96" t="s">
        <v>4770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4814</v>
      </c>
      <c r="J2385" s="96" t="b">
        <f>Proc[[#This Row],[Requested]]=Proc[[#This Row],[CurrentParent]]</f>
        <v>0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2841</v>
      </c>
      <c r="M2385" s="107">
        <v>45825.476678240739</v>
      </c>
      <c r="N2385" s="107"/>
      <c r="O2385" s="107"/>
      <c r="P2385" s="108" t="str">
        <f ca="1">IF(Proc[[#This Row],[DaysAgeing]]&gt;5,"yep","on track")</f>
        <v>on track</v>
      </c>
      <c r="Q2385" s="3">
        <f ca="1">IF(Proc[[#This Row],[DateClosed]]="",ABS(NETWORKDAYS(Proc[[#This Row],[DateOpened]],TODAY()))-1,ABS(NETWORKDAYS(Proc[[#This Row],[DateOpened]],Proc[[#This Row],[DateClosed]]))-1)</f>
        <v>0</v>
      </c>
      <c r="R2385" s="108" t="s">
        <v>808</v>
      </c>
      <c r="S2385" s="96"/>
    </row>
    <row r="2386" spans="1:19">
      <c r="A2386" s="105" t="s">
        <v>4712</v>
      </c>
      <c r="B2386" s="96" t="str">
        <f>IFERROR(VLOOKUP(Proc[[#This Row],[App]],Table2[],3,0),"open")</f>
        <v>open</v>
      </c>
      <c r="C2386" s="105" t="s">
        <v>375</v>
      </c>
      <c r="D2386" t="s">
        <v>4793</v>
      </c>
      <c r="E2386" t="s">
        <v>4772</v>
      </c>
      <c r="F2386" s="96" t="s">
        <v>4770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4814</v>
      </c>
      <c r="J2386" s="96" t="b">
        <f>Proc[[#This Row],[Requested]]=Proc[[#This Row],[CurrentParent]]</f>
        <v>0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2841</v>
      </c>
      <c r="M2386" s="107">
        <v>45825.476678240739</v>
      </c>
      <c r="N2386" s="107"/>
      <c r="O2386" s="107"/>
      <c r="P2386" s="108" t="str">
        <f ca="1">IF(Proc[[#This Row],[DaysAgeing]]&gt;5,"yep","on track")</f>
        <v>on track</v>
      </c>
      <c r="Q2386" s="3">
        <f ca="1">IF(Proc[[#This Row],[DateClosed]]="",ABS(NETWORKDAYS(Proc[[#This Row],[DateOpened]],TODAY()))-1,ABS(NETWORKDAYS(Proc[[#This Row],[DateOpened]],Proc[[#This Row],[DateClosed]]))-1)</f>
        <v>0</v>
      </c>
      <c r="R2386" s="108" t="s">
        <v>808</v>
      </c>
      <c r="S2386" s="96"/>
    </row>
    <row r="2387" spans="1:19">
      <c r="A2387" s="105" t="s">
        <v>4712</v>
      </c>
      <c r="B2387" s="96" t="str">
        <f>IFERROR(VLOOKUP(Proc[[#This Row],[App]],Table2[],3,0),"open")</f>
        <v>open</v>
      </c>
      <c r="C2387" s="105" t="s">
        <v>375</v>
      </c>
      <c r="D2387" t="s">
        <v>4794</v>
      </c>
      <c r="E2387" t="s">
        <v>4772</v>
      </c>
      <c r="F2387" s="96" t="s">
        <v>4770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4814</v>
      </c>
      <c r="J2387" s="96" t="b">
        <f>Proc[[#This Row],[Requested]]=Proc[[#This Row],[CurrentParent]]</f>
        <v>0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2841</v>
      </c>
      <c r="M2387" s="107">
        <v>45825.476678240739</v>
      </c>
      <c r="N2387" s="107"/>
      <c r="O2387" s="107"/>
      <c r="P2387" s="108" t="str">
        <f ca="1">IF(Proc[[#This Row],[DaysAgeing]]&gt;5,"yep","on track")</f>
        <v>on track</v>
      </c>
      <c r="Q2387" s="3">
        <f ca="1">IF(Proc[[#This Row],[DateClosed]]="",ABS(NETWORKDAYS(Proc[[#This Row],[DateOpened]],TODAY()))-1,ABS(NETWORKDAYS(Proc[[#This Row],[DateOpened]],Proc[[#This Row],[DateClosed]]))-1)</f>
        <v>0</v>
      </c>
      <c r="R2387" s="108" t="s">
        <v>808</v>
      </c>
      <c r="S2387" s="96"/>
    </row>
    <row r="2388" spans="1:19">
      <c r="A2388" s="105" t="s">
        <v>4712</v>
      </c>
      <c r="B2388" s="96" t="str">
        <f>IFERROR(VLOOKUP(Proc[[#This Row],[App]],Table2[],3,0),"open")</f>
        <v>open</v>
      </c>
      <c r="C2388" s="105" t="s">
        <v>375</v>
      </c>
      <c r="D2388" t="s">
        <v>4795</v>
      </c>
      <c r="E2388" t="s">
        <v>4772</v>
      </c>
      <c r="F2388" s="96" t="s">
        <v>4770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4814</v>
      </c>
      <c r="J2388" s="96" t="b">
        <f>Proc[[#This Row],[Requested]]=Proc[[#This Row],[CurrentParent]]</f>
        <v>0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2841</v>
      </c>
      <c r="M2388" s="107">
        <v>45825.476678240739</v>
      </c>
      <c r="N2388" s="107"/>
      <c r="O2388" s="107"/>
      <c r="P2388" s="108" t="str">
        <f ca="1">IF(Proc[[#This Row],[DaysAgeing]]&gt;5,"yep","on track")</f>
        <v>on track</v>
      </c>
      <c r="Q2388" s="3">
        <f ca="1">IF(Proc[[#This Row],[DateClosed]]="",ABS(NETWORKDAYS(Proc[[#This Row],[DateOpened]],TODAY()))-1,ABS(NETWORKDAYS(Proc[[#This Row],[DateOpened]],Proc[[#This Row],[DateClosed]]))-1)</f>
        <v>0</v>
      </c>
      <c r="R2388" s="108" t="s">
        <v>808</v>
      </c>
      <c r="S2388" s="96"/>
    </row>
    <row r="2389" spans="1:19">
      <c r="A2389" s="105" t="s">
        <v>4712</v>
      </c>
      <c r="B2389" s="96" t="str">
        <f>IFERROR(VLOOKUP(Proc[[#This Row],[App]],Table2[],3,0),"open")</f>
        <v>open</v>
      </c>
      <c r="C2389" s="105" t="s">
        <v>375</v>
      </c>
      <c r="D2389" t="s">
        <v>4796</v>
      </c>
      <c r="E2389" t="s">
        <v>4772</v>
      </c>
      <c r="F2389" s="96" t="s">
        <v>4770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4814</v>
      </c>
      <c r="J2389" s="96" t="b">
        <f>Proc[[#This Row],[Requested]]=Proc[[#This Row],[CurrentParent]]</f>
        <v>0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2841</v>
      </c>
      <c r="M2389" s="107">
        <v>45825.476678240739</v>
      </c>
      <c r="N2389" s="107"/>
      <c r="O2389" s="107"/>
      <c r="P2389" s="108" t="str">
        <f ca="1">IF(Proc[[#This Row],[DaysAgeing]]&gt;5,"yep","on track")</f>
        <v>on track</v>
      </c>
      <c r="Q2389" s="3">
        <f ca="1">IF(Proc[[#This Row],[DateClosed]]="",ABS(NETWORKDAYS(Proc[[#This Row],[DateOpened]],TODAY()))-1,ABS(NETWORKDAYS(Proc[[#This Row],[DateOpened]],Proc[[#This Row],[DateClosed]]))-1)</f>
        <v>0</v>
      </c>
      <c r="R2389" s="108" t="s">
        <v>808</v>
      </c>
      <c r="S2389" s="96"/>
    </row>
    <row r="2390" spans="1:19">
      <c r="A2390" s="105" t="s">
        <v>4712</v>
      </c>
      <c r="B2390" s="96" t="str">
        <f>IFERROR(VLOOKUP(Proc[[#This Row],[App]],Table2[],3,0),"open")</f>
        <v>open</v>
      </c>
      <c r="C2390" s="105" t="s">
        <v>375</v>
      </c>
      <c r="D2390" t="s">
        <v>4797</v>
      </c>
      <c r="E2390" t="s">
        <v>4772</v>
      </c>
      <c r="F2390" s="96" t="s">
        <v>4770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4814</v>
      </c>
      <c r="J2390" s="96" t="b">
        <f>Proc[[#This Row],[Requested]]=Proc[[#This Row],[CurrentParent]]</f>
        <v>0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2841</v>
      </c>
      <c r="M2390" s="107">
        <v>45825.476678240739</v>
      </c>
      <c r="N2390" s="107"/>
      <c r="O2390" s="107"/>
      <c r="P2390" s="108" t="str">
        <f ca="1">IF(Proc[[#This Row],[DaysAgeing]]&gt;5,"yep","on track")</f>
        <v>on track</v>
      </c>
      <c r="Q2390" s="3">
        <f ca="1">IF(Proc[[#This Row],[DateClosed]]="",ABS(NETWORKDAYS(Proc[[#This Row],[DateOpened]],TODAY()))-1,ABS(NETWORKDAYS(Proc[[#This Row],[DateOpened]],Proc[[#This Row],[DateClosed]]))-1)</f>
        <v>0</v>
      </c>
      <c r="R2390" s="108" t="s">
        <v>808</v>
      </c>
      <c r="S2390" s="96"/>
    </row>
    <row r="2391" spans="1:19">
      <c r="A2391" s="105" t="s">
        <v>4712</v>
      </c>
      <c r="B2391" s="96" t="str">
        <f>IFERROR(VLOOKUP(Proc[[#This Row],[App]],Table2[],3,0),"open")</f>
        <v>open</v>
      </c>
      <c r="C2391" s="105" t="s">
        <v>375</v>
      </c>
      <c r="D2391" t="s">
        <v>4798</v>
      </c>
      <c r="E2391" t="s">
        <v>4772</v>
      </c>
      <c r="F2391" s="96" t="s">
        <v>4770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4814</v>
      </c>
      <c r="J2391" s="96" t="b">
        <f>Proc[[#This Row],[Requested]]=Proc[[#This Row],[CurrentParent]]</f>
        <v>0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2841</v>
      </c>
      <c r="M2391" s="107">
        <v>45825.476678240739</v>
      </c>
      <c r="N2391" s="107"/>
      <c r="O2391" s="107"/>
      <c r="P2391" s="108" t="str">
        <f ca="1">IF(Proc[[#This Row],[DaysAgeing]]&gt;5,"yep","on track")</f>
        <v>on track</v>
      </c>
      <c r="Q2391" s="3">
        <f ca="1">IF(Proc[[#This Row],[DateClosed]]="",ABS(NETWORKDAYS(Proc[[#This Row],[DateOpened]],TODAY()))-1,ABS(NETWORKDAYS(Proc[[#This Row],[DateOpened]],Proc[[#This Row],[DateClosed]]))-1)</f>
        <v>0</v>
      </c>
      <c r="R2391" s="108" t="s">
        <v>808</v>
      </c>
      <c r="S2391" s="96"/>
    </row>
    <row r="2392" spans="1:19">
      <c r="A2392" t="s">
        <v>4813</v>
      </c>
      <c r="B2392" s="96" t="str">
        <f>IFERROR(VLOOKUP(Proc[[#This Row],[App]],Table2[],3,0),"open")</f>
        <v>open</v>
      </c>
      <c r="C2392" s="105" t="s">
        <v>370</v>
      </c>
      <c r="D2392" t="s">
        <v>4799</v>
      </c>
      <c r="E2392" t="s">
        <v>420</v>
      </c>
      <c r="F2392" s="96" t="s">
        <v>1098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0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2841</v>
      </c>
      <c r="M2392" s="107">
        <v>45825.508958333332</v>
      </c>
      <c r="N2392" s="107"/>
      <c r="O2392" s="107"/>
      <c r="P2392" s="108" t="str">
        <f ca="1">IF(Proc[[#This Row],[DaysAgeing]]&gt;5,"yep","on track")</f>
        <v>on track</v>
      </c>
      <c r="Q2392" s="3">
        <f ca="1">IF(Proc[[#This Row],[DateClosed]]="",ABS(NETWORKDAYS(Proc[[#This Row],[DateOpened]],TODAY()))-1,ABS(NETWORKDAYS(Proc[[#This Row],[DateOpened]],Proc[[#This Row],[DateClosed]]))-1)</f>
        <v>0</v>
      </c>
      <c r="R2392" s="108" t="s">
        <v>808</v>
      </c>
      <c r="S2392" s="96"/>
    </row>
    <row r="2393" spans="1:19">
      <c r="A2393" s="105" t="s">
        <v>4813</v>
      </c>
      <c r="B2393" s="96" t="str">
        <f>IFERROR(VLOOKUP(Proc[[#This Row],[App]],Table2[],3,0),"open")</f>
        <v>open</v>
      </c>
      <c r="C2393" s="105" t="s">
        <v>370</v>
      </c>
      <c r="D2393" t="s">
        <v>4800</v>
      </c>
      <c r="E2393" t="s">
        <v>420</v>
      </c>
      <c r="F2393" s="96" t="s">
        <v>1098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0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2841</v>
      </c>
      <c r="M2393" s="107">
        <v>45825.508958333332</v>
      </c>
      <c r="N2393" s="107"/>
      <c r="O2393" s="107"/>
      <c r="P2393" s="108" t="str">
        <f ca="1">IF(Proc[[#This Row],[DaysAgeing]]&gt;5,"yep","on track")</f>
        <v>on track</v>
      </c>
      <c r="Q2393" s="3">
        <f ca="1">IF(Proc[[#This Row],[DateClosed]]="",ABS(NETWORKDAYS(Proc[[#This Row],[DateOpened]],TODAY()))-1,ABS(NETWORKDAYS(Proc[[#This Row],[DateOpened]],Proc[[#This Row],[DateClosed]]))-1)</f>
        <v>0</v>
      </c>
      <c r="R2393" s="108" t="s">
        <v>808</v>
      </c>
      <c r="S2393" s="96"/>
    </row>
    <row r="2394" spans="1:19">
      <c r="A2394" s="105" t="s">
        <v>4813</v>
      </c>
      <c r="B2394" s="96" t="str">
        <f>IFERROR(VLOOKUP(Proc[[#This Row],[App]],Table2[],3,0),"open")</f>
        <v>open</v>
      </c>
      <c r="C2394" s="105" t="s">
        <v>370</v>
      </c>
      <c r="D2394" t="s">
        <v>4801</v>
      </c>
      <c r="E2394" t="s">
        <v>420</v>
      </c>
      <c r="F2394" s="96" t="s">
        <v>1098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0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2841</v>
      </c>
      <c r="M2394" s="107">
        <v>45825.508958333332</v>
      </c>
      <c r="N2394" s="107"/>
      <c r="O2394" s="107"/>
      <c r="P2394" s="108" t="str">
        <f ca="1">IF(Proc[[#This Row],[DaysAgeing]]&gt;5,"yep","on track")</f>
        <v>on track</v>
      </c>
      <c r="Q2394" s="3">
        <f ca="1">IF(Proc[[#This Row],[DateClosed]]="",ABS(NETWORKDAYS(Proc[[#This Row],[DateOpened]],TODAY()))-1,ABS(NETWORKDAYS(Proc[[#This Row],[DateOpened]],Proc[[#This Row],[DateClosed]]))-1)</f>
        <v>0</v>
      </c>
      <c r="R2394" s="108" t="s">
        <v>808</v>
      </c>
      <c r="S2394" s="96"/>
    </row>
    <row r="2395" spans="1:19">
      <c r="A2395" s="105" t="s">
        <v>4813</v>
      </c>
      <c r="B2395" s="96" t="str">
        <f>IFERROR(VLOOKUP(Proc[[#This Row],[App]],Table2[],3,0),"open")</f>
        <v>open</v>
      </c>
      <c r="C2395" s="105" t="s">
        <v>370</v>
      </c>
      <c r="D2395" t="s">
        <v>4802</v>
      </c>
      <c r="E2395" t="s">
        <v>420</v>
      </c>
      <c r="F2395" s="96" t="s">
        <v>1098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0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2841</v>
      </c>
      <c r="M2395" s="107">
        <v>45825.508958333332</v>
      </c>
      <c r="N2395" s="107"/>
      <c r="O2395" s="107"/>
      <c r="P2395" s="108" t="str">
        <f ca="1">IF(Proc[[#This Row],[DaysAgeing]]&gt;5,"yep","on track")</f>
        <v>on track</v>
      </c>
      <c r="Q2395" s="3">
        <f ca="1">IF(Proc[[#This Row],[DateClosed]]="",ABS(NETWORKDAYS(Proc[[#This Row],[DateOpened]],TODAY()))-1,ABS(NETWORKDAYS(Proc[[#This Row],[DateOpened]],Proc[[#This Row],[DateClosed]]))-1)</f>
        <v>0</v>
      </c>
      <c r="R2395" s="108" t="s">
        <v>808</v>
      </c>
      <c r="S2395" s="96"/>
    </row>
    <row r="2396" spans="1:19">
      <c r="A2396" s="105" t="s">
        <v>4813</v>
      </c>
      <c r="B2396" s="96" t="str">
        <f>IFERROR(VLOOKUP(Proc[[#This Row],[App]],Table2[],3,0),"open")</f>
        <v>open</v>
      </c>
      <c r="C2396" s="105" t="s">
        <v>370</v>
      </c>
      <c r="D2396" t="s">
        <v>4803</v>
      </c>
      <c r="E2396" t="s">
        <v>420</v>
      </c>
      <c r="F2396" s="96" t="s">
        <v>1098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0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2841</v>
      </c>
      <c r="M2396" s="107">
        <v>45825.508958333332</v>
      </c>
      <c r="N2396" s="107"/>
      <c r="O2396" s="107"/>
      <c r="P2396" s="108" t="str">
        <f ca="1">IF(Proc[[#This Row],[DaysAgeing]]&gt;5,"yep","on track")</f>
        <v>on track</v>
      </c>
      <c r="Q2396" s="3">
        <f ca="1">IF(Proc[[#This Row],[DateClosed]]="",ABS(NETWORKDAYS(Proc[[#This Row],[DateOpened]],TODAY()))-1,ABS(NETWORKDAYS(Proc[[#This Row],[DateOpened]],Proc[[#This Row],[DateClosed]]))-1)</f>
        <v>0</v>
      </c>
      <c r="R2396" s="108" t="s">
        <v>808</v>
      </c>
      <c r="S2396" s="96"/>
    </row>
    <row r="2397" spans="1:19">
      <c r="A2397" s="105" t="s">
        <v>4813</v>
      </c>
      <c r="B2397" s="96" t="str">
        <f>IFERROR(VLOOKUP(Proc[[#This Row],[App]],Table2[],3,0),"open")</f>
        <v>open</v>
      </c>
      <c r="C2397" s="105" t="s">
        <v>370</v>
      </c>
      <c r="D2397" t="s">
        <v>4804</v>
      </c>
      <c r="E2397" t="s">
        <v>420</v>
      </c>
      <c r="F2397" s="96" t="s">
        <v>1098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0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2841</v>
      </c>
      <c r="M2397" s="107">
        <v>45825.508958333332</v>
      </c>
      <c r="N2397" s="107"/>
      <c r="O2397" s="107"/>
      <c r="P2397" s="108" t="str">
        <f ca="1">IF(Proc[[#This Row],[DaysAgeing]]&gt;5,"yep","on track")</f>
        <v>on track</v>
      </c>
      <c r="Q2397" s="3">
        <f ca="1">IF(Proc[[#This Row],[DateClosed]]="",ABS(NETWORKDAYS(Proc[[#This Row],[DateOpened]],TODAY()))-1,ABS(NETWORKDAYS(Proc[[#This Row],[DateOpened]],Proc[[#This Row],[DateClosed]]))-1)</f>
        <v>0</v>
      </c>
      <c r="R2397" s="108" t="s">
        <v>808</v>
      </c>
      <c r="S2397" s="96"/>
    </row>
    <row r="2398" spans="1:19">
      <c r="A2398" s="105" t="s">
        <v>4813</v>
      </c>
      <c r="B2398" s="96" t="str">
        <f>IFERROR(VLOOKUP(Proc[[#This Row],[App]],Table2[],3,0),"open")</f>
        <v>open</v>
      </c>
      <c r="C2398" s="105" t="s">
        <v>370</v>
      </c>
      <c r="D2398" t="s">
        <v>4805</v>
      </c>
      <c r="E2398" t="s">
        <v>420</v>
      </c>
      <c r="F2398" s="96" t="s">
        <v>4652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0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2841</v>
      </c>
      <c r="M2398" s="107">
        <v>45825.508958333332</v>
      </c>
      <c r="N2398" s="107"/>
      <c r="O2398" s="107"/>
      <c r="P2398" s="108" t="str">
        <f ca="1">IF(Proc[[#This Row],[DaysAgeing]]&gt;5,"yep","on track")</f>
        <v>on track</v>
      </c>
      <c r="Q2398" s="3">
        <f ca="1">IF(Proc[[#This Row],[DateClosed]]="",ABS(NETWORKDAYS(Proc[[#This Row],[DateOpened]],TODAY()))-1,ABS(NETWORKDAYS(Proc[[#This Row],[DateOpened]],Proc[[#This Row],[DateClosed]]))-1)</f>
        <v>0</v>
      </c>
      <c r="R2398" s="108" t="s">
        <v>808</v>
      </c>
      <c r="S2398" s="96"/>
    </row>
    <row r="2399" spans="1:19">
      <c r="A2399" s="105" t="s">
        <v>4813</v>
      </c>
      <c r="B2399" s="96" t="str">
        <f>IFERROR(VLOOKUP(Proc[[#This Row],[App]],Table2[],3,0),"open")</f>
        <v>open</v>
      </c>
      <c r="C2399" s="105" t="s">
        <v>370</v>
      </c>
      <c r="D2399" t="s">
        <v>4806</v>
      </c>
      <c r="E2399" t="s">
        <v>420</v>
      </c>
      <c r="F2399" s="96" t="s">
        <v>1098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0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2841</v>
      </c>
      <c r="M2399" s="107">
        <v>45825.508958333332</v>
      </c>
      <c r="N2399" s="107"/>
      <c r="O2399" s="107"/>
      <c r="P2399" s="108" t="str">
        <f ca="1">IF(Proc[[#This Row],[DaysAgeing]]&gt;5,"yep","on track")</f>
        <v>on track</v>
      </c>
      <c r="Q2399" s="3">
        <f ca="1">IF(Proc[[#This Row],[DateClosed]]="",ABS(NETWORKDAYS(Proc[[#This Row],[DateOpened]],TODAY()))-1,ABS(NETWORKDAYS(Proc[[#This Row],[DateOpened]],Proc[[#This Row],[DateClosed]]))-1)</f>
        <v>0</v>
      </c>
      <c r="R2399" s="108" t="s">
        <v>808</v>
      </c>
      <c r="S2399" s="96"/>
    </row>
    <row r="2400" spans="1:19">
      <c r="A2400" s="105" t="s">
        <v>4813</v>
      </c>
      <c r="B2400" s="96" t="str">
        <f>IFERROR(VLOOKUP(Proc[[#This Row],[App]],Table2[],3,0),"open")</f>
        <v>open</v>
      </c>
      <c r="C2400" s="105" t="s">
        <v>370</v>
      </c>
      <c r="D2400" t="s">
        <v>4807</v>
      </c>
      <c r="E2400" t="s">
        <v>420</v>
      </c>
      <c r="F2400" s="96" t="s">
        <v>1098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0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2841</v>
      </c>
      <c r="M2400" s="107">
        <v>45825.508958333332</v>
      </c>
      <c r="N2400" s="107"/>
      <c r="O2400" s="107"/>
      <c r="P2400" s="108" t="str">
        <f ca="1">IF(Proc[[#This Row],[DaysAgeing]]&gt;5,"yep","on track")</f>
        <v>on track</v>
      </c>
      <c r="Q2400" s="3">
        <f ca="1">IF(Proc[[#This Row],[DateClosed]]="",ABS(NETWORKDAYS(Proc[[#This Row],[DateOpened]],TODAY()))-1,ABS(NETWORKDAYS(Proc[[#This Row],[DateOpened]],Proc[[#This Row],[DateClosed]]))-1)</f>
        <v>0</v>
      </c>
      <c r="R2400" s="108" t="s">
        <v>808</v>
      </c>
      <c r="S2400" s="96"/>
    </row>
    <row r="2401" spans="1:19">
      <c r="A2401" s="105" t="s">
        <v>4813</v>
      </c>
      <c r="B2401" s="96" t="str">
        <f>IFERROR(VLOOKUP(Proc[[#This Row],[App]],Table2[],3,0),"open")</f>
        <v>open</v>
      </c>
      <c r="C2401" s="105" t="s">
        <v>370</v>
      </c>
      <c r="D2401" t="s">
        <v>4808</v>
      </c>
      <c r="E2401" t="s">
        <v>420</v>
      </c>
      <c r="F2401" s="96" t="s">
        <v>1098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0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2841</v>
      </c>
      <c r="M2401" s="107">
        <v>45825.508958333332</v>
      </c>
      <c r="N2401" s="107"/>
      <c r="O2401" s="107"/>
      <c r="P2401" s="108" t="str">
        <f ca="1">IF(Proc[[#This Row],[DaysAgeing]]&gt;5,"yep","on track")</f>
        <v>on track</v>
      </c>
      <c r="Q2401" s="3">
        <f ca="1">IF(Proc[[#This Row],[DateClosed]]="",ABS(NETWORKDAYS(Proc[[#This Row],[DateOpened]],TODAY()))-1,ABS(NETWORKDAYS(Proc[[#This Row],[DateOpened]],Proc[[#This Row],[DateClosed]]))-1)</f>
        <v>0</v>
      </c>
      <c r="R2401" s="108" t="s">
        <v>808</v>
      </c>
      <c r="S2401" s="96"/>
    </row>
    <row r="2402" spans="1:19">
      <c r="A2402" s="105" t="s">
        <v>4813</v>
      </c>
      <c r="B2402" s="96" t="str">
        <f>IFERROR(VLOOKUP(Proc[[#This Row],[App]],Table2[],3,0),"open")</f>
        <v>open</v>
      </c>
      <c r="C2402" s="105" t="s">
        <v>370</v>
      </c>
      <c r="D2402" t="s">
        <v>4809</v>
      </c>
      <c r="E2402" t="s">
        <v>2687</v>
      </c>
      <c r="F2402" s="96" t="s">
        <v>1098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0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2841</v>
      </c>
      <c r="M2402" s="107">
        <v>45825.508958333332</v>
      </c>
      <c r="N2402" s="107"/>
      <c r="O2402" s="107"/>
      <c r="P2402" s="108" t="str">
        <f ca="1">IF(Proc[[#This Row],[DaysAgeing]]&gt;5,"yep","on track")</f>
        <v>on track</v>
      </c>
      <c r="Q2402" s="3">
        <f ca="1">IF(Proc[[#This Row],[DateClosed]]="",ABS(NETWORKDAYS(Proc[[#This Row],[DateOpened]],TODAY()))-1,ABS(NETWORKDAYS(Proc[[#This Row],[DateOpened]],Proc[[#This Row],[DateClosed]]))-1)</f>
        <v>0</v>
      </c>
      <c r="R2402" s="108" t="s">
        <v>808</v>
      </c>
      <c r="S2402" s="96"/>
    </row>
    <row r="2403" spans="1:19">
      <c r="A2403" s="105" t="s">
        <v>4813</v>
      </c>
      <c r="B2403" s="96" t="str">
        <f>IFERROR(VLOOKUP(Proc[[#This Row],[App]],Table2[],3,0),"open")</f>
        <v>open</v>
      </c>
      <c r="C2403" s="105" t="s">
        <v>370</v>
      </c>
      <c r="D2403" t="s">
        <v>4810</v>
      </c>
      <c r="E2403" t="s">
        <v>2687</v>
      </c>
      <c r="F2403" s="96" t="s">
        <v>1098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0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2841</v>
      </c>
      <c r="M2403" s="107">
        <v>45825.508958333332</v>
      </c>
      <c r="N2403" s="107"/>
      <c r="O2403" s="107"/>
      <c r="P2403" s="108" t="str">
        <f ca="1">IF(Proc[[#This Row],[DaysAgeing]]&gt;5,"yep","on track")</f>
        <v>on track</v>
      </c>
      <c r="Q2403" s="3">
        <f ca="1">IF(Proc[[#This Row],[DateClosed]]="",ABS(NETWORKDAYS(Proc[[#This Row],[DateOpened]],TODAY()))-1,ABS(NETWORKDAYS(Proc[[#This Row],[DateOpened]],Proc[[#This Row],[DateClosed]]))-1)</f>
        <v>0</v>
      </c>
      <c r="R2403" s="108" t="s">
        <v>808</v>
      </c>
      <c r="S2403" s="96"/>
    </row>
    <row r="2404" spans="1:19">
      <c r="A2404" s="105" t="s">
        <v>4813</v>
      </c>
      <c r="B2404" s="96" t="str">
        <f>IFERROR(VLOOKUP(Proc[[#This Row],[App]],Table2[],3,0),"open")</f>
        <v>open</v>
      </c>
      <c r="C2404" s="105" t="s">
        <v>370</v>
      </c>
      <c r="D2404" t="s">
        <v>4811</v>
      </c>
      <c r="E2404" t="s">
        <v>2687</v>
      </c>
      <c r="F2404" s="96" t="s">
        <v>1098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0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2841</v>
      </c>
      <c r="M2404" s="107">
        <v>45825.508958333332</v>
      </c>
      <c r="N2404" s="107"/>
      <c r="O2404" s="107"/>
      <c r="P2404" s="108" t="str">
        <f ca="1">IF(Proc[[#This Row],[DaysAgeing]]&gt;5,"yep","on track")</f>
        <v>on track</v>
      </c>
      <c r="Q2404" s="3">
        <f ca="1">IF(Proc[[#This Row],[DateClosed]]="",ABS(NETWORKDAYS(Proc[[#This Row],[DateOpened]],TODAY()))-1,ABS(NETWORKDAYS(Proc[[#This Row],[DateOpened]],Proc[[#This Row],[DateClosed]]))-1)</f>
        <v>0</v>
      </c>
      <c r="R2404" s="108" t="s">
        <v>808</v>
      </c>
      <c r="S2404" s="96"/>
    </row>
    <row r="2405" spans="1:19">
      <c r="A2405" s="105" t="s">
        <v>4813</v>
      </c>
      <c r="B2405" s="96" t="str">
        <f>IFERROR(VLOOKUP(Proc[[#This Row],[App]],Table2[],3,0),"open")</f>
        <v>open</v>
      </c>
      <c r="C2405" s="105" t="s">
        <v>370</v>
      </c>
      <c r="D2405" t="s">
        <v>4812</v>
      </c>
      <c r="E2405" t="s">
        <v>2687</v>
      </c>
      <c r="F2405" s="96" t="s">
        <v>1098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0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2841</v>
      </c>
      <c r="M2405" s="107">
        <v>45825.508958333332</v>
      </c>
      <c r="N2405" s="107"/>
      <c r="O2405" s="107"/>
      <c r="P2405" s="108" t="str">
        <f ca="1">IF(Proc[[#This Row],[DaysAgeing]]&gt;5,"yep","on track")</f>
        <v>on track</v>
      </c>
      <c r="Q2405" s="3">
        <f ca="1">IF(Proc[[#This Row],[DateClosed]]="",ABS(NETWORKDAYS(Proc[[#This Row],[DateOpened]],TODAY()))-1,ABS(NETWORKDAYS(Proc[[#This Row],[DateOpened]],Proc[[#This Row],[DateClosed]]))-1)</f>
        <v>0</v>
      </c>
      <c r="R2405" s="108" t="s">
        <v>808</v>
      </c>
      <c r="S2405" s="96"/>
    </row>
    <row r="2406" spans="1:19">
      <c r="A2406" t="s">
        <v>4816</v>
      </c>
      <c r="B2406" s="96" t="str">
        <f>IFERROR(VLOOKUP(Proc[[#This Row],[App]],Table2[],3,0),"open")</f>
        <v>open</v>
      </c>
      <c r="C2406" t="s">
        <v>375</v>
      </c>
      <c r="D2406" t="s">
        <v>4815</v>
      </c>
      <c r="E2406" t="s">
        <v>2838</v>
      </c>
      <c r="F2406" s="96"/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0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2841</v>
      </c>
      <c r="M2406" s="108">
        <v>45825.508958333332</v>
      </c>
      <c r="N2406" s="109"/>
      <c r="O2406" s="109"/>
      <c r="P2406" s="108" t="str">
        <f ca="1">IF(Proc[[#This Row],[DaysAgeing]]&gt;5,"yep","on track")</f>
        <v>on track</v>
      </c>
      <c r="Q2406" s="3">
        <f ca="1">IF(Proc[[#This Row],[DateClosed]]="",ABS(NETWORKDAYS(Proc[[#This Row],[DateOpened]],TODAY()))-1,ABS(NETWORKDAYS(Proc[[#This Row],[DateOpened]],Proc[[#This Row],[DateClosed]]))-1)</f>
        <v>0</v>
      </c>
      <c r="R2406" s="108" t="s">
        <v>4139</v>
      </c>
      <c r="S2406" s="96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G2:G2406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2025-06-17T15:33:17Z</dcterms:modified>
  <cp:category/>
  <cp:contentStatus/>
</cp:coreProperties>
</file>