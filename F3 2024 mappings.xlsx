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327220\Documents\GitHub\GCOHFilesTicketsEtc\"/>
    </mc:Choice>
  </mc:AlternateContent>
  <xr:revisionPtr revIDLastSave="0" documentId="13_ncr:1_{1887E539-3295-4283-93A5-AA9313AF1D69}" xr6:coauthVersionLast="47" xr6:coauthVersionMax="47" xr10:uidLastSave="{00000000-0000-0000-0000-000000000000}"/>
  <bookViews>
    <workbookView xWindow="-120" yWindow="-120" windowWidth="29040" windowHeight="15720" activeTab="1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For Commentary" sheetId="20" r:id="rId6"/>
    <sheet name="Authors" sheetId="18" r:id="rId7"/>
    <sheet name="STAT" sheetId="10" r:id="rId8"/>
    <sheet name="Sector" sheetId="3" r:id="rId9"/>
    <sheet name="YelTable" sheetId="24" r:id="rId10"/>
  </sheets>
  <definedNames>
    <definedName name="_xlnm._FilterDatabase" localSheetId="2" hidden="1">OK!$A$67:$C$67</definedName>
    <definedName name="_xlnm._FilterDatabase" localSheetId="1" hidden="1">Report!$A$2:$F$1358</definedName>
    <definedName name="ExternalData_1" localSheetId="9" hidden="1">YelTable!$A$1:$E$5</definedName>
    <definedName name="ID" localSheetId="6" hidden="1">"f29e49f0-c842-4a01-8df8-c72694a7b15c"</definedName>
    <definedName name="ID" localSheetId="3" hidden="1">"3fb6490e-8bae-4ce5-b09c-5121e79bff69"</definedName>
    <definedName name="ID" localSheetId="5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8" hidden="1">"fa560984-7bbe-4a11-88aa-39d6eb27c9e2"</definedName>
    <definedName name="ID" localSheetId="7" hidden="1">"e95ef0c9-3382-426f-86db-9e8ceaf6f6b4"</definedName>
    <definedName name="ID" localSheetId="9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91029"/>
  <pivotCaches>
    <pivotCache cacheId="39" r:id="rId11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431" i="1" l="1"/>
  <c r="B2432" i="1"/>
  <c r="B2433" i="1"/>
  <c r="B2434" i="1"/>
  <c r="B2435" i="1"/>
  <c r="B2436" i="1"/>
  <c r="B2437" i="1"/>
  <c r="B2438" i="1"/>
  <c r="B2439" i="1"/>
  <c r="B2440" i="1"/>
  <c r="B2441" i="1"/>
  <c r="B2442" i="1"/>
  <c r="B2443" i="1"/>
  <c r="B2444" i="1"/>
  <c r="B2445" i="1"/>
  <c r="B2446" i="1"/>
  <c r="B2447" i="1"/>
  <c r="B2448" i="1"/>
  <c r="B2449" i="1"/>
  <c r="B2450" i="1"/>
  <c r="B2451" i="1"/>
  <c r="B2452" i="1"/>
  <c r="B2453" i="1"/>
  <c r="B2454" i="1"/>
  <c r="B2455" i="1"/>
  <c r="B2456" i="1"/>
  <c r="B2457" i="1"/>
  <c r="B2458" i="1"/>
  <c r="B2459" i="1"/>
  <c r="B2460" i="1"/>
  <c r="B2461" i="1"/>
  <c r="B2462" i="1"/>
  <c r="B2463" i="1"/>
  <c r="B2464" i="1"/>
  <c r="B2465" i="1"/>
  <c r="B2466" i="1"/>
  <c r="B2467" i="1"/>
  <c r="B2468" i="1"/>
  <c r="B2469" i="1"/>
  <c r="B2470" i="1"/>
  <c r="B2471" i="1"/>
  <c r="B2472" i="1"/>
  <c r="B2473" i="1"/>
  <c r="B2474" i="1"/>
  <c r="B2475" i="1"/>
  <c r="B2476" i="1"/>
  <c r="B2477" i="1"/>
  <c r="B2478" i="1"/>
  <c r="B2479" i="1"/>
  <c r="B2480" i="1"/>
  <c r="B2481" i="1"/>
  <c r="B2482" i="1"/>
  <c r="B2483" i="1"/>
  <c r="B2484" i="1"/>
  <c r="B2485" i="1"/>
  <c r="B2486" i="1"/>
  <c r="B2487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K2431" i="1"/>
  <c r="K2432" i="1"/>
  <c r="K2433" i="1"/>
  <c r="K2434" i="1"/>
  <c r="K2435" i="1"/>
  <c r="K2436" i="1"/>
  <c r="K2437" i="1"/>
  <c r="K2438" i="1"/>
  <c r="K2439" i="1"/>
  <c r="K2440" i="1"/>
  <c r="K2441" i="1"/>
  <c r="K2442" i="1"/>
  <c r="K2443" i="1"/>
  <c r="K2444" i="1"/>
  <c r="K2445" i="1"/>
  <c r="K2446" i="1"/>
  <c r="K2447" i="1"/>
  <c r="K2448" i="1"/>
  <c r="K2449" i="1"/>
  <c r="K2450" i="1"/>
  <c r="K2451" i="1"/>
  <c r="K2452" i="1"/>
  <c r="K2453" i="1"/>
  <c r="K2454" i="1"/>
  <c r="K2455" i="1"/>
  <c r="K2456" i="1"/>
  <c r="K2457" i="1"/>
  <c r="K2458" i="1"/>
  <c r="K2459" i="1"/>
  <c r="K2460" i="1"/>
  <c r="K2461" i="1"/>
  <c r="K2462" i="1"/>
  <c r="K2463" i="1"/>
  <c r="K2464" i="1"/>
  <c r="K2465" i="1"/>
  <c r="K2466" i="1"/>
  <c r="K2467" i="1"/>
  <c r="K2468" i="1"/>
  <c r="K2469" i="1"/>
  <c r="K2470" i="1"/>
  <c r="K2471" i="1"/>
  <c r="K2472" i="1"/>
  <c r="K2473" i="1"/>
  <c r="K2474" i="1"/>
  <c r="K2475" i="1"/>
  <c r="K2476" i="1"/>
  <c r="K2477" i="1"/>
  <c r="K2478" i="1"/>
  <c r="K2479" i="1"/>
  <c r="K2480" i="1"/>
  <c r="K2481" i="1"/>
  <c r="K2482" i="1"/>
  <c r="K2483" i="1"/>
  <c r="K2484" i="1"/>
  <c r="K2485" i="1"/>
  <c r="K2486" i="1"/>
  <c r="K2487" i="1"/>
  <c r="Q2431" i="1"/>
  <c r="P2431" i="1" s="1"/>
  <c r="Q2432" i="1"/>
  <c r="P2432" i="1" s="1"/>
  <c r="Q2433" i="1"/>
  <c r="P2433" i="1" s="1"/>
  <c r="Q2434" i="1"/>
  <c r="P2434" i="1" s="1"/>
  <c r="Q2435" i="1"/>
  <c r="P2435" i="1" s="1"/>
  <c r="Q2436" i="1"/>
  <c r="P2436" i="1" s="1"/>
  <c r="Q2437" i="1"/>
  <c r="P2437" i="1" s="1"/>
  <c r="Q2438" i="1"/>
  <c r="P2438" i="1" s="1"/>
  <c r="Q2439" i="1"/>
  <c r="P2439" i="1" s="1"/>
  <c r="Q2440" i="1"/>
  <c r="P2440" i="1" s="1"/>
  <c r="Q2441" i="1"/>
  <c r="P2441" i="1" s="1"/>
  <c r="Q2442" i="1"/>
  <c r="P2442" i="1" s="1"/>
  <c r="Q2443" i="1"/>
  <c r="P2443" i="1" s="1"/>
  <c r="Q2444" i="1"/>
  <c r="P2444" i="1" s="1"/>
  <c r="Q2445" i="1"/>
  <c r="P2445" i="1" s="1"/>
  <c r="Q2446" i="1"/>
  <c r="P2446" i="1" s="1"/>
  <c r="Q2447" i="1"/>
  <c r="P2447" i="1" s="1"/>
  <c r="Q2448" i="1"/>
  <c r="P2448" i="1" s="1"/>
  <c r="Q2449" i="1"/>
  <c r="P2449" i="1" s="1"/>
  <c r="Q2450" i="1"/>
  <c r="P2450" i="1" s="1"/>
  <c r="Q2451" i="1"/>
  <c r="P2451" i="1" s="1"/>
  <c r="Q2452" i="1"/>
  <c r="P2452" i="1" s="1"/>
  <c r="Q2453" i="1"/>
  <c r="P2453" i="1" s="1"/>
  <c r="Q2454" i="1"/>
  <c r="P2454" i="1" s="1"/>
  <c r="Q2455" i="1"/>
  <c r="P2455" i="1" s="1"/>
  <c r="Q2456" i="1"/>
  <c r="P2456" i="1" s="1"/>
  <c r="Q2457" i="1"/>
  <c r="P2457" i="1" s="1"/>
  <c r="Q2458" i="1"/>
  <c r="P2458" i="1" s="1"/>
  <c r="Q2459" i="1"/>
  <c r="P2459" i="1" s="1"/>
  <c r="Q2460" i="1"/>
  <c r="P2460" i="1" s="1"/>
  <c r="Q2461" i="1"/>
  <c r="P2461" i="1" s="1"/>
  <c r="Q2462" i="1"/>
  <c r="P2462" i="1" s="1"/>
  <c r="Q2463" i="1"/>
  <c r="P2463" i="1" s="1"/>
  <c r="Q2464" i="1"/>
  <c r="P2464" i="1" s="1"/>
  <c r="Q2465" i="1"/>
  <c r="P2465" i="1" s="1"/>
  <c r="Q2466" i="1"/>
  <c r="P2466" i="1" s="1"/>
  <c r="Q2467" i="1"/>
  <c r="P2467" i="1" s="1"/>
  <c r="Q2468" i="1"/>
  <c r="P2468" i="1" s="1"/>
  <c r="Q2469" i="1"/>
  <c r="P2469" i="1" s="1"/>
  <c r="Q2470" i="1"/>
  <c r="P2470" i="1" s="1"/>
  <c r="Q2471" i="1"/>
  <c r="P2471" i="1" s="1"/>
  <c r="Q2472" i="1"/>
  <c r="P2472" i="1" s="1"/>
  <c r="Q2473" i="1"/>
  <c r="P2473" i="1" s="1"/>
  <c r="Q2474" i="1"/>
  <c r="P2474" i="1" s="1"/>
  <c r="Q2475" i="1"/>
  <c r="P2475" i="1" s="1"/>
  <c r="Q2476" i="1"/>
  <c r="P2476" i="1" s="1"/>
  <c r="Q2477" i="1"/>
  <c r="P2477" i="1" s="1"/>
  <c r="Q2478" i="1"/>
  <c r="P2478" i="1" s="1"/>
  <c r="Q2479" i="1"/>
  <c r="P2479" i="1" s="1"/>
  <c r="Q2480" i="1"/>
  <c r="P2480" i="1" s="1"/>
  <c r="Q2481" i="1"/>
  <c r="P2481" i="1" s="1"/>
  <c r="Q2482" i="1"/>
  <c r="P2482" i="1" s="1"/>
  <c r="Q2483" i="1"/>
  <c r="P2483" i="1" s="1"/>
  <c r="Q2484" i="1"/>
  <c r="P2484" i="1" s="1"/>
  <c r="Q2485" i="1"/>
  <c r="P2485" i="1" s="1"/>
  <c r="Q2486" i="1"/>
  <c r="P2486" i="1" s="1"/>
  <c r="Q2487" i="1"/>
  <c r="P2487" i="1" s="1"/>
  <c r="B2430" i="1"/>
  <c r="H2430" i="1"/>
  <c r="J2430" i="1"/>
  <c r="K2430" i="1"/>
  <c r="Q2430" i="1"/>
  <c r="P2430" i="1" s="1"/>
  <c r="B2429" i="1"/>
  <c r="H2429" i="1"/>
  <c r="J2429" i="1"/>
  <c r="K2429" i="1"/>
  <c r="Q2429" i="1"/>
  <c r="P2429" i="1" s="1"/>
  <c r="B2428" i="1" l="1"/>
  <c r="H2428" i="1"/>
  <c r="J2428" i="1"/>
  <c r="K2428" i="1"/>
  <c r="Q2428" i="1"/>
  <c r="P2428" i="1" s="1"/>
  <c r="B2427" i="1"/>
  <c r="H2427" i="1"/>
  <c r="J2427" i="1"/>
  <c r="K2427" i="1"/>
  <c r="Q2427" i="1"/>
  <c r="P2427" i="1" s="1"/>
  <c r="B2426" i="1"/>
  <c r="B2425" i="1"/>
  <c r="B2424" i="1"/>
  <c r="B2423" i="1"/>
  <c r="B2422" i="1"/>
  <c r="B2421" i="1"/>
  <c r="B2420" i="1"/>
  <c r="B2419" i="1"/>
  <c r="H2419" i="1"/>
  <c r="H2420" i="1"/>
  <c r="H2421" i="1"/>
  <c r="H2422" i="1"/>
  <c r="H2423" i="1"/>
  <c r="H2424" i="1"/>
  <c r="H2425" i="1"/>
  <c r="H2426" i="1"/>
  <c r="J2419" i="1"/>
  <c r="J2420" i="1"/>
  <c r="J2421" i="1"/>
  <c r="J2422" i="1"/>
  <c r="J2423" i="1"/>
  <c r="J2424" i="1"/>
  <c r="J2425" i="1"/>
  <c r="J2426" i="1"/>
  <c r="K2419" i="1"/>
  <c r="K2420" i="1"/>
  <c r="K2421" i="1"/>
  <c r="K2422" i="1"/>
  <c r="K2423" i="1"/>
  <c r="K2424" i="1"/>
  <c r="K2425" i="1"/>
  <c r="K2426" i="1"/>
  <c r="Q2419" i="1"/>
  <c r="P2419" i="1" s="1"/>
  <c r="Q2420" i="1"/>
  <c r="P2420" i="1" s="1"/>
  <c r="Q2421" i="1"/>
  <c r="P2421" i="1" s="1"/>
  <c r="Q2422" i="1"/>
  <c r="P2422" i="1" s="1"/>
  <c r="Q2423" i="1"/>
  <c r="P2423" i="1" s="1"/>
  <c r="Q2424" i="1"/>
  <c r="P2424" i="1" s="1"/>
  <c r="Q2425" i="1"/>
  <c r="P2425" i="1" s="1"/>
  <c r="Q2426" i="1"/>
  <c r="P2426" i="1" s="1"/>
  <c r="B2418" i="1" l="1"/>
  <c r="H2418" i="1"/>
  <c r="J2418" i="1"/>
  <c r="K2418" i="1"/>
  <c r="Q2418" i="1"/>
  <c r="P2418" i="1" s="1"/>
  <c r="B2417" i="1" l="1"/>
  <c r="H2417" i="1"/>
  <c r="J2417" i="1"/>
  <c r="K2417" i="1"/>
  <c r="Q2417" i="1"/>
  <c r="P2417" i="1" s="1"/>
  <c r="B2416" i="1"/>
  <c r="H2416" i="1"/>
  <c r="J2416" i="1"/>
  <c r="K2416" i="1"/>
  <c r="Q2416" i="1"/>
  <c r="P2416" i="1" s="1"/>
  <c r="B2415" i="1"/>
  <c r="H2415" i="1"/>
  <c r="J2415" i="1"/>
  <c r="K2415" i="1"/>
  <c r="Q2415" i="1"/>
  <c r="P2415" i="1" s="1"/>
  <c r="B2414" i="1"/>
  <c r="H2414" i="1"/>
  <c r="J2414" i="1"/>
  <c r="K2414" i="1"/>
  <c r="Q2414" i="1"/>
  <c r="P2414" i="1" s="1"/>
  <c r="B2413" i="1"/>
  <c r="H2413" i="1"/>
  <c r="J2413" i="1"/>
  <c r="K2413" i="1"/>
  <c r="Q2413" i="1"/>
  <c r="P2413" i="1" s="1"/>
  <c r="B2409" i="1"/>
  <c r="B2410" i="1"/>
  <c r="B2411" i="1"/>
  <c r="B2412" i="1"/>
  <c r="H2409" i="1"/>
  <c r="H2410" i="1"/>
  <c r="H2411" i="1"/>
  <c r="H2412" i="1"/>
  <c r="J2409" i="1"/>
  <c r="J2410" i="1"/>
  <c r="J2411" i="1"/>
  <c r="J2412" i="1"/>
  <c r="K2409" i="1"/>
  <c r="K2410" i="1"/>
  <c r="K2411" i="1"/>
  <c r="K2412" i="1"/>
  <c r="Q2409" i="1"/>
  <c r="P2409" i="1" s="1"/>
  <c r="Q2410" i="1"/>
  <c r="P2410" i="1" s="1"/>
  <c r="Q2411" i="1"/>
  <c r="P2411" i="1" s="1"/>
  <c r="Q2412" i="1"/>
  <c r="P2412" i="1" s="1"/>
  <c r="J2287" i="1"/>
  <c r="J2286" i="1"/>
  <c r="J2271" i="1"/>
  <c r="J2270" i="1"/>
  <c r="J2406" i="1"/>
  <c r="J2405" i="1"/>
  <c r="J2400" i="1"/>
  <c r="J2398" i="1"/>
  <c r="J2396" i="1"/>
  <c r="J2395" i="1"/>
  <c r="J2394" i="1"/>
  <c r="J2393" i="1"/>
  <c r="J2390" i="1"/>
  <c r="J2389" i="1"/>
  <c r="J2382" i="1"/>
  <c r="J2380" i="1"/>
  <c r="J2379" i="1"/>
  <c r="J2378" i="1"/>
  <c r="J2377" i="1"/>
  <c r="J2374" i="1"/>
  <c r="J2373" i="1"/>
  <c r="J2366" i="1"/>
  <c r="J2364" i="1"/>
  <c r="J2362" i="1"/>
  <c r="J2361" i="1"/>
  <c r="J2360" i="1"/>
  <c r="J2359" i="1"/>
  <c r="J2356" i="1"/>
  <c r="J2355" i="1"/>
  <c r="J2348" i="1"/>
  <c r="J2346" i="1"/>
  <c r="J2345" i="1"/>
  <c r="J2344" i="1"/>
  <c r="J2343" i="1"/>
  <c r="J2340" i="1"/>
  <c r="J2339" i="1"/>
  <c r="J2332" i="1"/>
  <c r="J2330" i="1"/>
  <c r="J2329" i="1"/>
  <c r="J2328" i="1"/>
  <c r="J2327" i="1"/>
  <c r="J2324" i="1"/>
  <c r="J2323" i="1"/>
  <c r="J2316" i="1"/>
  <c r="J2314" i="1"/>
  <c r="J2313" i="1"/>
  <c r="J2312" i="1"/>
  <c r="J2311" i="1"/>
  <c r="J2308" i="1"/>
  <c r="J2307" i="1"/>
  <c r="B2408" i="1"/>
  <c r="H2408" i="1"/>
  <c r="J2408" i="1"/>
  <c r="K2408" i="1"/>
  <c r="Q2408" i="1"/>
  <c r="P2408" i="1" s="1"/>
  <c r="B2407" i="1"/>
  <c r="H2407" i="1"/>
  <c r="J2407" i="1"/>
  <c r="K2407" i="1"/>
  <c r="Q2407" i="1"/>
  <c r="P2407" i="1" s="1"/>
  <c r="B2406" i="1"/>
  <c r="H2406" i="1"/>
  <c r="K2406" i="1"/>
  <c r="Q2406" i="1"/>
  <c r="P2406" i="1" s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J2392" i="1"/>
  <c r="J2397" i="1"/>
  <c r="J2399" i="1"/>
  <c r="J2401" i="1"/>
  <c r="J2402" i="1"/>
  <c r="J2403" i="1"/>
  <c r="J2404" i="1"/>
  <c r="K2392" i="1"/>
  <c r="K2393" i="1"/>
  <c r="K2394" i="1"/>
  <c r="K2395" i="1"/>
  <c r="K2396" i="1"/>
  <c r="K2397" i="1"/>
  <c r="K2398" i="1"/>
  <c r="K2399" i="1"/>
  <c r="K2400" i="1"/>
  <c r="K2401" i="1"/>
  <c r="K2402" i="1"/>
  <c r="K2403" i="1"/>
  <c r="K2404" i="1"/>
  <c r="K2405" i="1"/>
  <c r="Q2392" i="1"/>
  <c r="P2392" i="1" s="1"/>
  <c r="Q2393" i="1"/>
  <c r="P2393" i="1" s="1"/>
  <c r="Q2394" i="1"/>
  <c r="P2394" i="1" s="1"/>
  <c r="Q2395" i="1"/>
  <c r="P2395" i="1" s="1"/>
  <c r="Q2396" i="1"/>
  <c r="P2396" i="1" s="1"/>
  <c r="Q2397" i="1"/>
  <c r="P2397" i="1" s="1"/>
  <c r="Q2398" i="1"/>
  <c r="P2398" i="1" s="1"/>
  <c r="Q2399" i="1"/>
  <c r="P2399" i="1" s="1"/>
  <c r="Q2400" i="1"/>
  <c r="P2400" i="1" s="1"/>
  <c r="Q2401" i="1"/>
  <c r="P2401" i="1" s="1"/>
  <c r="Q2402" i="1"/>
  <c r="P2402" i="1" s="1"/>
  <c r="Q2403" i="1"/>
  <c r="P2403" i="1" s="1"/>
  <c r="Q2404" i="1"/>
  <c r="P2404" i="1" s="1"/>
  <c r="Q2405" i="1"/>
  <c r="P2405" i="1" s="1"/>
  <c r="Q2391" i="1"/>
  <c r="P2391" i="1" s="1"/>
  <c r="Q2390" i="1"/>
  <c r="P2390" i="1" s="1"/>
  <c r="Q2389" i="1"/>
  <c r="P2389" i="1" s="1"/>
  <c r="Q2388" i="1"/>
  <c r="P2388" i="1" s="1"/>
  <c r="Q2387" i="1"/>
  <c r="P2387" i="1" s="1"/>
  <c r="Q2386" i="1"/>
  <c r="P2386" i="1" s="1"/>
  <c r="Q2385" i="1"/>
  <c r="P2385" i="1" s="1"/>
  <c r="Q2384" i="1"/>
  <c r="P2384" i="1" s="1"/>
  <c r="Q2383" i="1"/>
  <c r="P2383" i="1" s="1"/>
  <c r="Q2382" i="1"/>
  <c r="P2382" i="1" s="1"/>
  <c r="Q2381" i="1"/>
  <c r="P2381" i="1" s="1"/>
  <c r="Q2380" i="1"/>
  <c r="P2380" i="1" s="1"/>
  <c r="Q2379" i="1"/>
  <c r="P2379" i="1" s="1"/>
  <c r="Q2378" i="1"/>
  <c r="P2378" i="1" s="1"/>
  <c r="Q2377" i="1"/>
  <c r="P2377" i="1" s="1"/>
  <c r="Q2376" i="1"/>
  <c r="P2376" i="1" s="1"/>
  <c r="Q2375" i="1"/>
  <c r="P2375" i="1" s="1"/>
  <c r="Q2374" i="1"/>
  <c r="P2374" i="1" s="1"/>
  <c r="Q2373" i="1"/>
  <c r="P2373" i="1" s="1"/>
  <c r="Q2372" i="1"/>
  <c r="P2372" i="1" s="1"/>
  <c r="Q2371" i="1"/>
  <c r="P2371" i="1" s="1"/>
  <c r="Q2370" i="1"/>
  <c r="P2370" i="1" s="1"/>
  <c r="Q2369" i="1"/>
  <c r="P2369" i="1" s="1"/>
  <c r="Q2368" i="1"/>
  <c r="P2368" i="1" s="1"/>
  <c r="Q2367" i="1"/>
  <c r="P2367" i="1" s="1"/>
  <c r="Q2366" i="1"/>
  <c r="P2366" i="1" s="1"/>
  <c r="Q2365" i="1"/>
  <c r="P2365" i="1" s="1"/>
  <c r="Q2364" i="1"/>
  <c r="P2364" i="1" s="1"/>
  <c r="Q2363" i="1"/>
  <c r="P2363" i="1" s="1"/>
  <c r="Q2362" i="1"/>
  <c r="P2362" i="1" s="1"/>
  <c r="Q2361" i="1"/>
  <c r="P2361" i="1" s="1"/>
  <c r="Q2360" i="1"/>
  <c r="P2360" i="1" s="1"/>
  <c r="Q2359" i="1"/>
  <c r="P2359" i="1" s="1"/>
  <c r="Q2358" i="1"/>
  <c r="P2358" i="1" s="1"/>
  <c r="Q2357" i="1"/>
  <c r="P2357" i="1" s="1"/>
  <c r="Q2356" i="1"/>
  <c r="P2356" i="1" s="1"/>
  <c r="Q2355" i="1"/>
  <c r="P2355" i="1" s="1"/>
  <c r="Q2354" i="1"/>
  <c r="P2354" i="1" s="1"/>
  <c r="Q2353" i="1"/>
  <c r="P2353" i="1" s="1"/>
  <c r="Q2352" i="1"/>
  <c r="P2352" i="1" s="1"/>
  <c r="Q2351" i="1"/>
  <c r="P2351" i="1" s="1"/>
  <c r="Q2350" i="1"/>
  <c r="P2350" i="1" s="1"/>
  <c r="Q2349" i="1"/>
  <c r="P2349" i="1" s="1"/>
  <c r="Q2348" i="1"/>
  <c r="P2348" i="1" s="1"/>
  <c r="Q2347" i="1"/>
  <c r="P2347" i="1" s="1"/>
  <c r="Q2346" i="1"/>
  <c r="P2346" i="1" s="1"/>
  <c r="Q2345" i="1"/>
  <c r="P2345" i="1" s="1"/>
  <c r="Q2344" i="1"/>
  <c r="P2344" i="1" s="1"/>
  <c r="Q2343" i="1"/>
  <c r="P2343" i="1" s="1"/>
  <c r="Q2342" i="1"/>
  <c r="P2342" i="1" s="1"/>
  <c r="Q2341" i="1"/>
  <c r="P2341" i="1" s="1"/>
  <c r="Q2340" i="1"/>
  <c r="P2340" i="1" s="1"/>
  <c r="Q2339" i="1"/>
  <c r="P2339" i="1" s="1"/>
  <c r="Q2338" i="1"/>
  <c r="P2338" i="1" s="1"/>
  <c r="Q2337" i="1"/>
  <c r="P2337" i="1" s="1"/>
  <c r="Q2336" i="1"/>
  <c r="P2336" i="1" s="1"/>
  <c r="Q2335" i="1"/>
  <c r="P2335" i="1" s="1"/>
  <c r="Q2334" i="1"/>
  <c r="P2334" i="1" s="1"/>
  <c r="Q2333" i="1"/>
  <c r="P2333" i="1" s="1"/>
  <c r="Q2332" i="1"/>
  <c r="P2332" i="1" s="1"/>
  <c r="Q2331" i="1"/>
  <c r="P2331" i="1" s="1"/>
  <c r="Q2330" i="1"/>
  <c r="P2330" i="1" s="1"/>
  <c r="Q2329" i="1"/>
  <c r="P2329" i="1" s="1"/>
  <c r="Q2328" i="1"/>
  <c r="P2328" i="1" s="1"/>
  <c r="Q2327" i="1"/>
  <c r="P2327" i="1" s="1"/>
  <c r="Q2326" i="1"/>
  <c r="P2326" i="1" s="1"/>
  <c r="Q2325" i="1"/>
  <c r="P2325" i="1" s="1"/>
  <c r="Q2324" i="1"/>
  <c r="P2324" i="1" s="1"/>
  <c r="Q2323" i="1"/>
  <c r="P2323" i="1" s="1"/>
  <c r="Q2322" i="1"/>
  <c r="P2322" i="1" s="1"/>
  <c r="Q2321" i="1"/>
  <c r="P2321" i="1" s="1"/>
  <c r="Q2320" i="1"/>
  <c r="P2320" i="1" s="1"/>
  <c r="Q2319" i="1"/>
  <c r="P2319" i="1" s="1"/>
  <c r="Q2318" i="1"/>
  <c r="P2318" i="1" s="1"/>
  <c r="Q2317" i="1"/>
  <c r="P2317" i="1" s="1"/>
  <c r="Q2316" i="1"/>
  <c r="P2316" i="1" s="1"/>
  <c r="Q2315" i="1"/>
  <c r="P2315" i="1" s="1"/>
  <c r="Q2314" i="1"/>
  <c r="P2314" i="1" s="1"/>
  <c r="Q2313" i="1"/>
  <c r="P2313" i="1" s="1"/>
  <c r="Q2312" i="1"/>
  <c r="P2312" i="1" s="1"/>
  <c r="Q2311" i="1"/>
  <c r="P2311" i="1" s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J2367" i="1"/>
  <c r="J2368" i="1"/>
  <c r="J2369" i="1"/>
  <c r="J2370" i="1"/>
  <c r="J2371" i="1"/>
  <c r="J2372" i="1"/>
  <c r="J2375" i="1"/>
  <c r="J2376" i="1"/>
  <c r="J2381" i="1"/>
  <c r="J2383" i="1"/>
  <c r="J2384" i="1"/>
  <c r="J2385" i="1"/>
  <c r="J2386" i="1"/>
  <c r="J2387" i="1"/>
  <c r="J2388" i="1"/>
  <c r="J2391" i="1"/>
  <c r="K2366" i="1"/>
  <c r="K2367" i="1"/>
  <c r="K2368" i="1"/>
  <c r="K2369" i="1"/>
  <c r="K2370" i="1"/>
  <c r="K2371" i="1"/>
  <c r="K2372" i="1"/>
  <c r="K2373" i="1"/>
  <c r="K2374" i="1"/>
  <c r="K2375" i="1"/>
  <c r="K2376" i="1"/>
  <c r="K2377" i="1"/>
  <c r="K2378" i="1"/>
  <c r="K2379" i="1"/>
  <c r="K2380" i="1"/>
  <c r="K2381" i="1"/>
  <c r="K2382" i="1"/>
  <c r="K2383" i="1"/>
  <c r="K2384" i="1"/>
  <c r="K2385" i="1"/>
  <c r="K2386" i="1"/>
  <c r="K2387" i="1"/>
  <c r="K2388" i="1"/>
  <c r="K2389" i="1"/>
  <c r="K2390" i="1"/>
  <c r="K2391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J2315" i="1"/>
  <c r="J2317" i="1"/>
  <c r="J2318" i="1"/>
  <c r="J2319" i="1"/>
  <c r="J2320" i="1"/>
  <c r="J2321" i="1"/>
  <c r="J2322" i="1"/>
  <c r="J2325" i="1"/>
  <c r="J2326" i="1"/>
  <c r="J2331" i="1"/>
  <c r="J2333" i="1"/>
  <c r="J2334" i="1"/>
  <c r="J2335" i="1"/>
  <c r="J2336" i="1"/>
  <c r="J2337" i="1"/>
  <c r="J2338" i="1"/>
  <c r="J2341" i="1"/>
  <c r="J2342" i="1"/>
  <c r="J2347" i="1"/>
  <c r="J2349" i="1"/>
  <c r="J2350" i="1"/>
  <c r="J2351" i="1"/>
  <c r="J2352" i="1"/>
  <c r="J2353" i="1"/>
  <c r="J2354" i="1"/>
  <c r="J2357" i="1"/>
  <c r="J2358" i="1"/>
  <c r="J2363" i="1"/>
  <c r="J2365" i="1"/>
  <c r="K2311" i="1"/>
  <c r="K2312" i="1"/>
  <c r="K2313" i="1"/>
  <c r="K2314" i="1"/>
  <c r="K2315" i="1"/>
  <c r="K2316" i="1"/>
  <c r="K2317" i="1"/>
  <c r="K2318" i="1"/>
  <c r="K2319" i="1"/>
  <c r="K2320" i="1"/>
  <c r="K2321" i="1"/>
  <c r="K2322" i="1"/>
  <c r="K2323" i="1"/>
  <c r="K2324" i="1"/>
  <c r="K2325" i="1"/>
  <c r="K2326" i="1"/>
  <c r="K2327" i="1"/>
  <c r="K2328" i="1"/>
  <c r="K2329" i="1"/>
  <c r="K2330" i="1"/>
  <c r="K2331" i="1"/>
  <c r="K2332" i="1"/>
  <c r="K2333" i="1"/>
  <c r="K2334" i="1"/>
  <c r="K2335" i="1"/>
  <c r="K2336" i="1"/>
  <c r="K2337" i="1"/>
  <c r="K2338" i="1"/>
  <c r="K2339" i="1"/>
  <c r="K2340" i="1"/>
  <c r="K2341" i="1"/>
  <c r="K2342" i="1"/>
  <c r="K2343" i="1"/>
  <c r="K2344" i="1"/>
  <c r="K2345" i="1"/>
  <c r="K2346" i="1"/>
  <c r="K2347" i="1"/>
  <c r="K2348" i="1"/>
  <c r="K2349" i="1"/>
  <c r="K2350" i="1"/>
  <c r="K2351" i="1"/>
  <c r="K2352" i="1"/>
  <c r="K2353" i="1"/>
  <c r="K2354" i="1"/>
  <c r="K2355" i="1"/>
  <c r="K2356" i="1"/>
  <c r="K2357" i="1"/>
  <c r="K2358" i="1"/>
  <c r="K2359" i="1"/>
  <c r="K2360" i="1"/>
  <c r="K2361" i="1"/>
  <c r="K2362" i="1"/>
  <c r="K2363" i="1"/>
  <c r="K2364" i="1"/>
  <c r="K2365" i="1"/>
  <c r="B2310" i="1"/>
  <c r="H2310" i="1"/>
  <c r="J2310" i="1"/>
  <c r="K2310" i="1"/>
  <c r="Q2310" i="1"/>
  <c r="P2310" i="1" s="1"/>
  <c r="B2305" i="1"/>
  <c r="B2306" i="1"/>
  <c r="B2307" i="1"/>
  <c r="B2308" i="1"/>
  <c r="B2309" i="1"/>
  <c r="H2305" i="1"/>
  <c r="H2306" i="1"/>
  <c r="H2307" i="1"/>
  <c r="H2308" i="1"/>
  <c r="H2309" i="1"/>
  <c r="J2305" i="1"/>
  <c r="J2306" i="1"/>
  <c r="J2309" i="1"/>
  <c r="K2305" i="1"/>
  <c r="K2306" i="1"/>
  <c r="K2307" i="1"/>
  <c r="K2308" i="1"/>
  <c r="K2309" i="1"/>
  <c r="Q2305" i="1"/>
  <c r="P2305" i="1" s="1"/>
  <c r="Q2306" i="1"/>
  <c r="P2306" i="1" s="1"/>
  <c r="Q2307" i="1"/>
  <c r="P2307" i="1" s="1"/>
  <c r="Q2308" i="1"/>
  <c r="P2308" i="1" s="1"/>
  <c r="Q2309" i="1"/>
  <c r="P2309" i="1" s="1"/>
  <c r="B2304" i="1"/>
  <c r="H2304" i="1"/>
  <c r="J2304" i="1"/>
  <c r="K2304" i="1"/>
  <c r="Q2304" i="1"/>
  <c r="P2304" i="1" s="1"/>
  <c r="B2270" i="1"/>
  <c r="B2271" i="1"/>
  <c r="B2272" i="1"/>
  <c r="B2273" i="1"/>
  <c r="B2274" i="1"/>
  <c r="B2275" i="1"/>
  <c r="B2276" i="1"/>
  <c r="B2277" i="1"/>
  <c r="B2278" i="1"/>
  <c r="B2279" i="1"/>
  <c r="B2280" i="1"/>
  <c r="B2281" i="1"/>
  <c r="B2282" i="1"/>
  <c r="B2283" i="1"/>
  <c r="B2284" i="1"/>
  <c r="B2285" i="1"/>
  <c r="B2286" i="1"/>
  <c r="B2287" i="1"/>
  <c r="B2288" i="1"/>
  <c r="B2289" i="1"/>
  <c r="B2290" i="1"/>
  <c r="B2291" i="1"/>
  <c r="B2292" i="1"/>
  <c r="B2293" i="1"/>
  <c r="B2294" i="1"/>
  <c r="B2295" i="1"/>
  <c r="B2296" i="1"/>
  <c r="B2297" i="1"/>
  <c r="B2298" i="1"/>
  <c r="B2299" i="1"/>
  <c r="B2300" i="1"/>
  <c r="B2301" i="1"/>
  <c r="B2302" i="1"/>
  <c r="B2303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K2270" i="1"/>
  <c r="K2271" i="1"/>
  <c r="K2272" i="1"/>
  <c r="K2273" i="1"/>
  <c r="K2274" i="1"/>
  <c r="K2275" i="1"/>
  <c r="K2276" i="1"/>
  <c r="K2277" i="1"/>
  <c r="K2278" i="1"/>
  <c r="K2279" i="1"/>
  <c r="K2280" i="1"/>
  <c r="K2281" i="1"/>
  <c r="K2282" i="1"/>
  <c r="K2283" i="1"/>
  <c r="K2284" i="1"/>
  <c r="K2285" i="1"/>
  <c r="K2286" i="1"/>
  <c r="K2287" i="1"/>
  <c r="K2288" i="1"/>
  <c r="K2289" i="1"/>
  <c r="K2290" i="1"/>
  <c r="K2291" i="1"/>
  <c r="K2292" i="1"/>
  <c r="K2293" i="1"/>
  <c r="K2294" i="1"/>
  <c r="K2295" i="1"/>
  <c r="K2296" i="1"/>
  <c r="K2297" i="1"/>
  <c r="K2298" i="1"/>
  <c r="K2299" i="1"/>
  <c r="K2300" i="1"/>
  <c r="K2301" i="1"/>
  <c r="K2302" i="1"/>
  <c r="K2303" i="1"/>
  <c r="Q2270" i="1"/>
  <c r="P2270" i="1" s="1"/>
  <c r="Q2271" i="1"/>
  <c r="P2271" i="1" s="1"/>
  <c r="Q2272" i="1"/>
  <c r="P2272" i="1" s="1"/>
  <c r="Q2273" i="1"/>
  <c r="P2273" i="1" s="1"/>
  <c r="Q2274" i="1"/>
  <c r="P2274" i="1" s="1"/>
  <c r="Q2275" i="1"/>
  <c r="P2275" i="1" s="1"/>
  <c r="Q2276" i="1"/>
  <c r="P2276" i="1" s="1"/>
  <c r="Q2277" i="1"/>
  <c r="P2277" i="1" s="1"/>
  <c r="Q2278" i="1"/>
  <c r="P2278" i="1" s="1"/>
  <c r="Q2279" i="1"/>
  <c r="P2279" i="1" s="1"/>
  <c r="Q2280" i="1"/>
  <c r="P2280" i="1" s="1"/>
  <c r="Q2281" i="1"/>
  <c r="P2281" i="1" s="1"/>
  <c r="Q2282" i="1"/>
  <c r="P2282" i="1" s="1"/>
  <c r="Q2283" i="1"/>
  <c r="P2283" i="1" s="1"/>
  <c r="Q2284" i="1"/>
  <c r="P2284" i="1" s="1"/>
  <c r="Q2285" i="1"/>
  <c r="P2285" i="1" s="1"/>
  <c r="Q2286" i="1"/>
  <c r="P2286" i="1" s="1"/>
  <c r="Q2287" i="1"/>
  <c r="P2287" i="1" s="1"/>
  <c r="Q2288" i="1"/>
  <c r="P2288" i="1" s="1"/>
  <c r="Q2289" i="1"/>
  <c r="P2289" i="1" s="1"/>
  <c r="Q2290" i="1"/>
  <c r="P2290" i="1" s="1"/>
  <c r="Q2291" i="1"/>
  <c r="P2291" i="1" s="1"/>
  <c r="Q2292" i="1"/>
  <c r="P2292" i="1" s="1"/>
  <c r="Q2293" i="1"/>
  <c r="P2293" i="1" s="1"/>
  <c r="Q2294" i="1"/>
  <c r="P2294" i="1" s="1"/>
  <c r="Q2295" i="1"/>
  <c r="P2295" i="1" s="1"/>
  <c r="Q2296" i="1"/>
  <c r="P2296" i="1" s="1"/>
  <c r="Q2297" i="1"/>
  <c r="P2297" i="1" s="1"/>
  <c r="Q2298" i="1"/>
  <c r="P2298" i="1" s="1"/>
  <c r="Q2299" i="1"/>
  <c r="P2299" i="1" s="1"/>
  <c r="Q2300" i="1"/>
  <c r="P2300" i="1" s="1"/>
  <c r="Q2301" i="1"/>
  <c r="P2301" i="1" s="1"/>
  <c r="Q2302" i="1"/>
  <c r="P2302" i="1" s="1"/>
  <c r="Q2303" i="1"/>
  <c r="P2303" i="1" s="1"/>
  <c r="B2269" i="1"/>
  <c r="H2269" i="1"/>
  <c r="J2269" i="1"/>
  <c r="K2269" i="1"/>
  <c r="Q2269" i="1"/>
  <c r="P2269" i="1" s="1"/>
  <c r="H1513" i="1"/>
  <c r="B1515" i="1"/>
  <c r="H1515" i="1"/>
  <c r="J1515" i="1"/>
  <c r="K1515" i="1"/>
  <c r="Q1515" i="1"/>
  <c r="P1515" i="1" s="1"/>
  <c r="B1516" i="1"/>
  <c r="H1516" i="1"/>
  <c r="J1516" i="1"/>
  <c r="K1516" i="1"/>
  <c r="Q1516" i="1"/>
  <c r="P1516" i="1" s="1"/>
  <c r="B2262" i="1"/>
  <c r="B2263" i="1"/>
  <c r="B2264" i="1"/>
  <c r="B2265" i="1"/>
  <c r="B2266" i="1"/>
  <c r="B2267" i="1"/>
  <c r="B2268" i="1"/>
  <c r="H2262" i="1"/>
  <c r="H2263" i="1"/>
  <c r="H2264" i="1"/>
  <c r="H2265" i="1"/>
  <c r="H2266" i="1"/>
  <c r="H2267" i="1"/>
  <c r="H2268" i="1"/>
  <c r="J2262" i="1"/>
  <c r="J2263" i="1"/>
  <c r="J2264" i="1"/>
  <c r="J2265" i="1"/>
  <c r="J2266" i="1"/>
  <c r="J2267" i="1"/>
  <c r="J2268" i="1"/>
  <c r="K2262" i="1"/>
  <c r="K2263" i="1"/>
  <c r="K2264" i="1"/>
  <c r="K2265" i="1"/>
  <c r="K2266" i="1"/>
  <c r="K2267" i="1"/>
  <c r="K2268" i="1"/>
  <c r="Q2262" i="1"/>
  <c r="P2262" i="1" s="1"/>
  <c r="Q2263" i="1"/>
  <c r="P2263" i="1" s="1"/>
  <c r="Q2264" i="1"/>
  <c r="P2264" i="1" s="1"/>
  <c r="Q2265" i="1"/>
  <c r="P2265" i="1" s="1"/>
  <c r="Q2266" i="1"/>
  <c r="P2266" i="1" s="1"/>
  <c r="Q2267" i="1"/>
  <c r="P2267" i="1" s="1"/>
  <c r="Q2268" i="1"/>
  <c r="P2268" i="1" s="1"/>
  <c r="B2261" i="1" l="1"/>
  <c r="H2261" i="1"/>
  <c r="J2261" i="1"/>
  <c r="K2261" i="1"/>
  <c r="Q2261" i="1"/>
  <c r="P2261" i="1" s="1"/>
  <c r="B2259" i="1"/>
  <c r="B2260" i="1"/>
  <c r="H2259" i="1"/>
  <c r="H2260" i="1"/>
  <c r="J2259" i="1"/>
  <c r="J2260" i="1"/>
  <c r="K2259" i="1"/>
  <c r="K2260" i="1"/>
  <c r="Q2259" i="1"/>
  <c r="P2259" i="1" s="1"/>
  <c r="Q2260" i="1"/>
  <c r="P2260" i="1" s="1"/>
  <c r="B2258" i="1"/>
  <c r="H2258" i="1"/>
  <c r="J2258" i="1"/>
  <c r="K2258" i="1"/>
  <c r="Q2258" i="1"/>
  <c r="P2258" i="1" s="1"/>
  <c r="B2250" i="1"/>
  <c r="B2251" i="1"/>
  <c r="B2252" i="1"/>
  <c r="B2253" i="1"/>
  <c r="B2254" i="1"/>
  <c r="B2255" i="1"/>
  <c r="B2256" i="1"/>
  <c r="B2257" i="1"/>
  <c r="H2250" i="1"/>
  <c r="H2251" i="1"/>
  <c r="H2252" i="1"/>
  <c r="H2253" i="1"/>
  <c r="H2254" i="1"/>
  <c r="H2255" i="1"/>
  <c r="H2256" i="1"/>
  <c r="H2257" i="1"/>
  <c r="J2250" i="1"/>
  <c r="J2251" i="1"/>
  <c r="J2252" i="1"/>
  <c r="J2253" i="1"/>
  <c r="J2254" i="1"/>
  <c r="J2255" i="1"/>
  <c r="J2256" i="1"/>
  <c r="J2257" i="1"/>
  <c r="K2250" i="1"/>
  <c r="K2251" i="1"/>
  <c r="K2252" i="1"/>
  <c r="K2253" i="1"/>
  <c r="K2254" i="1"/>
  <c r="K2255" i="1"/>
  <c r="K2256" i="1"/>
  <c r="K2257" i="1"/>
  <c r="Q2250" i="1"/>
  <c r="P2250" i="1" s="1"/>
  <c r="Q2251" i="1"/>
  <c r="P2251" i="1" s="1"/>
  <c r="Q2252" i="1"/>
  <c r="P2252" i="1" s="1"/>
  <c r="Q2253" i="1"/>
  <c r="P2253" i="1" s="1"/>
  <c r="Q2254" i="1"/>
  <c r="P2254" i="1" s="1"/>
  <c r="Q2255" i="1"/>
  <c r="P2255" i="1" s="1"/>
  <c r="Q2256" i="1"/>
  <c r="P2256" i="1" s="1"/>
  <c r="Q2257" i="1"/>
  <c r="P2257" i="1" s="1"/>
  <c r="B2249" i="1"/>
  <c r="H2249" i="1"/>
  <c r="J2249" i="1"/>
  <c r="K2249" i="1"/>
  <c r="Q2249" i="1"/>
  <c r="P2249" i="1" s="1"/>
  <c r="B2248" i="1"/>
  <c r="H2248" i="1"/>
  <c r="J2248" i="1"/>
  <c r="K2248" i="1"/>
  <c r="Q2248" i="1"/>
  <c r="P2248" i="1" s="1"/>
  <c r="B2247" i="1"/>
  <c r="H2247" i="1"/>
  <c r="J2247" i="1"/>
  <c r="K2247" i="1"/>
  <c r="Q2247" i="1"/>
  <c r="P2247" i="1" s="1"/>
  <c r="B2246" i="1"/>
  <c r="H2246" i="1"/>
  <c r="J2246" i="1"/>
  <c r="K2246" i="1"/>
  <c r="Q2246" i="1"/>
  <c r="P2246" i="1" s="1"/>
  <c r="B2245" i="1"/>
  <c r="H2245" i="1"/>
  <c r="J2245" i="1"/>
  <c r="K2245" i="1"/>
  <c r="Q2245" i="1"/>
  <c r="P2245" i="1" s="1"/>
  <c r="B2239" i="1"/>
  <c r="B2240" i="1"/>
  <c r="B2241" i="1"/>
  <c r="B2242" i="1"/>
  <c r="B2243" i="1"/>
  <c r="B2244" i="1"/>
  <c r="H2239" i="1"/>
  <c r="H2240" i="1"/>
  <c r="H2241" i="1"/>
  <c r="H2242" i="1"/>
  <c r="H2243" i="1"/>
  <c r="H2244" i="1"/>
  <c r="J2239" i="1"/>
  <c r="J2240" i="1"/>
  <c r="J2241" i="1"/>
  <c r="J2242" i="1"/>
  <c r="J2243" i="1"/>
  <c r="J2244" i="1"/>
  <c r="K2239" i="1"/>
  <c r="K2240" i="1"/>
  <c r="K2241" i="1"/>
  <c r="K2242" i="1"/>
  <c r="K2243" i="1"/>
  <c r="K2244" i="1"/>
  <c r="Q2239" i="1"/>
  <c r="P2239" i="1" s="1"/>
  <c r="Q2240" i="1"/>
  <c r="P2240" i="1" s="1"/>
  <c r="Q2241" i="1"/>
  <c r="P2241" i="1" s="1"/>
  <c r="Q2242" i="1"/>
  <c r="P2242" i="1" s="1"/>
  <c r="Q2243" i="1"/>
  <c r="P2243" i="1" s="1"/>
  <c r="Q2244" i="1"/>
  <c r="P2244" i="1" s="1"/>
  <c r="B2238" i="1"/>
  <c r="H2238" i="1"/>
  <c r="J2238" i="1"/>
  <c r="K2238" i="1"/>
  <c r="Q2238" i="1"/>
  <c r="P2238" i="1" s="1"/>
  <c r="B2234" i="1"/>
  <c r="B2235" i="1"/>
  <c r="B2236" i="1"/>
  <c r="B2237" i="1"/>
  <c r="H2234" i="1"/>
  <c r="H2235" i="1"/>
  <c r="H2236" i="1"/>
  <c r="H2237" i="1"/>
  <c r="J2234" i="1"/>
  <c r="J2235" i="1"/>
  <c r="J2236" i="1"/>
  <c r="J2237" i="1"/>
  <c r="K2234" i="1"/>
  <c r="K2235" i="1"/>
  <c r="K2236" i="1"/>
  <c r="K2237" i="1"/>
  <c r="Q2234" i="1"/>
  <c r="P2234" i="1" s="1"/>
  <c r="Q2235" i="1"/>
  <c r="P2235" i="1" s="1"/>
  <c r="Q2236" i="1"/>
  <c r="P2236" i="1" s="1"/>
  <c r="Q2237" i="1"/>
  <c r="P2237" i="1" s="1"/>
  <c r="B2233" i="1"/>
  <c r="H2233" i="1"/>
  <c r="J2233" i="1"/>
  <c r="K2233" i="1"/>
  <c r="Q2233" i="1"/>
  <c r="P2233" i="1" s="1"/>
  <c r="B2232" i="1"/>
  <c r="H2232" i="1"/>
  <c r="J2232" i="1"/>
  <c r="K2232" i="1"/>
  <c r="Q2232" i="1"/>
  <c r="P2232" i="1" s="1"/>
  <c r="B2231" i="1"/>
  <c r="H2231" i="1"/>
  <c r="J2231" i="1"/>
  <c r="K2231" i="1"/>
  <c r="Q2231" i="1"/>
  <c r="P2231" i="1" s="1"/>
  <c r="B1913" i="1"/>
  <c r="B1914" i="1"/>
  <c r="B1915" i="1"/>
  <c r="B1916" i="1"/>
  <c r="B1917" i="1"/>
  <c r="B1918" i="1"/>
  <c r="B1919" i="1"/>
  <c r="B1920" i="1"/>
  <c r="B1921" i="1"/>
  <c r="B1922" i="1"/>
  <c r="B1923" i="1"/>
  <c r="B1924" i="1"/>
  <c r="B1925" i="1"/>
  <c r="B1926" i="1"/>
  <c r="B1927" i="1"/>
  <c r="B1928" i="1"/>
  <c r="B1929" i="1"/>
  <c r="B1930" i="1"/>
  <c r="B1931" i="1"/>
  <c r="B1932" i="1"/>
  <c r="B1933" i="1"/>
  <c r="B1934" i="1"/>
  <c r="B1935" i="1"/>
  <c r="B1936" i="1"/>
  <c r="B1937" i="1"/>
  <c r="B1938" i="1"/>
  <c r="B1939" i="1"/>
  <c r="B1940" i="1"/>
  <c r="B1941" i="1"/>
  <c r="B1942" i="1"/>
  <c r="B1943" i="1"/>
  <c r="B1944" i="1"/>
  <c r="B1945" i="1"/>
  <c r="B1946" i="1"/>
  <c r="B1947" i="1"/>
  <c r="B1948" i="1"/>
  <c r="B1949" i="1"/>
  <c r="B1950" i="1"/>
  <c r="B1951" i="1"/>
  <c r="B1952" i="1"/>
  <c r="B1953" i="1"/>
  <c r="B1954" i="1"/>
  <c r="B1955" i="1"/>
  <c r="B1956" i="1"/>
  <c r="B1957" i="1"/>
  <c r="B1958" i="1"/>
  <c r="B1959" i="1"/>
  <c r="B1960" i="1"/>
  <c r="B1961" i="1"/>
  <c r="B1962" i="1"/>
  <c r="B1963" i="1"/>
  <c r="B1964" i="1"/>
  <c r="B1965" i="1"/>
  <c r="B1966" i="1"/>
  <c r="B1967" i="1"/>
  <c r="B1968" i="1"/>
  <c r="B1969" i="1"/>
  <c r="B1970" i="1"/>
  <c r="B1971" i="1"/>
  <c r="B1972" i="1"/>
  <c r="B1973" i="1"/>
  <c r="B1974" i="1"/>
  <c r="B1975" i="1"/>
  <c r="B1976" i="1"/>
  <c r="B1977" i="1"/>
  <c r="B1978" i="1"/>
  <c r="B1979" i="1"/>
  <c r="B1980" i="1"/>
  <c r="B1981" i="1"/>
  <c r="B1982" i="1"/>
  <c r="B1983" i="1"/>
  <c r="B1984" i="1"/>
  <c r="B1985" i="1"/>
  <c r="B1986" i="1"/>
  <c r="B1987" i="1"/>
  <c r="B1988" i="1"/>
  <c r="B1989" i="1"/>
  <c r="B1990" i="1"/>
  <c r="B1991" i="1"/>
  <c r="B1992" i="1"/>
  <c r="B1993" i="1"/>
  <c r="B1994" i="1"/>
  <c r="B1995" i="1"/>
  <c r="B1996" i="1"/>
  <c r="B1997" i="1"/>
  <c r="B1998" i="1"/>
  <c r="B1999" i="1"/>
  <c r="B2000" i="1"/>
  <c r="B2001" i="1"/>
  <c r="B2002" i="1"/>
  <c r="B2003" i="1"/>
  <c r="B2004" i="1"/>
  <c r="B2005" i="1"/>
  <c r="B2006" i="1"/>
  <c r="B2007" i="1"/>
  <c r="B2008" i="1"/>
  <c r="B2009" i="1"/>
  <c r="B2010" i="1"/>
  <c r="B2011" i="1"/>
  <c r="B2012" i="1"/>
  <c r="B2013" i="1"/>
  <c r="B2014" i="1"/>
  <c r="B2015" i="1"/>
  <c r="B2016" i="1"/>
  <c r="B2017" i="1"/>
  <c r="B2018" i="1"/>
  <c r="B2019" i="1"/>
  <c r="B2020" i="1"/>
  <c r="B2021" i="1"/>
  <c r="B2022" i="1"/>
  <c r="B2023" i="1"/>
  <c r="B2024" i="1"/>
  <c r="B2025" i="1"/>
  <c r="B2026" i="1"/>
  <c r="B2027" i="1"/>
  <c r="B2028" i="1"/>
  <c r="B2029" i="1"/>
  <c r="B2030" i="1"/>
  <c r="B2031" i="1"/>
  <c r="B2032" i="1"/>
  <c r="B2033" i="1"/>
  <c r="B2034" i="1"/>
  <c r="B2035" i="1"/>
  <c r="B2036" i="1"/>
  <c r="B2037" i="1"/>
  <c r="B2038" i="1"/>
  <c r="B2039" i="1"/>
  <c r="B2040" i="1"/>
  <c r="B2041" i="1"/>
  <c r="B2042" i="1"/>
  <c r="B2043" i="1"/>
  <c r="B2044" i="1"/>
  <c r="B2045" i="1"/>
  <c r="B2046" i="1"/>
  <c r="B2047" i="1"/>
  <c r="B2048" i="1"/>
  <c r="B2049" i="1"/>
  <c r="B2050" i="1"/>
  <c r="B2051" i="1"/>
  <c r="B2052" i="1"/>
  <c r="B2053" i="1"/>
  <c r="B2054" i="1"/>
  <c r="B2055" i="1"/>
  <c r="B2056" i="1"/>
  <c r="B2057" i="1"/>
  <c r="B2058" i="1"/>
  <c r="B2059" i="1"/>
  <c r="B2060" i="1"/>
  <c r="B2061" i="1"/>
  <c r="B2062" i="1"/>
  <c r="B2063" i="1"/>
  <c r="B2064" i="1"/>
  <c r="B2065" i="1"/>
  <c r="B2066" i="1"/>
  <c r="B2067" i="1"/>
  <c r="B2068" i="1"/>
  <c r="B2069" i="1"/>
  <c r="B2070" i="1"/>
  <c r="B2071" i="1"/>
  <c r="B2072" i="1"/>
  <c r="B2073" i="1"/>
  <c r="B2074" i="1"/>
  <c r="B2075" i="1"/>
  <c r="B2076" i="1"/>
  <c r="B2077" i="1"/>
  <c r="B2078" i="1"/>
  <c r="B2079" i="1"/>
  <c r="B2080" i="1"/>
  <c r="B2081" i="1"/>
  <c r="B2082" i="1"/>
  <c r="B2083" i="1"/>
  <c r="B2084" i="1"/>
  <c r="B2085" i="1"/>
  <c r="B2086" i="1"/>
  <c r="B2087" i="1"/>
  <c r="B2088" i="1"/>
  <c r="B2089" i="1"/>
  <c r="B2090" i="1"/>
  <c r="B2091" i="1"/>
  <c r="B2092" i="1"/>
  <c r="B2093" i="1"/>
  <c r="B2094" i="1"/>
  <c r="B2095" i="1"/>
  <c r="B2096" i="1"/>
  <c r="B2097" i="1"/>
  <c r="B2098" i="1"/>
  <c r="B2099" i="1"/>
  <c r="B2100" i="1"/>
  <c r="B2101" i="1"/>
  <c r="B2102" i="1"/>
  <c r="B2103" i="1"/>
  <c r="B2104" i="1"/>
  <c r="B2105" i="1"/>
  <c r="B2106" i="1"/>
  <c r="B2107" i="1"/>
  <c r="B2108" i="1"/>
  <c r="B2109" i="1"/>
  <c r="B2110" i="1"/>
  <c r="B2111" i="1"/>
  <c r="B2112" i="1"/>
  <c r="B2113" i="1"/>
  <c r="B2114" i="1"/>
  <c r="B2115" i="1"/>
  <c r="B2116" i="1"/>
  <c r="B2117" i="1"/>
  <c r="B2118" i="1"/>
  <c r="B2119" i="1"/>
  <c r="B2120" i="1"/>
  <c r="B2121" i="1"/>
  <c r="B2122" i="1"/>
  <c r="B2123" i="1"/>
  <c r="B2124" i="1"/>
  <c r="B2125" i="1"/>
  <c r="B2126" i="1"/>
  <c r="B2127" i="1"/>
  <c r="B2128" i="1"/>
  <c r="B2129" i="1"/>
  <c r="B2130" i="1"/>
  <c r="B2131" i="1"/>
  <c r="B2132" i="1"/>
  <c r="B2133" i="1"/>
  <c r="B2134" i="1"/>
  <c r="B2135" i="1"/>
  <c r="B2136" i="1"/>
  <c r="B2137" i="1"/>
  <c r="B2138" i="1"/>
  <c r="B2139" i="1"/>
  <c r="B2140" i="1"/>
  <c r="B2141" i="1"/>
  <c r="B2142" i="1"/>
  <c r="B2143" i="1"/>
  <c r="B2144" i="1"/>
  <c r="B2145" i="1"/>
  <c r="B2146" i="1"/>
  <c r="B2147" i="1"/>
  <c r="B2148" i="1"/>
  <c r="B2149" i="1"/>
  <c r="B2150" i="1"/>
  <c r="B2151" i="1"/>
  <c r="B2152" i="1"/>
  <c r="B2153" i="1"/>
  <c r="B2154" i="1"/>
  <c r="B2155" i="1"/>
  <c r="B2156" i="1"/>
  <c r="B2157" i="1"/>
  <c r="B2158" i="1"/>
  <c r="B2159" i="1"/>
  <c r="B2160" i="1"/>
  <c r="B2161" i="1"/>
  <c r="B2162" i="1"/>
  <c r="B2163" i="1"/>
  <c r="B2164" i="1"/>
  <c r="B2165" i="1"/>
  <c r="B2166" i="1"/>
  <c r="B2167" i="1"/>
  <c r="B2168" i="1"/>
  <c r="B2169" i="1"/>
  <c r="B2170" i="1"/>
  <c r="B2171" i="1"/>
  <c r="B2172" i="1"/>
  <c r="B2173" i="1"/>
  <c r="B2174" i="1"/>
  <c r="B2175" i="1"/>
  <c r="B2176" i="1"/>
  <c r="B2177" i="1"/>
  <c r="B2178" i="1"/>
  <c r="B2179" i="1"/>
  <c r="B2180" i="1"/>
  <c r="B2181" i="1"/>
  <c r="B2182" i="1"/>
  <c r="B2183" i="1"/>
  <c r="B2184" i="1"/>
  <c r="B2185" i="1"/>
  <c r="B2186" i="1"/>
  <c r="B2187" i="1"/>
  <c r="B2188" i="1"/>
  <c r="B2189" i="1"/>
  <c r="B2190" i="1"/>
  <c r="B2191" i="1"/>
  <c r="B2192" i="1"/>
  <c r="B2193" i="1"/>
  <c r="B2194" i="1"/>
  <c r="B2195" i="1"/>
  <c r="B2196" i="1"/>
  <c r="B2197" i="1"/>
  <c r="B2198" i="1"/>
  <c r="B2199" i="1"/>
  <c r="B2200" i="1"/>
  <c r="B2201" i="1"/>
  <c r="B2202" i="1"/>
  <c r="B2203" i="1"/>
  <c r="B2204" i="1"/>
  <c r="B2205" i="1"/>
  <c r="B2206" i="1"/>
  <c r="B2207" i="1"/>
  <c r="B2208" i="1"/>
  <c r="B2209" i="1"/>
  <c r="B2210" i="1"/>
  <c r="B2211" i="1"/>
  <c r="B2212" i="1"/>
  <c r="B2213" i="1"/>
  <c r="B2214" i="1"/>
  <c r="B2215" i="1"/>
  <c r="B2216" i="1"/>
  <c r="B2217" i="1"/>
  <c r="B2218" i="1"/>
  <c r="B2219" i="1"/>
  <c r="B2220" i="1"/>
  <c r="B2221" i="1"/>
  <c r="B2222" i="1"/>
  <c r="B2223" i="1"/>
  <c r="B2224" i="1"/>
  <c r="B2225" i="1"/>
  <c r="B2226" i="1"/>
  <c r="B2227" i="1"/>
  <c r="B2228" i="1"/>
  <c r="B2229" i="1"/>
  <c r="B2230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K1913" i="1"/>
  <c r="K1914" i="1"/>
  <c r="K1915" i="1"/>
  <c r="K1916" i="1"/>
  <c r="K1917" i="1"/>
  <c r="K1918" i="1"/>
  <c r="K1919" i="1"/>
  <c r="K1920" i="1"/>
  <c r="K1921" i="1"/>
  <c r="K1922" i="1"/>
  <c r="K1923" i="1"/>
  <c r="K1924" i="1"/>
  <c r="K1925" i="1"/>
  <c r="K1926" i="1"/>
  <c r="K1927" i="1"/>
  <c r="K1928" i="1"/>
  <c r="K1929" i="1"/>
  <c r="K1930" i="1"/>
  <c r="K1931" i="1"/>
  <c r="K1932" i="1"/>
  <c r="K1933" i="1"/>
  <c r="K1934" i="1"/>
  <c r="K1935" i="1"/>
  <c r="K1936" i="1"/>
  <c r="K1937" i="1"/>
  <c r="K1938" i="1"/>
  <c r="K1939" i="1"/>
  <c r="K1940" i="1"/>
  <c r="K1941" i="1"/>
  <c r="K1942" i="1"/>
  <c r="K1943" i="1"/>
  <c r="K1944" i="1"/>
  <c r="K1945" i="1"/>
  <c r="K1946" i="1"/>
  <c r="K1947" i="1"/>
  <c r="K1948" i="1"/>
  <c r="K1949" i="1"/>
  <c r="K1950" i="1"/>
  <c r="K1951" i="1"/>
  <c r="K1952" i="1"/>
  <c r="K1953" i="1"/>
  <c r="K1954" i="1"/>
  <c r="K1955" i="1"/>
  <c r="K1956" i="1"/>
  <c r="K1957" i="1"/>
  <c r="K1958" i="1"/>
  <c r="K1959" i="1"/>
  <c r="K1960" i="1"/>
  <c r="K1961" i="1"/>
  <c r="K1962" i="1"/>
  <c r="K1963" i="1"/>
  <c r="K1964" i="1"/>
  <c r="K1965" i="1"/>
  <c r="K1966" i="1"/>
  <c r="K1967" i="1"/>
  <c r="K1968" i="1"/>
  <c r="K1969" i="1"/>
  <c r="K1970" i="1"/>
  <c r="K1971" i="1"/>
  <c r="K1972" i="1"/>
  <c r="K1973" i="1"/>
  <c r="K1974" i="1"/>
  <c r="K1975" i="1"/>
  <c r="K1976" i="1"/>
  <c r="K1977" i="1"/>
  <c r="K1978" i="1"/>
  <c r="K1979" i="1"/>
  <c r="K1980" i="1"/>
  <c r="K1981" i="1"/>
  <c r="K1982" i="1"/>
  <c r="K1983" i="1"/>
  <c r="K1984" i="1"/>
  <c r="K1985" i="1"/>
  <c r="K1986" i="1"/>
  <c r="K1987" i="1"/>
  <c r="K1988" i="1"/>
  <c r="K1989" i="1"/>
  <c r="K1990" i="1"/>
  <c r="K1991" i="1"/>
  <c r="K1992" i="1"/>
  <c r="K1993" i="1"/>
  <c r="K1994" i="1"/>
  <c r="K1995" i="1"/>
  <c r="K1996" i="1"/>
  <c r="K1997" i="1"/>
  <c r="K1998" i="1"/>
  <c r="K1999" i="1"/>
  <c r="K2000" i="1"/>
  <c r="K2001" i="1"/>
  <c r="K2002" i="1"/>
  <c r="K2003" i="1"/>
  <c r="K2004" i="1"/>
  <c r="K2005" i="1"/>
  <c r="K2006" i="1"/>
  <c r="K2007" i="1"/>
  <c r="K2008" i="1"/>
  <c r="K2009" i="1"/>
  <c r="K2010" i="1"/>
  <c r="K2011" i="1"/>
  <c r="K2012" i="1"/>
  <c r="K2013" i="1"/>
  <c r="K2014" i="1"/>
  <c r="K2015" i="1"/>
  <c r="K2016" i="1"/>
  <c r="K2017" i="1"/>
  <c r="K2018" i="1"/>
  <c r="K2019" i="1"/>
  <c r="K2020" i="1"/>
  <c r="K2021" i="1"/>
  <c r="K2022" i="1"/>
  <c r="K2023" i="1"/>
  <c r="K2024" i="1"/>
  <c r="K2025" i="1"/>
  <c r="K2026" i="1"/>
  <c r="K2027" i="1"/>
  <c r="K2028" i="1"/>
  <c r="K2029" i="1"/>
  <c r="K2030" i="1"/>
  <c r="K2031" i="1"/>
  <c r="K2032" i="1"/>
  <c r="K2033" i="1"/>
  <c r="K2034" i="1"/>
  <c r="K2035" i="1"/>
  <c r="K2036" i="1"/>
  <c r="K2037" i="1"/>
  <c r="K2038" i="1"/>
  <c r="K2039" i="1"/>
  <c r="K2040" i="1"/>
  <c r="K2041" i="1"/>
  <c r="K2042" i="1"/>
  <c r="K2043" i="1"/>
  <c r="K2044" i="1"/>
  <c r="K2045" i="1"/>
  <c r="K2046" i="1"/>
  <c r="K2047" i="1"/>
  <c r="K2048" i="1"/>
  <c r="K2049" i="1"/>
  <c r="K2050" i="1"/>
  <c r="K2051" i="1"/>
  <c r="K2052" i="1"/>
  <c r="K2053" i="1"/>
  <c r="K2054" i="1"/>
  <c r="K2055" i="1"/>
  <c r="K2056" i="1"/>
  <c r="K2057" i="1"/>
  <c r="K2058" i="1"/>
  <c r="K2059" i="1"/>
  <c r="K2060" i="1"/>
  <c r="K2061" i="1"/>
  <c r="K2062" i="1"/>
  <c r="K2063" i="1"/>
  <c r="K2064" i="1"/>
  <c r="K2065" i="1"/>
  <c r="K2066" i="1"/>
  <c r="K2067" i="1"/>
  <c r="K2068" i="1"/>
  <c r="K2069" i="1"/>
  <c r="K2070" i="1"/>
  <c r="K2071" i="1"/>
  <c r="K2072" i="1"/>
  <c r="K2073" i="1"/>
  <c r="K2074" i="1"/>
  <c r="K2075" i="1"/>
  <c r="K2076" i="1"/>
  <c r="K2077" i="1"/>
  <c r="K2078" i="1"/>
  <c r="K2079" i="1"/>
  <c r="K2080" i="1"/>
  <c r="K2081" i="1"/>
  <c r="K2082" i="1"/>
  <c r="K2083" i="1"/>
  <c r="K2084" i="1"/>
  <c r="K2085" i="1"/>
  <c r="K2086" i="1"/>
  <c r="K2087" i="1"/>
  <c r="K2088" i="1"/>
  <c r="K2089" i="1"/>
  <c r="K2090" i="1"/>
  <c r="K2091" i="1"/>
  <c r="K2092" i="1"/>
  <c r="K2093" i="1"/>
  <c r="K2094" i="1"/>
  <c r="K2095" i="1"/>
  <c r="K2096" i="1"/>
  <c r="K2097" i="1"/>
  <c r="K2098" i="1"/>
  <c r="K2099" i="1"/>
  <c r="K2100" i="1"/>
  <c r="K2101" i="1"/>
  <c r="K2102" i="1"/>
  <c r="K2103" i="1"/>
  <c r="K2104" i="1"/>
  <c r="K2105" i="1"/>
  <c r="K2106" i="1"/>
  <c r="K2107" i="1"/>
  <c r="K2108" i="1"/>
  <c r="K2109" i="1"/>
  <c r="K2110" i="1"/>
  <c r="K2111" i="1"/>
  <c r="K2112" i="1"/>
  <c r="K2113" i="1"/>
  <c r="K2114" i="1"/>
  <c r="K2115" i="1"/>
  <c r="K2116" i="1"/>
  <c r="K2117" i="1"/>
  <c r="K2118" i="1"/>
  <c r="K2119" i="1"/>
  <c r="K2120" i="1"/>
  <c r="K2121" i="1"/>
  <c r="K2122" i="1"/>
  <c r="K2123" i="1"/>
  <c r="K2124" i="1"/>
  <c r="K2125" i="1"/>
  <c r="K2126" i="1"/>
  <c r="K2127" i="1"/>
  <c r="K2128" i="1"/>
  <c r="K2129" i="1"/>
  <c r="K2130" i="1"/>
  <c r="K2131" i="1"/>
  <c r="K2132" i="1"/>
  <c r="K2133" i="1"/>
  <c r="K2134" i="1"/>
  <c r="K2135" i="1"/>
  <c r="K2136" i="1"/>
  <c r="K2137" i="1"/>
  <c r="K2138" i="1"/>
  <c r="K2139" i="1"/>
  <c r="K2140" i="1"/>
  <c r="K2141" i="1"/>
  <c r="K2142" i="1"/>
  <c r="K2143" i="1"/>
  <c r="K2144" i="1"/>
  <c r="K2145" i="1"/>
  <c r="K2146" i="1"/>
  <c r="K2147" i="1"/>
  <c r="K2148" i="1"/>
  <c r="K2149" i="1"/>
  <c r="K2150" i="1"/>
  <c r="K2151" i="1"/>
  <c r="K2152" i="1"/>
  <c r="K2153" i="1"/>
  <c r="K2154" i="1"/>
  <c r="K2155" i="1"/>
  <c r="K2156" i="1"/>
  <c r="K2157" i="1"/>
  <c r="K2158" i="1"/>
  <c r="K2159" i="1"/>
  <c r="K2160" i="1"/>
  <c r="K2161" i="1"/>
  <c r="K2162" i="1"/>
  <c r="K2163" i="1"/>
  <c r="K2164" i="1"/>
  <c r="K2165" i="1"/>
  <c r="K2166" i="1"/>
  <c r="K2167" i="1"/>
  <c r="K2168" i="1"/>
  <c r="K2169" i="1"/>
  <c r="K2170" i="1"/>
  <c r="K2171" i="1"/>
  <c r="K2172" i="1"/>
  <c r="K2173" i="1"/>
  <c r="K2174" i="1"/>
  <c r="K2175" i="1"/>
  <c r="K2176" i="1"/>
  <c r="K2177" i="1"/>
  <c r="K2178" i="1"/>
  <c r="K2179" i="1"/>
  <c r="K2180" i="1"/>
  <c r="K2181" i="1"/>
  <c r="K2182" i="1"/>
  <c r="K2183" i="1"/>
  <c r="K2184" i="1"/>
  <c r="K2185" i="1"/>
  <c r="K2186" i="1"/>
  <c r="K2187" i="1"/>
  <c r="K2188" i="1"/>
  <c r="K2189" i="1"/>
  <c r="K2190" i="1"/>
  <c r="K2191" i="1"/>
  <c r="K2192" i="1"/>
  <c r="K2193" i="1"/>
  <c r="K2194" i="1"/>
  <c r="K2195" i="1"/>
  <c r="K2196" i="1"/>
  <c r="K2197" i="1"/>
  <c r="K2198" i="1"/>
  <c r="K2199" i="1"/>
  <c r="K2200" i="1"/>
  <c r="K2201" i="1"/>
  <c r="K2202" i="1"/>
  <c r="K2203" i="1"/>
  <c r="K2204" i="1"/>
  <c r="K2205" i="1"/>
  <c r="K2206" i="1"/>
  <c r="K2207" i="1"/>
  <c r="K2208" i="1"/>
  <c r="K2209" i="1"/>
  <c r="K2210" i="1"/>
  <c r="K2211" i="1"/>
  <c r="K2212" i="1"/>
  <c r="K2213" i="1"/>
  <c r="K2214" i="1"/>
  <c r="K2215" i="1"/>
  <c r="K2216" i="1"/>
  <c r="K2217" i="1"/>
  <c r="K2218" i="1"/>
  <c r="K2219" i="1"/>
  <c r="K2220" i="1"/>
  <c r="K2221" i="1"/>
  <c r="K2222" i="1"/>
  <c r="K2223" i="1"/>
  <c r="K2224" i="1"/>
  <c r="K2225" i="1"/>
  <c r="K2226" i="1"/>
  <c r="K2227" i="1"/>
  <c r="K2228" i="1"/>
  <c r="K2229" i="1"/>
  <c r="K2230" i="1"/>
  <c r="Q1913" i="1"/>
  <c r="P1913" i="1" s="1"/>
  <c r="Q1914" i="1"/>
  <c r="P1914" i="1" s="1"/>
  <c r="Q1915" i="1"/>
  <c r="P1915" i="1" s="1"/>
  <c r="Q1916" i="1"/>
  <c r="P1916" i="1" s="1"/>
  <c r="Q1917" i="1"/>
  <c r="P1917" i="1" s="1"/>
  <c r="Q1918" i="1"/>
  <c r="P1918" i="1" s="1"/>
  <c r="Q1919" i="1"/>
  <c r="P1919" i="1" s="1"/>
  <c r="Q1920" i="1"/>
  <c r="P1920" i="1" s="1"/>
  <c r="Q1921" i="1"/>
  <c r="P1921" i="1" s="1"/>
  <c r="Q1922" i="1"/>
  <c r="P1922" i="1" s="1"/>
  <c r="Q1923" i="1"/>
  <c r="P1923" i="1" s="1"/>
  <c r="Q1924" i="1"/>
  <c r="P1924" i="1" s="1"/>
  <c r="Q1925" i="1"/>
  <c r="P1925" i="1" s="1"/>
  <c r="Q1926" i="1"/>
  <c r="P1926" i="1" s="1"/>
  <c r="Q1927" i="1"/>
  <c r="P1927" i="1" s="1"/>
  <c r="Q1928" i="1"/>
  <c r="P1928" i="1" s="1"/>
  <c r="Q1929" i="1"/>
  <c r="P1929" i="1" s="1"/>
  <c r="Q1930" i="1"/>
  <c r="P1930" i="1" s="1"/>
  <c r="Q1931" i="1"/>
  <c r="P1931" i="1" s="1"/>
  <c r="Q1932" i="1"/>
  <c r="P1932" i="1" s="1"/>
  <c r="Q1933" i="1"/>
  <c r="P1933" i="1" s="1"/>
  <c r="Q1934" i="1"/>
  <c r="P1934" i="1" s="1"/>
  <c r="Q1935" i="1"/>
  <c r="P1935" i="1" s="1"/>
  <c r="Q1936" i="1"/>
  <c r="P1936" i="1" s="1"/>
  <c r="Q1937" i="1"/>
  <c r="P1937" i="1" s="1"/>
  <c r="Q1938" i="1"/>
  <c r="P1938" i="1" s="1"/>
  <c r="Q1939" i="1"/>
  <c r="P1939" i="1" s="1"/>
  <c r="Q1940" i="1"/>
  <c r="P1940" i="1" s="1"/>
  <c r="Q1941" i="1"/>
  <c r="P1941" i="1" s="1"/>
  <c r="Q1942" i="1"/>
  <c r="P1942" i="1" s="1"/>
  <c r="Q1943" i="1"/>
  <c r="P1943" i="1" s="1"/>
  <c r="Q1944" i="1"/>
  <c r="P1944" i="1" s="1"/>
  <c r="Q1945" i="1"/>
  <c r="P1945" i="1" s="1"/>
  <c r="Q1946" i="1"/>
  <c r="P1946" i="1" s="1"/>
  <c r="Q1947" i="1"/>
  <c r="P1947" i="1" s="1"/>
  <c r="Q1948" i="1"/>
  <c r="P1948" i="1" s="1"/>
  <c r="Q1949" i="1"/>
  <c r="P1949" i="1" s="1"/>
  <c r="Q1950" i="1"/>
  <c r="P1950" i="1" s="1"/>
  <c r="Q1951" i="1"/>
  <c r="P1951" i="1" s="1"/>
  <c r="Q1952" i="1"/>
  <c r="P1952" i="1" s="1"/>
  <c r="Q1953" i="1"/>
  <c r="P1953" i="1" s="1"/>
  <c r="Q1954" i="1"/>
  <c r="P1954" i="1" s="1"/>
  <c r="Q1955" i="1"/>
  <c r="P1955" i="1" s="1"/>
  <c r="Q1956" i="1"/>
  <c r="P1956" i="1" s="1"/>
  <c r="Q1957" i="1"/>
  <c r="P1957" i="1" s="1"/>
  <c r="Q1958" i="1"/>
  <c r="P1958" i="1" s="1"/>
  <c r="Q1959" i="1"/>
  <c r="P1959" i="1" s="1"/>
  <c r="Q1960" i="1"/>
  <c r="P1960" i="1" s="1"/>
  <c r="Q1961" i="1"/>
  <c r="P1961" i="1" s="1"/>
  <c r="Q1962" i="1"/>
  <c r="P1962" i="1" s="1"/>
  <c r="Q1963" i="1"/>
  <c r="P1963" i="1" s="1"/>
  <c r="Q1964" i="1"/>
  <c r="P1964" i="1" s="1"/>
  <c r="Q1965" i="1"/>
  <c r="P1965" i="1" s="1"/>
  <c r="Q1966" i="1"/>
  <c r="P1966" i="1" s="1"/>
  <c r="Q1967" i="1"/>
  <c r="P1967" i="1" s="1"/>
  <c r="Q1968" i="1"/>
  <c r="P1968" i="1" s="1"/>
  <c r="Q1969" i="1"/>
  <c r="P1969" i="1" s="1"/>
  <c r="Q1970" i="1"/>
  <c r="P1970" i="1" s="1"/>
  <c r="Q1971" i="1"/>
  <c r="P1971" i="1" s="1"/>
  <c r="Q1972" i="1"/>
  <c r="P1972" i="1" s="1"/>
  <c r="Q1973" i="1"/>
  <c r="P1973" i="1" s="1"/>
  <c r="Q1974" i="1"/>
  <c r="P1974" i="1" s="1"/>
  <c r="Q1975" i="1"/>
  <c r="P1975" i="1" s="1"/>
  <c r="Q1976" i="1"/>
  <c r="P1976" i="1" s="1"/>
  <c r="Q1977" i="1"/>
  <c r="P1977" i="1" s="1"/>
  <c r="Q1978" i="1"/>
  <c r="P1978" i="1" s="1"/>
  <c r="Q1979" i="1"/>
  <c r="P1979" i="1" s="1"/>
  <c r="Q1980" i="1"/>
  <c r="P1980" i="1" s="1"/>
  <c r="Q1981" i="1"/>
  <c r="P1981" i="1" s="1"/>
  <c r="Q1982" i="1"/>
  <c r="P1982" i="1" s="1"/>
  <c r="Q1983" i="1"/>
  <c r="P1983" i="1" s="1"/>
  <c r="Q1984" i="1"/>
  <c r="P1984" i="1" s="1"/>
  <c r="Q1985" i="1"/>
  <c r="P1985" i="1" s="1"/>
  <c r="Q1986" i="1"/>
  <c r="P1986" i="1" s="1"/>
  <c r="Q1987" i="1"/>
  <c r="P1987" i="1" s="1"/>
  <c r="Q1988" i="1"/>
  <c r="P1988" i="1" s="1"/>
  <c r="Q1989" i="1"/>
  <c r="P1989" i="1" s="1"/>
  <c r="Q1990" i="1"/>
  <c r="P1990" i="1" s="1"/>
  <c r="Q1991" i="1"/>
  <c r="P1991" i="1" s="1"/>
  <c r="Q1992" i="1"/>
  <c r="P1992" i="1" s="1"/>
  <c r="Q1993" i="1"/>
  <c r="P1993" i="1" s="1"/>
  <c r="Q1994" i="1"/>
  <c r="P1994" i="1" s="1"/>
  <c r="Q1995" i="1"/>
  <c r="P1995" i="1" s="1"/>
  <c r="Q1996" i="1"/>
  <c r="P1996" i="1" s="1"/>
  <c r="Q1997" i="1"/>
  <c r="P1997" i="1" s="1"/>
  <c r="Q1998" i="1"/>
  <c r="P1998" i="1" s="1"/>
  <c r="Q1999" i="1"/>
  <c r="P1999" i="1" s="1"/>
  <c r="Q2000" i="1"/>
  <c r="P2000" i="1" s="1"/>
  <c r="Q2001" i="1"/>
  <c r="P2001" i="1" s="1"/>
  <c r="Q2002" i="1"/>
  <c r="P2002" i="1" s="1"/>
  <c r="Q2003" i="1"/>
  <c r="P2003" i="1" s="1"/>
  <c r="Q2004" i="1"/>
  <c r="P2004" i="1" s="1"/>
  <c r="Q2005" i="1"/>
  <c r="P2005" i="1" s="1"/>
  <c r="Q2006" i="1"/>
  <c r="P2006" i="1" s="1"/>
  <c r="Q2007" i="1"/>
  <c r="P2007" i="1" s="1"/>
  <c r="Q2008" i="1"/>
  <c r="P2008" i="1" s="1"/>
  <c r="Q2009" i="1"/>
  <c r="P2009" i="1" s="1"/>
  <c r="Q2010" i="1"/>
  <c r="P2010" i="1" s="1"/>
  <c r="Q2011" i="1"/>
  <c r="P2011" i="1" s="1"/>
  <c r="Q2012" i="1"/>
  <c r="P2012" i="1" s="1"/>
  <c r="Q2013" i="1"/>
  <c r="P2013" i="1" s="1"/>
  <c r="Q2014" i="1"/>
  <c r="P2014" i="1" s="1"/>
  <c r="Q2015" i="1"/>
  <c r="P2015" i="1" s="1"/>
  <c r="Q2016" i="1"/>
  <c r="P2016" i="1" s="1"/>
  <c r="Q2017" i="1"/>
  <c r="P2017" i="1" s="1"/>
  <c r="Q2018" i="1"/>
  <c r="P2018" i="1" s="1"/>
  <c r="Q2019" i="1"/>
  <c r="P2019" i="1" s="1"/>
  <c r="Q2020" i="1"/>
  <c r="P2020" i="1" s="1"/>
  <c r="Q2021" i="1"/>
  <c r="P2021" i="1" s="1"/>
  <c r="Q2022" i="1"/>
  <c r="P2022" i="1" s="1"/>
  <c r="Q2023" i="1"/>
  <c r="P2023" i="1" s="1"/>
  <c r="Q2024" i="1"/>
  <c r="P2024" i="1" s="1"/>
  <c r="Q2025" i="1"/>
  <c r="P2025" i="1" s="1"/>
  <c r="Q2026" i="1"/>
  <c r="P2026" i="1" s="1"/>
  <c r="Q2027" i="1"/>
  <c r="P2027" i="1" s="1"/>
  <c r="Q2028" i="1"/>
  <c r="P2028" i="1" s="1"/>
  <c r="Q2029" i="1"/>
  <c r="P2029" i="1" s="1"/>
  <c r="Q2030" i="1"/>
  <c r="P2030" i="1" s="1"/>
  <c r="Q2031" i="1"/>
  <c r="P2031" i="1" s="1"/>
  <c r="Q2032" i="1"/>
  <c r="P2032" i="1" s="1"/>
  <c r="Q2033" i="1"/>
  <c r="P2033" i="1" s="1"/>
  <c r="Q2034" i="1"/>
  <c r="P2034" i="1" s="1"/>
  <c r="Q2035" i="1"/>
  <c r="P2035" i="1" s="1"/>
  <c r="Q2036" i="1"/>
  <c r="P2036" i="1" s="1"/>
  <c r="Q2037" i="1"/>
  <c r="P2037" i="1" s="1"/>
  <c r="Q2038" i="1"/>
  <c r="P2038" i="1" s="1"/>
  <c r="Q2039" i="1"/>
  <c r="P2039" i="1" s="1"/>
  <c r="Q2040" i="1"/>
  <c r="P2040" i="1" s="1"/>
  <c r="Q2041" i="1"/>
  <c r="P2041" i="1" s="1"/>
  <c r="Q2042" i="1"/>
  <c r="P2042" i="1" s="1"/>
  <c r="Q2043" i="1"/>
  <c r="P2043" i="1" s="1"/>
  <c r="Q2044" i="1"/>
  <c r="P2044" i="1" s="1"/>
  <c r="Q2045" i="1"/>
  <c r="P2045" i="1" s="1"/>
  <c r="Q2046" i="1"/>
  <c r="P2046" i="1" s="1"/>
  <c r="Q2047" i="1"/>
  <c r="P2047" i="1" s="1"/>
  <c r="Q2048" i="1"/>
  <c r="P2048" i="1" s="1"/>
  <c r="Q2049" i="1"/>
  <c r="P2049" i="1" s="1"/>
  <c r="Q2050" i="1"/>
  <c r="P2050" i="1" s="1"/>
  <c r="Q2051" i="1"/>
  <c r="P2051" i="1" s="1"/>
  <c r="Q2052" i="1"/>
  <c r="P2052" i="1" s="1"/>
  <c r="Q2053" i="1"/>
  <c r="P2053" i="1" s="1"/>
  <c r="Q2054" i="1"/>
  <c r="P2054" i="1" s="1"/>
  <c r="Q2055" i="1"/>
  <c r="P2055" i="1" s="1"/>
  <c r="Q2056" i="1"/>
  <c r="P2056" i="1" s="1"/>
  <c r="Q2057" i="1"/>
  <c r="P2057" i="1" s="1"/>
  <c r="Q2058" i="1"/>
  <c r="P2058" i="1" s="1"/>
  <c r="Q2059" i="1"/>
  <c r="P2059" i="1" s="1"/>
  <c r="Q2060" i="1"/>
  <c r="P2060" i="1" s="1"/>
  <c r="Q2061" i="1"/>
  <c r="P2061" i="1" s="1"/>
  <c r="Q2062" i="1"/>
  <c r="P2062" i="1" s="1"/>
  <c r="Q2063" i="1"/>
  <c r="P2063" i="1" s="1"/>
  <c r="Q2064" i="1"/>
  <c r="P2064" i="1" s="1"/>
  <c r="Q2065" i="1"/>
  <c r="P2065" i="1" s="1"/>
  <c r="Q2066" i="1"/>
  <c r="P2066" i="1" s="1"/>
  <c r="Q2067" i="1"/>
  <c r="P2067" i="1" s="1"/>
  <c r="Q2068" i="1"/>
  <c r="P2068" i="1" s="1"/>
  <c r="Q2069" i="1"/>
  <c r="P2069" i="1" s="1"/>
  <c r="Q2070" i="1"/>
  <c r="P2070" i="1" s="1"/>
  <c r="Q2071" i="1"/>
  <c r="P2071" i="1" s="1"/>
  <c r="Q2072" i="1"/>
  <c r="P2072" i="1" s="1"/>
  <c r="Q2073" i="1"/>
  <c r="P2073" i="1" s="1"/>
  <c r="Q2074" i="1"/>
  <c r="P2074" i="1" s="1"/>
  <c r="Q2075" i="1"/>
  <c r="P2075" i="1" s="1"/>
  <c r="Q2076" i="1"/>
  <c r="P2076" i="1" s="1"/>
  <c r="Q2077" i="1"/>
  <c r="P2077" i="1" s="1"/>
  <c r="Q2078" i="1"/>
  <c r="P2078" i="1" s="1"/>
  <c r="Q2079" i="1"/>
  <c r="P2079" i="1" s="1"/>
  <c r="Q2080" i="1"/>
  <c r="P2080" i="1" s="1"/>
  <c r="Q2081" i="1"/>
  <c r="P2081" i="1" s="1"/>
  <c r="Q2082" i="1"/>
  <c r="P2082" i="1" s="1"/>
  <c r="Q2083" i="1"/>
  <c r="P2083" i="1" s="1"/>
  <c r="Q2084" i="1"/>
  <c r="P2084" i="1" s="1"/>
  <c r="Q2085" i="1"/>
  <c r="P2085" i="1" s="1"/>
  <c r="Q2086" i="1"/>
  <c r="P2086" i="1" s="1"/>
  <c r="Q2087" i="1"/>
  <c r="P2087" i="1" s="1"/>
  <c r="Q2088" i="1"/>
  <c r="P2088" i="1" s="1"/>
  <c r="Q2089" i="1"/>
  <c r="P2089" i="1" s="1"/>
  <c r="Q2090" i="1"/>
  <c r="P2090" i="1" s="1"/>
  <c r="Q2091" i="1"/>
  <c r="P2091" i="1" s="1"/>
  <c r="Q2092" i="1"/>
  <c r="P2092" i="1" s="1"/>
  <c r="Q2093" i="1"/>
  <c r="P2093" i="1" s="1"/>
  <c r="Q2094" i="1"/>
  <c r="P2094" i="1" s="1"/>
  <c r="Q2095" i="1"/>
  <c r="P2095" i="1" s="1"/>
  <c r="Q2096" i="1"/>
  <c r="P2096" i="1" s="1"/>
  <c r="Q2097" i="1"/>
  <c r="P2097" i="1" s="1"/>
  <c r="Q2098" i="1"/>
  <c r="P2098" i="1" s="1"/>
  <c r="Q2099" i="1"/>
  <c r="P2099" i="1" s="1"/>
  <c r="Q2100" i="1"/>
  <c r="P2100" i="1" s="1"/>
  <c r="Q2101" i="1"/>
  <c r="P2101" i="1" s="1"/>
  <c r="Q2102" i="1"/>
  <c r="P2102" i="1" s="1"/>
  <c r="Q2103" i="1"/>
  <c r="P2103" i="1" s="1"/>
  <c r="Q2104" i="1"/>
  <c r="P2104" i="1" s="1"/>
  <c r="Q2105" i="1"/>
  <c r="P2105" i="1" s="1"/>
  <c r="Q2106" i="1"/>
  <c r="P2106" i="1" s="1"/>
  <c r="Q2107" i="1"/>
  <c r="P2107" i="1" s="1"/>
  <c r="Q2108" i="1"/>
  <c r="P2108" i="1" s="1"/>
  <c r="Q2109" i="1"/>
  <c r="P2109" i="1" s="1"/>
  <c r="Q2110" i="1"/>
  <c r="P2110" i="1" s="1"/>
  <c r="Q2111" i="1"/>
  <c r="P2111" i="1" s="1"/>
  <c r="Q2112" i="1"/>
  <c r="P2112" i="1" s="1"/>
  <c r="Q2113" i="1"/>
  <c r="P2113" i="1" s="1"/>
  <c r="Q2114" i="1"/>
  <c r="P2114" i="1" s="1"/>
  <c r="Q2115" i="1"/>
  <c r="P2115" i="1" s="1"/>
  <c r="Q2116" i="1"/>
  <c r="P2116" i="1" s="1"/>
  <c r="Q2117" i="1"/>
  <c r="P2117" i="1" s="1"/>
  <c r="Q2118" i="1"/>
  <c r="P2118" i="1" s="1"/>
  <c r="Q2119" i="1"/>
  <c r="P2119" i="1" s="1"/>
  <c r="Q2120" i="1"/>
  <c r="P2120" i="1" s="1"/>
  <c r="Q2121" i="1"/>
  <c r="P2121" i="1" s="1"/>
  <c r="Q2122" i="1"/>
  <c r="P2122" i="1" s="1"/>
  <c r="Q2123" i="1"/>
  <c r="P2123" i="1" s="1"/>
  <c r="Q2124" i="1"/>
  <c r="P2124" i="1" s="1"/>
  <c r="Q2125" i="1"/>
  <c r="P2125" i="1" s="1"/>
  <c r="Q2126" i="1"/>
  <c r="P2126" i="1" s="1"/>
  <c r="Q2127" i="1"/>
  <c r="P2127" i="1" s="1"/>
  <c r="Q2128" i="1"/>
  <c r="P2128" i="1" s="1"/>
  <c r="Q2129" i="1"/>
  <c r="P2129" i="1" s="1"/>
  <c r="Q2130" i="1"/>
  <c r="P2130" i="1" s="1"/>
  <c r="Q2131" i="1"/>
  <c r="P2131" i="1" s="1"/>
  <c r="Q2132" i="1"/>
  <c r="P2132" i="1" s="1"/>
  <c r="Q2133" i="1"/>
  <c r="P2133" i="1" s="1"/>
  <c r="Q2134" i="1"/>
  <c r="P2134" i="1" s="1"/>
  <c r="Q2135" i="1"/>
  <c r="P2135" i="1" s="1"/>
  <c r="Q2136" i="1"/>
  <c r="P2136" i="1" s="1"/>
  <c r="Q2137" i="1"/>
  <c r="P2137" i="1" s="1"/>
  <c r="Q2138" i="1"/>
  <c r="P2138" i="1" s="1"/>
  <c r="Q2139" i="1"/>
  <c r="P2139" i="1" s="1"/>
  <c r="Q2140" i="1"/>
  <c r="P2140" i="1" s="1"/>
  <c r="Q2141" i="1"/>
  <c r="P2141" i="1" s="1"/>
  <c r="Q2142" i="1"/>
  <c r="P2142" i="1" s="1"/>
  <c r="Q2143" i="1"/>
  <c r="P2143" i="1" s="1"/>
  <c r="Q2144" i="1"/>
  <c r="P2144" i="1" s="1"/>
  <c r="Q2145" i="1"/>
  <c r="P2145" i="1" s="1"/>
  <c r="Q2146" i="1"/>
  <c r="P2146" i="1" s="1"/>
  <c r="Q2147" i="1"/>
  <c r="P2147" i="1" s="1"/>
  <c r="Q2148" i="1"/>
  <c r="P2148" i="1" s="1"/>
  <c r="Q2149" i="1"/>
  <c r="P2149" i="1" s="1"/>
  <c r="Q2150" i="1"/>
  <c r="P2150" i="1" s="1"/>
  <c r="Q2151" i="1"/>
  <c r="P2151" i="1" s="1"/>
  <c r="Q2152" i="1"/>
  <c r="P2152" i="1" s="1"/>
  <c r="Q2153" i="1"/>
  <c r="P2153" i="1" s="1"/>
  <c r="Q2154" i="1"/>
  <c r="P2154" i="1" s="1"/>
  <c r="Q2155" i="1"/>
  <c r="P2155" i="1" s="1"/>
  <c r="Q2156" i="1"/>
  <c r="P2156" i="1" s="1"/>
  <c r="Q2157" i="1"/>
  <c r="P2157" i="1" s="1"/>
  <c r="Q2158" i="1"/>
  <c r="P2158" i="1" s="1"/>
  <c r="Q2159" i="1"/>
  <c r="P2159" i="1" s="1"/>
  <c r="Q2160" i="1"/>
  <c r="P2160" i="1" s="1"/>
  <c r="Q2161" i="1"/>
  <c r="P2161" i="1" s="1"/>
  <c r="Q2162" i="1"/>
  <c r="P2162" i="1" s="1"/>
  <c r="Q2163" i="1"/>
  <c r="P2163" i="1" s="1"/>
  <c r="Q2164" i="1"/>
  <c r="P2164" i="1" s="1"/>
  <c r="Q2165" i="1"/>
  <c r="P2165" i="1" s="1"/>
  <c r="Q2166" i="1"/>
  <c r="P2166" i="1" s="1"/>
  <c r="Q2167" i="1"/>
  <c r="P2167" i="1" s="1"/>
  <c r="Q2168" i="1"/>
  <c r="P2168" i="1" s="1"/>
  <c r="Q2169" i="1"/>
  <c r="P2169" i="1" s="1"/>
  <c r="Q2170" i="1"/>
  <c r="P2170" i="1" s="1"/>
  <c r="Q2171" i="1"/>
  <c r="P2171" i="1" s="1"/>
  <c r="Q2172" i="1"/>
  <c r="P2172" i="1" s="1"/>
  <c r="Q2173" i="1"/>
  <c r="P2173" i="1" s="1"/>
  <c r="Q2174" i="1"/>
  <c r="P2174" i="1" s="1"/>
  <c r="Q2175" i="1"/>
  <c r="P2175" i="1" s="1"/>
  <c r="Q2176" i="1"/>
  <c r="P2176" i="1" s="1"/>
  <c r="Q2177" i="1"/>
  <c r="P2177" i="1" s="1"/>
  <c r="Q2178" i="1"/>
  <c r="P2178" i="1" s="1"/>
  <c r="Q2179" i="1"/>
  <c r="P2179" i="1" s="1"/>
  <c r="Q2180" i="1"/>
  <c r="P2180" i="1" s="1"/>
  <c r="Q2181" i="1"/>
  <c r="P2181" i="1" s="1"/>
  <c r="Q2182" i="1"/>
  <c r="P2182" i="1" s="1"/>
  <c r="Q2183" i="1"/>
  <c r="P2183" i="1" s="1"/>
  <c r="Q2184" i="1"/>
  <c r="P2184" i="1" s="1"/>
  <c r="Q2185" i="1"/>
  <c r="P2185" i="1" s="1"/>
  <c r="Q2186" i="1"/>
  <c r="P2186" i="1" s="1"/>
  <c r="Q2187" i="1"/>
  <c r="P2187" i="1" s="1"/>
  <c r="Q2188" i="1"/>
  <c r="P2188" i="1" s="1"/>
  <c r="Q2189" i="1"/>
  <c r="P2189" i="1" s="1"/>
  <c r="Q2190" i="1"/>
  <c r="P2190" i="1" s="1"/>
  <c r="Q2191" i="1"/>
  <c r="P2191" i="1" s="1"/>
  <c r="Q2192" i="1"/>
  <c r="P2192" i="1" s="1"/>
  <c r="Q2193" i="1"/>
  <c r="P2193" i="1" s="1"/>
  <c r="Q2194" i="1"/>
  <c r="P2194" i="1" s="1"/>
  <c r="Q2195" i="1"/>
  <c r="P2195" i="1" s="1"/>
  <c r="Q2196" i="1"/>
  <c r="P2196" i="1" s="1"/>
  <c r="Q2197" i="1"/>
  <c r="P2197" i="1" s="1"/>
  <c r="Q2198" i="1"/>
  <c r="P2198" i="1" s="1"/>
  <c r="Q2199" i="1"/>
  <c r="P2199" i="1" s="1"/>
  <c r="Q2200" i="1"/>
  <c r="P2200" i="1" s="1"/>
  <c r="Q2201" i="1"/>
  <c r="P2201" i="1" s="1"/>
  <c r="Q2202" i="1"/>
  <c r="P2202" i="1" s="1"/>
  <c r="Q2203" i="1"/>
  <c r="P2203" i="1" s="1"/>
  <c r="Q2204" i="1"/>
  <c r="P2204" i="1" s="1"/>
  <c r="Q2205" i="1"/>
  <c r="P2205" i="1" s="1"/>
  <c r="Q2206" i="1"/>
  <c r="P2206" i="1" s="1"/>
  <c r="Q2207" i="1"/>
  <c r="P2207" i="1" s="1"/>
  <c r="Q2208" i="1"/>
  <c r="P2208" i="1" s="1"/>
  <c r="Q2209" i="1"/>
  <c r="P2209" i="1" s="1"/>
  <c r="Q2210" i="1"/>
  <c r="P2210" i="1" s="1"/>
  <c r="Q2211" i="1"/>
  <c r="P2211" i="1" s="1"/>
  <c r="Q2212" i="1"/>
  <c r="P2212" i="1" s="1"/>
  <c r="Q2213" i="1"/>
  <c r="P2213" i="1" s="1"/>
  <c r="Q2214" i="1"/>
  <c r="P2214" i="1" s="1"/>
  <c r="Q2215" i="1"/>
  <c r="P2215" i="1" s="1"/>
  <c r="Q2216" i="1"/>
  <c r="P2216" i="1" s="1"/>
  <c r="Q2217" i="1"/>
  <c r="P2217" i="1" s="1"/>
  <c r="Q2218" i="1"/>
  <c r="P2218" i="1" s="1"/>
  <c r="Q2219" i="1"/>
  <c r="P2219" i="1" s="1"/>
  <c r="Q2220" i="1"/>
  <c r="P2220" i="1" s="1"/>
  <c r="Q2221" i="1"/>
  <c r="P2221" i="1" s="1"/>
  <c r="Q2222" i="1"/>
  <c r="P2222" i="1" s="1"/>
  <c r="Q2223" i="1"/>
  <c r="P2223" i="1" s="1"/>
  <c r="Q2224" i="1"/>
  <c r="P2224" i="1" s="1"/>
  <c r="Q2225" i="1"/>
  <c r="P2225" i="1" s="1"/>
  <c r="Q2226" i="1"/>
  <c r="P2226" i="1" s="1"/>
  <c r="Q2227" i="1"/>
  <c r="P2227" i="1" s="1"/>
  <c r="Q2228" i="1"/>
  <c r="P2228" i="1" s="1"/>
  <c r="Q2229" i="1"/>
  <c r="P2229" i="1" s="1"/>
  <c r="Q2230" i="1"/>
  <c r="P2230" i="1" s="1"/>
  <c r="B1912" i="1"/>
  <c r="H1912" i="1"/>
  <c r="J1912" i="1"/>
  <c r="K1912" i="1"/>
  <c r="Q1912" i="1"/>
  <c r="P1912" i="1" s="1"/>
  <c r="B1815" i="1"/>
  <c r="B1816" i="1"/>
  <c r="B1817" i="1"/>
  <c r="B1818" i="1"/>
  <c r="B1819" i="1"/>
  <c r="B1820" i="1"/>
  <c r="B1821" i="1"/>
  <c r="B1822" i="1"/>
  <c r="B1823" i="1"/>
  <c r="B1824" i="1"/>
  <c r="B1825" i="1"/>
  <c r="B1826" i="1"/>
  <c r="B1827" i="1"/>
  <c r="B1828" i="1"/>
  <c r="B1829" i="1"/>
  <c r="B1830" i="1"/>
  <c r="B1831" i="1"/>
  <c r="B1832" i="1"/>
  <c r="B1833" i="1"/>
  <c r="B1834" i="1"/>
  <c r="B1835" i="1"/>
  <c r="B1836" i="1"/>
  <c r="B1837" i="1"/>
  <c r="B1838" i="1"/>
  <c r="B1839" i="1"/>
  <c r="B1840" i="1"/>
  <c r="B1841" i="1"/>
  <c r="B1842" i="1"/>
  <c r="B1843" i="1"/>
  <c r="B1844" i="1"/>
  <c r="B1845" i="1"/>
  <c r="B1846" i="1"/>
  <c r="B1847" i="1"/>
  <c r="B1848" i="1"/>
  <c r="B1849" i="1"/>
  <c r="B1850" i="1"/>
  <c r="B1851" i="1"/>
  <c r="B1852" i="1"/>
  <c r="B1853" i="1"/>
  <c r="B1854" i="1"/>
  <c r="B1855" i="1"/>
  <c r="B1856" i="1"/>
  <c r="B1857" i="1"/>
  <c r="B1858" i="1"/>
  <c r="B1859" i="1"/>
  <c r="B1860" i="1"/>
  <c r="B1861" i="1"/>
  <c r="B1862" i="1"/>
  <c r="B1863" i="1"/>
  <c r="B1864" i="1"/>
  <c r="B1865" i="1"/>
  <c r="B1866" i="1"/>
  <c r="B1867" i="1"/>
  <c r="B1868" i="1"/>
  <c r="B1869" i="1"/>
  <c r="B1870" i="1"/>
  <c r="B1871" i="1"/>
  <c r="B1872" i="1"/>
  <c r="B1873" i="1"/>
  <c r="B1874" i="1"/>
  <c r="B1875" i="1"/>
  <c r="B1876" i="1"/>
  <c r="B1877" i="1"/>
  <c r="B1878" i="1"/>
  <c r="B1879" i="1"/>
  <c r="B1880" i="1"/>
  <c r="B1881" i="1"/>
  <c r="B1882" i="1"/>
  <c r="B1883" i="1"/>
  <c r="B1884" i="1"/>
  <c r="B1885" i="1"/>
  <c r="B1886" i="1"/>
  <c r="B1887" i="1"/>
  <c r="B1888" i="1"/>
  <c r="B1889" i="1"/>
  <c r="B1890" i="1"/>
  <c r="B1891" i="1"/>
  <c r="B1892" i="1"/>
  <c r="B1893" i="1"/>
  <c r="B1894" i="1"/>
  <c r="B1895" i="1"/>
  <c r="B1896" i="1"/>
  <c r="B1897" i="1"/>
  <c r="B1898" i="1"/>
  <c r="B1899" i="1"/>
  <c r="B1900" i="1"/>
  <c r="B1901" i="1"/>
  <c r="B1902" i="1"/>
  <c r="B1903" i="1"/>
  <c r="B1904" i="1"/>
  <c r="B1905" i="1"/>
  <c r="B1906" i="1"/>
  <c r="B1907" i="1"/>
  <c r="B1908" i="1"/>
  <c r="B1909" i="1"/>
  <c r="B1910" i="1"/>
  <c r="B1911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K1815" i="1"/>
  <c r="K1816" i="1"/>
  <c r="K1817" i="1"/>
  <c r="K1818" i="1"/>
  <c r="K1819" i="1"/>
  <c r="K1820" i="1"/>
  <c r="K1821" i="1"/>
  <c r="K1822" i="1"/>
  <c r="K1823" i="1"/>
  <c r="K1824" i="1"/>
  <c r="K1825" i="1"/>
  <c r="K1826" i="1"/>
  <c r="K1827" i="1"/>
  <c r="K1828" i="1"/>
  <c r="K1829" i="1"/>
  <c r="K1830" i="1"/>
  <c r="K1831" i="1"/>
  <c r="K1832" i="1"/>
  <c r="K1833" i="1"/>
  <c r="K1834" i="1"/>
  <c r="K1835" i="1"/>
  <c r="K1836" i="1"/>
  <c r="K1837" i="1"/>
  <c r="K1838" i="1"/>
  <c r="K1839" i="1"/>
  <c r="K1840" i="1"/>
  <c r="K1841" i="1"/>
  <c r="K1842" i="1"/>
  <c r="K1843" i="1"/>
  <c r="K1844" i="1"/>
  <c r="K1845" i="1"/>
  <c r="K1846" i="1"/>
  <c r="K1847" i="1"/>
  <c r="K1848" i="1"/>
  <c r="K1849" i="1"/>
  <c r="K1850" i="1"/>
  <c r="K1851" i="1"/>
  <c r="K1852" i="1"/>
  <c r="K1853" i="1"/>
  <c r="K1854" i="1"/>
  <c r="K1855" i="1"/>
  <c r="K1856" i="1"/>
  <c r="K1857" i="1"/>
  <c r="K1858" i="1"/>
  <c r="K1859" i="1"/>
  <c r="K1860" i="1"/>
  <c r="K1861" i="1"/>
  <c r="K1862" i="1"/>
  <c r="K1863" i="1"/>
  <c r="K1864" i="1"/>
  <c r="K1865" i="1"/>
  <c r="K1866" i="1"/>
  <c r="K1867" i="1"/>
  <c r="K1868" i="1"/>
  <c r="K1869" i="1"/>
  <c r="K1870" i="1"/>
  <c r="K1871" i="1"/>
  <c r="K1872" i="1"/>
  <c r="K1873" i="1"/>
  <c r="K1874" i="1"/>
  <c r="K1875" i="1"/>
  <c r="K1876" i="1"/>
  <c r="K1877" i="1"/>
  <c r="K1878" i="1"/>
  <c r="K1879" i="1"/>
  <c r="K1880" i="1"/>
  <c r="K1881" i="1"/>
  <c r="K1882" i="1"/>
  <c r="K1883" i="1"/>
  <c r="K1884" i="1"/>
  <c r="K1885" i="1"/>
  <c r="K1886" i="1"/>
  <c r="K1887" i="1"/>
  <c r="K1888" i="1"/>
  <c r="K1889" i="1"/>
  <c r="K1890" i="1"/>
  <c r="K1891" i="1"/>
  <c r="K1892" i="1"/>
  <c r="K1893" i="1"/>
  <c r="K1894" i="1"/>
  <c r="K1895" i="1"/>
  <c r="K1896" i="1"/>
  <c r="K1897" i="1"/>
  <c r="K1898" i="1"/>
  <c r="K1899" i="1"/>
  <c r="K1900" i="1"/>
  <c r="K1901" i="1"/>
  <c r="K1902" i="1"/>
  <c r="K1903" i="1"/>
  <c r="K1904" i="1"/>
  <c r="K1905" i="1"/>
  <c r="K1906" i="1"/>
  <c r="K1907" i="1"/>
  <c r="K1908" i="1"/>
  <c r="K1909" i="1"/>
  <c r="K1910" i="1"/>
  <c r="K1911" i="1"/>
  <c r="Q1815" i="1"/>
  <c r="P1815" i="1" s="1"/>
  <c r="Q1816" i="1"/>
  <c r="P1816" i="1" s="1"/>
  <c r="Q1817" i="1"/>
  <c r="P1817" i="1" s="1"/>
  <c r="Q1818" i="1"/>
  <c r="P1818" i="1" s="1"/>
  <c r="Q1819" i="1"/>
  <c r="P1819" i="1" s="1"/>
  <c r="Q1820" i="1"/>
  <c r="P1820" i="1" s="1"/>
  <c r="Q1821" i="1"/>
  <c r="P1821" i="1" s="1"/>
  <c r="Q1822" i="1"/>
  <c r="P1822" i="1" s="1"/>
  <c r="Q1823" i="1"/>
  <c r="P1823" i="1" s="1"/>
  <c r="Q1824" i="1"/>
  <c r="P1824" i="1" s="1"/>
  <c r="Q1825" i="1"/>
  <c r="P1825" i="1" s="1"/>
  <c r="Q1826" i="1"/>
  <c r="P1826" i="1" s="1"/>
  <c r="Q1827" i="1"/>
  <c r="P1827" i="1" s="1"/>
  <c r="Q1828" i="1"/>
  <c r="P1828" i="1" s="1"/>
  <c r="Q1829" i="1"/>
  <c r="P1829" i="1" s="1"/>
  <c r="Q1830" i="1"/>
  <c r="P1830" i="1" s="1"/>
  <c r="Q1831" i="1"/>
  <c r="P1831" i="1" s="1"/>
  <c r="Q1832" i="1"/>
  <c r="P1832" i="1" s="1"/>
  <c r="Q1833" i="1"/>
  <c r="P1833" i="1" s="1"/>
  <c r="Q1834" i="1"/>
  <c r="P1834" i="1" s="1"/>
  <c r="Q1835" i="1"/>
  <c r="P1835" i="1" s="1"/>
  <c r="Q1836" i="1"/>
  <c r="P1836" i="1" s="1"/>
  <c r="Q1837" i="1"/>
  <c r="P1837" i="1" s="1"/>
  <c r="Q1838" i="1"/>
  <c r="P1838" i="1" s="1"/>
  <c r="Q1839" i="1"/>
  <c r="P1839" i="1" s="1"/>
  <c r="Q1840" i="1"/>
  <c r="P1840" i="1" s="1"/>
  <c r="Q1841" i="1"/>
  <c r="P1841" i="1" s="1"/>
  <c r="Q1842" i="1"/>
  <c r="P1842" i="1" s="1"/>
  <c r="Q1843" i="1"/>
  <c r="P1843" i="1" s="1"/>
  <c r="Q1844" i="1"/>
  <c r="P1844" i="1" s="1"/>
  <c r="Q1845" i="1"/>
  <c r="P1845" i="1" s="1"/>
  <c r="Q1846" i="1"/>
  <c r="P1846" i="1" s="1"/>
  <c r="Q1847" i="1"/>
  <c r="P1847" i="1" s="1"/>
  <c r="Q1848" i="1"/>
  <c r="P1848" i="1" s="1"/>
  <c r="Q1849" i="1"/>
  <c r="P1849" i="1" s="1"/>
  <c r="Q1850" i="1"/>
  <c r="P1850" i="1" s="1"/>
  <c r="Q1851" i="1"/>
  <c r="P1851" i="1" s="1"/>
  <c r="Q1852" i="1"/>
  <c r="P1852" i="1" s="1"/>
  <c r="Q1853" i="1"/>
  <c r="P1853" i="1" s="1"/>
  <c r="Q1854" i="1"/>
  <c r="P1854" i="1" s="1"/>
  <c r="Q1855" i="1"/>
  <c r="P1855" i="1" s="1"/>
  <c r="Q1856" i="1"/>
  <c r="P1856" i="1" s="1"/>
  <c r="Q1857" i="1"/>
  <c r="P1857" i="1" s="1"/>
  <c r="Q1858" i="1"/>
  <c r="P1858" i="1" s="1"/>
  <c r="Q1859" i="1"/>
  <c r="P1859" i="1" s="1"/>
  <c r="Q1860" i="1"/>
  <c r="P1860" i="1" s="1"/>
  <c r="Q1861" i="1"/>
  <c r="P1861" i="1" s="1"/>
  <c r="Q1862" i="1"/>
  <c r="P1862" i="1" s="1"/>
  <c r="Q1863" i="1"/>
  <c r="P1863" i="1" s="1"/>
  <c r="Q1864" i="1"/>
  <c r="P1864" i="1" s="1"/>
  <c r="Q1865" i="1"/>
  <c r="P1865" i="1" s="1"/>
  <c r="Q1866" i="1"/>
  <c r="P1866" i="1" s="1"/>
  <c r="Q1867" i="1"/>
  <c r="P1867" i="1" s="1"/>
  <c r="Q1868" i="1"/>
  <c r="P1868" i="1" s="1"/>
  <c r="Q1869" i="1"/>
  <c r="P1869" i="1" s="1"/>
  <c r="Q1870" i="1"/>
  <c r="P1870" i="1" s="1"/>
  <c r="Q1871" i="1"/>
  <c r="P1871" i="1" s="1"/>
  <c r="Q1872" i="1"/>
  <c r="P1872" i="1" s="1"/>
  <c r="Q1873" i="1"/>
  <c r="P1873" i="1" s="1"/>
  <c r="Q1874" i="1"/>
  <c r="P1874" i="1" s="1"/>
  <c r="Q1875" i="1"/>
  <c r="P1875" i="1" s="1"/>
  <c r="Q1876" i="1"/>
  <c r="P1876" i="1" s="1"/>
  <c r="Q1877" i="1"/>
  <c r="P1877" i="1" s="1"/>
  <c r="Q1878" i="1"/>
  <c r="P1878" i="1" s="1"/>
  <c r="Q1879" i="1"/>
  <c r="P1879" i="1" s="1"/>
  <c r="Q1880" i="1"/>
  <c r="P1880" i="1" s="1"/>
  <c r="Q1881" i="1"/>
  <c r="P1881" i="1" s="1"/>
  <c r="Q1882" i="1"/>
  <c r="P1882" i="1" s="1"/>
  <c r="Q1883" i="1"/>
  <c r="P1883" i="1" s="1"/>
  <c r="Q1884" i="1"/>
  <c r="P1884" i="1" s="1"/>
  <c r="Q1885" i="1"/>
  <c r="P1885" i="1" s="1"/>
  <c r="Q1886" i="1"/>
  <c r="P1886" i="1" s="1"/>
  <c r="Q1887" i="1"/>
  <c r="P1887" i="1" s="1"/>
  <c r="Q1888" i="1"/>
  <c r="P1888" i="1" s="1"/>
  <c r="Q1889" i="1"/>
  <c r="P1889" i="1" s="1"/>
  <c r="Q1890" i="1"/>
  <c r="P1890" i="1" s="1"/>
  <c r="Q1891" i="1"/>
  <c r="P1891" i="1" s="1"/>
  <c r="Q1892" i="1"/>
  <c r="P1892" i="1" s="1"/>
  <c r="Q1893" i="1"/>
  <c r="P1893" i="1" s="1"/>
  <c r="Q1894" i="1"/>
  <c r="P1894" i="1" s="1"/>
  <c r="Q1895" i="1"/>
  <c r="P1895" i="1" s="1"/>
  <c r="Q1896" i="1"/>
  <c r="P1896" i="1" s="1"/>
  <c r="Q1897" i="1"/>
  <c r="P1897" i="1" s="1"/>
  <c r="Q1898" i="1"/>
  <c r="P1898" i="1" s="1"/>
  <c r="Q1899" i="1"/>
  <c r="P1899" i="1" s="1"/>
  <c r="Q1900" i="1"/>
  <c r="P1900" i="1" s="1"/>
  <c r="Q1901" i="1"/>
  <c r="P1901" i="1" s="1"/>
  <c r="Q1902" i="1"/>
  <c r="P1902" i="1" s="1"/>
  <c r="Q1903" i="1"/>
  <c r="P1903" i="1" s="1"/>
  <c r="Q1904" i="1"/>
  <c r="P1904" i="1" s="1"/>
  <c r="Q1905" i="1"/>
  <c r="P1905" i="1" s="1"/>
  <c r="Q1906" i="1"/>
  <c r="P1906" i="1" s="1"/>
  <c r="Q1907" i="1"/>
  <c r="P1907" i="1" s="1"/>
  <c r="Q1908" i="1"/>
  <c r="P1908" i="1" s="1"/>
  <c r="Q1909" i="1"/>
  <c r="P1909" i="1" s="1"/>
  <c r="Q1910" i="1"/>
  <c r="P1910" i="1" s="1"/>
  <c r="Q1911" i="1"/>
  <c r="P1911" i="1" s="1"/>
  <c r="B1814" i="1"/>
  <c r="H1814" i="1"/>
  <c r="J1814" i="1"/>
  <c r="K1814" i="1"/>
  <c r="Q1814" i="1"/>
  <c r="P1814" i="1" s="1"/>
  <c r="B1813" i="1"/>
  <c r="H1813" i="1"/>
  <c r="J1813" i="1"/>
  <c r="K1813" i="1"/>
  <c r="Q1813" i="1"/>
  <c r="P1813" i="1" s="1"/>
  <c r="B1808" i="1"/>
  <c r="B1809" i="1"/>
  <c r="B1810" i="1"/>
  <c r="B1811" i="1"/>
  <c r="B1812" i="1"/>
  <c r="H1808" i="1"/>
  <c r="H1809" i="1"/>
  <c r="H1810" i="1"/>
  <c r="H1811" i="1"/>
  <c r="H1812" i="1"/>
  <c r="J1808" i="1"/>
  <c r="J1809" i="1"/>
  <c r="J1810" i="1"/>
  <c r="J1811" i="1"/>
  <c r="J1812" i="1"/>
  <c r="K1808" i="1"/>
  <c r="K1809" i="1"/>
  <c r="K1810" i="1"/>
  <c r="K1811" i="1"/>
  <c r="K1812" i="1"/>
  <c r="Q1808" i="1"/>
  <c r="P1808" i="1" s="1"/>
  <c r="Q1809" i="1"/>
  <c r="P1809" i="1" s="1"/>
  <c r="Q1810" i="1"/>
  <c r="P1810" i="1" s="1"/>
  <c r="Q1811" i="1"/>
  <c r="P1811" i="1" s="1"/>
  <c r="Q1812" i="1"/>
  <c r="P1812" i="1" s="1"/>
  <c r="B1807" i="1"/>
  <c r="H1807" i="1"/>
  <c r="J1807" i="1"/>
  <c r="K1807" i="1"/>
  <c r="Q1807" i="1"/>
  <c r="P1807" i="1" s="1"/>
  <c r="B1806" i="1"/>
  <c r="H1806" i="1"/>
  <c r="J1806" i="1"/>
  <c r="K1806" i="1"/>
  <c r="Q1806" i="1"/>
  <c r="P1806" i="1" s="1"/>
  <c r="B1805" i="1"/>
  <c r="H1805" i="1"/>
  <c r="J1805" i="1"/>
  <c r="K1805" i="1"/>
  <c r="Q1805" i="1"/>
  <c r="P1805" i="1" s="1"/>
  <c r="B1804" i="1" l="1"/>
  <c r="H1804" i="1"/>
  <c r="J1804" i="1"/>
  <c r="K1804" i="1"/>
  <c r="Q1804" i="1"/>
  <c r="P1804" i="1" s="1"/>
  <c r="B1803" i="1"/>
  <c r="B1802" i="1"/>
  <c r="B1801" i="1"/>
  <c r="B1800" i="1"/>
  <c r="H1800" i="1"/>
  <c r="H1801" i="1"/>
  <c r="H1802" i="1"/>
  <c r="H1803" i="1"/>
  <c r="J1800" i="1"/>
  <c r="J1801" i="1"/>
  <c r="J1802" i="1"/>
  <c r="J1803" i="1"/>
  <c r="K1800" i="1"/>
  <c r="K1801" i="1"/>
  <c r="K1802" i="1"/>
  <c r="K1803" i="1"/>
  <c r="Q1800" i="1"/>
  <c r="P1800" i="1" s="1"/>
  <c r="Q1801" i="1"/>
  <c r="P1801" i="1" s="1"/>
  <c r="Q1802" i="1"/>
  <c r="P1802" i="1" s="1"/>
  <c r="Q1803" i="1"/>
  <c r="P1803" i="1" s="1"/>
  <c r="B1799" i="1"/>
  <c r="H1799" i="1"/>
  <c r="J1799" i="1"/>
  <c r="K1799" i="1"/>
  <c r="Q1799" i="1"/>
  <c r="P1799" i="1" s="1"/>
  <c r="B1798" i="1"/>
  <c r="B1797" i="1"/>
  <c r="B1796" i="1"/>
  <c r="B1795" i="1"/>
  <c r="B1794" i="1"/>
  <c r="H1794" i="1"/>
  <c r="H1795" i="1"/>
  <c r="H1796" i="1"/>
  <c r="H1797" i="1"/>
  <c r="H1798" i="1"/>
  <c r="J1794" i="1"/>
  <c r="J1795" i="1"/>
  <c r="J1796" i="1"/>
  <c r="J1797" i="1"/>
  <c r="J1798" i="1"/>
  <c r="K1794" i="1"/>
  <c r="K1795" i="1"/>
  <c r="K1796" i="1"/>
  <c r="K1797" i="1"/>
  <c r="K1798" i="1"/>
  <c r="Q1794" i="1"/>
  <c r="P1794" i="1" s="1"/>
  <c r="Q1795" i="1"/>
  <c r="P1795" i="1" s="1"/>
  <c r="Q1796" i="1"/>
  <c r="P1796" i="1" s="1"/>
  <c r="Q1797" i="1"/>
  <c r="P1797" i="1" s="1"/>
  <c r="Q1798" i="1"/>
  <c r="P1798" i="1" s="1"/>
  <c r="B1793" i="1"/>
  <c r="H1793" i="1"/>
  <c r="J1793" i="1"/>
  <c r="K1793" i="1"/>
  <c r="Q1793" i="1"/>
  <c r="P1793" i="1" s="1"/>
  <c r="B1790" i="1" l="1"/>
  <c r="B1791" i="1"/>
  <c r="B1792" i="1"/>
  <c r="H1790" i="1"/>
  <c r="H1791" i="1"/>
  <c r="H1792" i="1"/>
  <c r="J1790" i="1"/>
  <c r="J1791" i="1"/>
  <c r="J1792" i="1"/>
  <c r="K1790" i="1"/>
  <c r="K1791" i="1"/>
  <c r="K1792" i="1"/>
  <c r="Q1790" i="1"/>
  <c r="P1790" i="1" s="1"/>
  <c r="Q1791" i="1"/>
  <c r="P1791" i="1" s="1"/>
  <c r="Q1792" i="1"/>
  <c r="P1792" i="1" s="1"/>
  <c r="B1789" i="1" l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K1777" i="1"/>
  <c r="K1778" i="1"/>
  <c r="K1779" i="1"/>
  <c r="K1780" i="1"/>
  <c r="K1781" i="1"/>
  <c r="K1782" i="1"/>
  <c r="K1783" i="1"/>
  <c r="K1784" i="1"/>
  <c r="K1785" i="1"/>
  <c r="K1786" i="1"/>
  <c r="K1787" i="1"/>
  <c r="K1788" i="1"/>
  <c r="K1789" i="1"/>
  <c r="Q1777" i="1"/>
  <c r="P1777" i="1" s="1"/>
  <c r="Q1778" i="1"/>
  <c r="P1778" i="1" s="1"/>
  <c r="Q1779" i="1"/>
  <c r="P1779" i="1" s="1"/>
  <c r="Q1780" i="1"/>
  <c r="P1780" i="1" s="1"/>
  <c r="Q1781" i="1"/>
  <c r="P1781" i="1" s="1"/>
  <c r="Q1782" i="1"/>
  <c r="P1782" i="1" s="1"/>
  <c r="Q1783" i="1"/>
  <c r="P1783" i="1" s="1"/>
  <c r="Q1784" i="1"/>
  <c r="P1784" i="1" s="1"/>
  <c r="Q1785" i="1"/>
  <c r="P1785" i="1" s="1"/>
  <c r="Q1786" i="1"/>
  <c r="P1786" i="1" s="1"/>
  <c r="Q1787" i="1"/>
  <c r="P1787" i="1" s="1"/>
  <c r="Q1788" i="1"/>
  <c r="P1788" i="1" s="1"/>
  <c r="Q1789" i="1"/>
  <c r="P1789" i="1" s="1"/>
  <c r="B1776" i="1"/>
  <c r="H1776" i="1"/>
  <c r="J1776" i="1"/>
  <c r="K1776" i="1"/>
  <c r="Q1776" i="1"/>
  <c r="P1776" i="1" s="1"/>
  <c r="B1775" i="1"/>
  <c r="B1774" i="1"/>
  <c r="B1773" i="1"/>
  <c r="B1772" i="1"/>
  <c r="H1772" i="1"/>
  <c r="H1773" i="1"/>
  <c r="H1774" i="1"/>
  <c r="H1775" i="1"/>
  <c r="J1772" i="1"/>
  <c r="J1773" i="1"/>
  <c r="J1774" i="1"/>
  <c r="J1775" i="1"/>
  <c r="K1772" i="1"/>
  <c r="K1773" i="1"/>
  <c r="K1774" i="1"/>
  <c r="K1775" i="1"/>
  <c r="Q1772" i="1"/>
  <c r="P1772" i="1" s="1"/>
  <c r="Q1773" i="1"/>
  <c r="P1773" i="1" s="1"/>
  <c r="Q1774" i="1"/>
  <c r="P1774" i="1" s="1"/>
  <c r="Q1775" i="1"/>
  <c r="P1775" i="1" s="1"/>
  <c r="B1771" i="1"/>
  <c r="H1771" i="1"/>
  <c r="J1771" i="1"/>
  <c r="K1771" i="1"/>
  <c r="Q1771" i="1"/>
  <c r="P1771" i="1" s="1"/>
  <c r="B1770" i="1"/>
  <c r="B1769" i="1"/>
  <c r="B1768" i="1"/>
  <c r="B1767" i="1"/>
  <c r="B1766" i="1"/>
  <c r="B1765" i="1"/>
  <c r="B1764" i="1"/>
  <c r="H1764" i="1"/>
  <c r="H1765" i="1"/>
  <c r="H1766" i="1"/>
  <c r="H1767" i="1"/>
  <c r="H1768" i="1"/>
  <c r="H1769" i="1"/>
  <c r="H1770" i="1"/>
  <c r="J1764" i="1"/>
  <c r="J1765" i="1"/>
  <c r="J1766" i="1"/>
  <c r="J1767" i="1"/>
  <c r="J1768" i="1"/>
  <c r="J1769" i="1"/>
  <c r="J1770" i="1"/>
  <c r="K1764" i="1"/>
  <c r="K1765" i="1"/>
  <c r="K1766" i="1"/>
  <c r="K1767" i="1"/>
  <c r="K1768" i="1"/>
  <c r="K1769" i="1"/>
  <c r="K1770" i="1"/>
  <c r="Q1764" i="1"/>
  <c r="P1764" i="1" s="1"/>
  <c r="Q1765" i="1"/>
  <c r="P1765" i="1" s="1"/>
  <c r="Q1766" i="1"/>
  <c r="P1766" i="1" s="1"/>
  <c r="Q1767" i="1"/>
  <c r="P1767" i="1" s="1"/>
  <c r="Q1768" i="1"/>
  <c r="P1768" i="1" s="1"/>
  <c r="Q1769" i="1"/>
  <c r="P1769" i="1" s="1"/>
  <c r="Q1770" i="1"/>
  <c r="P1770" i="1" s="1"/>
  <c r="B1763" i="1"/>
  <c r="H1763" i="1"/>
  <c r="J1763" i="1"/>
  <c r="K1763" i="1"/>
  <c r="Q1763" i="1"/>
  <c r="P1763" i="1" s="1"/>
  <c r="H1673" i="1"/>
  <c r="B1762" i="1"/>
  <c r="B1761" i="1"/>
  <c r="B1760" i="1"/>
  <c r="B1759" i="1"/>
  <c r="B1758" i="1"/>
  <c r="B1757" i="1"/>
  <c r="H1757" i="1"/>
  <c r="H1758" i="1"/>
  <c r="H1759" i="1"/>
  <c r="H1760" i="1"/>
  <c r="H1761" i="1"/>
  <c r="H1762" i="1"/>
  <c r="J1757" i="1"/>
  <c r="J1758" i="1"/>
  <c r="J1759" i="1"/>
  <c r="J1760" i="1"/>
  <c r="J1761" i="1"/>
  <c r="J1762" i="1"/>
  <c r="K1757" i="1"/>
  <c r="K1758" i="1"/>
  <c r="K1759" i="1"/>
  <c r="K1760" i="1"/>
  <c r="K1761" i="1"/>
  <c r="K1762" i="1"/>
  <c r="Q1757" i="1"/>
  <c r="P1757" i="1" s="1"/>
  <c r="Q1758" i="1"/>
  <c r="P1758" i="1" s="1"/>
  <c r="Q1759" i="1"/>
  <c r="P1759" i="1" s="1"/>
  <c r="Q1760" i="1"/>
  <c r="P1760" i="1" s="1"/>
  <c r="Q1761" i="1"/>
  <c r="P1761" i="1" s="1"/>
  <c r="Q1762" i="1"/>
  <c r="P1762" i="1" s="1"/>
  <c r="B1756" i="1"/>
  <c r="H1756" i="1"/>
  <c r="J1756" i="1"/>
  <c r="K1756" i="1"/>
  <c r="Q1756" i="1"/>
  <c r="P1756" i="1" s="1"/>
  <c r="Q1755" i="1"/>
  <c r="P1755" i="1" s="1"/>
  <c r="Q1754" i="1"/>
  <c r="P1754" i="1" s="1"/>
  <c r="Q1753" i="1"/>
  <c r="P1753" i="1" s="1"/>
  <c r="Q1752" i="1"/>
  <c r="P1752" i="1" s="1"/>
  <c r="Q1751" i="1"/>
  <c r="P1751" i="1" s="1"/>
  <c r="Q1750" i="1"/>
  <c r="P1750" i="1" s="1"/>
  <c r="Q1749" i="1"/>
  <c r="P1749" i="1" s="1"/>
  <c r="Q1748" i="1"/>
  <c r="P1748" i="1" s="1"/>
  <c r="Q1747" i="1"/>
  <c r="P1747" i="1" s="1"/>
  <c r="Q1746" i="1"/>
  <c r="P1746" i="1" s="1"/>
  <c r="Q1745" i="1"/>
  <c r="P1745" i="1" s="1"/>
  <c r="Q1744" i="1"/>
  <c r="P1744" i="1" s="1"/>
  <c r="Q1743" i="1"/>
  <c r="P1743" i="1" s="1"/>
  <c r="Q1742" i="1"/>
  <c r="P1742" i="1" s="1"/>
  <c r="Q1741" i="1"/>
  <c r="P1741" i="1" s="1"/>
  <c r="Q1740" i="1"/>
  <c r="P1740" i="1" s="1"/>
  <c r="Q1739" i="1"/>
  <c r="P1739" i="1" s="1"/>
  <c r="Q1738" i="1"/>
  <c r="P1738" i="1" s="1"/>
  <c r="Q1737" i="1"/>
  <c r="P1737" i="1" s="1"/>
  <c r="Q1736" i="1"/>
  <c r="P1736" i="1" s="1"/>
  <c r="Q1735" i="1"/>
  <c r="P1735" i="1" s="1"/>
  <c r="Q1734" i="1"/>
  <c r="P1734" i="1" s="1"/>
  <c r="Q1733" i="1"/>
  <c r="P1733" i="1" s="1"/>
  <c r="Q1732" i="1"/>
  <c r="P1732" i="1" s="1"/>
  <c r="Q1731" i="1"/>
  <c r="P1731" i="1" s="1"/>
  <c r="Q1730" i="1"/>
  <c r="P1730" i="1" s="1"/>
  <c r="Q1729" i="1"/>
  <c r="P1729" i="1" s="1"/>
  <c r="Q1728" i="1"/>
  <c r="P1728" i="1" s="1"/>
  <c r="Q1727" i="1"/>
  <c r="P1727" i="1" s="1"/>
  <c r="Q1726" i="1"/>
  <c r="P1726" i="1" s="1"/>
  <c r="Q1725" i="1"/>
  <c r="P1725" i="1" s="1"/>
  <c r="Q1724" i="1"/>
  <c r="P1724" i="1" s="1"/>
  <c r="Q1723" i="1"/>
  <c r="P1723" i="1" s="1"/>
  <c r="Q1722" i="1"/>
  <c r="P1722" i="1" s="1"/>
  <c r="Q1721" i="1"/>
  <c r="P1721" i="1" s="1"/>
  <c r="Q1720" i="1"/>
  <c r="P1720" i="1" s="1"/>
  <c r="Q1719" i="1"/>
  <c r="P1719" i="1" s="1"/>
  <c r="Q1718" i="1"/>
  <c r="P1718" i="1" s="1"/>
  <c r="Q1717" i="1"/>
  <c r="P1717" i="1" s="1"/>
  <c r="Q1716" i="1"/>
  <c r="P1716" i="1" s="1"/>
  <c r="Q1715" i="1"/>
  <c r="P1715" i="1" s="1"/>
  <c r="Q1714" i="1"/>
  <c r="P1714" i="1" s="1"/>
  <c r="Q1713" i="1"/>
  <c r="P1713" i="1" s="1"/>
  <c r="Q1712" i="1"/>
  <c r="P1712" i="1" s="1"/>
  <c r="Q1711" i="1"/>
  <c r="P1711" i="1" s="1"/>
  <c r="Q1710" i="1"/>
  <c r="P1710" i="1" s="1"/>
  <c r="Q1709" i="1"/>
  <c r="P1709" i="1" s="1"/>
  <c r="Q1708" i="1"/>
  <c r="P1708" i="1" s="1"/>
  <c r="Q1707" i="1"/>
  <c r="P1707" i="1" s="1"/>
  <c r="Q1706" i="1"/>
  <c r="P1706" i="1" s="1"/>
  <c r="Q1705" i="1"/>
  <c r="P1705" i="1" s="1"/>
  <c r="Q1704" i="1"/>
  <c r="P1704" i="1" s="1"/>
  <c r="Q1703" i="1"/>
  <c r="P1703" i="1" s="1"/>
  <c r="Q1702" i="1"/>
  <c r="P1702" i="1" s="1"/>
  <c r="Q1701" i="1"/>
  <c r="P1701" i="1" s="1"/>
  <c r="Q1700" i="1"/>
  <c r="P1700" i="1" s="1"/>
  <c r="Q1699" i="1"/>
  <c r="P1699" i="1" s="1"/>
  <c r="Q1698" i="1"/>
  <c r="P1698" i="1" s="1"/>
  <c r="Q1697" i="1"/>
  <c r="P1697" i="1" s="1"/>
  <c r="Q1696" i="1"/>
  <c r="P1696" i="1" s="1"/>
  <c r="Q1695" i="1"/>
  <c r="P1695" i="1" s="1"/>
  <c r="Q1694" i="1"/>
  <c r="P1694" i="1" s="1"/>
  <c r="Q1693" i="1"/>
  <c r="P1693" i="1" s="1"/>
  <c r="Q1692" i="1"/>
  <c r="P1692" i="1" s="1"/>
  <c r="Q1691" i="1"/>
  <c r="P1691" i="1" s="1"/>
  <c r="Q1690" i="1"/>
  <c r="P1690" i="1" s="1"/>
  <c r="Q1689" i="1"/>
  <c r="P1689" i="1" s="1"/>
  <c r="Q1688" i="1"/>
  <c r="P1688" i="1" s="1"/>
  <c r="Q1687" i="1"/>
  <c r="P1687" i="1" s="1"/>
  <c r="Q1686" i="1"/>
  <c r="P1686" i="1" s="1"/>
  <c r="Q1685" i="1"/>
  <c r="P1685" i="1" s="1"/>
  <c r="Q1684" i="1"/>
  <c r="P1684" i="1" s="1"/>
  <c r="Q1683" i="1"/>
  <c r="P1683" i="1" s="1"/>
  <c r="Q1682" i="1"/>
  <c r="P1682" i="1" s="1"/>
  <c r="Q1681" i="1"/>
  <c r="P1681" i="1" s="1"/>
  <c r="Q1680" i="1"/>
  <c r="P1680" i="1" s="1"/>
  <c r="Q1679" i="1"/>
  <c r="P1679" i="1" s="1"/>
  <c r="Q1678" i="1"/>
  <c r="P1678" i="1" s="1"/>
  <c r="Q1677" i="1"/>
  <c r="P1677" i="1" s="1"/>
  <c r="Q1676" i="1"/>
  <c r="P1676" i="1" s="1"/>
  <c r="Q1675" i="1"/>
  <c r="P1675" i="1" s="1"/>
  <c r="Q1674" i="1"/>
  <c r="P1674" i="1" s="1"/>
  <c r="Q1673" i="1"/>
  <c r="P1673" i="1" s="1"/>
  <c r="Q1672" i="1"/>
  <c r="P1672" i="1" s="1"/>
  <c r="Q1671" i="1"/>
  <c r="P1671" i="1" s="1"/>
  <c r="Q1670" i="1"/>
  <c r="P1670" i="1" s="1"/>
  <c r="Q1669" i="1"/>
  <c r="P1669" i="1" s="1"/>
  <c r="Q1668" i="1"/>
  <c r="P1668" i="1" s="1"/>
  <c r="Q1667" i="1"/>
  <c r="P1667" i="1" s="1"/>
  <c r="Q1666" i="1"/>
  <c r="P1666" i="1" s="1"/>
  <c r="Q1665" i="1"/>
  <c r="P1665" i="1" s="1"/>
  <c r="Q1664" i="1"/>
  <c r="P1664" i="1" s="1"/>
  <c r="Q1663" i="1"/>
  <c r="P1663" i="1" s="1"/>
  <c r="Q1662" i="1"/>
  <c r="P1662" i="1" s="1"/>
  <c r="Q1661" i="1"/>
  <c r="P1661" i="1" s="1"/>
  <c r="Q1660" i="1"/>
  <c r="P1660" i="1" s="1"/>
  <c r="Q1659" i="1"/>
  <c r="P1659" i="1" s="1"/>
  <c r="Q1658" i="1"/>
  <c r="P1658" i="1" s="1"/>
  <c r="Q1657" i="1"/>
  <c r="P1657" i="1" s="1"/>
  <c r="Q1656" i="1"/>
  <c r="P1656" i="1" s="1"/>
  <c r="Q1655" i="1"/>
  <c r="P1655" i="1" s="1"/>
  <c r="Q1654" i="1"/>
  <c r="P1654" i="1" s="1"/>
  <c r="Q1653" i="1"/>
  <c r="P1653" i="1" s="1"/>
  <c r="Q1652" i="1"/>
  <c r="P1652" i="1" s="1"/>
  <c r="Q1651" i="1"/>
  <c r="P1651" i="1" s="1"/>
  <c r="Q1650" i="1"/>
  <c r="P1650" i="1" s="1"/>
  <c r="Q1649" i="1"/>
  <c r="P1649" i="1" s="1"/>
  <c r="Q1648" i="1"/>
  <c r="P1648" i="1" s="1"/>
  <c r="Q1647" i="1"/>
  <c r="P1647" i="1" s="1"/>
  <c r="Q1646" i="1"/>
  <c r="P1646" i="1" s="1"/>
  <c r="Q1645" i="1"/>
  <c r="P1645" i="1" s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K1645" i="1"/>
  <c r="K1646" i="1"/>
  <c r="K1647" i="1"/>
  <c r="K1648" i="1"/>
  <c r="K1649" i="1"/>
  <c r="K1650" i="1"/>
  <c r="K1651" i="1"/>
  <c r="K1652" i="1"/>
  <c r="K1653" i="1"/>
  <c r="K1654" i="1"/>
  <c r="K1655" i="1"/>
  <c r="K1656" i="1"/>
  <c r="K1657" i="1"/>
  <c r="K1658" i="1"/>
  <c r="K1659" i="1"/>
  <c r="K1660" i="1"/>
  <c r="K1661" i="1"/>
  <c r="K1662" i="1"/>
  <c r="K1663" i="1"/>
  <c r="K1664" i="1"/>
  <c r="K1665" i="1"/>
  <c r="K1666" i="1"/>
  <c r="K1667" i="1"/>
  <c r="K1668" i="1"/>
  <c r="K1669" i="1"/>
  <c r="K1670" i="1"/>
  <c r="K1671" i="1"/>
  <c r="K1672" i="1"/>
  <c r="K1673" i="1"/>
  <c r="K1674" i="1"/>
  <c r="K1675" i="1"/>
  <c r="K1676" i="1"/>
  <c r="K1677" i="1"/>
  <c r="K1678" i="1"/>
  <c r="K1679" i="1"/>
  <c r="K1680" i="1"/>
  <c r="K1681" i="1"/>
  <c r="K1682" i="1"/>
  <c r="K1683" i="1"/>
  <c r="K1684" i="1"/>
  <c r="K1685" i="1"/>
  <c r="K1686" i="1"/>
  <c r="K1687" i="1"/>
  <c r="K1688" i="1"/>
  <c r="K1689" i="1"/>
  <c r="K1690" i="1"/>
  <c r="K1691" i="1"/>
  <c r="K1692" i="1"/>
  <c r="K1693" i="1"/>
  <c r="K1694" i="1"/>
  <c r="K1695" i="1"/>
  <c r="K1696" i="1"/>
  <c r="K1697" i="1"/>
  <c r="K1698" i="1"/>
  <c r="K1699" i="1"/>
  <c r="K1700" i="1"/>
  <c r="K1701" i="1"/>
  <c r="K1702" i="1"/>
  <c r="K1703" i="1"/>
  <c r="K1704" i="1"/>
  <c r="K1705" i="1"/>
  <c r="K1706" i="1"/>
  <c r="K1707" i="1"/>
  <c r="K1708" i="1"/>
  <c r="K1709" i="1"/>
  <c r="K1710" i="1"/>
  <c r="K1711" i="1"/>
  <c r="K1712" i="1"/>
  <c r="K1713" i="1"/>
  <c r="K1714" i="1"/>
  <c r="K1715" i="1"/>
  <c r="K1716" i="1"/>
  <c r="K1717" i="1"/>
  <c r="K1718" i="1"/>
  <c r="K1719" i="1"/>
  <c r="K1720" i="1"/>
  <c r="K1721" i="1"/>
  <c r="K1722" i="1"/>
  <c r="K1723" i="1"/>
  <c r="K1724" i="1"/>
  <c r="K1725" i="1"/>
  <c r="K1726" i="1"/>
  <c r="K1727" i="1"/>
  <c r="K1728" i="1"/>
  <c r="K1729" i="1"/>
  <c r="K1730" i="1"/>
  <c r="K1731" i="1"/>
  <c r="K1732" i="1"/>
  <c r="K1733" i="1"/>
  <c r="K1734" i="1"/>
  <c r="K1735" i="1"/>
  <c r="K1736" i="1"/>
  <c r="K1737" i="1"/>
  <c r="K1738" i="1"/>
  <c r="K1739" i="1"/>
  <c r="K1740" i="1"/>
  <c r="K1741" i="1"/>
  <c r="K1742" i="1"/>
  <c r="K1743" i="1"/>
  <c r="K1744" i="1"/>
  <c r="K1745" i="1"/>
  <c r="K1746" i="1"/>
  <c r="K1747" i="1"/>
  <c r="K1748" i="1"/>
  <c r="K1749" i="1"/>
  <c r="K1750" i="1"/>
  <c r="K1751" i="1"/>
  <c r="K1752" i="1"/>
  <c r="K1753" i="1"/>
  <c r="K1754" i="1"/>
  <c r="K1755" i="1"/>
  <c r="B1644" i="1"/>
  <c r="H1644" i="1"/>
  <c r="J1644" i="1"/>
  <c r="K1644" i="1"/>
  <c r="Q1644" i="1"/>
  <c r="P1644" i="1" s="1"/>
  <c r="B1643" i="1"/>
  <c r="H1643" i="1"/>
  <c r="J1643" i="1"/>
  <c r="K1643" i="1"/>
  <c r="Q1643" i="1"/>
  <c r="P1643" i="1" s="1"/>
  <c r="Q1642" i="1"/>
  <c r="P1642" i="1" s="1"/>
  <c r="Q1641" i="1"/>
  <c r="P1641" i="1" s="1"/>
  <c r="Q1640" i="1"/>
  <c r="P1640" i="1" s="1"/>
  <c r="Q1639" i="1"/>
  <c r="P1639" i="1" s="1"/>
  <c r="Q1638" i="1"/>
  <c r="P1638" i="1" s="1"/>
  <c r="Q1637" i="1"/>
  <c r="P1637" i="1" s="1"/>
  <c r="Q1636" i="1"/>
  <c r="P1636" i="1" s="1"/>
  <c r="Q1635" i="1"/>
  <c r="P1635" i="1" s="1"/>
  <c r="Q1634" i="1"/>
  <c r="P1634" i="1" s="1"/>
  <c r="Q1633" i="1"/>
  <c r="P1633" i="1" s="1"/>
  <c r="Q1632" i="1"/>
  <c r="P1632" i="1" s="1"/>
  <c r="Q1631" i="1"/>
  <c r="P1631" i="1" s="1"/>
  <c r="Q1630" i="1"/>
  <c r="P1630" i="1" s="1"/>
  <c r="Q1629" i="1"/>
  <c r="P1629" i="1" s="1"/>
  <c r="Q1628" i="1"/>
  <c r="P1628" i="1" s="1"/>
  <c r="Q1627" i="1"/>
  <c r="P1627" i="1" s="1"/>
  <c r="Q1626" i="1"/>
  <c r="P1626" i="1" s="1"/>
  <c r="Q1625" i="1"/>
  <c r="P1625" i="1" s="1"/>
  <c r="Q1624" i="1"/>
  <c r="P1624" i="1" s="1"/>
  <c r="Q1623" i="1"/>
  <c r="P1623" i="1" s="1"/>
  <c r="Q1622" i="1"/>
  <c r="P1622" i="1" s="1"/>
  <c r="Q1621" i="1"/>
  <c r="P1621" i="1" s="1"/>
  <c r="Q1620" i="1"/>
  <c r="P1620" i="1" s="1"/>
  <c r="Q1619" i="1"/>
  <c r="P1619" i="1" s="1"/>
  <c r="Q1618" i="1"/>
  <c r="P1618" i="1" s="1"/>
  <c r="Q1617" i="1"/>
  <c r="P1617" i="1" s="1"/>
  <c r="Q1616" i="1"/>
  <c r="P1616" i="1" s="1"/>
  <c r="Q1615" i="1"/>
  <c r="P1615" i="1" s="1"/>
  <c r="Q1614" i="1"/>
  <c r="P1614" i="1" s="1"/>
  <c r="Q1613" i="1"/>
  <c r="P1613" i="1" s="1"/>
  <c r="Q1612" i="1"/>
  <c r="P1612" i="1" s="1"/>
  <c r="Q1611" i="1"/>
  <c r="P1611" i="1" s="1"/>
  <c r="Q1610" i="1"/>
  <c r="P1610" i="1" s="1"/>
  <c r="Q1609" i="1"/>
  <c r="P1609" i="1" s="1"/>
  <c r="Q1608" i="1"/>
  <c r="P1608" i="1" s="1"/>
  <c r="Q1607" i="1"/>
  <c r="P1607" i="1" s="1"/>
  <c r="Q1606" i="1"/>
  <c r="P1606" i="1" s="1"/>
  <c r="Q1605" i="1"/>
  <c r="P1605" i="1" s="1"/>
  <c r="Q1604" i="1"/>
  <c r="P1604" i="1" s="1"/>
  <c r="Q1603" i="1"/>
  <c r="P1603" i="1" s="1"/>
  <c r="Q1602" i="1"/>
  <c r="P1602" i="1" s="1"/>
  <c r="Q1601" i="1"/>
  <c r="P1601" i="1" s="1"/>
  <c r="Q1600" i="1"/>
  <c r="P1600" i="1" s="1"/>
  <c r="Q1599" i="1"/>
  <c r="P1599" i="1" s="1"/>
  <c r="Q1598" i="1"/>
  <c r="P1598" i="1" s="1"/>
  <c r="Q1597" i="1"/>
  <c r="P1597" i="1" s="1"/>
  <c r="Q1596" i="1"/>
  <c r="P1596" i="1" s="1"/>
  <c r="Q1595" i="1"/>
  <c r="P1595" i="1" s="1"/>
  <c r="Q1594" i="1"/>
  <c r="P1594" i="1" s="1"/>
  <c r="Q1593" i="1"/>
  <c r="P1593" i="1" s="1"/>
  <c r="Q1592" i="1"/>
  <c r="P1592" i="1" s="1"/>
  <c r="Q1591" i="1"/>
  <c r="P1591" i="1" s="1"/>
  <c r="Q1590" i="1"/>
  <c r="P1590" i="1" s="1"/>
  <c r="Q1589" i="1"/>
  <c r="P1589" i="1" s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K1589" i="1"/>
  <c r="K1590" i="1"/>
  <c r="K1591" i="1"/>
  <c r="K1592" i="1"/>
  <c r="K1593" i="1"/>
  <c r="K1594" i="1"/>
  <c r="K1595" i="1"/>
  <c r="K1596" i="1"/>
  <c r="K1597" i="1"/>
  <c r="K1598" i="1"/>
  <c r="K1599" i="1"/>
  <c r="K1600" i="1"/>
  <c r="K1601" i="1"/>
  <c r="K1602" i="1"/>
  <c r="K1603" i="1"/>
  <c r="K1604" i="1"/>
  <c r="K1605" i="1"/>
  <c r="K1606" i="1"/>
  <c r="K1607" i="1"/>
  <c r="K1608" i="1"/>
  <c r="K1609" i="1"/>
  <c r="K1610" i="1"/>
  <c r="K1611" i="1"/>
  <c r="K1612" i="1"/>
  <c r="K1613" i="1"/>
  <c r="K1614" i="1"/>
  <c r="K1615" i="1"/>
  <c r="K1616" i="1"/>
  <c r="K1617" i="1"/>
  <c r="K1618" i="1"/>
  <c r="K1619" i="1"/>
  <c r="K1620" i="1"/>
  <c r="K1621" i="1"/>
  <c r="K1622" i="1"/>
  <c r="K1623" i="1"/>
  <c r="K1624" i="1"/>
  <c r="K1625" i="1"/>
  <c r="K1626" i="1"/>
  <c r="K1627" i="1"/>
  <c r="K1628" i="1"/>
  <c r="K1629" i="1"/>
  <c r="K1630" i="1"/>
  <c r="K1631" i="1"/>
  <c r="K1632" i="1"/>
  <c r="K1633" i="1"/>
  <c r="K1634" i="1"/>
  <c r="K1635" i="1"/>
  <c r="K1636" i="1"/>
  <c r="K1637" i="1"/>
  <c r="K1638" i="1"/>
  <c r="K1639" i="1"/>
  <c r="K1640" i="1"/>
  <c r="K1641" i="1"/>
  <c r="K1642" i="1"/>
  <c r="B1588" i="1"/>
  <c r="H1588" i="1"/>
  <c r="J1588" i="1"/>
  <c r="K1588" i="1"/>
  <c r="Q1588" i="1"/>
  <c r="P1588" i="1" s="1"/>
  <c r="B1580" i="1"/>
  <c r="B1581" i="1"/>
  <c r="B1582" i="1"/>
  <c r="B1583" i="1"/>
  <c r="B1584" i="1"/>
  <c r="B1585" i="1"/>
  <c r="B1586" i="1"/>
  <c r="B1587" i="1"/>
  <c r="H1580" i="1"/>
  <c r="H1581" i="1"/>
  <c r="H1582" i="1"/>
  <c r="H1583" i="1"/>
  <c r="H1584" i="1"/>
  <c r="H1585" i="1"/>
  <c r="H1586" i="1"/>
  <c r="H1587" i="1"/>
  <c r="J1580" i="1"/>
  <c r="J1581" i="1"/>
  <c r="J1582" i="1"/>
  <c r="J1583" i="1"/>
  <c r="J1584" i="1"/>
  <c r="J1585" i="1"/>
  <c r="J1586" i="1"/>
  <c r="J1587" i="1"/>
  <c r="K1580" i="1"/>
  <c r="K1581" i="1"/>
  <c r="K1582" i="1"/>
  <c r="K1583" i="1"/>
  <c r="K1584" i="1"/>
  <c r="K1585" i="1"/>
  <c r="K1586" i="1"/>
  <c r="K1587" i="1"/>
  <c r="Q1580" i="1"/>
  <c r="P1580" i="1" s="1"/>
  <c r="Q1581" i="1"/>
  <c r="P1581" i="1" s="1"/>
  <c r="Q1582" i="1"/>
  <c r="P1582" i="1" s="1"/>
  <c r="Q1583" i="1"/>
  <c r="P1583" i="1" s="1"/>
  <c r="Q1584" i="1"/>
  <c r="P1584" i="1" s="1"/>
  <c r="Q1585" i="1"/>
  <c r="P1585" i="1" s="1"/>
  <c r="Q1586" i="1"/>
  <c r="P1586" i="1" s="1"/>
  <c r="Q1587" i="1"/>
  <c r="P1587" i="1" s="1"/>
  <c r="B1579" i="1" l="1"/>
  <c r="H1579" i="1"/>
  <c r="J1579" i="1"/>
  <c r="K1579" i="1"/>
  <c r="Q1579" i="1"/>
  <c r="P1579" i="1" s="1"/>
  <c r="B1577" i="1"/>
  <c r="B1578" i="1"/>
  <c r="H1577" i="1"/>
  <c r="H1578" i="1"/>
  <c r="J1577" i="1"/>
  <c r="J1578" i="1"/>
  <c r="K1577" i="1"/>
  <c r="K1578" i="1"/>
  <c r="Q1577" i="1"/>
  <c r="P1577" i="1" s="1"/>
  <c r="Q1578" i="1"/>
  <c r="P1578" i="1" s="1"/>
  <c r="B1576" i="1"/>
  <c r="H1576" i="1"/>
  <c r="J1576" i="1"/>
  <c r="K1576" i="1"/>
  <c r="Q1576" i="1"/>
  <c r="P1576" i="1" s="1"/>
  <c r="B1575" i="1"/>
  <c r="H1575" i="1"/>
  <c r="J1575" i="1"/>
  <c r="K1575" i="1"/>
  <c r="Q1575" i="1"/>
  <c r="P1575" i="1" s="1"/>
  <c r="B1574" i="1"/>
  <c r="H1574" i="1"/>
  <c r="J1574" i="1"/>
  <c r="K1574" i="1"/>
  <c r="Q1574" i="1"/>
  <c r="P1574" i="1" s="1"/>
  <c r="B1573" i="1"/>
  <c r="H1573" i="1"/>
  <c r="J1573" i="1"/>
  <c r="K1573" i="1"/>
  <c r="Q1573" i="1"/>
  <c r="P1573" i="1" s="1"/>
  <c r="B1569" i="1"/>
  <c r="B1570" i="1"/>
  <c r="B1571" i="1"/>
  <c r="B1572" i="1"/>
  <c r="H1569" i="1"/>
  <c r="H1570" i="1"/>
  <c r="H1571" i="1"/>
  <c r="H1572" i="1"/>
  <c r="J1569" i="1"/>
  <c r="J1570" i="1"/>
  <c r="J1571" i="1"/>
  <c r="J1572" i="1"/>
  <c r="K1569" i="1"/>
  <c r="K1570" i="1"/>
  <c r="K1571" i="1"/>
  <c r="K1572" i="1"/>
  <c r="Q1569" i="1"/>
  <c r="P1569" i="1" s="1"/>
  <c r="Q1570" i="1"/>
  <c r="P1570" i="1" s="1"/>
  <c r="Q1571" i="1"/>
  <c r="P1571" i="1" s="1"/>
  <c r="Q1572" i="1"/>
  <c r="P1572" i="1" s="1"/>
  <c r="B1568" i="1"/>
  <c r="H1568" i="1"/>
  <c r="J1568" i="1"/>
  <c r="K1568" i="1"/>
  <c r="Q1568" i="1"/>
  <c r="P1568" i="1" s="1"/>
  <c r="B1562" i="1"/>
  <c r="B1563" i="1"/>
  <c r="B1564" i="1"/>
  <c r="B1565" i="1"/>
  <c r="B1566" i="1"/>
  <c r="B1567" i="1"/>
  <c r="H1562" i="1"/>
  <c r="H1563" i="1"/>
  <c r="H1564" i="1"/>
  <c r="H1565" i="1"/>
  <c r="H1566" i="1"/>
  <c r="H1567" i="1"/>
  <c r="J1562" i="1"/>
  <c r="J1563" i="1"/>
  <c r="J1564" i="1"/>
  <c r="J1565" i="1"/>
  <c r="J1566" i="1"/>
  <c r="J1567" i="1"/>
  <c r="K1562" i="1"/>
  <c r="K1563" i="1"/>
  <c r="K1564" i="1"/>
  <c r="K1565" i="1"/>
  <c r="K1566" i="1"/>
  <c r="K1567" i="1"/>
  <c r="Q1562" i="1"/>
  <c r="P1562" i="1" s="1"/>
  <c r="Q1563" i="1"/>
  <c r="P1563" i="1" s="1"/>
  <c r="Q1564" i="1"/>
  <c r="P1564" i="1" s="1"/>
  <c r="Q1565" i="1"/>
  <c r="P1565" i="1" s="1"/>
  <c r="Q1566" i="1"/>
  <c r="P1566" i="1" s="1"/>
  <c r="Q1567" i="1"/>
  <c r="P1567" i="1" s="1"/>
  <c r="B1561" i="1"/>
  <c r="H1561" i="1"/>
  <c r="J1561" i="1"/>
  <c r="K1561" i="1"/>
  <c r="Q1561" i="1"/>
  <c r="P1561" i="1" s="1"/>
  <c r="B1560" i="1"/>
  <c r="H1560" i="1"/>
  <c r="J1560" i="1"/>
  <c r="K1560" i="1"/>
  <c r="Q1560" i="1"/>
  <c r="P1560" i="1" s="1"/>
  <c r="B1559" i="1"/>
  <c r="H1559" i="1"/>
  <c r="J1559" i="1"/>
  <c r="K1559" i="1"/>
  <c r="Q1559" i="1"/>
  <c r="P1559" i="1" s="1"/>
  <c r="B1558" i="1"/>
  <c r="B1557" i="1"/>
  <c r="B1556" i="1"/>
  <c r="B1555" i="1"/>
  <c r="B1554" i="1"/>
  <c r="B1553" i="1"/>
  <c r="B1552" i="1"/>
  <c r="B1551" i="1"/>
  <c r="B1550" i="1"/>
  <c r="H1550" i="1"/>
  <c r="H1551" i="1"/>
  <c r="H1552" i="1"/>
  <c r="H1553" i="1"/>
  <c r="H1554" i="1"/>
  <c r="H1555" i="1"/>
  <c r="H1556" i="1"/>
  <c r="H1557" i="1"/>
  <c r="H1558" i="1"/>
  <c r="J1550" i="1"/>
  <c r="J1551" i="1"/>
  <c r="J1552" i="1"/>
  <c r="J1553" i="1"/>
  <c r="J1554" i="1"/>
  <c r="J1555" i="1"/>
  <c r="J1556" i="1"/>
  <c r="J1557" i="1"/>
  <c r="J1558" i="1"/>
  <c r="K1550" i="1"/>
  <c r="K1551" i="1"/>
  <c r="K1552" i="1"/>
  <c r="K1553" i="1"/>
  <c r="K1554" i="1"/>
  <c r="K1555" i="1"/>
  <c r="K1556" i="1"/>
  <c r="K1557" i="1"/>
  <c r="K1558" i="1"/>
  <c r="Q1550" i="1"/>
  <c r="P1550" i="1" s="1"/>
  <c r="Q1551" i="1"/>
  <c r="P1551" i="1" s="1"/>
  <c r="Q1552" i="1"/>
  <c r="P1552" i="1" s="1"/>
  <c r="Q1553" i="1"/>
  <c r="P1553" i="1" s="1"/>
  <c r="Q1554" i="1"/>
  <c r="P1554" i="1" s="1"/>
  <c r="Q1555" i="1"/>
  <c r="P1555" i="1" s="1"/>
  <c r="Q1556" i="1"/>
  <c r="P1556" i="1" s="1"/>
  <c r="Q1557" i="1"/>
  <c r="P1557" i="1" s="1"/>
  <c r="Q1558" i="1"/>
  <c r="P1558" i="1" s="1"/>
  <c r="B1549" i="1"/>
  <c r="H1549" i="1"/>
  <c r="J1549" i="1"/>
  <c r="K1549" i="1"/>
  <c r="Q1549" i="1"/>
  <c r="P1549" i="1" s="1"/>
  <c r="B1548" i="1"/>
  <c r="H1548" i="1"/>
  <c r="J1548" i="1"/>
  <c r="K1548" i="1"/>
  <c r="Q1548" i="1"/>
  <c r="P1548" i="1" s="1"/>
  <c r="B1547" i="1"/>
  <c r="H1547" i="1"/>
  <c r="J1547" i="1"/>
  <c r="K1547" i="1"/>
  <c r="Q1547" i="1"/>
  <c r="P1547" i="1" s="1"/>
  <c r="Q1546" i="1"/>
  <c r="P1546" i="1" s="1"/>
  <c r="K1546" i="1"/>
  <c r="Q1545" i="1"/>
  <c r="P1545" i="1" s="1"/>
  <c r="K1545" i="1"/>
  <c r="Q1544" i="1"/>
  <c r="P1544" i="1" s="1"/>
  <c r="K1544" i="1"/>
  <c r="Q1543" i="1"/>
  <c r="P1543" i="1" s="1"/>
  <c r="K1543" i="1"/>
  <c r="Q1542" i="1"/>
  <c r="P1542" i="1" s="1"/>
  <c r="K1542" i="1"/>
  <c r="Q1541" i="1"/>
  <c r="P1541" i="1" s="1"/>
  <c r="K1541" i="1"/>
  <c r="Q1540" i="1"/>
  <c r="P1540" i="1" s="1"/>
  <c r="K1540" i="1"/>
  <c r="Q1539" i="1"/>
  <c r="P1539" i="1" s="1"/>
  <c r="K1539" i="1"/>
  <c r="Q1538" i="1"/>
  <c r="P1538" i="1" s="1"/>
  <c r="K1538" i="1"/>
  <c r="Q1537" i="1"/>
  <c r="P1537" i="1" s="1"/>
  <c r="K1537" i="1"/>
  <c r="Q1536" i="1"/>
  <c r="P1536" i="1" s="1"/>
  <c r="K1536" i="1"/>
  <c r="Q1535" i="1"/>
  <c r="P1535" i="1" s="1"/>
  <c r="K1535" i="1"/>
  <c r="Q1534" i="1"/>
  <c r="P1534" i="1" s="1"/>
  <c r="K1534" i="1"/>
  <c r="Q1533" i="1"/>
  <c r="P1533" i="1" s="1"/>
  <c r="K1533" i="1"/>
  <c r="Q1532" i="1"/>
  <c r="P1532" i="1" s="1"/>
  <c r="K1532" i="1"/>
  <c r="Q1531" i="1"/>
  <c r="P1531" i="1" s="1"/>
  <c r="K1531" i="1"/>
  <c r="Q1530" i="1"/>
  <c r="P1530" i="1" s="1"/>
  <c r="K1530" i="1"/>
  <c r="Q1529" i="1"/>
  <c r="P1529" i="1" s="1"/>
  <c r="K1529" i="1"/>
  <c r="Q1528" i="1"/>
  <c r="P1528" i="1" s="1"/>
  <c r="K1528" i="1"/>
  <c r="Q1527" i="1"/>
  <c r="P1527" i="1" s="1"/>
  <c r="K1527" i="1"/>
  <c r="Q1526" i="1"/>
  <c r="P1526" i="1" s="1"/>
  <c r="K1526" i="1"/>
  <c r="Q1525" i="1"/>
  <c r="P1525" i="1" s="1"/>
  <c r="K1525" i="1"/>
  <c r="Q1524" i="1"/>
  <c r="P1524" i="1" s="1"/>
  <c r="K1524" i="1"/>
  <c r="Q1523" i="1"/>
  <c r="P1523" i="1" s="1"/>
  <c r="K1523" i="1"/>
  <c r="Q1522" i="1"/>
  <c r="P1522" i="1" s="1"/>
  <c r="K1522" i="1"/>
  <c r="Q1521" i="1"/>
  <c r="P1521" i="1" s="1"/>
  <c r="K1521" i="1"/>
  <c r="Q1520" i="1"/>
  <c r="P1520" i="1" s="1"/>
  <c r="K1520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K1519" i="1"/>
  <c r="Q1519" i="1"/>
  <c r="P1519" i="1" s="1"/>
  <c r="B1518" i="1"/>
  <c r="H1518" i="1"/>
  <c r="J1518" i="1"/>
  <c r="K1518" i="1"/>
  <c r="Q1518" i="1"/>
  <c r="P1518" i="1" s="1"/>
  <c r="B1517" i="1"/>
  <c r="H1517" i="1"/>
  <c r="J1517" i="1"/>
  <c r="K1517" i="1"/>
  <c r="Q1517" i="1"/>
  <c r="P1517" i="1" s="1"/>
  <c r="B1513" i="1"/>
  <c r="B1514" i="1"/>
  <c r="H1514" i="1"/>
  <c r="J1513" i="1"/>
  <c r="J1514" i="1"/>
  <c r="K1513" i="1"/>
  <c r="K1514" i="1"/>
  <c r="Q1513" i="1"/>
  <c r="P1513" i="1" s="1"/>
  <c r="Q1514" i="1"/>
  <c r="P1514" i="1" s="1"/>
  <c r="B1512" i="1"/>
  <c r="H1512" i="1"/>
  <c r="J1512" i="1"/>
  <c r="K1512" i="1"/>
  <c r="Q1512" i="1"/>
  <c r="P1512" i="1" s="1"/>
  <c r="B1511" i="1"/>
  <c r="B1510" i="1"/>
  <c r="B1509" i="1"/>
  <c r="B1508" i="1"/>
  <c r="B1507" i="1"/>
  <c r="B1506" i="1"/>
  <c r="B1505" i="1"/>
  <c r="B1504" i="1"/>
  <c r="B1503" i="1"/>
  <c r="B1502" i="1"/>
  <c r="H1502" i="1"/>
  <c r="H1503" i="1"/>
  <c r="H1504" i="1"/>
  <c r="H1505" i="1"/>
  <c r="H1506" i="1"/>
  <c r="H1507" i="1"/>
  <c r="H1508" i="1"/>
  <c r="H1509" i="1"/>
  <c r="H1510" i="1"/>
  <c r="H1511" i="1"/>
  <c r="J1502" i="1"/>
  <c r="J1503" i="1"/>
  <c r="J1504" i="1"/>
  <c r="J1505" i="1"/>
  <c r="J1506" i="1"/>
  <c r="J1507" i="1"/>
  <c r="J1508" i="1"/>
  <c r="J1509" i="1"/>
  <c r="J1510" i="1"/>
  <c r="J1511" i="1"/>
  <c r="K1502" i="1"/>
  <c r="K1503" i="1"/>
  <c r="K1504" i="1"/>
  <c r="K1505" i="1"/>
  <c r="K1506" i="1"/>
  <c r="K1507" i="1"/>
  <c r="K1508" i="1"/>
  <c r="K1509" i="1"/>
  <c r="K1510" i="1"/>
  <c r="K1511" i="1"/>
  <c r="Q1502" i="1"/>
  <c r="P1502" i="1" s="1"/>
  <c r="Q1503" i="1"/>
  <c r="P1503" i="1" s="1"/>
  <c r="Q1504" i="1"/>
  <c r="P1504" i="1" s="1"/>
  <c r="Q1505" i="1"/>
  <c r="P1505" i="1" s="1"/>
  <c r="Q1506" i="1"/>
  <c r="P1506" i="1" s="1"/>
  <c r="Q1507" i="1"/>
  <c r="P1507" i="1" s="1"/>
  <c r="Q1508" i="1"/>
  <c r="P1508" i="1" s="1"/>
  <c r="Q1509" i="1"/>
  <c r="P1509" i="1" s="1"/>
  <c r="Q1510" i="1"/>
  <c r="P1510" i="1" s="1"/>
  <c r="Q1511" i="1"/>
  <c r="P1511" i="1" s="1"/>
  <c r="B1501" i="1"/>
  <c r="H1501" i="1"/>
  <c r="J1501" i="1"/>
  <c r="K1501" i="1"/>
  <c r="Q1501" i="1"/>
  <c r="P1501" i="1" s="1"/>
  <c r="B1499" i="1"/>
  <c r="B1500" i="1"/>
  <c r="H1499" i="1"/>
  <c r="H1500" i="1"/>
  <c r="J1499" i="1"/>
  <c r="J1500" i="1"/>
  <c r="K1499" i="1"/>
  <c r="K1500" i="1"/>
  <c r="Q1499" i="1"/>
  <c r="P1499" i="1" s="1"/>
  <c r="Q1500" i="1"/>
  <c r="P1500" i="1" s="1"/>
  <c r="B1498" i="1"/>
  <c r="H1498" i="1"/>
  <c r="J1498" i="1"/>
  <c r="K1498" i="1"/>
  <c r="Q1498" i="1"/>
  <c r="P1498" i="1" s="1"/>
  <c r="B1497" i="1"/>
  <c r="H1497" i="1"/>
  <c r="J1497" i="1"/>
  <c r="K1497" i="1"/>
  <c r="Q1497" i="1"/>
  <c r="P1497" i="1" s="1"/>
  <c r="B1496" i="1"/>
  <c r="H1496" i="1"/>
  <c r="J1496" i="1"/>
  <c r="K1496" i="1"/>
  <c r="Q1496" i="1"/>
  <c r="P1496" i="1" s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K1478" i="1"/>
  <c r="K1479" i="1"/>
  <c r="K1480" i="1"/>
  <c r="K1481" i="1"/>
  <c r="K1482" i="1"/>
  <c r="K1483" i="1"/>
  <c r="K1484" i="1"/>
  <c r="K1485" i="1"/>
  <c r="K1486" i="1"/>
  <c r="K1487" i="1"/>
  <c r="K1488" i="1"/>
  <c r="K1489" i="1"/>
  <c r="K1490" i="1"/>
  <c r="K1491" i="1"/>
  <c r="K1492" i="1"/>
  <c r="K1493" i="1"/>
  <c r="K1494" i="1"/>
  <c r="K1495" i="1"/>
  <c r="Q1478" i="1"/>
  <c r="P1478" i="1" s="1"/>
  <c r="Q1479" i="1"/>
  <c r="P1479" i="1" s="1"/>
  <c r="Q1480" i="1"/>
  <c r="P1480" i="1" s="1"/>
  <c r="Q1481" i="1"/>
  <c r="P1481" i="1" s="1"/>
  <c r="Q1482" i="1"/>
  <c r="P1482" i="1" s="1"/>
  <c r="Q1483" i="1"/>
  <c r="P1483" i="1" s="1"/>
  <c r="Q1484" i="1"/>
  <c r="P1484" i="1" s="1"/>
  <c r="Q1485" i="1"/>
  <c r="P1485" i="1" s="1"/>
  <c r="Q1486" i="1"/>
  <c r="P1486" i="1" s="1"/>
  <c r="Q1487" i="1"/>
  <c r="P1487" i="1" s="1"/>
  <c r="Q1488" i="1"/>
  <c r="P1488" i="1" s="1"/>
  <c r="Q1489" i="1"/>
  <c r="P1489" i="1" s="1"/>
  <c r="Q1490" i="1"/>
  <c r="P1490" i="1" s="1"/>
  <c r="Q1491" i="1"/>
  <c r="P1491" i="1" s="1"/>
  <c r="Q1492" i="1"/>
  <c r="P1492" i="1" s="1"/>
  <c r="Q1493" i="1"/>
  <c r="P1493" i="1" s="1"/>
  <c r="Q1494" i="1"/>
  <c r="P1494" i="1" s="1"/>
  <c r="Q1495" i="1"/>
  <c r="P1495" i="1" s="1"/>
  <c r="B1477" i="1"/>
  <c r="H1477" i="1"/>
  <c r="J1477" i="1"/>
  <c r="K1477" i="1"/>
  <c r="Q1477" i="1"/>
  <c r="P1477" i="1" s="1"/>
  <c r="B1455" i="1"/>
  <c r="B1456" i="1"/>
  <c r="B1457" i="1"/>
  <c r="B1458" i="1"/>
  <c r="B1459" i="1"/>
  <c r="B1460" i="1"/>
  <c r="B1461" i="1"/>
  <c r="B1462" i="1"/>
  <c r="B1463" i="1"/>
  <c r="B1464" i="1"/>
  <c r="B1465" i="1"/>
  <c r="B1466" i="1"/>
  <c r="B1467" i="1"/>
  <c r="B1468" i="1"/>
  <c r="B1469" i="1"/>
  <c r="B1470" i="1"/>
  <c r="B1471" i="1"/>
  <c r="B1472" i="1"/>
  <c r="B1473" i="1"/>
  <c r="B1474" i="1"/>
  <c r="B1475" i="1"/>
  <c r="B1476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K1455" i="1"/>
  <c r="K1456" i="1"/>
  <c r="K1457" i="1"/>
  <c r="K1458" i="1"/>
  <c r="K1459" i="1"/>
  <c r="K1460" i="1"/>
  <c r="K1461" i="1"/>
  <c r="K1462" i="1"/>
  <c r="K1463" i="1"/>
  <c r="K1464" i="1"/>
  <c r="K1465" i="1"/>
  <c r="K1466" i="1"/>
  <c r="K1467" i="1"/>
  <c r="K1468" i="1"/>
  <c r="K1469" i="1"/>
  <c r="K1470" i="1"/>
  <c r="K1471" i="1"/>
  <c r="K1472" i="1"/>
  <c r="K1473" i="1"/>
  <c r="K1474" i="1"/>
  <c r="K1475" i="1"/>
  <c r="K1476" i="1"/>
  <c r="Q1455" i="1"/>
  <c r="P1455" i="1" s="1"/>
  <c r="Q1456" i="1"/>
  <c r="P1456" i="1" s="1"/>
  <c r="Q1457" i="1"/>
  <c r="P1457" i="1" s="1"/>
  <c r="Q1458" i="1"/>
  <c r="P1458" i="1" s="1"/>
  <c r="Q1459" i="1"/>
  <c r="P1459" i="1" s="1"/>
  <c r="Q1460" i="1"/>
  <c r="P1460" i="1" s="1"/>
  <c r="Q1461" i="1"/>
  <c r="P1461" i="1" s="1"/>
  <c r="Q1462" i="1"/>
  <c r="P1462" i="1" s="1"/>
  <c r="Q1463" i="1"/>
  <c r="P1463" i="1" s="1"/>
  <c r="Q1464" i="1"/>
  <c r="P1464" i="1" s="1"/>
  <c r="Q1465" i="1"/>
  <c r="P1465" i="1" s="1"/>
  <c r="Q1466" i="1"/>
  <c r="P1466" i="1" s="1"/>
  <c r="Q1467" i="1"/>
  <c r="P1467" i="1" s="1"/>
  <c r="Q1468" i="1"/>
  <c r="P1468" i="1" s="1"/>
  <c r="Q1469" i="1"/>
  <c r="P1469" i="1" s="1"/>
  <c r="Q1470" i="1"/>
  <c r="P1470" i="1" s="1"/>
  <c r="Q1471" i="1"/>
  <c r="P1471" i="1" s="1"/>
  <c r="Q1472" i="1"/>
  <c r="P1472" i="1" s="1"/>
  <c r="Q1473" i="1"/>
  <c r="P1473" i="1" s="1"/>
  <c r="Q1474" i="1"/>
  <c r="P1474" i="1" s="1"/>
  <c r="Q1475" i="1"/>
  <c r="P1475" i="1" s="1"/>
  <c r="Q1476" i="1"/>
  <c r="P1476" i="1" s="1"/>
  <c r="B1454" i="1"/>
  <c r="H1454" i="1"/>
  <c r="J1454" i="1"/>
  <c r="K1454" i="1"/>
  <c r="Q1454" i="1"/>
  <c r="P1454" i="1" s="1"/>
  <c r="B1435" i="1"/>
  <c r="B1436" i="1"/>
  <c r="B1437" i="1"/>
  <c r="B1438" i="1"/>
  <c r="B1439" i="1"/>
  <c r="B1440" i="1"/>
  <c r="B1441" i="1"/>
  <c r="B1442" i="1"/>
  <c r="B1443" i="1"/>
  <c r="B1444" i="1"/>
  <c r="B1445" i="1"/>
  <c r="B1446" i="1"/>
  <c r="B1447" i="1"/>
  <c r="B1448" i="1"/>
  <c r="B1449" i="1"/>
  <c r="B1450" i="1"/>
  <c r="B1451" i="1"/>
  <c r="B1452" i="1"/>
  <c r="B1453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K1435" i="1"/>
  <c r="K1436" i="1"/>
  <c r="K1437" i="1"/>
  <c r="K1438" i="1"/>
  <c r="K1439" i="1"/>
  <c r="K1440" i="1"/>
  <c r="K1441" i="1"/>
  <c r="K1442" i="1"/>
  <c r="K1443" i="1"/>
  <c r="K1444" i="1"/>
  <c r="K1445" i="1"/>
  <c r="K1446" i="1"/>
  <c r="K1447" i="1"/>
  <c r="K1448" i="1"/>
  <c r="K1449" i="1"/>
  <c r="K1450" i="1"/>
  <c r="K1451" i="1"/>
  <c r="K1452" i="1"/>
  <c r="K1453" i="1"/>
  <c r="Q1435" i="1"/>
  <c r="P1435" i="1" s="1"/>
  <c r="Q1436" i="1"/>
  <c r="P1436" i="1" s="1"/>
  <c r="Q1437" i="1"/>
  <c r="P1437" i="1" s="1"/>
  <c r="Q1438" i="1"/>
  <c r="P1438" i="1" s="1"/>
  <c r="Q1439" i="1"/>
  <c r="P1439" i="1" s="1"/>
  <c r="Q1440" i="1"/>
  <c r="P1440" i="1" s="1"/>
  <c r="Q1441" i="1"/>
  <c r="P1441" i="1" s="1"/>
  <c r="Q1442" i="1"/>
  <c r="P1442" i="1" s="1"/>
  <c r="Q1443" i="1"/>
  <c r="P1443" i="1" s="1"/>
  <c r="Q1444" i="1"/>
  <c r="P1444" i="1" s="1"/>
  <c r="Q1445" i="1"/>
  <c r="P1445" i="1" s="1"/>
  <c r="Q1446" i="1"/>
  <c r="P1446" i="1" s="1"/>
  <c r="Q1447" i="1"/>
  <c r="P1447" i="1" s="1"/>
  <c r="Q1448" i="1"/>
  <c r="P1448" i="1" s="1"/>
  <c r="Q1449" i="1"/>
  <c r="P1449" i="1" s="1"/>
  <c r="Q1450" i="1"/>
  <c r="P1450" i="1" s="1"/>
  <c r="Q1451" i="1"/>
  <c r="P1451" i="1" s="1"/>
  <c r="Q1452" i="1"/>
  <c r="P1452" i="1" s="1"/>
  <c r="Q1453" i="1"/>
  <c r="P1453" i="1" s="1"/>
  <c r="B1434" i="1"/>
  <c r="H1434" i="1"/>
  <c r="J1434" i="1"/>
  <c r="K1434" i="1"/>
  <c r="Q1434" i="1"/>
  <c r="P1434" i="1" s="1"/>
  <c r="B1433" i="1"/>
  <c r="H1433" i="1"/>
  <c r="J1433" i="1"/>
  <c r="K1433" i="1"/>
  <c r="Q1433" i="1"/>
  <c r="P1433" i="1" s="1"/>
  <c r="Q1432" i="1"/>
  <c r="P1432" i="1" s="1"/>
  <c r="K1432" i="1"/>
  <c r="B1432" i="1"/>
  <c r="H1432" i="1"/>
  <c r="J1432" i="1"/>
  <c r="B1431" i="1"/>
  <c r="H1431" i="1"/>
  <c r="J1431" i="1"/>
  <c r="K1431" i="1"/>
  <c r="Q1431" i="1"/>
  <c r="P1431" i="1" s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 s="1"/>
  <c r="Q1355" i="1"/>
  <c r="P1355" i="1" s="1"/>
  <c r="Q1356" i="1"/>
  <c r="P1356" i="1" s="1"/>
  <c r="Q1357" i="1"/>
  <c r="P1357" i="1" s="1"/>
  <c r="Q1358" i="1"/>
  <c r="P1358" i="1" s="1"/>
  <c r="Q1359" i="1"/>
  <c r="P1359" i="1" s="1"/>
  <c r="Q1360" i="1"/>
  <c r="P1360" i="1" s="1"/>
  <c r="Q1361" i="1"/>
  <c r="P1361" i="1" s="1"/>
  <c r="Q1362" i="1"/>
  <c r="P1362" i="1" s="1"/>
  <c r="Q1363" i="1"/>
  <c r="P1363" i="1" s="1"/>
  <c r="Q1364" i="1"/>
  <c r="P1364" i="1" s="1"/>
  <c r="Q1365" i="1"/>
  <c r="P1365" i="1" s="1"/>
  <c r="Q1366" i="1"/>
  <c r="P1366" i="1" s="1"/>
  <c r="Q1367" i="1"/>
  <c r="P1367" i="1" s="1"/>
  <c r="Q1368" i="1"/>
  <c r="P1368" i="1" s="1"/>
  <c r="Q1369" i="1"/>
  <c r="P1369" i="1" s="1"/>
  <c r="Q1370" i="1"/>
  <c r="P1370" i="1" s="1"/>
  <c r="Q1371" i="1"/>
  <c r="P1371" i="1" s="1"/>
  <c r="Q1372" i="1"/>
  <c r="P1372" i="1" s="1"/>
  <c r="Q1373" i="1"/>
  <c r="P1373" i="1" s="1"/>
  <c r="Q1374" i="1"/>
  <c r="P1374" i="1" s="1"/>
  <c r="Q1375" i="1"/>
  <c r="P1375" i="1" s="1"/>
  <c r="Q1376" i="1"/>
  <c r="P1376" i="1" s="1"/>
  <c r="Q1377" i="1"/>
  <c r="P1377" i="1" s="1"/>
  <c r="Q1378" i="1"/>
  <c r="P1378" i="1" s="1"/>
  <c r="Q1379" i="1"/>
  <c r="P1379" i="1" s="1"/>
  <c r="Q1380" i="1"/>
  <c r="P1380" i="1" s="1"/>
  <c r="Q1381" i="1"/>
  <c r="P1381" i="1" s="1"/>
  <c r="Q1382" i="1"/>
  <c r="P1382" i="1" s="1"/>
  <c r="Q1383" i="1"/>
  <c r="P1383" i="1" s="1"/>
  <c r="Q1384" i="1"/>
  <c r="P1384" i="1" s="1"/>
  <c r="Q1385" i="1"/>
  <c r="P1385" i="1" s="1"/>
  <c r="Q1386" i="1"/>
  <c r="P1386" i="1" s="1"/>
  <c r="Q1387" i="1"/>
  <c r="P1387" i="1" s="1"/>
  <c r="Q1388" i="1"/>
  <c r="P1388" i="1" s="1"/>
  <c r="Q1389" i="1"/>
  <c r="P1389" i="1" s="1"/>
  <c r="Q1390" i="1"/>
  <c r="P1390" i="1" s="1"/>
  <c r="Q1391" i="1"/>
  <c r="P1391" i="1" s="1"/>
  <c r="Q1392" i="1"/>
  <c r="P1392" i="1" s="1"/>
  <c r="Q1393" i="1"/>
  <c r="P1393" i="1" s="1"/>
  <c r="Q1394" i="1"/>
  <c r="P1394" i="1" s="1"/>
  <c r="Q1395" i="1"/>
  <c r="P1395" i="1" s="1"/>
  <c r="Q1396" i="1"/>
  <c r="P1396" i="1" s="1"/>
  <c r="Q1397" i="1"/>
  <c r="P1397" i="1" s="1"/>
  <c r="Q1398" i="1"/>
  <c r="P1398" i="1" s="1"/>
  <c r="Q1399" i="1"/>
  <c r="P1399" i="1" s="1"/>
  <c r="Q1400" i="1"/>
  <c r="P1400" i="1" s="1"/>
  <c r="Q1401" i="1"/>
  <c r="P1401" i="1" s="1"/>
  <c r="Q1402" i="1"/>
  <c r="P1402" i="1" s="1"/>
  <c r="Q1403" i="1"/>
  <c r="P1403" i="1" s="1"/>
  <c r="Q1404" i="1"/>
  <c r="P1404" i="1" s="1"/>
  <c r="Q1405" i="1"/>
  <c r="P1405" i="1" s="1"/>
  <c r="Q1406" i="1"/>
  <c r="P1406" i="1" s="1"/>
  <c r="Q1407" i="1"/>
  <c r="P1407" i="1" s="1"/>
  <c r="Q1408" i="1"/>
  <c r="P1408" i="1" s="1"/>
  <c r="Q1409" i="1"/>
  <c r="P1409" i="1" s="1"/>
  <c r="Q1410" i="1"/>
  <c r="P1410" i="1" s="1"/>
  <c r="Q1411" i="1"/>
  <c r="P1411" i="1" s="1"/>
  <c r="Q1412" i="1"/>
  <c r="P1412" i="1" s="1"/>
  <c r="Q1413" i="1"/>
  <c r="P1413" i="1" s="1"/>
  <c r="Q1414" i="1"/>
  <c r="P1414" i="1" s="1"/>
  <c r="Q1415" i="1"/>
  <c r="P1415" i="1" s="1"/>
  <c r="Q1416" i="1"/>
  <c r="P1416" i="1" s="1"/>
  <c r="Q1417" i="1"/>
  <c r="P1417" i="1" s="1"/>
  <c r="Q1418" i="1"/>
  <c r="P1418" i="1" s="1"/>
  <c r="Q1419" i="1"/>
  <c r="P1419" i="1" s="1"/>
  <c r="Q1420" i="1"/>
  <c r="P1420" i="1" s="1"/>
  <c r="Q1421" i="1"/>
  <c r="P1421" i="1" s="1"/>
  <c r="Q1422" i="1"/>
  <c r="P1422" i="1" s="1"/>
  <c r="Q1423" i="1"/>
  <c r="P1423" i="1" s="1"/>
  <c r="Q1424" i="1"/>
  <c r="P1424" i="1" s="1"/>
  <c r="Q1425" i="1"/>
  <c r="P1425" i="1" s="1"/>
  <c r="Q1426" i="1"/>
  <c r="P1426" i="1" s="1"/>
  <c r="Q1427" i="1"/>
  <c r="P1427" i="1" s="1"/>
  <c r="Q1428" i="1"/>
  <c r="P1428" i="1" s="1"/>
  <c r="Q1429" i="1"/>
  <c r="P1429" i="1" s="1"/>
  <c r="Q1430" i="1"/>
  <c r="P1430" i="1" s="1"/>
  <c r="B1353" i="1"/>
  <c r="H1353" i="1"/>
  <c r="J1353" i="1"/>
  <c r="K1353" i="1"/>
  <c r="Q1353" i="1"/>
  <c r="P1353" i="1" s="1"/>
  <c r="B1352" i="1"/>
  <c r="H1352" i="1"/>
  <c r="J1352" i="1"/>
  <c r="K1352" i="1"/>
  <c r="Q1352" i="1"/>
  <c r="P1352" i="1" s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K1335" i="1"/>
  <c r="K1336" i="1"/>
  <c r="K1337" i="1"/>
  <c r="K1338" i="1"/>
  <c r="K1339" i="1"/>
  <c r="K1340" i="1"/>
  <c r="K1341" i="1"/>
  <c r="K1342" i="1"/>
  <c r="K1343" i="1"/>
  <c r="K1344" i="1"/>
  <c r="K1345" i="1"/>
  <c r="K1346" i="1"/>
  <c r="K1347" i="1"/>
  <c r="K1348" i="1"/>
  <c r="K1349" i="1"/>
  <c r="K1350" i="1"/>
  <c r="K1351" i="1"/>
  <c r="Q1335" i="1"/>
  <c r="P1335" i="1" s="1"/>
  <c r="Q1336" i="1"/>
  <c r="P1336" i="1" s="1"/>
  <c r="Q1337" i="1"/>
  <c r="P1337" i="1" s="1"/>
  <c r="Q1338" i="1"/>
  <c r="P1338" i="1" s="1"/>
  <c r="Q1339" i="1"/>
  <c r="P1339" i="1" s="1"/>
  <c r="Q1340" i="1"/>
  <c r="P1340" i="1" s="1"/>
  <c r="Q1341" i="1"/>
  <c r="P1341" i="1" s="1"/>
  <c r="Q1342" i="1"/>
  <c r="P1342" i="1" s="1"/>
  <c r="Q1343" i="1"/>
  <c r="P1343" i="1" s="1"/>
  <c r="Q1344" i="1"/>
  <c r="P1344" i="1" s="1"/>
  <c r="Q1345" i="1"/>
  <c r="P1345" i="1" s="1"/>
  <c r="Q1346" i="1"/>
  <c r="P1346" i="1" s="1"/>
  <c r="Q1347" i="1"/>
  <c r="P1347" i="1" s="1"/>
  <c r="Q1348" i="1"/>
  <c r="P1348" i="1" s="1"/>
  <c r="Q1349" i="1"/>
  <c r="P1349" i="1" s="1"/>
  <c r="Q1350" i="1"/>
  <c r="P1350" i="1" s="1"/>
  <c r="Q1351" i="1"/>
  <c r="P1351" i="1" s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B1299" i="1"/>
  <c r="B1300" i="1"/>
  <c r="B1301" i="1"/>
  <c r="B1302" i="1"/>
  <c r="B1303" i="1"/>
  <c r="B1304" i="1"/>
  <c r="B1305" i="1"/>
  <c r="B1306" i="1"/>
  <c r="B1307" i="1"/>
  <c r="B1308" i="1"/>
  <c r="B1309" i="1"/>
  <c r="B1310" i="1"/>
  <c r="B1311" i="1"/>
  <c r="B1312" i="1"/>
  <c r="B1313" i="1"/>
  <c r="B1314" i="1"/>
  <c r="B1315" i="1"/>
  <c r="B1316" i="1"/>
  <c r="B1317" i="1"/>
  <c r="B1318" i="1"/>
  <c r="B1319" i="1"/>
  <c r="B1320" i="1"/>
  <c r="B1321" i="1"/>
  <c r="B1322" i="1"/>
  <c r="B1323" i="1"/>
  <c r="B1324" i="1"/>
  <c r="B1325" i="1"/>
  <c r="B1326" i="1"/>
  <c r="B1327" i="1"/>
  <c r="B1328" i="1"/>
  <c r="B1329" i="1"/>
  <c r="B1330" i="1"/>
  <c r="B1331" i="1"/>
  <c r="B1332" i="1"/>
  <c r="B1333" i="1"/>
  <c r="B1334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K1299" i="1"/>
  <c r="Q1299" i="1"/>
  <c r="P1299" i="1" s="1"/>
  <c r="Q1300" i="1"/>
  <c r="P1300" i="1" s="1"/>
  <c r="Q1301" i="1"/>
  <c r="P1301" i="1" s="1"/>
  <c r="Q1302" i="1"/>
  <c r="P1302" i="1" s="1"/>
  <c r="Q1303" i="1"/>
  <c r="P1303" i="1" s="1"/>
  <c r="Q1304" i="1"/>
  <c r="P1304" i="1" s="1"/>
  <c r="Q1305" i="1"/>
  <c r="P1305" i="1" s="1"/>
  <c r="Q1306" i="1"/>
  <c r="P1306" i="1" s="1"/>
  <c r="Q1307" i="1"/>
  <c r="P1307" i="1" s="1"/>
  <c r="Q1308" i="1"/>
  <c r="P1308" i="1" s="1"/>
  <c r="Q1309" i="1"/>
  <c r="P1309" i="1" s="1"/>
  <c r="Q1310" i="1"/>
  <c r="P1310" i="1" s="1"/>
  <c r="Q1311" i="1"/>
  <c r="P1311" i="1" s="1"/>
  <c r="Q1312" i="1"/>
  <c r="P1312" i="1" s="1"/>
  <c r="Q1313" i="1"/>
  <c r="P1313" i="1" s="1"/>
  <c r="Q1314" i="1"/>
  <c r="P1314" i="1" s="1"/>
  <c r="Q1315" i="1"/>
  <c r="P1315" i="1" s="1"/>
  <c r="Q1316" i="1"/>
  <c r="P1316" i="1" s="1"/>
  <c r="Q1317" i="1"/>
  <c r="P1317" i="1" s="1"/>
  <c r="Q1318" i="1"/>
  <c r="P1318" i="1" s="1"/>
  <c r="Q1319" i="1"/>
  <c r="P1319" i="1" s="1"/>
  <c r="Q1320" i="1"/>
  <c r="P1320" i="1" s="1"/>
  <c r="Q1321" i="1"/>
  <c r="P1321" i="1" s="1"/>
  <c r="Q1322" i="1"/>
  <c r="P1322" i="1" s="1"/>
  <c r="Q1323" i="1"/>
  <c r="P1323" i="1" s="1"/>
  <c r="Q1324" i="1"/>
  <c r="P1324" i="1" s="1"/>
  <c r="Q1325" i="1"/>
  <c r="P1325" i="1" s="1"/>
  <c r="Q1326" i="1"/>
  <c r="P1326" i="1" s="1"/>
  <c r="Q1327" i="1"/>
  <c r="P1327" i="1" s="1"/>
  <c r="Q1328" i="1"/>
  <c r="P1328" i="1" s="1"/>
  <c r="Q1329" i="1"/>
  <c r="P1329" i="1" s="1"/>
  <c r="Q1330" i="1"/>
  <c r="P1330" i="1" s="1"/>
  <c r="Q1331" i="1"/>
  <c r="P1331" i="1" s="1"/>
  <c r="Q1332" i="1"/>
  <c r="P1332" i="1" s="1"/>
  <c r="Q1333" i="1"/>
  <c r="P1333" i="1" s="1"/>
  <c r="Q1334" i="1"/>
  <c r="P1334" i="1" s="1"/>
  <c r="B1298" i="1"/>
  <c r="H1298" i="1"/>
  <c r="J1298" i="1"/>
  <c r="K1298" i="1"/>
  <c r="Q1298" i="1"/>
  <c r="P1298" i="1" s="1"/>
  <c r="B1297" i="1"/>
  <c r="H1297" i="1"/>
  <c r="J1297" i="1"/>
  <c r="K1297" i="1"/>
  <c r="Q1297" i="1"/>
  <c r="P1297" i="1" s="1"/>
  <c r="K1296" i="1"/>
  <c r="K1295" i="1"/>
  <c r="B1296" i="1"/>
  <c r="H1296" i="1"/>
  <c r="J1296" i="1"/>
  <c r="Q1296" i="1"/>
  <c r="P1296" i="1" s="1"/>
  <c r="B1295" i="1"/>
  <c r="H1295" i="1"/>
  <c r="J1295" i="1"/>
  <c r="Q1295" i="1"/>
  <c r="P1295" i="1" s="1"/>
  <c r="B1294" i="1"/>
  <c r="H1294" i="1"/>
  <c r="J1294" i="1"/>
  <c r="K1294" i="1"/>
  <c r="Q1294" i="1"/>
  <c r="P1294" i="1" s="1"/>
  <c r="K1293" i="1"/>
  <c r="J1293" i="1"/>
  <c r="K1292" i="1"/>
  <c r="J1292" i="1"/>
  <c r="K1291" i="1"/>
  <c r="J1291" i="1"/>
  <c r="K1290" i="1"/>
  <c r="J1290" i="1"/>
  <c r="K1289" i="1"/>
  <c r="J1289" i="1"/>
  <c r="K1288" i="1"/>
  <c r="J1288" i="1"/>
  <c r="K1287" i="1"/>
  <c r="J1287" i="1"/>
  <c r="K1286" i="1"/>
  <c r="J1286" i="1"/>
  <c r="K1285" i="1"/>
  <c r="J1285" i="1"/>
  <c r="K1284" i="1"/>
  <c r="J1284" i="1"/>
  <c r="K1283" i="1"/>
  <c r="J1283" i="1"/>
  <c r="K1282" i="1"/>
  <c r="J1282" i="1"/>
  <c r="K1281" i="1"/>
  <c r="J1281" i="1"/>
  <c r="K1280" i="1"/>
  <c r="J1280" i="1"/>
  <c r="K1279" i="1"/>
  <c r="J1279" i="1"/>
  <c r="K1278" i="1"/>
  <c r="J1278" i="1"/>
  <c r="K1277" i="1"/>
  <c r="J1277" i="1"/>
  <c r="K1276" i="1"/>
  <c r="J1276" i="1"/>
  <c r="K1275" i="1"/>
  <c r="J1275" i="1"/>
  <c r="K1274" i="1"/>
  <c r="J1274" i="1"/>
  <c r="K1273" i="1"/>
  <c r="J1273" i="1"/>
  <c r="K1272" i="1"/>
  <c r="J1272" i="1"/>
  <c r="K1271" i="1"/>
  <c r="J1271" i="1"/>
  <c r="K1270" i="1"/>
  <c r="J1270" i="1"/>
  <c r="K1269" i="1"/>
  <c r="J1269" i="1"/>
  <c r="K1268" i="1"/>
  <c r="J1268" i="1"/>
  <c r="K1267" i="1"/>
  <c r="J1267" i="1"/>
  <c r="K1266" i="1"/>
  <c r="J1266" i="1"/>
  <c r="K1265" i="1"/>
  <c r="J1265" i="1"/>
  <c r="K1264" i="1"/>
  <c r="J1264" i="1"/>
  <c r="K1263" i="1"/>
  <c r="J1263" i="1"/>
  <c r="K1262" i="1"/>
  <c r="J1262" i="1"/>
  <c r="K1261" i="1"/>
  <c r="J1261" i="1"/>
  <c r="K1260" i="1"/>
  <c r="J1260" i="1"/>
  <c r="K1259" i="1"/>
  <c r="J1259" i="1"/>
  <c r="K1258" i="1"/>
  <c r="J1258" i="1"/>
  <c r="K1257" i="1"/>
  <c r="J1257" i="1"/>
  <c r="K1256" i="1"/>
  <c r="J1256" i="1"/>
  <c r="K1255" i="1"/>
  <c r="J1255" i="1"/>
  <c r="K1254" i="1"/>
  <c r="J1254" i="1"/>
  <c r="K1253" i="1"/>
  <c r="J1253" i="1"/>
  <c r="K1252" i="1"/>
  <c r="J1252" i="1"/>
  <c r="K1251" i="1"/>
  <c r="J1251" i="1"/>
  <c r="K1250" i="1"/>
  <c r="J1250" i="1"/>
  <c r="K1249" i="1"/>
  <c r="J1249" i="1"/>
  <c r="K1248" i="1"/>
  <c r="J1248" i="1"/>
  <c r="K1247" i="1"/>
  <c r="J1247" i="1"/>
  <c r="K1246" i="1"/>
  <c r="J1246" i="1"/>
  <c r="K1245" i="1"/>
  <c r="J1245" i="1"/>
  <c r="K1244" i="1"/>
  <c r="J1244" i="1"/>
  <c r="K1243" i="1"/>
  <c r="J1243" i="1"/>
  <c r="K1242" i="1"/>
  <c r="J1242" i="1"/>
  <c r="K1241" i="1"/>
  <c r="J1241" i="1"/>
  <c r="K1240" i="1"/>
  <c r="J1240" i="1"/>
  <c r="K1239" i="1"/>
  <c r="J1239" i="1"/>
  <c r="K1238" i="1"/>
  <c r="J1238" i="1"/>
  <c r="K1237" i="1"/>
  <c r="J1237" i="1"/>
  <c r="K1236" i="1"/>
  <c r="J1236" i="1"/>
  <c r="K1235" i="1"/>
  <c r="J1235" i="1"/>
  <c r="K1234" i="1"/>
  <c r="J1234" i="1"/>
  <c r="K1233" i="1"/>
  <c r="J1233" i="1"/>
  <c r="K1232" i="1"/>
  <c r="J1232" i="1"/>
  <c r="K1231" i="1"/>
  <c r="J1231" i="1"/>
  <c r="K1230" i="1"/>
  <c r="J1230" i="1"/>
  <c r="K1229" i="1"/>
  <c r="J1229" i="1"/>
  <c r="K1228" i="1"/>
  <c r="J1228" i="1"/>
  <c r="K1227" i="1"/>
  <c r="J1227" i="1"/>
  <c r="K1226" i="1"/>
  <c r="J1226" i="1"/>
  <c r="K1225" i="1"/>
  <c r="J1225" i="1"/>
  <c r="K1224" i="1"/>
  <c r="J1224" i="1"/>
  <c r="K1223" i="1"/>
  <c r="J1223" i="1"/>
  <c r="K1222" i="1"/>
  <c r="J1222" i="1"/>
  <c r="K1221" i="1"/>
  <c r="J1221" i="1"/>
  <c r="K1220" i="1"/>
  <c r="J1220" i="1"/>
  <c r="K1219" i="1"/>
  <c r="J1219" i="1"/>
  <c r="K1218" i="1"/>
  <c r="J1218" i="1"/>
  <c r="K1217" i="1"/>
  <c r="J1217" i="1"/>
  <c r="K1216" i="1"/>
  <c r="J1216" i="1"/>
  <c r="K1215" i="1"/>
  <c r="J1215" i="1"/>
  <c r="K1214" i="1"/>
  <c r="J1214" i="1"/>
  <c r="K1213" i="1"/>
  <c r="J1213" i="1"/>
  <c r="K1212" i="1"/>
  <c r="J1212" i="1"/>
  <c r="K1211" i="1"/>
  <c r="J1211" i="1"/>
  <c r="K1210" i="1"/>
  <c r="J1210" i="1"/>
  <c r="K1209" i="1"/>
  <c r="J1209" i="1"/>
  <c r="K1208" i="1"/>
  <c r="J1208" i="1"/>
  <c r="K1207" i="1"/>
  <c r="J1207" i="1"/>
  <c r="K1206" i="1"/>
  <c r="J1206" i="1"/>
  <c r="K1205" i="1"/>
  <c r="J1205" i="1"/>
  <c r="K1204" i="1"/>
  <c r="J1204" i="1"/>
  <c r="K1203" i="1"/>
  <c r="J1203" i="1"/>
  <c r="K1202" i="1"/>
  <c r="J1202" i="1"/>
  <c r="K1201" i="1"/>
  <c r="J1201" i="1"/>
  <c r="K1200" i="1"/>
  <c r="J1200" i="1"/>
  <c r="K1199" i="1"/>
  <c r="J1199" i="1"/>
  <c r="K1198" i="1"/>
  <c r="J1198" i="1"/>
  <c r="K1197" i="1"/>
  <c r="J1197" i="1"/>
  <c r="K1196" i="1"/>
  <c r="J1196" i="1"/>
  <c r="K1195" i="1"/>
  <c r="J1195" i="1"/>
  <c r="K1194" i="1"/>
  <c r="J11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 s="1"/>
  <c r="Q1195" i="1"/>
  <c r="P1195" i="1" s="1"/>
  <c r="Q1196" i="1"/>
  <c r="P1196" i="1" s="1"/>
  <c r="Q1197" i="1"/>
  <c r="P1197" i="1" s="1"/>
  <c r="Q1198" i="1"/>
  <c r="P1198" i="1" s="1"/>
  <c r="Q1199" i="1"/>
  <c r="P1199" i="1" s="1"/>
  <c r="Q1200" i="1"/>
  <c r="P1200" i="1" s="1"/>
  <c r="Q1201" i="1"/>
  <c r="P1201" i="1" s="1"/>
  <c r="Q1202" i="1"/>
  <c r="P1202" i="1" s="1"/>
  <c r="Q1203" i="1"/>
  <c r="P1203" i="1" s="1"/>
  <c r="Q1204" i="1"/>
  <c r="P1204" i="1" s="1"/>
  <c r="Q1205" i="1"/>
  <c r="P1205" i="1" s="1"/>
  <c r="Q1206" i="1"/>
  <c r="P1206" i="1" s="1"/>
  <c r="Q1207" i="1"/>
  <c r="P1207" i="1" s="1"/>
  <c r="Q1208" i="1"/>
  <c r="P1208" i="1" s="1"/>
  <c r="Q1209" i="1"/>
  <c r="P1209" i="1" s="1"/>
  <c r="Q1210" i="1"/>
  <c r="P1210" i="1" s="1"/>
  <c r="Q1211" i="1"/>
  <c r="P1211" i="1" s="1"/>
  <c r="Q1212" i="1"/>
  <c r="P1212" i="1" s="1"/>
  <c r="Q1213" i="1"/>
  <c r="P1213" i="1" s="1"/>
  <c r="Q1214" i="1"/>
  <c r="P1214" i="1" s="1"/>
  <c r="Q1215" i="1"/>
  <c r="P1215" i="1" s="1"/>
  <c r="Q1216" i="1"/>
  <c r="P1216" i="1" s="1"/>
  <c r="Q1217" i="1"/>
  <c r="P1217" i="1" s="1"/>
  <c r="Q1218" i="1"/>
  <c r="P1218" i="1" s="1"/>
  <c r="Q1219" i="1"/>
  <c r="P1219" i="1" s="1"/>
  <c r="Q1220" i="1"/>
  <c r="P1220" i="1" s="1"/>
  <c r="Q1221" i="1"/>
  <c r="P1221" i="1" s="1"/>
  <c r="Q1222" i="1"/>
  <c r="P1222" i="1" s="1"/>
  <c r="Q1223" i="1"/>
  <c r="P1223" i="1" s="1"/>
  <c r="Q1224" i="1"/>
  <c r="P1224" i="1" s="1"/>
  <c r="Q1225" i="1"/>
  <c r="P1225" i="1" s="1"/>
  <c r="Q1226" i="1"/>
  <c r="P1226" i="1" s="1"/>
  <c r="Q1227" i="1"/>
  <c r="P1227" i="1" s="1"/>
  <c r="Q1228" i="1"/>
  <c r="P1228" i="1" s="1"/>
  <c r="Q1229" i="1"/>
  <c r="P1229" i="1" s="1"/>
  <c r="Q1230" i="1"/>
  <c r="P1230" i="1" s="1"/>
  <c r="Q1231" i="1"/>
  <c r="P1231" i="1" s="1"/>
  <c r="Q1232" i="1"/>
  <c r="P1232" i="1" s="1"/>
  <c r="Q1233" i="1"/>
  <c r="P1233" i="1" s="1"/>
  <c r="Q1234" i="1"/>
  <c r="P1234" i="1" s="1"/>
  <c r="Q1235" i="1"/>
  <c r="P1235" i="1" s="1"/>
  <c r="Q1236" i="1"/>
  <c r="P1236" i="1" s="1"/>
  <c r="Q1237" i="1"/>
  <c r="P1237" i="1" s="1"/>
  <c r="Q1238" i="1"/>
  <c r="P1238" i="1" s="1"/>
  <c r="Q1239" i="1"/>
  <c r="P1239" i="1" s="1"/>
  <c r="Q1240" i="1"/>
  <c r="P1240" i="1" s="1"/>
  <c r="Q1241" i="1"/>
  <c r="P1241" i="1" s="1"/>
  <c r="Q1242" i="1"/>
  <c r="P1242" i="1" s="1"/>
  <c r="Q1243" i="1"/>
  <c r="P1243" i="1" s="1"/>
  <c r="Q1244" i="1"/>
  <c r="P1244" i="1" s="1"/>
  <c r="Q1245" i="1"/>
  <c r="P1245" i="1" s="1"/>
  <c r="Q1246" i="1"/>
  <c r="P1246" i="1" s="1"/>
  <c r="Q1247" i="1"/>
  <c r="P1247" i="1" s="1"/>
  <c r="Q1248" i="1"/>
  <c r="P1248" i="1" s="1"/>
  <c r="Q1249" i="1"/>
  <c r="P1249" i="1" s="1"/>
  <c r="Q1250" i="1"/>
  <c r="P1250" i="1" s="1"/>
  <c r="Q1251" i="1"/>
  <c r="P1251" i="1" s="1"/>
  <c r="Q1252" i="1"/>
  <c r="P1252" i="1" s="1"/>
  <c r="Q1253" i="1"/>
  <c r="P1253" i="1" s="1"/>
  <c r="Q1254" i="1"/>
  <c r="P1254" i="1" s="1"/>
  <c r="Q1255" i="1"/>
  <c r="P1255" i="1" s="1"/>
  <c r="Q1256" i="1"/>
  <c r="P1256" i="1" s="1"/>
  <c r="Q1257" i="1"/>
  <c r="P1257" i="1" s="1"/>
  <c r="Q1258" i="1"/>
  <c r="P1258" i="1" s="1"/>
  <c r="Q1259" i="1"/>
  <c r="P1259" i="1" s="1"/>
  <c r="Q1260" i="1"/>
  <c r="P1260" i="1" s="1"/>
  <c r="Q1261" i="1"/>
  <c r="P1261" i="1" s="1"/>
  <c r="Q1262" i="1"/>
  <c r="P1262" i="1" s="1"/>
  <c r="Q1263" i="1"/>
  <c r="P1263" i="1" s="1"/>
  <c r="Q1264" i="1"/>
  <c r="P1264" i="1" s="1"/>
  <c r="Q1265" i="1"/>
  <c r="P1265" i="1" s="1"/>
  <c r="Q1266" i="1"/>
  <c r="P1266" i="1" s="1"/>
  <c r="Q1267" i="1"/>
  <c r="P1267" i="1" s="1"/>
  <c r="Q1268" i="1"/>
  <c r="P1268" i="1" s="1"/>
  <c r="Q1269" i="1"/>
  <c r="P1269" i="1" s="1"/>
  <c r="Q1270" i="1"/>
  <c r="P1270" i="1" s="1"/>
  <c r="Q1271" i="1"/>
  <c r="P1271" i="1" s="1"/>
  <c r="Q1272" i="1"/>
  <c r="P1272" i="1" s="1"/>
  <c r="Q1273" i="1"/>
  <c r="P1273" i="1" s="1"/>
  <c r="Q1274" i="1"/>
  <c r="P1274" i="1" s="1"/>
  <c r="Q1275" i="1"/>
  <c r="P1275" i="1" s="1"/>
  <c r="Q1276" i="1"/>
  <c r="P1276" i="1" s="1"/>
  <c r="Q1277" i="1"/>
  <c r="P1277" i="1" s="1"/>
  <c r="Q1278" i="1"/>
  <c r="P1278" i="1" s="1"/>
  <c r="Q1279" i="1"/>
  <c r="P1279" i="1" s="1"/>
  <c r="Q1280" i="1"/>
  <c r="P1280" i="1" s="1"/>
  <c r="Q1281" i="1"/>
  <c r="P1281" i="1" s="1"/>
  <c r="Q1282" i="1"/>
  <c r="P1282" i="1" s="1"/>
  <c r="Q1283" i="1"/>
  <c r="P1283" i="1" s="1"/>
  <c r="Q1284" i="1"/>
  <c r="P1284" i="1" s="1"/>
  <c r="Q1285" i="1"/>
  <c r="P1285" i="1" s="1"/>
  <c r="Q1286" i="1"/>
  <c r="P1286" i="1" s="1"/>
  <c r="Q1287" i="1"/>
  <c r="P1287" i="1" s="1"/>
  <c r="Q1288" i="1"/>
  <c r="P1288" i="1" s="1"/>
  <c r="Q1289" i="1"/>
  <c r="P1289" i="1" s="1"/>
  <c r="Q1290" i="1"/>
  <c r="P1290" i="1" s="1"/>
  <c r="Q1291" i="1"/>
  <c r="P1291" i="1" s="1"/>
  <c r="Q1292" i="1"/>
  <c r="P1292" i="1" s="1"/>
  <c r="Q1293" i="1"/>
  <c r="P1293" i="1" s="1"/>
  <c r="B1193" i="1"/>
  <c r="H1193" i="1"/>
  <c r="J1193" i="1"/>
  <c r="K1193" i="1"/>
  <c r="Q1193" i="1"/>
  <c r="P1193" i="1" s="1"/>
  <c r="B1192" i="1"/>
  <c r="H1192" i="1"/>
  <c r="J1192" i="1"/>
  <c r="K1192" i="1"/>
  <c r="Q1192" i="1"/>
  <c r="P1192" i="1" s="1"/>
  <c r="B1191" i="1"/>
  <c r="H1191" i="1"/>
  <c r="J1191" i="1"/>
  <c r="K1191" i="1"/>
  <c r="Q1191" i="1"/>
  <c r="P1191" i="1" s="1"/>
  <c r="B1190" i="1"/>
  <c r="H1190" i="1"/>
  <c r="J1190" i="1"/>
  <c r="K1190" i="1"/>
  <c r="Q1190" i="1"/>
  <c r="P1190" i="1" s="1"/>
  <c r="B1186" i="1"/>
  <c r="B1187" i="1"/>
  <c r="B1188" i="1"/>
  <c r="B1189" i="1"/>
  <c r="H1186" i="1"/>
  <c r="H1187" i="1"/>
  <c r="H1188" i="1"/>
  <c r="H1189" i="1"/>
  <c r="J1186" i="1"/>
  <c r="J1187" i="1"/>
  <c r="J1188" i="1"/>
  <c r="J1189" i="1"/>
  <c r="K1186" i="1"/>
  <c r="K1187" i="1"/>
  <c r="K1188" i="1"/>
  <c r="K1189" i="1"/>
  <c r="Q1186" i="1"/>
  <c r="P1186" i="1" s="1"/>
  <c r="Q1187" i="1"/>
  <c r="P1187" i="1" s="1"/>
  <c r="Q1188" i="1"/>
  <c r="P1188" i="1" s="1"/>
  <c r="Q1189" i="1"/>
  <c r="P1189" i="1" s="1"/>
  <c r="B1185" i="1"/>
  <c r="H1185" i="1"/>
  <c r="J1185" i="1"/>
  <c r="K1185" i="1"/>
  <c r="Q1185" i="1"/>
  <c r="P1185" i="1" s="1"/>
  <c r="B1184" i="1"/>
  <c r="B1183" i="1"/>
  <c r="B1182" i="1"/>
  <c r="B1181" i="1"/>
  <c r="B1180" i="1"/>
  <c r="B1179" i="1"/>
  <c r="B1178" i="1"/>
  <c r="B1177" i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K1177" i="1"/>
  <c r="K1178" i="1"/>
  <c r="K1179" i="1"/>
  <c r="K1180" i="1"/>
  <c r="K1181" i="1"/>
  <c r="K1182" i="1"/>
  <c r="K1183" i="1"/>
  <c r="K1184" i="1"/>
  <c r="Q1177" i="1"/>
  <c r="P1177" i="1" s="1"/>
  <c r="Q1178" i="1"/>
  <c r="P1178" i="1" s="1"/>
  <c r="Q1179" i="1"/>
  <c r="P1179" i="1" s="1"/>
  <c r="Q1180" i="1"/>
  <c r="P1180" i="1" s="1"/>
  <c r="Q1181" i="1"/>
  <c r="P1181" i="1" s="1"/>
  <c r="Q1182" i="1"/>
  <c r="P1182" i="1" s="1"/>
  <c r="Q1183" i="1"/>
  <c r="P1183" i="1" s="1"/>
  <c r="Q1184" i="1"/>
  <c r="P1184" i="1" s="1"/>
  <c r="B1176" i="1"/>
  <c r="H1176" i="1"/>
  <c r="J1176" i="1"/>
  <c r="K1176" i="1"/>
  <c r="Q1176" i="1"/>
  <c r="P1176" i="1" s="1"/>
  <c r="B1175" i="1"/>
  <c r="H1175" i="1"/>
  <c r="J1175" i="1"/>
  <c r="K1175" i="1"/>
  <c r="Q1175" i="1"/>
  <c r="P1175" i="1" s="1"/>
  <c r="B1174" i="1"/>
  <c r="H1174" i="1"/>
  <c r="J1174" i="1"/>
  <c r="K1174" i="1"/>
  <c r="Q1174" i="1"/>
  <c r="P1174" i="1" s="1"/>
  <c r="B1170" i="1"/>
  <c r="B1171" i="1"/>
  <c r="B1172" i="1"/>
  <c r="B1173" i="1"/>
  <c r="H1170" i="1"/>
  <c r="H1171" i="1"/>
  <c r="H1172" i="1"/>
  <c r="H1173" i="1"/>
  <c r="J1170" i="1"/>
  <c r="J1171" i="1"/>
  <c r="J1172" i="1"/>
  <c r="J1173" i="1"/>
  <c r="K1170" i="1"/>
  <c r="K1171" i="1"/>
  <c r="K1172" i="1"/>
  <c r="K1173" i="1"/>
  <c r="Q1170" i="1"/>
  <c r="P1170" i="1" s="1"/>
  <c r="Q1171" i="1"/>
  <c r="P1171" i="1" s="1"/>
  <c r="Q1172" i="1"/>
  <c r="P1172" i="1" s="1"/>
  <c r="Q1173" i="1"/>
  <c r="P1173" i="1" s="1"/>
  <c r="B1169" i="1"/>
  <c r="H1169" i="1"/>
  <c r="J1169" i="1"/>
  <c r="K1169" i="1"/>
  <c r="Q1169" i="1"/>
  <c r="P1169" i="1" s="1"/>
  <c r="B1168" i="1"/>
  <c r="H1168" i="1"/>
  <c r="J1168" i="1"/>
  <c r="K1168" i="1"/>
  <c r="Q1168" i="1"/>
  <c r="P1168" i="1" s="1"/>
  <c r="B1167" i="1"/>
  <c r="H1167" i="1"/>
  <c r="J1167" i="1"/>
  <c r="K1167" i="1"/>
  <c r="Q1167" i="1"/>
  <c r="P1167" i="1" s="1"/>
  <c r="B1166" i="1"/>
  <c r="B1165" i="1"/>
  <c r="B1164" i="1"/>
  <c r="H1164" i="1"/>
  <c r="H1165" i="1"/>
  <c r="H1166" i="1"/>
  <c r="J1164" i="1"/>
  <c r="J1165" i="1"/>
  <c r="J1166" i="1"/>
  <c r="K1164" i="1"/>
  <c r="K1165" i="1"/>
  <c r="K1166" i="1"/>
  <c r="Q1164" i="1"/>
  <c r="P1164" i="1" s="1"/>
  <c r="Q1165" i="1"/>
  <c r="P1165" i="1" s="1"/>
  <c r="Q1166" i="1"/>
  <c r="P1166" i="1" s="1"/>
  <c r="B1163" i="1"/>
  <c r="H1163" i="1"/>
  <c r="J1163" i="1"/>
  <c r="K1163" i="1"/>
  <c r="Q1163" i="1"/>
  <c r="P1163" i="1" s="1"/>
  <c r="B1162" i="1"/>
  <c r="H1162" i="1"/>
  <c r="J1162" i="1"/>
  <c r="K1162" i="1"/>
  <c r="Q1162" i="1"/>
  <c r="P1162" i="1" s="1"/>
  <c r="B1161" i="1"/>
  <c r="B1160" i="1"/>
  <c r="B1159" i="1"/>
  <c r="B1158" i="1"/>
  <c r="B1157" i="1"/>
  <c r="B1156" i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K1156" i="1"/>
  <c r="K1157" i="1"/>
  <c r="K1158" i="1"/>
  <c r="K1159" i="1"/>
  <c r="K1160" i="1"/>
  <c r="K1161" i="1"/>
  <c r="Q1156" i="1"/>
  <c r="P1156" i="1" s="1"/>
  <c r="Q1157" i="1"/>
  <c r="P1157" i="1" s="1"/>
  <c r="Q1158" i="1"/>
  <c r="P1158" i="1" s="1"/>
  <c r="Q1159" i="1"/>
  <c r="P1159" i="1" s="1"/>
  <c r="Q1160" i="1"/>
  <c r="P1160" i="1" s="1"/>
  <c r="Q1161" i="1"/>
  <c r="P1161" i="1" s="1"/>
  <c r="B1155" i="1"/>
  <c r="H1155" i="1"/>
  <c r="J1155" i="1"/>
  <c r="K1155" i="1"/>
  <c r="Q1155" i="1"/>
  <c r="P1155" i="1" s="1"/>
  <c r="B1152" i="1"/>
  <c r="B1153" i="1"/>
  <c r="B1154" i="1"/>
  <c r="H1152" i="1"/>
  <c r="H1153" i="1"/>
  <c r="H1154" i="1"/>
  <c r="J1152" i="1"/>
  <c r="J1153" i="1"/>
  <c r="J1154" i="1"/>
  <c r="K1152" i="1"/>
  <c r="K1153" i="1"/>
  <c r="K1154" i="1"/>
  <c r="Q1152" i="1"/>
  <c r="P1152" i="1" s="1"/>
  <c r="Q1153" i="1"/>
  <c r="P1153" i="1" s="1"/>
  <c r="Q1154" i="1"/>
  <c r="P1154" i="1" s="1"/>
  <c r="B1148" i="1"/>
  <c r="B1149" i="1"/>
  <c r="B1150" i="1"/>
  <c r="B1151" i="1"/>
  <c r="H1148" i="1"/>
  <c r="H1149" i="1"/>
  <c r="H1150" i="1"/>
  <c r="H1151" i="1"/>
  <c r="J1148" i="1"/>
  <c r="J1149" i="1"/>
  <c r="J1150" i="1"/>
  <c r="J1151" i="1"/>
  <c r="K1148" i="1"/>
  <c r="K1149" i="1"/>
  <c r="K1150" i="1"/>
  <c r="K1151" i="1"/>
  <c r="Q1148" i="1"/>
  <c r="P1148" i="1" s="1"/>
  <c r="Q1149" i="1"/>
  <c r="P1149" i="1" s="1"/>
  <c r="Q1150" i="1"/>
  <c r="P1150" i="1" s="1"/>
  <c r="Q1151" i="1"/>
  <c r="P1151" i="1" s="1"/>
  <c r="B1147" i="1"/>
  <c r="H1147" i="1"/>
  <c r="J1147" i="1"/>
  <c r="K1147" i="1"/>
  <c r="Q1147" i="1"/>
  <c r="P1147" i="1" s="1"/>
  <c r="B1138" i="1"/>
  <c r="B1139" i="1"/>
  <c r="B1140" i="1"/>
  <c r="B1141" i="1"/>
  <c r="B1142" i="1"/>
  <c r="B1143" i="1"/>
  <c r="B1144" i="1"/>
  <c r="B1145" i="1"/>
  <c r="B1146" i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K1138" i="1"/>
  <c r="K1139" i="1"/>
  <c r="K1140" i="1"/>
  <c r="K1141" i="1"/>
  <c r="K1142" i="1"/>
  <c r="K1143" i="1"/>
  <c r="K1144" i="1"/>
  <c r="K1145" i="1"/>
  <c r="K1146" i="1"/>
  <c r="Q1138" i="1"/>
  <c r="P1138" i="1" s="1"/>
  <c r="Q1139" i="1"/>
  <c r="P1139" i="1" s="1"/>
  <c r="Q1140" i="1"/>
  <c r="P1140" i="1" s="1"/>
  <c r="Q1141" i="1"/>
  <c r="P1141" i="1" s="1"/>
  <c r="Q1142" i="1"/>
  <c r="P1142" i="1" s="1"/>
  <c r="Q1143" i="1"/>
  <c r="P1143" i="1" s="1"/>
  <c r="Q1144" i="1"/>
  <c r="P1144" i="1" s="1"/>
  <c r="Q1145" i="1"/>
  <c r="P1145" i="1" s="1"/>
  <c r="Q1146" i="1"/>
  <c r="P1146" i="1" s="1"/>
  <c r="B1137" i="1"/>
  <c r="H1137" i="1"/>
  <c r="J1137" i="1"/>
  <c r="K1137" i="1"/>
  <c r="Q1137" i="1"/>
  <c r="P1137" i="1" s="1"/>
  <c r="B1136" i="1"/>
  <c r="H1136" i="1"/>
  <c r="J1136" i="1"/>
  <c r="K1136" i="1"/>
  <c r="Q1136" i="1"/>
  <c r="P1136" i="1" s="1"/>
  <c r="B1135" i="1"/>
  <c r="H1135" i="1"/>
  <c r="J1135" i="1"/>
  <c r="K1135" i="1"/>
  <c r="Q1135" i="1"/>
  <c r="P1135" i="1" s="1"/>
  <c r="B1133" i="1"/>
  <c r="B1134" i="1"/>
  <c r="H1133" i="1"/>
  <c r="H1134" i="1"/>
  <c r="J1133" i="1"/>
  <c r="J1134" i="1"/>
  <c r="K1133" i="1"/>
  <c r="K1134" i="1"/>
  <c r="Q1133" i="1"/>
  <c r="P1133" i="1" s="1"/>
  <c r="Q1134" i="1"/>
  <c r="P1134" i="1" s="1"/>
  <c r="B1132" i="1"/>
  <c r="H1132" i="1"/>
  <c r="J1132" i="1"/>
  <c r="K1132" i="1"/>
  <c r="Q1132" i="1"/>
  <c r="P1132" i="1" s="1"/>
  <c r="B1125" i="1"/>
  <c r="B1126" i="1"/>
  <c r="B1127" i="1"/>
  <c r="B1128" i="1"/>
  <c r="B1129" i="1"/>
  <c r="B1130" i="1"/>
  <c r="B1131" i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K1125" i="1"/>
  <c r="K1126" i="1"/>
  <c r="K1127" i="1"/>
  <c r="K1128" i="1"/>
  <c r="K1129" i="1"/>
  <c r="K1130" i="1"/>
  <c r="K1131" i="1"/>
  <c r="Q1125" i="1"/>
  <c r="P1125" i="1" s="1"/>
  <c r="Q1126" i="1"/>
  <c r="P1126" i="1" s="1"/>
  <c r="Q1127" i="1"/>
  <c r="P1127" i="1" s="1"/>
  <c r="Q1128" i="1"/>
  <c r="P1128" i="1" s="1"/>
  <c r="Q1129" i="1"/>
  <c r="P1129" i="1" s="1"/>
  <c r="Q1130" i="1"/>
  <c r="P1130" i="1" s="1"/>
  <c r="Q1131" i="1"/>
  <c r="P1131" i="1" s="1"/>
  <c r="B1124" i="1"/>
  <c r="H1124" i="1"/>
  <c r="J1124" i="1"/>
  <c r="K1124" i="1"/>
  <c r="Q1124" i="1"/>
  <c r="P1124" i="1" s="1"/>
  <c r="B1073" i="1"/>
  <c r="B1074" i="1"/>
  <c r="B1075" i="1"/>
  <c r="B1076" i="1"/>
  <c r="B1077" i="1"/>
  <c r="B1078" i="1"/>
  <c r="B1079" i="1"/>
  <c r="B1080" i="1"/>
  <c r="B1081" i="1"/>
  <c r="B1082" i="1"/>
  <c r="B1083" i="1"/>
  <c r="B1084" i="1"/>
  <c r="B1085" i="1"/>
  <c r="B1086" i="1"/>
  <c r="B1087" i="1"/>
  <c r="B1088" i="1"/>
  <c r="B1089" i="1"/>
  <c r="B1090" i="1"/>
  <c r="B1091" i="1"/>
  <c r="B1092" i="1"/>
  <c r="B1093" i="1"/>
  <c r="B1094" i="1"/>
  <c r="B1095" i="1"/>
  <c r="B1096" i="1"/>
  <c r="B1097" i="1"/>
  <c r="B1098" i="1"/>
  <c r="B1099" i="1"/>
  <c r="B1100" i="1"/>
  <c r="B1101" i="1"/>
  <c r="B1102" i="1"/>
  <c r="B1103" i="1"/>
  <c r="B1104" i="1"/>
  <c r="B1105" i="1"/>
  <c r="B1106" i="1"/>
  <c r="B1107" i="1"/>
  <c r="B1108" i="1"/>
  <c r="B1109" i="1"/>
  <c r="B1110" i="1"/>
  <c r="B1111" i="1"/>
  <c r="B1112" i="1"/>
  <c r="B1113" i="1"/>
  <c r="B1114" i="1"/>
  <c r="B1115" i="1"/>
  <c r="B1116" i="1"/>
  <c r="B1117" i="1"/>
  <c r="B1118" i="1"/>
  <c r="B1119" i="1"/>
  <c r="B1120" i="1"/>
  <c r="B1121" i="1"/>
  <c r="B1122" i="1"/>
  <c r="B1123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Q1073" i="1"/>
  <c r="P1073" i="1" s="1"/>
  <c r="Q1074" i="1"/>
  <c r="P1074" i="1" s="1"/>
  <c r="Q1075" i="1"/>
  <c r="P1075" i="1" s="1"/>
  <c r="Q1076" i="1"/>
  <c r="P1076" i="1" s="1"/>
  <c r="Q1077" i="1"/>
  <c r="P1077" i="1" s="1"/>
  <c r="Q1078" i="1"/>
  <c r="P1078" i="1" s="1"/>
  <c r="Q1079" i="1"/>
  <c r="P1079" i="1" s="1"/>
  <c r="Q1080" i="1"/>
  <c r="P1080" i="1" s="1"/>
  <c r="Q1081" i="1"/>
  <c r="P1081" i="1" s="1"/>
  <c r="Q1082" i="1"/>
  <c r="P1082" i="1" s="1"/>
  <c r="Q1083" i="1"/>
  <c r="P1083" i="1" s="1"/>
  <c r="Q1084" i="1"/>
  <c r="P1084" i="1" s="1"/>
  <c r="Q1085" i="1"/>
  <c r="P1085" i="1" s="1"/>
  <c r="Q1086" i="1"/>
  <c r="P1086" i="1" s="1"/>
  <c r="Q1087" i="1"/>
  <c r="P1087" i="1" s="1"/>
  <c r="Q1088" i="1"/>
  <c r="P1088" i="1" s="1"/>
  <c r="Q1089" i="1"/>
  <c r="P1089" i="1" s="1"/>
  <c r="Q1090" i="1"/>
  <c r="P1090" i="1" s="1"/>
  <c r="Q1091" i="1"/>
  <c r="P1091" i="1" s="1"/>
  <c r="Q1092" i="1"/>
  <c r="P1092" i="1" s="1"/>
  <c r="Q1093" i="1"/>
  <c r="P1093" i="1" s="1"/>
  <c r="Q1094" i="1"/>
  <c r="P1094" i="1" s="1"/>
  <c r="Q1095" i="1"/>
  <c r="P1095" i="1" s="1"/>
  <c r="Q1096" i="1"/>
  <c r="P1096" i="1" s="1"/>
  <c r="Q1097" i="1"/>
  <c r="P1097" i="1" s="1"/>
  <c r="Q1098" i="1"/>
  <c r="P1098" i="1" s="1"/>
  <c r="Q1099" i="1"/>
  <c r="P1099" i="1" s="1"/>
  <c r="Q1100" i="1"/>
  <c r="P1100" i="1" s="1"/>
  <c r="Q1101" i="1"/>
  <c r="P1101" i="1" s="1"/>
  <c r="Q1102" i="1"/>
  <c r="P1102" i="1" s="1"/>
  <c r="Q1103" i="1"/>
  <c r="P1103" i="1" s="1"/>
  <c r="Q1104" i="1"/>
  <c r="P1104" i="1" s="1"/>
  <c r="Q1105" i="1"/>
  <c r="P1105" i="1" s="1"/>
  <c r="Q1106" i="1"/>
  <c r="P1106" i="1" s="1"/>
  <c r="Q1107" i="1"/>
  <c r="P1107" i="1" s="1"/>
  <c r="Q1108" i="1"/>
  <c r="P1108" i="1" s="1"/>
  <c r="Q1109" i="1"/>
  <c r="P1109" i="1" s="1"/>
  <c r="Q1110" i="1"/>
  <c r="P1110" i="1" s="1"/>
  <c r="Q1111" i="1"/>
  <c r="P1111" i="1" s="1"/>
  <c r="Q1112" i="1"/>
  <c r="P1112" i="1" s="1"/>
  <c r="Q1113" i="1"/>
  <c r="P1113" i="1" s="1"/>
  <c r="Q1114" i="1"/>
  <c r="P1114" i="1" s="1"/>
  <c r="Q1115" i="1"/>
  <c r="P1115" i="1" s="1"/>
  <c r="Q1116" i="1"/>
  <c r="P1116" i="1" s="1"/>
  <c r="Q1117" i="1"/>
  <c r="P1117" i="1" s="1"/>
  <c r="Q1118" i="1"/>
  <c r="P1118" i="1" s="1"/>
  <c r="Q1119" i="1"/>
  <c r="P1119" i="1" s="1"/>
  <c r="Q1120" i="1"/>
  <c r="P1120" i="1" s="1"/>
  <c r="Q1121" i="1"/>
  <c r="P1121" i="1" s="1"/>
  <c r="Q1122" i="1"/>
  <c r="P1122" i="1" s="1"/>
  <c r="Q1123" i="1"/>
  <c r="P1123" i="1" s="1"/>
  <c r="B1072" i="1"/>
  <c r="H1072" i="1"/>
  <c r="J1072" i="1"/>
  <c r="K1072" i="1"/>
  <c r="Q1072" i="1"/>
  <c r="P1072" i="1" s="1"/>
  <c r="B1057" i="1"/>
  <c r="B1058" i="1"/>
  <c r="B1059" i="1"/>
  <c r="B1060" i="1"/>
  <c r="B1061" i="1"/>
  <c r="B1062" i="1"/>
  <c r="B1063" i="1"/>
  <c r="B1064" i="1"/>
  <c r="B1065" i="1"/>
  <c r="B1066" i="1"/>
  <c r="B1067" i="1"/>
  <c r="B1068" i="1"/>
  <c r="B1069" i="1"/>
  <c r="B1070" i="1"/>
  <c r="B1071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Q1057" i="1"/>
  <c r="P1057" i="1" s="1"/>
  <c r="Q1058" i="1"/>
  <c r="P1058" i="1" s="1"/>
  <c r="Q1059" i="1"/>
  <c r="P1059" i="1" s="1"/>
  <c r="Q1060" i="1"/>
  <c r="P1060" i="1" s="1"/>
  <c r="Q1061" i="1"/>
  <c r="P1061" i="1" s="1"/>
  <c r="Q1062" i="1"/>
  <c r="P1062" i="1" s="1"/>
  <c r="Q1063" i="1"/>
  <c r="P1063" i="1" s="1"/>
  <c r="Q1064" i="1"/>
  <c r="P1064" i="1" s="1"/>
  <c r="Q1065" i="1"/>
  <c r="P1065" i="1" s="1"/>
  <c r="Q1066" i="1"/>
  <c r="P1066" i="1" s="1"/>
  <c r="Q1067" i="1"/>
  <c r="P1067" i="1" s="1"/>
  <c r="Q1068" i="1"/>
  <c r="P1068" i="1" s="1"/>
  <c r="Q1069" i="1"/>
  <c r="P1069" i="1" s="1"/>
  <c r="Q1070" i="1"/>
  <c r="P1070" i="1" s="1"/>
  <c r="Q1071" i="1"/>
  <c r="P1071" i="1" s="1"/>
  <c r="B1055" i="1"/>
  <c r="B1056" i="1"/>
  <c r="H1055" i="1"/>
  <c r="H1056" i="1"/>
  <c r="J1055" i="1"/>
  <c r="J1056" i="1"/>
  <c r="K1055" i="1"/>
  <c r="K1056" i="1"/>
  <c r="Q1055" i="1"/>
  <c r="P1055" i="1" s="1"/>
  <c r="Q1056" i="1"/>
  <c r="P1056" i="1" s="1"/>
  <c r="B1054" i="1"/>
  <c r="H1054" i="1"/>
  <c r="J1054" i="1"/>
  <c r="K1054" i="1"/>
  <c r="Q1054" i="1"/>
  <c r="P1054" i="1" s="1"/>
  <c r="B1023" i="1"/>
  <c r="H1023" i="1"/>
  <c r="J1023" i="1"/>
  <c r="K1023" i="1"/>
  <c r="Q1023" i="1"/>
  <c r="P1023" i="1" s="1"/>
  <c r="B1022" i="1"/>
  <c r="H1022" i="1"/>
  <c r="J1022" i="1"/>
  <c r="K1022" i="1"/>
  <c r="Q1022" i="1"/>
  <c r="P1022" i="1" s="1"/>
  <c r="B1015" i="1"/>
  <c r="H1015" i="1"/>
  <c r="J1015" i="1"/>
  <c r="K1015" i="1"/>
  <c r="Q1015" i="1"/>
  <c r="P1015" i="1" s="1"/>
  <c r="B1017" i="1"/>
  <c r="B1018" i="1"/>
  <c r="H1017" i="1"/>
  <c r="H1018" i="1"/>
  <c r="J1017" i="1"/>
  <c r="J1018" i="1"/>
  <c r="K1017" i="1"/>
  <c r="K1018" i="1"/>
  <c r="Q1017" i="1"/>
  <c r="P1017" i="1" s="1"/>
  <c r="Q1018" i="1"/>
  <c r="P1018" i="1" s="1"/>
  <c r="B1016" i="1"/>
  <c r="H1016" i="1"/>
  <c r="J1016" i="1"/>
  <c r="K1016" i="1"/>
  <c r="Q1016" i="1"/>
  <c r="P1016" i="1" s="1"/>
  <c r="B1014" i="1"/>
  <c r="H1014" i="1"/>
  <c r="J1014" i="1"/>
  <c r="K1014" i="1"/>
  <c r="Q1014" i="1"/>
  <c r="P1014" i="1" s="1"/>
  <c r="B1019" i="1"/>
  <c r="H1019" i="1"/>
  <c r="J1019" i="1"/>
  <c r="K1019" i="1"/>
  <c r="Q1019" i="1"/>
  <c r="P1019" i="1" s="1"/>
  <c r="B1021" i="1"/>
  <c r="H1021" i="1"/>
  <c r="J1021" i="1"/>
  <c r="K1021" i="1"/>
  <c r="Q1021" i="1"/>
  <c r="P1021" i="1" s="1"/>
  <c r="B1020" i="1"/>
  <c r="H1020" i="1"/>
  <c r="J1020" i="1"/>
  <c r="K1020" i="1"/>
  <c r="Q1020" i="1"/>
  <c r="P1020" i="1" s="1"/>
  <c r="B1053" i="1"/>
  <c r="H1053" i="1"/>
  <c r="J1053" i="1"/>
  <c r="K1053" i="1"/>
  <c r="Q1053" i="1"/>
  <c r="P1053" i="1" s="1"/>
  <c r="B1027" i="1"/>
  <c r="B1028" i="1"/>
  <c r="B1029" i="1"/>
  <c r="B1030" i="1"/>
  <c r="B1031" i="1"/>
  <c r="B1032" i="1"/>
  <c r="B1033" i="1"/>
  <c r="B1034" i="1"/>
  <c r="B1035" i="1"/>
  <c r="B1036" i="1"/>
  <c r="B1037" i="1"/>
  <c r="B1038" i="1"/>
  <c r="B1039" i="1"/>
  <c r="B1040" i="1"/>
  <c r="B1041" i="1"/>
  <c r="B1042" i="1"/>
  <c r="B1043" i="1"/>
  <c r="B1044" i="1"/>
  <c r="B1045" i="1"/>
  <c r="B1046" i="1"/>
  <c r="B1047" i="1"/>
  <c r="B1048" i="1"/>
  <c r="B1049" i="1"/>
  <c r="B1050" i="1"/>
  <c r="B1051" i="1"/>
  <c r="B1052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Q1027" i="1"/>
  <c r="P1027" i="1" s="1"/>
  <c r="Q1028" i="1"/>
  <c r="P1028" i="1" s="1"/>
  <c r="Q1029" i="1"/>
  <c r="P1029" i="1" s="1"/>
  <c r="Q1030" i="1"/>
  <c r="P1030" i="1" s="1"/>
  <c r="Q1031" i="1"/>
  <c r="P1031" i="1" s="1"/>
  <c r="Q1032" i="1"/>
  <c r="P1032" i="1" s="1"/>
  <c r="Q1033" i="1"/>
  <c r="P1033" i="1" s="1"/>
  <c r="Q1034" i="1"/>
  <c r="P1034" i="1" s="1"/>
  <c r="Q1035" i="1"/>
  <c r="P1035" i="1" s="1"/>
  <c r="Q1036" i="1"/>
  <c r="P1036" i="1" s="1"/>
  <c r="Q1037" i="1"/>
  <c r="P1037" i="1" s="1"/>
  <c r="Q1038" i="1"/>
  <c r="P1038" i="1" s="1"/>
  <c r="Q1039" i="1"/>
  <c r="P1039" i="1" s="1"/>
  <c r="Q1040" i="1"/>
  <c r="P1040" i="1" s="1"/>
  <c r="Q1041" i="1"/>
  <c r="P1041" i="1" s="1"/>
  <c r="Q1042" i="1"/>
  <c r="P1042" i="1" s="1"/>
  <c r="Q1043" i="1"/>
  <c r="P1043" i="1" s="1"/>
  <c r="Q1044" i="1"/>
  <c r="P1044" i="1" s="1"/>
  <c r="Q1045" i="1"/>
  <c r="P1045" i="1" s="1"/>
  <c r="Q1046" i="1"/>
  <c r="P1046" i="1" s="1"/>
  <c r="Q1047" i="1"/>
  <c r="P1047" i="1" s="1"/>
  <c r="Q1048" i="1"/>
  <c r="P1048" i="1" s="1"/>
  <c r="Q1049" i="1"/>
  <c r="P1049" i="1" s="1"/>
  <c r="Q1050" i="1"/>
  <c r="P1050" i="1" s="1"/>
  <c r="Q1051" i="1"/>
  <c r="P1051" i="1" s="1"/>
  <c r="Q1052" i="1"/>
  <c r="P1052" i="1" s="1"/>
  <c r="B1024" i="1"/>
  <c r="B1025" i="1"/>
  <c r="B1026" i="1"/>
  <c r="H1024" i="1"/>
  <c r="H1025" i="1"/>
  <c r="H1026" i="1"/>
  <c r="J1024" i="1"/>
  <c r="J1025" i="1"/>
  <c r="J1026" i="1"/>
  <c r="K1024" i="1"/>
  <c r="K1025" i="1"/>
  <c r="K1026" i="1"/>
  <c r="Q1024" i="1"/>
  <c r="P1024" i="1" s="1"/>
  <c r="Q1025" i="1"/>
  <c r="P1025" i="1" s="1"/>
  <c r="Q1026" i="1"/>
  <c r="P1026" i="1" s="1"/>
  <c r="B1009" i="1"/>
  <c r="H1009" i="1"/>
  <c r="J1009" i="1"/>
  <c r="K1009" i="1"/>
  <c r="Q1009" i="1"/>
  <c r="P1009" i="1" s="1"/>
  <c r="B1008" i="1"/>
  <c r="H1008" i="1"/>
  <c r="J1008" i="1"/>
  <c r="K1008" i="1"/>
  <c r="Q1008" i="1"/>
  <c r="P1008" i="1" s="1"/>
  <c r="B1011" i="1"/>
  <c r="H1011" i="1"/>
  <c r="J1011" i="1"/>
  <c r="K1011" i="1"/>
  <c r="Q1011" i="1"/>
  <c r="P1011" i="1" s="1"/>
  <c r="B1010" i="1"/>
  <c r="H1010" i="1"/>
  <c r="J1010" i="1"/>
  <c r="K1010" i="1"/>
  <c r="Q1010" i="1"/>
  <c r="P1010" i="1" s="1"/>
  <c r="B1012" i="1"/>
  <c r="B1013" i="1"/>
  <c r="H1012" i="1"/>
  <c r="H1013" i="1"/>
  <c r="J1012" i="1"/>
  <c r="J1013" i="1"/>
  <c r="K1012" i="1"/>
  <c r="K1013" i="1"/>
  <c r="Q1012" i="1"/>
  <c r="P1012" i="1" s="1"/>
  <c r="Q1013" i="1"/>
  <c r="P1013" i="1" s="1"/>
  <c r="B969" i="1"/>
  <c r="H969" i="1"/>
  <c r="J969" i="1"/>
  <c r="K969" i="1"/>
  <c r="Q969" i="1"/>
  <c r="P969" i="1" s="1"/>
  <c r="B1002" i="1"/>
  <c r="B1003" i="1"/>
  <c r="B1004" i="1"/>
  <c r="B1005" i="1"/>
  <c r="H1002" i="1"/>
  <c r="H1003" i="1"/>
  <c r="H1004" i="1"/>
  <c r="H1005" i="1"/>
  <c r="J1002" i="1"/>
  <c r="J1003" i="1"/>
  <c r="J1004" i="1"/>
  <c r="J1005" i="1"/>
  <c r="K1002" i="1"/>
  <c r="K1003" i="1"/>
  <c r="K1004" i="1"/>
  <c r="K1005" i="1"/>
  <c r="Q1002" i="1"/>
  <c r="P1002" i="1" s="1"/>
  <c r="Q1003" i="1"/>
  <c r="P1003" i="1" s="1"/>
  <c r="Q1004" i="1"/>
  <c r="P1004" i="1" s="1"/>
  <c r="Q1005" i="1"/>
  <c r="P1005" i="1" s="1"/>
  <c r="B1001" i="1"/>
  <c r="H1001" i="1"/>
  <c r="J1001" i="1"/>
  <c r="K1001" i="1"/>
  <c r="Q1001" i="1"/>
  <c r="P1001" i="1" s="1"/>
  <c r="B1007" i="1"/>
  <c r="H1007" i="1"/>
  <c r="J1007" i="1"/>
  <c r="K1007" i="1"/>
  <c r="Q1007" i="1"/>
  <c r="P1007" i="1" s="1"/>
  <c r="B1006" i="1"/>
  <c r="H1006" i="1"/>
  <c r="J1006" i="1"/>
  <c r="K1006" i="1"/>
  <c r="Q1006" i="1"/>
  <c r="P1006" i="1" s="1"/>
  <c r="B965" i="1"/>
  <c r="H965" i="1"/>
  <c r="J965" i="1"/>
  <c r="K965" i="1"/>
  <c r="Q965" i="1"/>
  <c r="P965" i="1" s="1"/>
  <c r="B1000" i="1"/>
  <c r="H1000" i="1"/>
  <c r="J1000" i="1"/>
  <c r="K1000" i="1"/>
  <c r="Q1000" i="1"/>
  <c r="P1000" i="1" s="1"/>
  <c r="B988" i="1"/>
  <c r="B989" i="1"/>
  <c r="B990" i="1"/>
  <c r="H988" i="1"/>
  <c r="H989" i="1"/>
  <c r="H990" i="1"/>
  <c r="J988" i="1"/>
  <c r="J989" i="1"/>
  <c r="J990" i="1"/>
  <c r="K988" i="1"/>
  <c r="K989" i="1"/>
  <c r="K990" i="1"/>
  <c r="Q988" i="1"/>
  <c r="P988" i="1" s="1"/>
  <c r="Q989" i="1"/>
  <c r="P989" i="1" s="1"/>
  <c r="Q990" i="1"/>
  <c r="P990" i="1" s="1"/>
  <c r="B992" i="1"/>
  <c r="B993" i="1"/>
  <c r="B994" i="1"/>
  <c r="H992" i="1"/>
  <c r="H993" i="1"/>
  <c r="H994" i="1"/>
  <c r="J992" i="1"/>
  <c r="J993" i="1"/>
  <c r="J994" i="1"/>
  <c r="K992" i="1"/>
  <c r="K993" i="1"/>
  <c r="K994" i="1"/>
  <c r="Q992" i="1"/>
  <c r="P992" i="1" s="1"/>
  <c r="Q993" i="1"/>
  <c r="P993" i="1" s="1"/>
  <c r="Q994" i="1"/>
  <c r="P994" i="1" s="1"/>
  <c r="B991" i="1"/>
  <c r="H991" i="1"/>
  <c r="J991" i="1"/>
  <c r="K991" i="1"/>
  <c r="Q991" i="1"/>
  <c r="P991" i="1" s="1"/>
  <c r="K996" i="1"/>
  <c r="K995" i="1"/>
  <c r="B995" i="1"/>
  <c r="B996" i="1"/>
  <c r="B997" i="1"/>
  <c r="B998" i="1"/>
  <c r="H995" i="1"/>
  <c r="H996" i="1"/>
  <c r="H997" i="1"/>
  <c r="H998" i="1"/>
  <c r="J995" i="1"/>
  <c r="J996" i="1"/>
  <c r="J997" i="1"/>
  <c r="J998" i="1"/>
  <c r="K997" i="1"/>
  <c r="K998" i="1"/>
  <c r="Q995" i="1"/>
  <c r="P995" i="1" s="1"/>
  <c r="Q996" i="1"/>
  <c r="P996" i="1" s="1"/>
  <c r="Q997" i="1"/>
  <c r="P997" i="1" s="1"/>
  <c r="Q998" i="1"/>
  <c r="P998" i="1" s="1"/>
  <c r="B999" i="1"/>
  <c r="H999" i="1"/>
  <c r="J999" i="1"/>
  <c r="K999" i="1"/>
  <c r="Q999" i="1"/>
  <c r="P999" i="1" s="1"/>
  <c r="B966" i="1"/>
  <c r="H966" i="1"/>
  <c r="J966" i="1"/>
  <c r="K966" i="1"/>
  <c r="Q966" i="1"/>
  <c r="P966" i="1" s="1"/>
  <c r="B980" i="1"/>
  <c r="B981" i="1"/>
  <c r="B982" i="1"/>
  <c r="B983" i="1"/>
  <c r="B984" i="1"/>
  <c r="B985" i="1"/>
  <c r="B986" i="1"/>
  <c r="B987" i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K980" i="1"/>
  <c r="K981" i="1"/>
  <c r="K982" i="1"/>
  <c r="K983" i="1"/>
  <c r="K984" i="1"/>
  <c r="K985" i="1"/>
  <c r="K986" i="1"/>
  <c r="K987" i="1"/>
  <c r="Q980" i="1"/>
  <c r="P980" i="1" s="1"/>
  <c r="Q981" i="1"/>
  <c r="P981" i="1" s="1"/>
  <c r="Q982" i="1"/>
  <c r="P982" i="1" s="1"/>
  <c r="Q983" i="1"/>
  <c r="P983" i="1" s="1"/>
  <c r="Q984" i="1"/>
  <c r="P984" i="1" s="1"/>
  <c r="Q985" i="1"/>
  <c r="P985" i="1" s="1"/>
  <c r="Q986" i="1"/>
  <c r="P986" i="1" s="1"/>
  <c r="Q987" i="1"/>
  <c r="P987" i="1" s="1"/>
  <c r="B977" i="1"/>
  <c r="H977" i="1"/>
  <c r="J977" i="1"/>
  <c r="K977" i="1"/>
  <c r="Q977" i="1"/>
  <c r="P977" i="1" s="1"/>
  <c r="B978" i="1"/>
  <c r="H978" i="1"/>
  <c r="J978" i="1"/>
  <c r="K978" i="1"/>
  <c r="Q978" i="1"/>
  <c r="P978" i="1" s="1"/>
  <c r="B979" i="1"/>
  <c r="H979" i="1"/>
  <c r="J979" i="1"/>
  <c r="K979" i="1"/>
  <c r="Q979" i="1"/>
  <c r="P979" i="1" s="1"/>
  <c r="B976" i="1"/>
  <c r="H976" i="1"/>
  <c r="J976" i="1"/>
  <c r="K976" i="1"/>
  <c r="Q976" i="1"/>
  <c r="P976" i="1" s="1"/>
  <c r="B968" i="1"/>
  <c r="H968" i="1"/>
  <c r="J968" i="1"/>
  <c r="K968" i="1"/>
  <c r="Q968" i="1"/>
  <c r="P968" i="1" s="1"/>
  <c r="B967" i="1"/>
  <c r="H967" i="1"/>
  <c r="J967" i="1"/>
  <c r="K967" i="1"/>
  <c r="Q967" i="1"/>
  <c r="P967" i="1" s="1"/>
  <c r="B970" i="1"/>
  <c r="H970" i="1"/>
  <c r="J970" i="1"/>
  <c r="K970" i="1"/>
  <c r="Q970" i="1"/>
  <c r="P970" i="1" s="1"/>
  <c r="B971" i="1"/>
  <c r="H971" i="1"/>
  <c r="J971" i="1"/>
  <c r="K971" i="1"/>
  <c r="Q971" i="1"/>
  <c r="P971" i="1" s="1"/>
  <c r="B972" i="1"/>
  <c r="H972" i="1"/>
  <c r="J972" i="1"/>
  <c r="K972" i="1"/>
  <c r="Q972" i="1"/>
  <c r="P972" i="1" s="1"/>
  <c r="B973" i="1"/>
  <c r="H973" i="1"/>
  <c r="J973" i="1"/>
  <c r="K973" i="1"/>
  <c r="Q973" i="1"/>
  <c r="P973" i="1" s="1"/>
  <c r="B866" i="1"/>
  <c r="J866" i="1"/>
  <c r="H866" i="1"/>
  <c r="K866" i="1"/>
  <c r="Q866" i="1"/>
  <c r="P866" i="1" s="1"/>
  <c r="B949" i="1"/>
  <c r="H949" i="1"/>
  <c r="J949" i="1"/>
  <c r="K949" i="1"/>
  <c r="Q949" i="1"/>
  <c r="P949" i="1" s="1"/>
  <c r="B950" i="1"/>
  <c r="H950" i="1"/>
  <c r="J950" i="1"/>
  <c r="K950" i="1"/>
  <c r="Q950" i="1"/>
  <c r="P950" i="1" s="1"/>
  <c r="B951" i="1"/>
  <c r="H951" i="1"/>
  <c r="J951" i="1"/>
  <c r="K951" i="1"/>
  <c r="Q951" i="1"/>
  <c r="P951" i="1" s="1"/>
  <c r="B952" i="1"/>
  <c r="H952" i="1"/>
  <c r="J952" i="1"/>
  <c r="K952" i="1"/>
  <c r="Q952" i="1"/>
  <c r="P952" i="1" s="1"/>
  <c r="B953" i="1"/>
  <c r="H953" i="1"/>
  <c r="J953" i="1"/>
  <c r="K953" i="1"/>
  <c r="Q953" i="1"/>
  <c r="P953" i="1" s="1"/>
  <c r="B954" i="1"/>
  <c r="H954" i="1"/>
  <c r="J954" i="1"/>
  <c r="K954" i="1"/>
  <c r="Q954" i="1"/>
  <c r="P954" i="1" s="1"/>
  <c r="B948" i="1"/>
  <c r="H948" i="1"/>
  <c r="J948" i="1"/>
  <c r="K948" i="1"/>
  <c r="Q948" i="1"/>
  <c r="P948" i="1" s="1"/>
  <c r="B946" i="1"/>
  <c r="H946" i="1"/>
  <c r="J946" i="1"/>
  <c r="K946" i="1"/>
  <c r="Q946" i="1"/>
  <c r="P946" i="1" s="1"/>
  <c r="B947" i="1"/>
  <c r="H947" i="1"/>
  <c r="J947" i="1"/>
  <c r="K947" i="1"/>
  <c r="Q947" i="1"/>
  <c r="P947" i="1" s="1"/>
  <c r="B938" i="1"/>
  <c r="H938" i="1"/>
  <c r="J938" i="1"/>
  <c r="K938" i="1"/>
  <c r="Q938" i="1"/>
  <c r="P938" i="1" s="1"/>
  <c r="B939" i="1"/>
  <c r="H939" i="1"/>
  <c r="J939" i="1"/>
  <c r="K939" i="1"/>
  <c r="Q939" i="1"/>
  <c r="P939" i="1" s="1"/>
  <c r="B940" i="1"/>
  <c r="H940" i="1"/>
  <c r="J940" i="1"/>
  <c r="K940" i="1"/>
  <c r="Q940" i="1"/>
  <c r="P940" i="1" s="1"/>
  <c r="B941" i="1"/>
  <c r="H941" i="1"/>
  <c r="J941" i="1"/>
  <c r="K941" i="1"/>
  <c r="Q941" i="1"/>
  <c r="P941" i="1" s="1"/>
  <c r="B942" i="1"/>
  <c r="H942" i="1"/>
  <c r="J942" i="1"/>
  <c r="K942" i="1"/>
  <c r="Q942" i="1"/>
  <c r="P942" i="1" s="1"/>
  <c r="B943" i="1"/>
  <c r="H943" i="1"/>
  <c r="J943" i="1"/>
  <c r="K943" i="1"/>
  <c r="Q943" i="1"/>
  <c r="P943" i="1" s="1"/>
  <c r="B944" i="1"/>
  <c r="H944" i="1"/>
  <c r="J944" i="1"/>
  <c r="K944" i="1"/>
  <c r="Q944" i="1"/>
  <c r="P944" i="1" s="1"/>
  <c r="B945" i="1"/>
  <c r="H945" i="1"/>
  <c r="J945" i="1"/>
  <c r="K945" i="1"/>
  <c r="Q945" i="1"/>
  <c r="P945" i="1" s="1"/>
  <c r="B975" i="1"/>
  <c r="H975" i="1"/>
  <c r="J975" i="1"/>
  <c r="K975" i="1"/>
  <c r="Q975" i="1"/>
  <c r="P975" i="1" s="1"/>
  <c r="B974" i="1"/>
  <c r="H974" i="1"/>
  <c r="J974" i="1"/>
  <c r="K974" i="1"/>
  <c r="Q974" i="1"/>
  <c r="P974" i="1" s="1"/>
  <c r="B956" i="1"/>
  <c r="B957" i="1"/>
  <c r="B958" i="1"/>
  <c r="B959" i="1"/>
  <c r="B960" i="1"/>
  <c r="B961" i="1"/>
  <c r="B962" i="1"/>
  <c r="B963" i="1"/>
  <c r="B964" i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K956" i="1"/>
  <c r="K957" i="1"/>
  <c r="K958" i="1"/>
  <c r="K959" i="1"/>
  <c r="K960" i="1"/>
  <c r="K961" i="1"/>
  <c r="K962" i="1"/>
  <c r="K963" i="1"/>
  <c r="K964" i="1"/>
  <c r="Q956" i="1"/>
  <c r="P956" i="1" s="1"/>
  <c r="Q957" i="1"/>
  <c r="P957" i="1" s="1"/>
  <c r="Q958" i="1"/>
  <c r="P958" i="1" s="1"/>
  <c r="Q959" i="1"/>
  <c r="P959" i="1" s="1"/>
  <c r="Q960" i="1"/>
  <c r="P960" i="1" s="1"/>
  <c r="Q961" i="1"/>
  <c r="P961" i="1" s="1"/>
  <c r="Q962" i="1"/>
  <c r="P962" i="1" s="1"/>
  <c r="Q963" i="1"/>
  <c r="P963" i="1" s="1"/>
  <c r="Q964" i="1"/>
  <c r="P964" i="1" s="1"/>
  <c r="B955" i="1"/>
  <c r="H955" i="1"/>
  <c r="J955" i="1"/>
  <c r="K955" i="1"/>
  <c r="Q955" i="1"/>
  <c r="P955" i="1" s="1"/>
  <c r="B934" i="1"/>
  <c r="B935" i="1"/>
  <c r="B936" i="1"/>
  <c r="B937" i="1"/>
  <c r="H934" i="1"/>
  <c r="H935" i="1"/>
  <c r="H936" i="1"/>
  <c r="H937" i="1"/>
  <c r="J934" i="1"/>
  <c r="J935" i="1"/>
  <c r="J936" i="1"/>
  <c r="J937" i="1"/>
  <c r="K934" i="1"/>
  <c r="K935" i="1"/>
  <c r="K936" i="1"/>
  <c r="K937" i="1"/>
  <c r="Q934" i="1"/>
  <c r="P934" i="1" s="1"/>
  <c r="Q935" i="1"/>
  <c r="P935" i="1" s="1"/>
  <c r="Q936" i="1"/>
  <c r="P936" i="1" s="1"/>
  <c r="Q937" i="1"/>
  <c r="P937" i="1" s="1"/>
  <c r="B931" i="1"/>
  <c r="B932" i="1"/>
  <c r="B933" i="1"/>
  <c r="H931" i="1"/>
  <c r="H932" i="1"/>
  <c r="H933" i="1"/>
  <c r="J931" i="1"/>
  <c r="J932" i="1"/>
  <c r="J933" i="1"/>
  <c r="K931" i="1"/>
  <c r="K932" i="1"/>
  <c r="K933" i="1"/>
  <c r="Q931" i="1"/>
  <c r="P931" i="1" s="1"/>
  <c r="Q932" i="1"/>
  <c r="P932" i="1" s="1"/>
  <c r="Q933" i="1"/>
  <c r="P933" i="1" s="1"/>
  <c r="Q929" i="1"/>
  <c r="P929" i="1" s="1"/>
  <c r="Q928" i="1"/>
  <c r="P928" i="1" s="1"/>
  <c r="Q927" i="1"/>
  <c r="P927" i="1" s="1"/>
  <c r="B927" i="1"/>
  <c r="B928" i="1"/>
  <c r="B929" i="1"/>
  <c r="H927" i="1"/>
  <c r="H928" i="1"/>
  <c r="H929" i="1"/>
  <c r="J927" i="1"/>
  <c r="J928" i="1"/>
  <c r="J929" i="1"/>
  <c r="K927" i="1"/>
  <c r="K928" i="1"/>
  <c r="K929" i="1"/>
  <c r="B926" i="1"/>
  <c r="H926" i="1"/>
  <c r="J926" i="1"/>
  <c r="K926" i="1"/>
  <c r="Q926" i="1"/>
  <c r="P926" i="1" s="1"/>
  <c r="B930" i="1"/>
  <c r="H930" i="1"/>
  <c r="J930" i="1"/>
  <c r="K930" i="1"/>
  <c r="Q930" i="1"/>
  <c r="P930" i="1" s="1"/>
  <c r="B925" i="1"/>
  <c r="H925" i="1"/>
  <c r="J925" i="1"/>
  <c r="K925" i="1"/>
  <c r="Q925" i="1"/>
  <c r="P925" i="1" s="1"/>
  <c r="B924" i="1"/>
  <c r="H924" i="1"/>
  <c r="J924" i="1"/>
  <c r="K924" i="1"/>
  <c r="Q924" i="1"/>
  <c r="P924" i="1" s="1"/>
  <c r="B923" i="1"/>
  <c r="H923" i="1"/>
  <c r="J923" i="1"/>
  <c r="K923" i="1"/>
  <c r="Q923" i="1"/>
  <c r="P923" i="1" s="1"/>
  <c r="B922" i="1"/>
  <c r="H922" i="1"/>
  <c r="J922" i="1"/>
  <c r="K922" i="1"/>
  <c r="Q922" i="1"/>
  <c r="P922" i="1" s="1"/>
  <c r="B921" i="1"/>
  <c r="H921" i="1"/>
  <c r="J921" i="1"/>
  <c r="K921" i="1"/>
  <c r="Q921" i="1"/>
  <c r="P921" i="1" s="1"/>
  <c r="B920" i="1"/>
  <c r="H920" i="1"/>
  <c r="J920" i="1"/>
  <c r="K920" i="1"/>
  <c r="Q920" i="1"/>
  <c r="P920" i="1" s="1"/>
  <c r="B909" i="1"/>
  <c r="B910" i="1"/>
  <c r="B911" i="1"/>
  <c r="B912" i="1"/>
  <c r="B913" i="1"/>
  <c r="B914" i="1"/>
  <c r="B915" i="1"/>
  <c r="B916" i="1"/>
  <c r="B917" i="1"/>
  <c r="B918" i="1"/>
  <c r="B919" i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K909" i="1"/>
  <c r="K910" i="1"/>
  <c r="K911" i="1"/>
  <c r="K912" i="1"/>
  <c r="K913" i="1"/>
  <c r="K914" i="1"/>
  <c r="K915" i="1"/>
  <c r="K916" i="1"/>
  <c r="K917" i="1"/>
  <c r="K918" i="1"/>
  <c r="K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B907" i="1"/>
  <c r="H907" i="1"/>
  <c r="J907" i="1"/>
  <c r="K907" i="1"/>
  <c r="Q907" i="1"/>
  <c r="P907" i="1" s="1"/>
  <c r="B883" i="1"/>
  <c r="H883" i="1"/>
  <c r="J883" i="1"/>
  <c r="K883" i="1"/>
  <c r="Q883" i="1"/>
  <c r="P883" i="1" s="1"/>
  <c r="J908" i="1"/>
  <c r="J889" i="1"/>
  <c r="J888" i="1"/>
  <c r="J887" i="1"/>
  <c r="J886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5" i="1"/>
  <c r="J864" i="1"/>
  <c r="J863" i="1"/>
  <c r="J862" i="1"/>
  <c r="J861" i="1"/>
  <c r="J833" i="1"/>
  <c r="B908" i="1"/>
  <c r="H908" i="1"/>
  <c r="K908" i="1"/>
  <c r="Q908" i="1"/>
  <c r="P908" i="1" s="1"/>
  <c r="B906" i="1"/>
  <c r="H906" i="1"/>
  <c r="J906" i="1"/>
  <c r="K906" i="1"/>
  <c r="Q906" i="1"/>
  <c r="P906" i="1" s="1"/>
  <c r="B898" i="1"/>
  <c r="B899" i="1"/>
  <c r="B900" i="1"/>
  <c r="B901" i="1"/>
  <c r="B902" i="1"/>
  <c r="B903" i="1"/>
  <c r="B904" i="1"/>
  <c r="B905" i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K898" i="1"/>
  <c r="K899" i="1"/>
  <c r="K900" i="1"/>
  <c r="K901" i="1"/>
  <c r="K902" i="1"/>
  <c r="K903" i="1"/>
  <c r="K904" i="1"/>
  <c r="K905" i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Q905" i="1"/>
  <c r="P905" i="1" s="1"/>
  <c r="B897" i="1"/>
  <c r="H897" i="1"/>
  <c r="J897" i="1"/>
  <c r="K897" i="1"/>
  <c r="Q897" i="1"/>
  <c r="P897" i="1" s="1"/>
  <c r="B891" i="1"/>
  <c r="B892" i="1"/>
  <c r="B893" i="1"/>
  <c r="B894" i="1"/>
  <c r="H891" i="1"/>
  <c r="H892" i="1"/>
  <c r="H893" i="1"/>
  <c r="H894" i="1"/>
  <c r="J891" i="1"/>
  <c r="J892" i="1"/>
  <c r="J893" i="1"/>
  <c r="J894" i="1"/>
  <c r="K891" i="1"/>
  <c r="K892" i="1"/>
  <c r="K893" i="1"/>
  <c r="K894" i="1"/>
  <c r="Q891" i="1"/>
  <c r="P891" i="1" s="1"/>
  <c r="Q892" i="1"/>
  <c r="P892" i="1" s="1"/>
  <c r="Q893" i="1"/>
  <c r="P893" i="1" s="1"/>
  <c r="Q894" i="1"/>
  <c r="P894" i="1" s="1"/>
  <c r="B895" i="1"/>
  <c r="H895" i="1"/>
  <c r="J895" i="1"/>
  <c r="K895" i="1"/>
  <c r="Q895" i="1"/>
  <c r="P895" i="1" s="1"/>
  <c r="B896" i="1"/>
  <c r="H896" i="1"/>
  <c r="J896" i="1"/>
  <c r="K896" i="1"/>
  <c r="Q896" i="1"/>
  <c r="P896" i="1" s="1"/>
  <c r="B886" i="1"/>
  <c r="B887" i="1"/>
  <c r="B888" i="1"/>
  <c r="B889" i="1"/>
  <c r="H886" i="1"/>
  <c r="H887" i="1"/>
  <c r="H888" i="1"/>
  <c r="H889" i="1"/>
  <c r="K886" i="1"/>
  <c r="K887" i="1"/>
  <c r="K888" i="1"/>
  <c r="K889" i="1"/>
  <c r="Q886" i="1"/>
  <c r="P886" i="1" s="1"/>
  <c r="Q887" i="1"/>
  <c r="P887" i="1" s="1"/>
  <c r="Q888" i="1"/>
  <c r="P888" i="1" s="1"/>
  <c r="Q889" i="1"/>
  <c r="P889" i="1" s="1"/>
  <c r="B890" i="1"/>
  <c r="H890" i="1"/>
  <c r="J890" i="1"/>
  <c r="K890" i="1"/>
  <c r="Q890" i="1"/>
  <c r="P890" i="1" s="1"/>
  <c r="B832" i="1"/>
  <c r="H832" i="1"/>
  <c r="K832" i="1"/>
  <c r="Q832" i="1"/>
  <c r="P832" i="1" s="1"/>
  <c r="J832" i="1"/>
  <c r="B884" i="1"/>
  <c r="B885" i="1"/>
  <c r="H884" i="1"/>
  <c r="H885" i="1"/>
  <c r="J884" i="1"/>
  <c r="J885" i="1"/>
  <c r="K884" i="1"/>
  <c r="K885" i="1"/>
  <c r="Q884" i="1"/>
  <c r="P884" i="1" s="1"/>
  <c r="Q885" i="1"/>
  <c r="P885" i="1" s="1"/>
  <c r="B882" i="1"/>
  <c r="H882" i="1"/>
  <c r="J882" i="1"/>
  <c r="K882" i="1"/>
  <c r="Q882" i="1"/>
  <c r="P882" i="1" s="1"/>
  <c r="B881" i="1"/>
  <c r="H881" i="1"/>
  <c r="J881" i="1"/>
  <c r="K881" i="1"/>
  <c r="Q881" i="1"/>
  <c r="P881" i="1" s="1"/>
  <c r="Q851" i="1"/>
  <c r="P851" i="1" s="1"/>
  <c r="K851" i="1"/>
  <c r="Q850" i="1"/>
  <c r="P850" i="1" s="1"/>
  <c r="K850" i="1"/>
  <c r="Q849" i="1"/>
  <c r="P849" i="1" s="1"/>
  <c r="K849" i="1"/>
  <c r="Q848" i="1"/>
  <c r="P848" i="1" s="1"/>
  <c r="K848" i="1"/>
  <c r="Q847" i="1"/>
  <c r="P847" i="1" s="1"/>
  <c r="K847" i="1"/>
  <c r="Q846" i="1"/>
  <c r="P846" i="1" s="1"/>
  <c r="K846" i="1"/>
  <c r="Q845" i="1"/>
  <c r="P845" i="1" s="1"/>
  <c r="K845" i="1"/>
  <c r="Q844" i="1"/>
  <c r="P844" i="1" s="1"/>
  <c r="K844" i="1"/>
  <c r="Q843" i="1"/>
  <c r="P843" i="1" s="1"/>
  <c r="K843" i="1"/>
  <c r="Q842" i="1"/>
  <c r="P842" i="1" s="1"/>
  <c r="K842" i="1"/>
  <c r="Q841" i="1"/>
  <c r="P841" i="1" s="1"/>
  <c r="K841" i="1"/>
  <c r="Q840" i="1"/>
  <c r="P840" i="1" s="1"/>
  <c r="K840" i="1"/>
  <c r="Q839" i="1"/>
  <c r="P839" i="1" s="1"/>
  <c r="K839" i="1"/>
  <c r="Q838" i="1"/>
  <c r="P838" i="1" s="1"/>
  <c r="K838" i="1"/>
  <c r="Q837" i="1"/>
  <c r="P837" i="1" s="1"/>
  <c r="K837" i="1"/>
  <c r="Q836" i="1"/>
  <c r="P836" i="1" s="1"/>
  <c r="K836" i="1"/>
  <c r="Q835" i="1"/>
  <c r="P835" i="1" s="1"/>
  <c r="K835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K834" i="1"/>
  <c r="Q834" i="1"/>
  <c r="P834" i="1" s="1"/>
  <c r="B852" i="1"/>
  <c r="B853" i="1"/>
  <c r="B854" i="1"/>
  <c r="H852" i="1"/>
  <c r="H853" i="1"/>
  <c r="H854" i="1"/>
  <c r="J852" i="1"/>
  <c r="J853" i="1"/>
  <c r="J854" i="1"/>
  <c r="K852" i="1"/>
  <c r="K853" i="1"/>
  <c r="K854" i="1"/>
  <c r="Q852" i="1"/>
  <c r="P852" i="1" s="1"/>
  <c r="Q853" i="1"/>
  <c r="P853" i="1" s="1"/>
  <c r="Q854" i="1"/>
  <c r="P854" i="1" s="1"/>
  <c r="B855" i="1"/>
  <c r="B856" i="1"/>
  <c r="B857" i="1"/>
  <c r="B858" i="1"/>
  <c r="B859" i="1"/>
  <c r="B860" i="1"/>
  <c r="H855" i="1"/>
  <c r="H856" i="1"/>
  <c r="H857" i="1"/>
  <c r="H858" i="1"/>
  <c r="H859" i="1"/>
  <c r="H860" i="1"/>
  <c r="J855" i="1"/>
  <c r="J856" i="1"/>
  <c r="J857" i="1"/>
  <c r="J858" i="1"/>
  <c r="J859" i="1"/>
  <c r="J860" i="1"/>
  <c r="K855" i="1"/>
  <c r="K856" i="1"/>
  <c r="K857" i="1"/>
  <c r="K858" i="1"/>
  <c r="K859" i="1"/>
  <c r="K860" i="1"/>
  <c r="Q855" i="1"/>
  <c r="P855" i="1" s="1"/>
  <c r="Q856" i="1"/>
  <c r="P856" i="1" s="1"/>
  <c r="Q857" i="1"/>
  <c r="P857" i="1" s="1"/>
  <c r="Q858" i="1"/>
  <c r="P858" i="1" s="1"/>
  <c r="Q859" i="1"/>
  <c r="P859" i="1" s="1"/>
  <c r="Q860" i="1"/>
  <c r="P860" i="1" s="1"/>
  <c r="Q879" i="1"/>
  <c r="P879" i="1" s="1"/>
  <c r="K879" i="1"/>
  <c r="Q878" i="1"/>
  <c r="P878" i="1" s="1"/>
  <c r="K878" i="1"/>
  <c r="Q877" i="1"/>
  <c r="P877" i="1" s="1"/>
  <c r="K877" i="1"/>
  <c r="Q876" i="1"/>
  <c r="P876" i="1" s="1"/>
  <c r="K876" i="1"/>
  <c r="Q875" i="1"/>
  <c r="P875" i="1" s="1"/>
  <c r="K875" i="1"/>
  <c r="Q874" i="1"/>
  <c r="P874" i="1" s="1"/>
  <c r="K874" i="1"/>
  <c r="Q873" i="1"/>
  <c r="P873" i="1" s="1"/>
  <c r="K873" i="1"/>
  <c r="Q872" i="1"/>
  <c r="P872" i="1" s="1"/>
  <c r="K872" i="1"/>
  <c r="Q871" i="1"/>
  <c r="P871" i="1" s="1"/>
  <c r="K871" i="1"/>
  <c r="Q870" i="1"/>
  <c r="P870" i="1" s="1"/>
  <c r="K870" i="1"/>
  <c r="Q869" i="1"/>
  <c r="P869" i="1" s="1"/>
  <c r="K869" i="1"/>
  <c r="Q868" i="1"/>
  <c r="P868" i="1" s="1"/>
  <c r="K868" i="1"/>
  <c r="Q867" i="1"/>
  <c r="P867" i="1" s="1"/>
  <c r="K867" i="1"/>
  <c r="Q865" i="1"/>
  <c r="P865" i="1" s="1"/>
  <c r="K865" i="1"/>
  <c r="Q864" i="1"/>
  <c r="P864" i="1" s="1"/>
  <c r="K864" i="1"/>
  <c r="Q863" i="1"/>
  <c r="P863" i="1" s="1"/>
  <c r="K863" i="1"/>
  <c r="Q862" i="1"/>
  <c r="P862" i="1" s="1"/>
  <c r="K862" i="1"/>
  <c r="B861" i="1"/>
  <c r="B862" i="1"/>
  <c r="B863" i="1"/>
  <c r="B864" i="1"/>
  <c r="B865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K861" i="1"/>
  <c r="Q861" i="1"/>
  <c r="P861" i="1" s="1"/>
  <c r="B880" i="1"/>
  <c r="H880" i="1"/>
  <c r="J880" i="1"/>
  <c r="K880" i="1"/>
  <c r="Q880" i="1"/>
  <c r="P880" i="1" s="1"/>
  <c r="B831" i="1"/>
  <c r="H831" i="1"/>
  <c r="J831" i="1"/>
  <c r="K831" i="1"/>
  <c r="Q831" i="1"/>
  <c r="P831" i="1" s="1"/>
  <c r="B833" i="1"/>
  <c r="H833" i="1"/>
  <c r="K833" i="1"/>
  <c r="Q833" i="1"/>
  <c r="P833" i="1" s="1"/>
  <c r="B808" i="1"/>
  <c r="B809" i="1"/>
  <c r="B810" i="1"/>
  <c r="B811" i="1"/>
  <c r="B812" i="1"/>
  <c r="H808" i="1"/>
  <c r="H809" i="1"/>
  <c r="H810" i="1"/>
  <c r="H811" i="1"/>
  <c r="H812" i="1"/>
  <c r="J808" i="1"/>
  <c r="J809" i="1"/>
  <c r="J810" i="1"/>
  <c r="J811" i="1"/>
  <c r="J812" i="1"/>
  <c r="K808" i="1"/>
  <c r="K809" i="1"/>
  <c r="K810" i="1"/>
  <c r="K811" i="1"/>
  <c r="K812" i="1"/>
  <c r="Q808" i="1"/>
  <c r="P808" i="1" s="1"/>
  <c r="Q809" i="1"/>
  <c r="P809" i="1" s="1"/>
  <c r="Q810" i="1"/>
  <c r="P810" i="1" s="1"/>
  <c r="Q811" i="1"/>
  <c r="P811" i="1" s="1"/>
  <c r="Q812" i="1"/>
  <c r="P812" i="1" s="1"/>
  <c r="B814" i="1"/>
  <c r="B815" i="1"/>
  <c r="B816" i="1"/>
  <c r="B817" i="1"/>
  <c r="B818" i="1"/>
  <c r="B819" i="1"/>
  <c r="B820" i="1"/>
  <c r="B821" i="1"/>
  <c r="B822" i="1"/>
  <c r="B823" i="1"/>
  <c r="B824" i="1"/>
  <c r="B825" i="1"/>
  <c r="B826" i="1"/>
  <c r="B827" i="1"/>
  <c r="B828" i="1"/>
  <c r="B829" i="1"/>
  <c r="B830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Q826" i="1"/>
  <c r="P826" i="1" s="1"/>
  <c r="Q827" i="1"/>
  <c r="P827" i="1" s="1"/>
  <c r="Q828" i="1"/>
  <c r="P828" i="1" s="1"/>
  <c r="Q829" i="1"/>
  <c r="P829" i="1" s="1"/>
  <c r="Q830" i="1"/>
  <c r="P830" i="1" s="1"/>
  <c r="B813" i="1"/>
  <c r="H813" i="1"/>
  <c r="J813" i="1"/>
  <c r="K813" i="1"/>
  <c r="Q813" i="1"/>
  <c r="P813" i="1" s="1"/>
  <c r="B764" i="1"/>
  <c r="B765" i="1"/>
  <c r="B766" i="1"/>
  <c r="B767" i="1"/>
  <c r="B768" i="1"/>
  <c r="B769" i="1"/>
  <c r="B770" i="1"/>
  <c r="B771" i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K764" i="1"/>
  <c r="K765" i="1"/>
  <c r="K766" i="1"/>
  <c r="K767" i="1"/>
  <c r="K768" i="1"/>
  <c r="K769" i="1"/>
  <c r="K770" i="1"/>
  <c r="K771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3" i="1"/>
  <c r="P773" i="1" s="1"/>
  <c r="Q772" i="1"/>
  <c r="P772" i="1" s="1"/>
  <c r="K773" i="1"/>
  <c r="J773" i="1"/>
  <c r="K772" i="1"/>
  <c r="J772" i="1"/>
  <c r="H773" i="1"/>
  <c r="H772" i="1"/>
  <c r="B772" i="1"/>
  <c r="B773" i="1"/>
  <c r="B774" i="1"/>
  <c r="H774" i="1"/>
  <c r="J774" i="1"/>
  <c r="K774" i="1"/>
  <c r="Q774" i="1"/>
  <c r="P774" i="1" s="1"/>
  <c r="B775" i="1"/>
  <c r="B776" i="1"/>
  <c r="B777" i="1"/>
  <c r="B778" i="1"/>
  <c r="B779" i="1"/>
  <c r="B780" i="1"/>
  <c r="B781" i="1"/>
  <c r="B782" i="1"/>
  <c r="B783" i="1"/>
  <c r="B784" i="1"/>
  <c r="B785" i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K775" i="1"/>
  <c r="K776" i="1"/>
  <c r="K777" i="1"/>
  <c r="K778" i="1"/>
  <c r="K779" i="1"/>
  <c r="K780" i="1"/>
  <c r="K781" i="1"/>
  <c r="K782" i="1"/>
  <c r="K783" i="1"/>
  <c r="K784" i="1"/>
  <c r="K785" i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B786" i="1"/>
  <c r="B787" i="1"/>
  <c r="B788" i="1"/>
  <c r="B789" i="1"/>
  <c r="B790" i="1"/>
  <c r="B791" i="1"/>
  <c r="B792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Q797" i="1"/>
  <c r="P797" i="1" s="1"/>
  <c r="Q798" i="1"/>
  <c r="P798" i="1" s="1"/>
  <c r="Q799" i="1"/>
  <c r="P799" i="1" s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B761" i="1"/>
  <c r="H761" i="1"/>
  <c r="J761" i="1"/>
  <c r="K761" i="1"/>
  <c r="Q761" i="1"/>
  <c r="P761" i="1" s="1"/>
  <c r="B762" i="1"/>
  <c r="B763" i="1"/>
  <c r="H762" i="1"/>
  <c r="H763" i="1"/>
  <c r="J762" i="1"/>
  <c r="J763" i="1"/>
  <c r="K762" i="1"/>
  <c r="K763" i="1"/>
  <c r="Q762" i="1"/>
  <c r="P762" i="1" s="1"/>
  <c r="Q763" i="1"/>
  <c r="P763" i="1" s="1"/>
  <c r="B755" i="1"/>
  <c r="H755" i="1"/>
  <c r="J755" i="1"/>
  <c r="K755" i="1"/>
  <c r="Q755" i="1"/>
  <c r="P755" i="1" s="1"/>
  <c r="B754" i="1"/>
  <c r="H754" i="1"/>
  <c r="J754" i="1"/>
  <c r="K754" i="1"/>
  <c r="Q754" i="1"/>
  <c r="P754" i="1" s="1"/>
  <c r="B757" i="1"/>
  <c r="B758" i="1"/>
  <c r="B759" i="1"/>
  <c r="H757" i="1"/>
  <c r="H758" i="1"/>
  <c r="H759" i="1"/>
  <c r="J757" i="1"/>
  <c r="J758" i="1"/>
  <c r="J759" i="1"/>
  <c r="K757" i="1"/>
  <c r="K758" i="1"/>
  <c r="K759" i="1"/>
  <c r="Q757" i="1"/>
  <c r="P757" i="1" s="1"/>
  <c r="Q758" i="1"/>
  <c r="P758" i="1" s="1"/>
  <c r="Q759" i="1"/>
  <c r="P759" i="1" s="1"/>
  <c r="B756" i="1"/>
  <c r="H756" i="1"/>
  <c r="J756" i="1"/>
  <c r="K756" i="1"/>
  <c r="Q756" i="1"/>
  <c r="P756" i="1" s="1"/>
  <c r="B760" i="1"/>
  <c r="H760" i="1"/>
  <c r="J760" i="1"/>
  <c r="K760" i="1"/>
  <c r="Q760" i="1"/>
  <c r="P760" i="1" s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Q676" i="1"/>
  <c r="P676" i="1" s="1"/>
  <c r="Q677" i="1"/>
  <c r="P677" i="1" s="1"/>
  <c r="Q678" i="1"/>
  <c r="P678" i="1" s="1"/>
  <c r="Q679" i="1"/>
  <c r="P679" i="1" s="1"/>
  <c r="Q680" i="1"/>
  <c r="P680" i="1" s="1"/>
  <c r="Q681" i="1"/>
  <c r="P681" i="1" s="1"/>
  <c r="Q682" i="1"/>
  <c r="P682" i="1" s="1"/>
  <c r="Q683" i="1"/>
  <c r="P683" i="1" s="1"/>
  <c r="Q684" i="1"/>
  <c r="P684" i="1" s="1"/>
  <c r="Q685" i="1"/>
  <c r="P685" i="1" s="1"/>
  <c r="Q686" i="1"/>
  <c r="P686" i="1" s="1"/>
  <c r="Q687" i="1"/>
  <c r="P687" i="1" s="1"/>
  <c r="Q688" i="1"/>
  <c r="P688" i="1" s="1"/>
  <c r="Q689" i="1"/>
  <c r="P689" i="1" s="1"/>
  <c r="Q735" i="1"/>
  <c r="P735" i="1" s="1"/>
  <c r="K735" i="1"/>
  <c r="Q734" i="1"/>
  <c r="P734" i="1" s="1"/>
  <c r="K734" i="1"/>
  <c r="Q733" i="1"/>
  <c r="P733" i="1" s="1"/>
  <c r="K733" i="1"/>
  <c r="Q732" i="1"/>
  <c r="P732" i="1" s="1"/>
  <c r="K732" i="1"/>
  <c r="Q731" i="1"/>
  <c r="P731" i="1" s="1"/>
  <c r="K731" i="1"/>
  <c r="Q730" i="1"/>
  <c r="P730" i="1" s="1"/>
  <c r="K730" i="1"/>
  <c r="Q729" i="1"/>
  <c r="P729" i="1" s="1"/>
  <c r="K729" i="1"/>
  <c r="Q728" i="1"/>
  <c r="P728" i="1" s="1"/>
  <c r="K728" i="1"/>
  <c r="Q727" i="1"/>
  <c r="P727" i="1" s="1"/>
  <c r="K727" i="1"/>
  <c r="Q726" i="1"/>
  <c r="P726" i="1" s="1"/>
  <c r="K726" i="1"/>
  <c r="Q725" i="1"/>
  <c r="P725" i="1" s="1"/>
  <c r="K725" i="1"/>
  <c r="Q724" i="1"/>
  <c r="P724" i="1" s="1"/>
  <c r="K724" i="1"/>
  <c r="Q723" i="1"/>
  <c r="P723" i="1" s="1"/>
  <c r="K723" i="1"/>
  <c r="Q722" i="1"/>
  <c r="P722" i="1" s="1"/>
  <c r="K722" i="1"/>
  <c r="Q721" i="1"/>
  <c r="P721" i="1" s="1"/>
  <c r="K721" i="1"/>
  <c r="Q720" i="1"/>
  <c r="P720" i="1" s="1"/>
  <c r="K720" i="1"/>
  <c r="Q719" i="1"/>
  <c r="P719" i="1" s="1"/>
  <c r="K719" i="1"/>
  <c r="Q718" i="1"/>
  <c r="P718" i="1" s="1"/>
  <c r="K718" i="1"/>
  <c r="Q717" i="1"/>
  <c r="P717" i="1" s="1"/>
  <c r="K717" i="1"/>
  <c r="Q716" i="1"/>
  <c r="P716" i="1" s="1"/>
  <c r="K716" i="1"/>
  <c r="Q715" i="1"/>
  <c r="P715" i="1" s="1"/>
  <c r="K715" i="1"/>
  <c r="Q714" i="1"/>
  <c r="P714" i="1" s="1"/>
  <c r="K714" i="1"/>
  <c r="Q713" i="1"/>
  <c r="P713" i="1" s="1"/>
  <c r="K713" i="1"/>
  <c r="Q712" i="1"/>
  <c r="P712" i="1" s="1"/>
  <c r="K712" i="1"/>
  <c r="Q711" i="1"/>
  <c r="P711" i="1" s="1"/>
  <c r="K711" i="1"/>
  <c r="Q710" i="1"/>
  <c r="P710" i="1" s="1"/>
  <c r="K710" i="1"/>
  <c r="Q709" i="1"/>
  <c r="P709" i="1" s="1"/>
  <c r="K709" i="1"/>
  <c r="Q708" i="1"/>
  <c r="P708" i="1" s="1"/>
  <c r="K708" i="1"/>
  <c r="Q707" i="1"/>
  <c r="P707" i="1" s="1"/>
  <c r="K707" i="1"/>
  <c r="Q706" i="1"/>
  <c r="P706" i="1" s="1"/>
  <c r="K706" i="1"/>
  <c r="Q705" i="1"/>
  <c r="P705" i="1" s="1"/>
  <c r="K705" i="1"/>
  <c r="Q704" i="1"/>
  <c r="P704" i="1" s="1"/>
  <c r="K704" i="1"/>
  <c r="Q703" i="1"/>
  <c r="P703" i="1" s="1"/>
  <c r="K703" i="1"/>
  <c r="Q702" i="1"/>
  <c r="P702" i="1" s="1"/>
  <c r="K702" i="1"/>
  <c r="Q701" i="1"/>
  <c r="P701" i="1" s="1"/>
  <c r="K701" i="1"/>
  <c r="Q700" i="1"/>
  <c r="P700" i="1" s="1"/>
  <c r="K700" i="1"/>
  <c r="Q699" i="1"/>
  <c r="P699" i="1" s="1"/>
  <c r="K699" i="1"/>
  <c r="Q698" i="1"/>
  <c r="P698" i="1" s="1"/>
  <c r="K698" i="1"/>
  <c r="Q697" i="1"/>
  <c r="P697" i="1" s="1"/>
  <c r="K697" i="1"/>
  <c r="Q696" i="1"/>
  <c r="P696" i="1" s="1"/>
  <c r="K696" i="1"/>
  <c r="Q695" i="1"/>
  <c r="P695" i="1" s="1"/>
  <c r="K695" i="1"/>
  <c r="Q694" i="1"/>
  <c r="P694" i="1" s="1"/>
  <c r="K694" i="1"/>
  <c r="Q693" i="1"/>
  <c r="P693" i="1" s="1"/>
  <c r="K693" i="1"/>
  <c r="Q692" i="1"/>
  <c r="P692" i="1" s="1"/>
  <c r="K692" i="1"/>
  <c r="Q691" i="1"/>
  <c r="P691" i="1" s="1"/>
  <c r="K691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B690" i="1"/>
  <c r="H690" i="1"/>
  <c r="J690" i="1"/>
  <c r="K690" i="1"/>
  <c r="Q690" i="1"/>
  <c r="P690" i="1" s="1"/>
  <c r="Q738" i="1"/>
  <c r="P738" i="1" s="1"/>
  <c r="Q737" i="1"/>
  <c r="P737" i="1" s="1"/>
  <c r="B737" i="1"/>
  <c r="B738" i="1"/>
  <c r="H737" i="1"/>
  <c r="H738" i="1"/>
  <c r="J737" i="1"/>
  <c r="J738" i="1"/>
  <c r="K737" i="1"/>
  <c r="K738" i="1"/>
  <c r="B736" i="1"/>
  <c r="H736" i="1"/>
  <c r="J736" i="1"/>
  <c r="K736" i="1"/>
  <c r="Q736" i="1"/>
  <c r="P736" i="1" s="1"/>
  <c r="B663" i="1"/>
  <c r="B664" i="1"/>
  <c r="B665" i="1"/>
  <c r="H663" i="1"/>
  <c r="H664" i="1"/>
  <c r="H665" i="1"/>
  <c r="J663" i="1"/>
  <c r="J664" i="1"/>
  <c r="J665" i="1"/>
  <c r="K663" i="1"/>
  <c r="K664" i="1"/>
  <c r="K665" i="1"/>
  <c r="Q663" i="1"/>
  <c r="P663" i="1" s="1"/>
  <c r="Q664" i="1"/>
  <c r="P664" i="1" s="1"/>
  <c r="Q665" i="1"/>
  <c r="P665" i="1" s="1"/>
  <c r="B662" i="1"/>
  <c r="H662" i="1"/>
  <c r="J662" i="1"/>
  <c r="K662" i="1"/>
  <c r="Q662" i="1"/>
  <c r="P662" i="1" s="1"/>
  <c r="B667" i="1"/>
  <c r="B668" i="1"/>
  <c r="B669" i="1"/>
  <c r="B670" i="1"/>
  <c r="B671" i="1"/>
  <c r="B672" i="1"/>
  <c r="B673" i="1"/>
  <c r="B674" i="1"/>
  <c r="B675" i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K667" i="1"/>
  <c r="K668" i="1"/>
  <c r="K669" i="1"/>
  <c r="K670" i="1"/>
  <c r="K671" i="1"/>
  <c r="K672" i="1"/>
  <c r="K673" i="1"/>
  <c r="K674" i="1"/>
  <c r="K675" i="1"/>
  <c r="Q667" i="1"/>
  <c r="P667" i="1" s="1"/>
  <c r="Q668" i="1"/>
  <c r="P668" i="1" s="1"/>
  <c r="Q669" i="1"/>
  <c r="P669" i="1" s="1"/>
  <c r="Q670" i="1"/>
  <c r="P670" i="1" s="1"/>
  <c r="Q671" i="1"/>
  <c r="P671" i="1" s="1"/>
  <c r="Q672" i="1"/>
  <c r="P672" i="1" s="1"/>
  <c r="Q673" i="1"/>
  <c r="P673" i="1" s="1"/>
  <c r="Q674" i="1"/>
  <c r="P674" i="1" s="1"/>
  <c r="Q675" i="1"/>
  <c r="P675" i="1" s="1"/>
  <c r="B666" i="1"/>
  <c r="H666" i="1"/>
  <c r="J666" i="1"/>
  <c r="K666" i="1"/>
  <c r="Q666" i="1"/>
  <c r="P666" i="1" s="1"/>
  <c r="B653" i="1"/>
  <c r="B654" i="1"/>
  <c r="B655" i="1"/>
  <c r="B656" i="1"/>
  <c r="B657" i="1"/>
  <c r="B658" i="1"/>
  <c r="B659" i="1"/>
  <c r="B660" i="1"/>
  <c r="B661" i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K653" i="1"/>
  <c r="K654" i="1"/>
  <c r="K655" i="1"/>
  <c r="K656" i="1"/>
  <c r="K657" i="1"/>
  <c r="K658" i="1"/>
  <c r="K659" i="1"/>
  <c r="K660" i="1"/>
  <c r="K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B652" i="1"/>
  <c r="H652" i="1"/>
  <c r="J652" i="1"/>
  <c r="K652" i="1"/>
  <c r="Q652" i="1"/>
  <c r="P652" i="1" s="1"/>
  <c r="B643" i="1"/>
  <c r="H643" i="1"/>
  <c r="J643" i="1"/>
  <c r="K643" i="1"/>
  <c r="Q643" i="1"/>
  <c r="P643" i="1" s="1"/>
  <c r="B644" i="1"/>
  <c r="B645" i="1"/>
  <c r="B646" i="1"/>
  <c r="B647" i="1"/>
  <c r="B648" i="1"/>
  <c r="B649" i="1"/>
  <c r="B650" i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K644" i="1"/>
  <c r="K645" i="1"/>
  <c r="K646" i="1"/>
  <c r="K647" i="1"/>
  <c r="K648" i="1"/>
  <c r="K649" i="1"/>
  <c r="K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B651" i="1"/>
  <c r="H651" i="1"/>
  <c r="J651" i="1"/>
  <c r="K651" i="1"/>
  <c r="Q651" i="1"/>
  <c r="P651" i="1" s="1"/>
  <c r="B642" i="1"/>
  <c r="H642" i="1"/>
  <c r="J642" i="1"/>
  <c r="K642" i="1"/>
  <c r="Q642" i="1"/>
  <c r="P642" i="1" s="1"/>
  <c r="B641" i="1"/>
  <c r="H641" i="1"/>
  <c r="J641" i="1"/>
  <c r="K641" i="1"/>
  <c r="Q641" i="1"/>
  <c r="P641" i="1" s="1"/>
  <c r="B640" i="1"/>
  <c r="H640" i="1"/>
  <c r="J640" i="1"/>
  <c r="K640" i="1"/>
  <c r="Q640" i="1"/>
  <c r="P640" i="1" s="1"/>
  <c r="B633" i="1"/>
  <c r="B634" i="1"/>
  <c r="H633" i="1"/>
  <c r="H634" i="1"/>
  <c r="J633" i="1"/>
  <c r="J634" i="1"/>
  <c r="K633" i="1"/>
  <c r="K634" i="1"/>
  <c r="Q633" i="1"/>
  <c r="P633" i="1" s="1"/>
  <c r="Q634" i="1"/>
  <c r="P634" i="1" s="1"/>
  <c r="B624" i="1"/>
  <c r="B625" i="1"/>
  <c r="B626" i="1"/>
  <c r="B627" i="1"/>
  <c r="B628" i="1"/>
  <c r="B629" i="1"/>
  <c r="B630" i="1"/>
  <c r="B631" i="1"/>
  <c r="B632" i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K624" i="1"/>
  <c r="K625" i="1"/>
  <c r="K626" i="1"/>
  <c r="K627" i="1"/>
  <c r="K628" i="1"/>
  <c r="K629" i="1"/>
  <c r="K630" i="1"/>
  <c r="K631" i="1"/>
  <c r="K632" i="1"/>
  <c r="Q624" i="1"/>
  <c r="P624" i="1" s="1"/>
  <c r="Q625" i="1"/>
  <c r="P625" i="1" s="1"/>
  <c r="Q626" i="1"/>
  <c r="P626" i="1" s="1"/>
  <c r="Q627" i="1"/>
  <c r="P627" i="1" s="1"/>
  <c r="Q628" i="1"/>
  <c r="P628" i="1" s="1"/>
  <c r="Q629" i="1"/>
  <c r="P629" i="1" s="1"/>
  <c r="Q630" i="1"/>
  <c r="P630" i="1" s="1"/>
  <c r="Q631" i="1"/>
  <c r="P631" i="1" s="1"/>
  <c r="Q632" i="1"/>
  <c r="P632" i="1" s="1"/>
  <c r="B623" i="1"/>
  <c r="H623" i="1"/>
  <c r="J623" i="1"/>
  <c r="K623" i="1"/>
  <c r="Q623" i="1"/>
  <c r="P623" i="1" s="1"/>
  <c r="B636" i="1"/>
  <c r="B637" i="1"/>
  <c r="B638" i="1"/>
  <c r="B639" i="1"/>
  <c r="H636" i="1"/>
  <c r="H637" i="1"/>
  <c r="H638" i="1"/>
  <c r="H639" i="1"/>
  <c r="J636" i="1"/>
  <c r="J637" i="1"/>
  <c r="J638" i="1"/>
  <c r="J639" i="1"/>
  <c r="K636" i="1"/>
  <c r="K637" i="1"/>
  <c r="K638" i="1"/>
  <c r="K639" i="1"/>
  <c r="Q636" i="1"/>
  <c r="P636" i="1" s="1"/>
  <c r="Q637" i="1"/>
  <c r="P637" i="1" s="1"/>
  <c r="Q638" i="1"/>
  <c r="P638" i="1" s="1"/>
  <c r="Q639" i="1"/>
  <c r="P639" i="1" s="1"/>
  <c r="B635" i="1"/>
  <c r="H635" i="1"/>
  <c r="J635" i="1"/>
  <c r="K635" i="1"/>
  <c r="Q635" i="1"/>
  <c r="P635" i="1" s="1"/>
  <c r="B377" i="1"/>
  <c r="H377" i="1"/>
  <c r="J377" i="1"/>
  <c r="K377" i="1"/>
  <c r="Q377" i="1"/>
  <c r="P377" i="1" s="1"/>
  <c r="B382" i="1"/>
  <c r="H382" i="1"/>
  <c r="J382" i="1"/>
  <c r="K382" i="1"/>
  <c r="Q382" i="1"/>
  <c r="P382" i="1" s="1"/>
  <c r="B499" i="1"/>
  <c r="H499" i="1"/>
  <c r="J499" i="1"/>
  <c r="K499" i="1"/>
  <c r="Q499" i="1"/>
  <c r="P499" i="1" s="1"/>
  <c r="B500" i="1"/>
  <c r="H500" i="1"/>
  <c r="J500" i="1"/>
  <c r="K500" i="1"/>
  <c r="Q500" i="1"/>
  <c r="P500" i="1" s="1"/>
  <c r="B501" i="1"/>
  <c r="H501" i="1"/>
  <c r="J501" i="1"/>
  <c r="K501" i="1"/>
  <c r="Q501" i="1"/>
  <c r="P501" i="1" s="1"/>
  <c r="B502" i="1"/>
  <c r="H502" i="1"/>
  <c r="J502" i="1"/>
  <c r="K502" i="1"/>
  <c r="Q502" i="1"/>
  <c r="P502" i="1" s="1"/>
  <c r="B503" i="1"/>
  <c r="H503" i="1"/>
  <c r="J503" i="1"/>
  <c r="K503" i="1"/>
  <c r="Q503" i="1"/>
  <c r="P503" i="1" s="1"/>
  <c r="B504" i="1"/>
  <c r="H504" i="1"/>
  <c r="J504" i="1"/>
  <c r="K504" i="1"/>
  <c r="Q504" i="1"/>
  <c r="P504" i="1" s="1"/>
  <c r="B505" i="1"/>
  <c r="H505" i="1"/>
  <c r="J505" i="1"/>
  <c r="K505" i="1"/>
  <c r="Q505" i="1"/>
  <c r="P505" i="1" s="1"/>
  <c r="B506" i="1"/>
  <c r="H506" i="1"/>
  <c r="J506" i="1"/>
  <c r="K506" i="1"/>
  <c r="Q506" i="1"/>
  <c r="P506" i="1" s="1"/>
  <c r="B507" i="1"/>
  <c r="H507" i="1"/>
  <c r="J507" i="1"/>
  <c r="K507" i="1"/>
  <c r="Q507" i="1"/>
  <c r="P507" i="1" s="1"/>
  <c r="B508" i="1"/>
  <c r="H508" i="1"/>
  <c r="J508" i="1"/>
  <c r="K508" i="1"/>
  <c r="Q508" i="1"/>
  <c r="P508" i="1" s="1"/>
  <c r="B514" i="1"/>
  <c r="H514" i="1"/>
  <c r="J514" i="1"/>
  <c r="K514" i="1"/>
  <c r="Q514" i="1"/>
  <c r="P514" i="1" s="1"/>
  <c r="B515" i="1"/>
  <c r="H515" i="1"/>
  <c r="J515" i="1"/>
  <c r="K515" i="1"/>
  <c r="Q515" i="1"/>
  <c r="P515" i="1" s="1"/>
  <c r="B516" i="1"/>
  <c r="H516" i="1"/>
  <c r="J516" i="1"/>
  <c r="K516" i="1"/>
  <c r="Q516" i="1"/>
  <c r="P516" i="1" s="1"/>
  <c r="B517" i="1"/>
  <c r="H517" i="1"/>
  <c r="J517" i="1"/>
  <c r="K517" i="1"/>
  <c r="Q517" i="1"/>
  <c r="P517" i="1" s="1"/>
  <c r="B518" i="1"/>
  <c r="H518" i="1"/>
  <c r="J518" i="1"/>
  <c r="K518" i="1"/>
  <c r="Q518" i="1"/>
  <c r="P518" i="1" s="1"/>
  <c r="B519" i="1"/>
  <c r="H519" i="1"/>
  <c r="J519" i="1"/>
  <c r="K519" i="1"/>
  <c r="Q519" i="1"/>
  <c r="P519" i="1" s="1"/>
  <c r="B520" i="1"/>
  <c r="H520" i="1"/>
  <c r="J520" i="1"/>
  <c r="K520" i="1"/>
  <c r="Q520" i="1"/>
  <c r="P520" i="1" s="1"/>
  <c r="B521" i="1"/>
  <c r="H521" i="1"/>
  <c r="J521" i="1"/>
  <c r="K521" i="1"/>
  <c r="Q521" i="1"/>
  <c r="P521" i="1" s="1"/>
  <c r="B522" i="1"/>
  <c r="H522" i="1"/>
  <c r="J522" i="1"/>
  <c r="K522" i="1"/>
  <c r="Q522" i="1"/>
  <c r="P522" i="1" s="1"/>
  <c r="B523" i="1"/>
  <c r="H523" i="1"/>
  <c r="J523" i="1"/>
  <c r="K523" i="1"/>
  <c r="Q523" i="1"/>
  <c r="P523" i="1" s="1"/>
  <c r="B524" i="1"/>
  <c r="H524" i="1"/>
  <c r="J524" i="1"/>
  <c r="K524" i="1"/>
  <c r="Q524" i="1"/>
  <c r="P524" i="1" s="1"/>
  <c r="B525" i="1"/>
  <c r="H525" i="1"/>
  <c r="J525" i="1"/>
  <c r="K525" i="1"/>
  <c r="Q525" i="1"/>
  <c r="P525" i="1" s="1"/>
  <c r="B526" i="1"/>
  <c r="H526" i="1"/>
  <c r="J526" i="1"/>
  <c r="K526" i="1"/>
  <c r="Q526" i="1"/>
  <c r="P526" i="1" s="1"/>
  <c r="B527" i="1"/>
  <c r="H527" i="1"/>
  <c r="J527" i="1"/>
  <c r="K527" i="1"/>
  <c r="Q527" i="1"/>
  <c r="P527" i="1" s="1"/>
  <c r="B528" i="1"/>
  <c r="H528" i="1"/>
  <c r="J528" i="1"/>
  <c r="K528" i="1"/>
  <c r="Q528" i="1"/>
  <c r="P528" i="1" s="1"/>
  <c r="B529" i="1"/>
  <c r="H529" i="1"/>
  <c r="J529" i="1"/>
  <c r="K529" i="1"/>
  <c r="Q529" i="1"/>
  <c r="P529" i="1" s="1"/>
  <c r="B530" i="1"/>
  <c r="H530" i="1"/>
  <c r="J530" i="1"/>
  <c r="K530" i="1"/>
  <c r="Q530" i="1"/>
  <c r="P530" i="1" s="1"/>
  <c r="B531" i="1"/>
  <c r="H531" i="1"/>
  <c r="J531" i="1"/>
  <c r="K531" i="1"/>
  <c r="Q531" i="1"/>
  <c r="P531" i="1" s="1"/>
  <c r="B532" i="1"/>
  <c r="H532" i="1"/>
  <c r="J532" i="1"/>
  <c r="K532" i="1"/>
  <c r="Q532" i="1"/>
  <c r="P532" i="1" s="1"/>
  <c r="B533" i="1"/>
  <c r="H533" i="1"/>
  <c r="J533" i="1"/>
  <c r="K533" i="1"/>
  <c r="Q533" i="1"/>
  <c r="P533" i="1" s="1"/>
  <c r="B534" i="1"/>
  <c r="H534" i="1"/>
  <c r="J534" i="1"/>
  <c r="K534" i="1"/>
  <c r="Q534" i="1"/>
  <c r="P534" i="1" s="1"/>
  <c r="B535" i="1"/>
  <c r="H535" i="1"/>
  <c r="J535" i="1"/>
  <c r="K535" i="1"/>
  <c r="Q535" i="1"/>
  <c r="P535" i="1" s="1"/>
  <c r="B536" i="1"/>
  <c r="H536" i="1"/>
  <c r="J536" i="1"/>
  <c r="K536" i="1"/>
  <c r="Q536" i="1"/>
  <c r="P536" i="1" s="1"/>
  <c r="B537" i="1"/>
  <c r="H537" i="1"/>
  <c r="J537" i="1"/>
  <c r="K537" i="1"/>
  <c r="Q537" i="1"/>
  <c r="P537" i="1" s="1"/>
  <c r="B538" i="1"/>
  <c r="H538" i="1"/>
  <c r="J538" i="1"/>
  <c r="K538" i="1"/>
  <c r="Q538" i="1"/>
  <c r="P538" i="1" s="1"/>
  <c r="B539" i="1"/>
  <c r="H539" i="1"/>
  <c r="J539" i="1"/>
  <c r="K539" i="1"/>
  <c r="Q539" i="1"/>
  <c r="P539" i="1" s="1"/>
  <c r="B540" i="1"/>
  <c r="H540" i="1"/>
  <c r="J540" i="1"/>
  <c r="K540" i="1"/>
  <c r="Q540" i="1"/>
  <c r="P540" i="1" s="1"/>
  <c r="B541" i="1"/>
  <c r="H541" i="1"/>
  <c r="J541" i="1"/>
  <c r="K541" i="1"/>
  <c r="Q541" i="1"/>
  <c r="P541" i="1" s="1"/>
  <c r="B542" i="1"/>
  <c r="H542" i="1"/>
  <c r="J542" i="1"/>
  <c r="K542" i="1"/>
  <c r="Q542" i="1"/>
  <c r="P542" i="1" s="1"/>
  <c r="B543" i="1"/>
  <c r="H543" i="1"/>
  <c r="J543" i="1"/>
  <c r="K543" i="1"/>
  <c r="Q543" i="1"/>
  <c r="P543" i="1" s="1"/>
  <c r="B544" i="1"/>
  <c r="H544" i="1"/>
  <c r="J544" i="1"/>
  <c r="K544" i="1"/>
  <c r="Q544" i="1"/>
  <c r="P544" i="1" s="1"/>
  <c r="B545" i="1"/>
  <c r="H545" i="1"/>
  <c r="J545" i="1"/>
  <c r="K545" i="1"/>
  <c r="Q545" i="1"/>
  <c r="P545" i="1" s="1"/>
  <c r="B546" i="1"/>
  <c r="H546" i="1"/>
  <c r="J546" i="1"/>
  <c r="K546" i="1"/>
  <c r="Q546" i="1"/>
  <c r="P546" i="1" s="1"/>
  <c r="B547" i="1"/>
  <c r="H547" i="1"/>
  <c r="J547" i="1"/>
  <c r="K547" i="1"/>
  <c r="Q547" i="1"/>
  <c r="P547" i="1" s="1"/>
  <c r="B548" i="1"/>
  <c r="H548" i="1"/>
  <c r="J548" i="1"/>
  <c r="K548" i="1"/>
  <c r="Q548" i="1"/>
  <c r="P548" i="1" s="1"/>
  <c r="B549" i="1"/>
  <c r="H549" i="1"/>
  <c r="J549" i="1"/>
  <c r="K549" i="1"/>
  <c r="Q549" i="1"/>
  <c r="P549" i="1" s="1"/>
  <c r="B550" i="1"/>
  <c r="H550" i="1"/>
  <c r="J550" i="1"/>
  <c r="K550" i="1"/>
  <c r="Q550" i="1"/>
  <c r="P550" i="1" s="1"/>
  <c r="B551" i="1"/>
  <c r="H551" i="1"/>
  <c r="J551" i="1"/>
  <c r="K551" i="1"/>
  <c r="Q551" i="1"/>
  <c r="P551" i="1" s="1"/>
  <c r="B552" i="1"/>
  <c r="H552" i="1"/>
  <c r="J552" i="1"/>
  <c r="K552" i="1"/>
  <c r="Q552" i="1"/>
  <c r="P552" i="1" s="1"/>
  <c r="B553" i="1"/>
  <c r="H553" i="1"/>
  <c r="J553" i="1"/>
  <c r="K553" i="1"/>
  <c r="Q553" i="1"/>
  <c r="P553" i="1" s="1"/>
  <c r="B554" i="1"/>
  <c r="H554" i="1"/>
  <c r="J554" i="1"/>
  <c r="K554" i="1"/>
  <c r="Q554" i="1"/>
  <c r="P554" i="1" s="1"/>
  <c r="B555" i="1"/>
  <c r="H555" i="1"/>
  <c r="J555" i="1"/>
  <c r="K555" i="1"/>
  <c r="Q555" i="1"/>
  <c r="P555" i="1" s="1"/>
  <c r="B556" i="1"/>
  <c r="H556" i="1"/>
  <c r="J556" i="1"/>
  <c r="K556" i="1"/>
  <c r="Q556" i="1"/>
  <c r="P556" i="1" s="1"/>
  <c r="B557" i="1"/>
  <c r="H557" i="1"/>
  <c r="J557" i="1"/>
  <c r="K557" i="1"/>
  <c r="Q557" i="1"/>
  <c r="P557" i="1" s="1"/>
  <c r="B558" i="1"/>
  <c r="H558" i="1"/>
  <c r="J558" i="1"/>
  <c r="K558" i="1"/>
  <c r="Q558" i="1"/>
  <c r="P558" i="1" s="1"/>
  <c r="B559" i="1"/>
  <c r="H559" i="1"/>
  <c r="J559" i="1"/>
  <c r="K559" i="1"/>
  <c r="Q559" i="1"/>
  <c r="P559" i="1" s="1"/>
  <c r="B560" i="1"/>
  <c r="H560" i="1"/>
  <c r="J560" i="1"/>
  <c r="K560" i="1"/>
  <c r="Q560" i="1"/>
  <c r="P560" i="1" s="1"/>
  <c r="B561" i="1"/>
  <c r="H561" i="1"/>
  <c r="J561" i="1"/>
  <c r="K561" i="1"/>
  <c r="Q561" i="1"/>
  <c r="P561" i="1" s="1"/>
  <c r="B562" i="1"/>
  <c r="H562" i="1"/>
  <c r="J562" i="1"/>
  <c r="K562" i="1"/>
  <c r="Q562" i="1"/>
  <c r="P562" i="1" s="1"/>
  <c r="B563" i="1"/>
  <c r="H563" i="1"/>
  <c r="J563" i="1"/>
  <c r="K563" i="1"/>
  <c r="Q563" i="1"/>
  <c r="P563" i="1" s="1"/>
  <c r="B564" i="1"/>
  <c r="H564" i="1"/>
  <c r="J564" i="1"/>
  <c r="K564" i="1"/>
  <c r="Q564" i="1"/>
  <c r="P564" i="1" s="1"/>
  <c r="B565" i="1"/>
  <c r="H565" i="1"/>
  <c r="J565" i="1"/>
  <c r="K565" i="1"/>
  <c r="Q565" i="1"/>
  <c r="P565" i="1" s="1"/>
  <c r="B566" i="1"/>
  <c r="H566" i="1"/>
  <c r="J566" i="1"/>
  <c r="K566" i="1"/>
  <c r="Q566" i="1"/>
  <c r="P566" i="1" s="1"/>
  <c r="B567" i="1"/>
  <c r="H567" i="1"/>
  <c r="J567" i="1"/>
  <c r="K567" i="1"/>
  <c r="Q567" i="1"/>
  <c r="P567" i="1" s="1"/>
  <c r="B568" i="1"/>
  <c r="H568" i="1"/>
  <c r="J568" i="1"/>
  <c r="K568" i="1"/>
  <c r="Q568" i="1"/>
  <c r="P568" i="1" s="1"/>
  <c r="B569" i="1"/>
  <c r="H569" i="1"/>
  <c r="J569" i="1"/>
  <c r="K569" i="1"/>
  <c r="Q569" i="1"/>
  <c r="P569" i="1" s="1"/>
  <c r="B570" i="1"/>
  <c r="H570" i="1"/>
  <c r="J570" i="1"/>
  <c r="K570" i="1"/>
  <c r="Q570" i="1"/>
  <c r="P570" i="1" s="1"/>
  <c r="B571" i="1"/>
  <c r="H571" i="1"/>
  <c r="J571" i="1"/>
  <c r="K571" i="1"/>
  <c r="Q571" i="1"/>
  <c r="P571" i="1" s="1"/>
  <c r="B572" i="1"/>
  <c r="H572" i="1"/>
  <c r="J572" i="1"/>
  <c r="K572" i="1"/>
  <c r="Q572" i="1"/>
  <c r="P572" i="1" s="1"/>
  <c r="B573" i="1"/>
  <c r="H573" i="1"/>
  <c r="J573" i="1"/>
  <c r="K573" i="1"/>
  <c r="Q573" i="1"/>
  <c r="P573" i="1" s="1"/>
  <c r="B574" i="1"/>
  <c r="H574" i="1"/>
  <c r="J574" i="1"/>
  <c r="K574" i="1"/>
  <c r="Q574" i="1"/>
  <c r="P574" i="1" s="1"/>
  <c r="B575" i="1"/>
  <c r="H575" i="1"/>
  <c r="J575" i="1"/>
  <c r="K575" i="1"/>
  <c r="Q575" i="1"/>
  <c r="P575" i="1" s="1"/>
  <c r="B576" i="1"/>
  <c r="H576" i="1"/>
  <c r="J576" i="1"/>
  <c r="K576" i="1"/>
  <c r="Q576" i="1"/>
  <c r="P576" i="1" s="1"/>
  <c r="B577" i="1"/>
  <c r="H577" i="1"/>
  <c r="J577" i="1"/>
  <c r="K577" i="1"/>
  <c r="Q577" i="1"/>
  <c r="P577" i="1" s="1"/>
  <c r="B578" i="1"/>
  <c r="H578" i="1"/>
  <c r="J578" i="1"/>
  <c r="K578" i="1"/>
  <c r="Q578" i="1"/>
  <c r="P578" i="1" s="1"/>
  <c r="B579" i="1"/>
  <c r="H579" i="1"/>
  <c r="J579" i="1"/>
  <c r="K579" i="1"/>
  <c r="Q579" i="1"/>
  <c r="P579" i="1" s="1"/>
  <c r="B580" i="1"/>
  <c r="H580" i="1"/>
  <c r="J580" i="1"/>
  <c r="K580" i="1"/>
  <c r="Q580" i="1"/>
  <c r="P580" i="1" s="1"/>
  <c r="B581" i="1"/>
  <c r="H581" i="1"/>
  <c r="J581" i="1"/>
  <c r="K581" i="1"/>
  <c r="Q581" i="1"/>
  <c r="P581" i="1" s="1"/>
  <c r="B582" i="1"/>
  <c r="H582" i="1"/>
  <c r="J582" i="1"/>
  <c r="K582" i="1"/>
  <c r="Q582" i="1"/>
  <c r="P582" i="1" s="1"/>
  <c r="B583" i="1"/>
  <c r="H583" i="1"/>
  <c r="J583" i="1"/>
  <c r="K583" i="1"/>
  <c r="Q583" i="1"/>
  <c r="P583" i="1" s="1"/>
  <c r="B584" i="1"/>
  <c r="H584" i="1"/>
  <c r="J584" i="1"/>
  <c r="K584" i="1"/>
  <c r="Q584" i="1"/>
  <c r="P584" i="1" s="1"/>
  <c r="B585" i="1"/>
  <c r="H585" i="1"/>
  <c r="J585" i="1"/>
  <c r="K585" i="1"/>
  <c r="Q585" i="1"/>
  <c r="P585" i="1" s="1"/>
  <c r="B586" i="1"/>
  <c r="H586" i="1"/>
  <c r="J586" i="1"/>
  <c r="K586" i="1"/>
  <c r="Q586" i="1"/>
  <c r="P586" i="1" s="1"/>
  <c r="B587" i="1"/>
  <c r="H587" i="1"/>
  <c r="J587" i="1"/>
  <c r="K587" i="1"/>
  <c r="Q587" i="1"/>
  <c r="P587" i="1" s="1"/>
  <c r="B588" i="1"/>
  <c r="H588" i="1"/>
  <c r="J588" i="1"/>
  <c r="K588" i="1"/>
  <c r="Q588" i="1"/>
  <c r="P588" i="1" s="1"/>
  <c r="B589" i="1"/>
  <c r="H589" i="1"/>
  <c r="J589" i="1"/>
  <c r="K589" i="1"/>
  <c r="Q589" i="1"/>
  <c r="P589" i="1" s="1"/>
  <c r="B590" i="1"/>
  <c r="H590" i="1"/>
  <c r="J590" i="1"/>
  <c r="K590" i="1"/>
  <c r="Q590" i="1"/>
  <c r="P590" i="1" s="1"/>
  <c r="B591" i="1"/>
  <c r="H591" i="1"/>
  <c r="J591" i="1"/>
  <c r="K591" i="1"/>
  <c r="Q591" i="1"/>
  <c r="P591" i="1" s="1"/>
  <c r="B592" i="1"/>
  <c r="H592" i="1"/>
  <c r="J592" i="1"/>
  <c r="K592" i="1"/>
  <c r="Q592" i="1"/>
  <c r="P592" i="1" s="1"/>
  <c r="B593" i="1"/>
  <c r="H593" i="1"/>
  <c r="J593" i="1"/>
  <c r="K593" i="1"/>
  <c r="Q593" i="1"/>
  <c r="P593" i="1" s="1"/>
  <c r="B594" i="1"/>
  <c r="H594" i="1"/>
  <c r="J594" i="1"/>
  <c r="K594" i="1"/>
  <c r="Q594" i="1"/>
  <c r="P594" i="1" s="1"/>
  <c r="B595" i="1"/>
  <c r="H595" i="1"/>
  <c r="J595" i="1"/>
  <c r="K595" i="1"/>
  <c r="Q595" i="1"/>
  <c r="P595" i="1" s="1"/>
  <c r="B596" i="1"/>
  <c r="H596" i="1"/>
  <c r="J596" i="1"/>
  <c r="K596" i="1"/>
  <c r="Q596" i="1"/>
  <c r="P596" i="1" s="1"/>
  <c r="B597" i="1"/>
  <c r="H597" i="1"/>
  <c r="J597" i="1"/>
  <c r="K597" i="1"/>
  <c r="Q597" i="1"/>
  <c r="P597" i="1" s="1"/>
  <c r="B598" i="1"/>
  <c r="H598" i="1"/>
  <c r="J598" i="1"/>
  <c r="K598" i="1"/>
  <c r="Q598" i="1"/>
  <c r="P598" i="1" s="1"/>
  <c r="B599" i="1"/>
  <c r="H599" i="1"/>
  <c r="J599" i="1"/>
  <c r="K599" i="1"/>
  <c r="Q599" i="1"/>
  <c r="P599" i="1" s="1"/>
  <c r="B600" i="1"/>
  <c r="H600" i="1"/>
  <c r="J600" i="1"/>
  <c r="K600" i="1"/>
  <c r="Q600" i="1"/>
  <c r="P600" i="1" s="1"/>
  <c r="B601" i="1"/>
  <c r="H601" i="1"/>
  <c r="J601" i="1"/>
  <c r="K601" i="1"/>
  <c r="Q601" i="1"/>
  <c r="P601" i="1" s="1"/>
  <c r="B602" i="1"/>
  <c r="H602" i="1"/>
  <c r="J602" i="1"/>
  <c r="K602" i="1"/>
  <c r="Q602" i="1"/>
  <c r="P602" i="1" s="1"/>
  <c r="B603" i="1"/>
  <c r="H603" i="1"/>
  <c r="J603" i="1"/>
  <c r="K603" i="1"/>
  <c r="Q603" i="1"/>
  <c r="P603" i="1" s="1"/>
  <c r="B604" i="1"/>
  <c r="H604" i="1"/>
  <c r="J604" i="1"/>
  <c r="K604" i="1"/>
  <c r="Q604" i="1"/>
  <c r="P604" i="1" s="1"/>
  <c r="B605" i="1"/>
  <c r="H605" i="1"/>
  <c r="J605" i="1"/>
  <c r="K605" i="1"/>
  <c r="Q605" i="1"/>
  <c r="P605" i="1" s="1"/>
  <c r="B606" i="1"/>
  <c r="H606" i="1"/>
  <c r="J606" i="1"/>
  <c r="K606" i="1"/>
  <c r="Q606" i="1"/>
  <c r="P606" i="1" s="1"/>
  <c r="B607" i="1"/>
  <c r="H607" i="1"/>
  <c r="J607" i="1"/>
  <c r="K607" i="1"/>
  <c r="Q607" i="1"/>
  <c r="P607" i="1" s="1"/>
  <c r="B608" i="1"/>
  <c r="H608" i="1"/>
  <c r="J608" i="1"/>
  <c r="K608" i="1"/>
  <c r="Q608" i="1"/>
  <c r="P608" i="1" s="1"/>
  <c r="B609" i="1"/>
  <c r="H609" i="1"/>
  <c r="J609" i="1"/>
  <c r="K609" i="1"/>
  <c r="Q609" i="1"/>
  <c r="P609" i="1" s="1"/>
  <c r="B610" i="1"/>
  <c r="H610" i="1"/>
  <c r="J610" i="1"/>
  <c r="K610" i="1"/>
  <c r="Q610" i="1"/>
  <c r="P610" i="1" s="1"/>
  <c r="B611" i="1"/>
  <c r="H611" i="1"/>
  <c r="J611" i="1"/>
  <c r="K611" i="1"/>
  <c r="Q611" i="1"/>
  <c r="P611" i="1" s="1"/>
  <c r="B612" i="1"/>
  <c r="H612" i="1"/>
  <c r="J612" i="1"/>
  <c r="K612" i="1"/>
  <c r="Q612" i="1"/>
  <c r="P612" i="1" s="1"/>
  <c r="B613" i="1"/>
  <c r="H613" i="1"/>
  <c r="J613" i="1"/>
  <c r="K613" i="1"/>
  <c r="Q613" i="1"/>
  <c r="P613" i="1" s="1"/>
  <c r="B614" i="1"/>
  <c r="H614" i="1"/>
  <c r="J614" i="1"/>
  <c r="K614" i="1"/>
  <c r="Q614" i="1"/>
  <c r="P614" i="1" s="1"/>
  <c r="B615" i="1"/>
  <c r="H615" i="1"/>
  <c r="J615" i="1"/>
  <c r="K615" i="1"/>
  <c r="Q615" i="1"/>
  <c r="P615" i="1" s="1"/>
  <c r="B616" i="1"/>
  <c r="H616" i="1"/>
  <c r="J616" i="1"/>
  <c r="K616" i="1"/>
  <c r="Q616" i="1"/>
  <c r="P616" i="1" s="1"/>
  <c r="B617" i="1"/>
  <c r="H617" i="1"/>
  <c r="J617" i="1"/>
  <c r="K617" i="1"/>
  <c r="Q617" i="1"/>
  <c r="P617" i="1" s="1"/>
  <c r="B618" i="1"/>
  <c r="H618" i="1"/>
  <c r="J618" i="1"/>
  <c r="K618" i="1"/>
  <c r="Q618" i="1"/>
  <c r="P618" i="1" s="1"/>
  <c r="B619" i="1"/>
  <c r="H619" i="1"/>
  <c r="J619" i="1"/>
  <c r="K619" i="1"/>
  <c r="Q619" i="1"/>
  <c r="P619" i="1" s="1"/>
  <c r="B620" i="1"/>
  <c r="H620" i="1"/>
  <c r="J620" i="1"/>
  <c r="K620" i="1"/>
  <c r="Q620" i="1"/>
  <c r="P620" i="1" s="1"/>
  <c r="B621" i="1"/>
  <c r="H621" i="1"/>
  <c r="J621" i="1"/>
  <c r="K621" i="1"/>
  <c r="Q621" i="1"/>
  <c r="P621" i="1" s="1"/>
  <c r="B622" i="1"/>
  <c r="H622" i="1"/>
  <c r="J622" i="1"/>
  <c r="K622" i="1"/>
  <c r="Q622" i="1"/>
  <c r="P622" i="1" s="1"/>
  <c r="B513" i="1"/>
  <c r="H513" i="1"/>
  <c r="J513" i="1"/>
  <c r="K513" i="1"/>
  <c r="Q513" i="1"/>
  <c r="P513" i="1" s="1"/>
  <c r="B512" i="1"/>
  <c r="H512" i="1"/>
  <c r="J512" i="1"/>
  <c r="K512" i="1"/>
  <c r="Q512" i="1"/>
  <c r="P512" i="1" s="1"/>
  <c r="B511" i="1"/>
  <c r="H511" i="1"/>
  <c r="J511" i="1"/>
  <c r="K511" i="1"/>
  <c r="Q511" i="1"/>
  <c r="P511" i="1" s="1"/>
  <c r="B510" i="1"/>
  <c r="H510" i="1"/>
  <c r="J510" i="1"/>
  <c r="K510" i="1"/>
  <c r="Q510" i="1"/>
  <c r="P510" i="1" s="1"/>
  <c r="B509" i="1"/>
  <c r="H509" i="1"/>
  <c r="J509" i="1"/>
  <c r="K509" i="1"/>
  <c r="Q509" i="1"/>
  <c r="P509" i="1" s="1"/>
  <c r="H498" i="1"/>
  <c r="B498" i="1"/>
  <c r="J498" i="1"/>
  <c r="K498" i="1"/>
  <c r="Q498" i="1"/>
  <c r="P498" i="1" s="1"/>
  <c r="H2" i="1"/>
  <c r="J2" i="1"/>
  <c r="K2" i="1"/>
  <c r="Q2" i="1"/>
  <c r="P2" i="1" s="1"/>
  <c r="H3" i="1"/>
  <c r="J3" i="1"/>
  <c r="K3" i="1"/>
  <c r="Q3" i="1"/>
  <c r="P3" i="1" s="1"/>
  <c r="H4" i="1"/>
  <c r="J4" i="1"/>
  <c r="K4" i="1"/>
  <c r="Q4" i="1"/>
  <c r="P4" i="1" s="1"/>
  <c r="H5" i="1"/>
  <c r="J5" i="1"/>
  <c r="K5" i="1"/>
  <c r="Q5" i="1"/>
  <c r="P5" i="1" s="1"/>
  <c r="H6" i="1"/>
  <c r="J6" i="1"/>
  <c r="K6" i="1"/>
  <c r="Q6" i="1"/>
  <c r="P6" i="1" s="1"/>
  <c r="H7" i="1"/>
  <c r="J7" i="1"/>
  <c r="K7" i="1"/>
  <c r="Q7" i="1"/>
  <c r="P7" i="1" s="1"/>
  <c r="H8" i="1"/>
  <c r="J8" i="1"/>
  <c r="K8" i="1"/>
  <c r="Q8" i="1"/>
  <c r="P8" i="1" s="1"/>
  <c r="H9" i="1"/>
  <c r="J9" i="1"/>
  <c r="K9" i="1"/>
  <c r="Q9" i="1"/>
  <c r="P9" i="1" s="1"/>
  <c r="H10" i="1"/>
  <c r="J10" i="1"/>
  <c r="K10" i="1"/>
  <c r="Q10" i="1"/>
  <c r="P10" i="1" s="1"/>
  <c r="B496" i="1"/>
  <c r="B497" i="1"/>
  <c r="H496" i="1"/>
  <c r="H497" i="1"/>
  <c r="J496" i="1"/>
  <c r="J497" i="1"/>
  <c r="K496" i="1"/>
  <c r="K497" i="1"/>
  <c r="Q496" i="1"/>
  <c r="P496" i="1" s="1"/>
  <c r="Q497" i="1"/>
  <c r="P497" i="1" s="1"/>
  <c r="B495" i="1"/>
  <c r="H495" i="1"/>
  <c r="J495" i="1"/>
  <c r="K495" i="1"/>
  <c r="Q495" i="1"/>
  <c r="P495" i="1" s="1"/>
  <c r="B494" i="1"/>
  <c r="H494" i="1"/>
  <c r="J494" i="1"/>
  <c r="K494" i="1"/>
  <c r="Q494" i="1"/>
  <c r="P494" i="1" s="1"/>
  <c r="B493" i="1"/>
  <c r="H493" i="1"/>
  <c r="J493" i="1"/>
  <c r="K493" i="1"/>
  <c r="Q493" i="1"/>
  <c r="P493" i="1" s="1"/>
  <c r="B488" i="1"/>
  <c r="B489" i="1"/>
  <c r="B490" i="1"/>
  <c r="B491" i="1"/>
  <c r="B492" i="1"/>
  <c r="H488" i="1"/>
  <c r="H489" i="1"/>
  <c r="H490" i="1"/>
  <c r="H491" i="1"/>
  <c r="H492" i="1"/>
  <c r="J488" i="1"/>
  <c r="J489" i="1"/>
  <c r="J490" i="1"/>
  <c r="J491" i="1"/>
  <c r="J492" i="1"/>
  <c r="K488" i="1"/>
  <c r="K489" i="1"/>
  <c r="K490" i="1"/>
  <c r="K491" i="1"/>
  <c r="K492" i="1"/>
  <c r="Q488" i="1"/>
  <c r="P488" i="1" s="1"/>
  <c r="Q489" i="1"/>
  <c r="P489" i="1" s="1"/>
  <c r="Q490" i="1"/>
  <c r="P490" i="1" s="1"/>
  <c r="Q491" i="1"/>
  <c r="P491" i="1" s="1"/>
  <c r="Q492" i="1"/>
  <c r="P492" i="1" s="1"/>
  <c r="B431" i="1"/>
  <c r="B430" i="1"/>
  <c r="H430" i="1"/>
  <c r="H431" i="1"/>
  <c r="J430" i="1"/>
  <c r="J431" i="1"/>
  <c r="K430" i="1"/>
  <c r="K431" i="1"/>
  <c r="Q430" i="1"/>
  <c r="P430" i="1" s="1"/>
  <c r="Q431" i="1"/>
  <c r="P431" i="1" s="1"/>
  <c r="B429" i="1"/>
  <c r="H429" i="1"/>
  <c r="J429" i="1"/>
  <c r="K429" i="1"/>
  <c r="Q429" i="1"/>
  <c r="P429" i="1" s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Q485" i="1"/>
  <c r="P485" i="1" s="1"/>
  <c r="Q486" i="1"/>
  <c r="P486" i="1" s="1"/>
  <c r="Q487" i="1"/>
  <c r="P487" i="1" s="1"/>
  <c r="B432" i="1"/>
  <c r="H432" i="1"/>
  <c r="J432" i="1"/>
  <c r="K432" i="1"/>
  <c r="Q432" i="1"/>
  <c r="P432" i="1" s="1"/>
  <c r="B384" i="1"/>
  <c r="B385" i="1"/>
  <c r="B386" i="1"/>
  <c r="H384" i="1"/>
  <c r="H385" i="1"/>
  <c r="H386" i="1"/>
  <c r="J384" i="1"/>
  <c r="J385" i="1"/>
  <c r="J386" i="1"/>
  <c r="K384" i="1"/>
  <c r="K385" i="1"/>
  <c r="K386" i="1"/>
  <c r="Q384" i="1"/>
  <c r="P384" i="1" s="1"/>
  <c r="Q385" i="1"/>
  <c r="P385" i="1" s="1"/>
  <c r="Q386" i="1"/>
  <c r="P386" i="1" s="1"/>
  <c r="B383" i="1"/>
  <c r="H383" i="1"/>
  <c r="J383" i="1"/>
  <c r="K383" i="1"/>
  <c r="Q383" i="1"/>
  <c r="P383" i="1" s="1"/>
  <c r="B387" i="1"/>
  <c r="H387" i="1"/>
  <c r="J387" i="1"/>
  <c r="K387" i="1"/>
  <c r="Q387" i="1"/>
  <c r="P387" i="1" s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Q424" i="1"/>
  <c r="P424" i="1" s="1"/>
  <c r="Q425" i="1"/>
  <c r="P425" i="1" s="1"/>
  <c r="Q426" i="1"/>
  <c r="P426" i="1" s="1"/>
  <c r="Q427" i="1"/>
  <c r="P427" i="1" s="1"/>
  <c r="Q428" i="1"/>
  <c r="P428" i="1" s="1"/>
  <c r="B365" i="1"/>
  <c r="H365" i="1"/>
  <c r="J365" i="1"/>
  <c r="K365" i="1"/>
  <c r="Q365" i="1"/>
  <c r="P365" i="1" s="1"/>
  <c r="B367" i="1"/>
  <c r="B368" i="1"/>
  <c r="B369" i="1"/>
  <c r="B370" i="1"/>
  <c r="B371" i="1"/>
  <c r="B372" i="1"/>
  <c r="B373" i="1"/>
  <c r="B374" i="1"/>
  <c r="B375" i="1"/>
  <c r="B376" i="1"/>
  <c r="B378" i="1"/>
  <c r="B379" i="1"/>
  <c r="B380" i="1"/>
  <c r="B381" i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K367" i="1"/>
  <c r="K368" i="1"/>
  <c r="K369" i="1"/>
  <c r="K370" i="1"/>
  <c r="K371" i="1"/>
  <c r="K372" i="1"/>
  <c r="K373" i="1"/>
  <c r="K374" i="1"/>
  <c r="K375" i="1"/>
  <c r="K376" i="1"/>
  <c r="K378" i="1"/>
  <c r="K379" i="1"/>
  <c r="K380" i="1"/>
  <c r="K381" i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6" i="1"/>
  <c r="P376" i="1" s="1"/>
  <c r="Q378" i="1"/>
  <c r="P378" i="1" s="1"/>
  <c r="Q379" i="1"/>
  <c r="P379" i="1" s="1"/>
  <c r="Q380" i="1"/>
  <c r="P380" i="1" s="1"/>
  <c r="Q381" i="1"/>
  <c r="P381" i="1" s="1"/>
  <c r="B366" i="1"/>
  <c r="H366" i="1"/>
  <c r="J366" i="1"/>
  <c r="K366" i="1"/>
  <c r="Q366" i="1"/>
  <c r="P366" i="1" s="1"/>
  <c r="B342" i="1"/>
  <c r="B343" i="1"/>
  <c r="B344" i="1"/>
  <c r="B345" i="1"/>
  <c r="B346" i="1"/>
  <c r="H342" i="1"/>
  <c r="H343" i="1"/>
  <c r="H344" i="1"/>
  <c r="H345" i="1"/>
  <c r="H346" i="1"/>
  <c r="J342" i="1"/>
  <c r="J343" i="1"/>
  <c r="J344" i="1"/>
  <c r="J345" i="1"/>
  <c r="J346" i="1"/>
  <c r="K342" i="1"/>
  <c r="K343" i="1"/>
  <c r="K344" i="1"/>
  <c r="K345" i="1"/>
  <c r="K346" i="1"/>
  <c r="Q342" i="1"/>
  <c r="P342" i="1" s="1"/>
  <c r="Q343" i="1"/>
  <c r="P343" i="1" s="1"/>
  <c r="Q344" i="1"/>
  <c r="P344" i="1" s="1"/>
  <c r="Q345" i="1"/>
  <c r="P345" i="1" s="1"/>
  <c r="Q346" i="1"/>
  <c r="P346" i="1" s="1"/>
  <c r="B341" i="1"/>
  <c r="H341" i="1"/>
  <c r="J341" i="1"/>
  <c r="K341" i="1"/>
  <c r="Q341" i="1"/>
  <c r="P341" i="1" s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Q359" i="1"/>
  <c r="P359" i="1" s="1"/>
  <c r="B361" i="1"/>
  <c r="B362" i="1"/>
  <c r="B363" i="1"/>
  <c r="H361" i="1"/>
  <c r="H362" i="1"/>
  <c r="H363" i="1"/>
  <c r="J361" i="1"/>
  <c r="J362" i="1"/>
  <c r="J363" i="1"/>
  <c r="K361" i="1"/>
  <c r="K362" i="1"/>
  <c r="K363" i="1"/>
  <c r="Q361" i="1"/>
  <c r="P361" i="1" s="1"/>
  <c r="Q362" i="1"/>
  <c r="P362" i="1" s="1"/>
  <c r="Q363" i="1"/>
  <c r="P363" i="1" s="1"/>
  <c r="B360" i="1"/>
  <c r="H360" i="1"/>
  <c r="J360" i="1"/>
  <c r="K360" i="1"/>
  <c r="Q360" i="1"/>
  <c r="P360" i="1" s="1"/>
  <c r="B364" i="1"/>
  <c r="H364" i="1"/>
  <c r="J364" i="1"/>
  <c r="K364" i="1"/>
  <c r="Q364" i="1"/>
  <c r="P364" i="1" s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B315" i="1"/>
  <c r="H315" i="1"/>
  <c r="J315" i="1"/>
  <c r="K315" i="1"/>
  <c r="Q315" i="1"/>
  <c r="P315" i="1" s="1"/>
  <c r="B317" i="1"/>
  <c r="B318" i="1"/>
  <c r="B319" i="1"/>
  <c r="B320" i="1"/>
  <c r="B321" i="1"/>
  <c r="H317" i="1"/>
  <c r="H318" i="1"/>
  <c r="H319" i="1"/>
  <c r="H320" i="1"/>
  <c r="H321" i="1"/>
  <c r="J317" i="1"/>
  <c r="J318" i="1"/>
  <c r="J319" i="1"/>
  <c r="J320" i="1"/>
  <c r="J321" i="1"/>
  <c r="K317" i="1"/>
  <c r="K318" i="1"/>
  <c r="K319" i="1"/>
  <c r="K320" i="1"/>
  <c r="K321" i="1"/>
  <c r="Q317" i="1"/>
  <c r="P317" i="1" s="1"/>
  <c r="Q318" i="1"/>
  <c r="P318" i="1" s="1"/>
  <c r="Q319" i="1"/>
  <c r="P319" i="1" s="1"/>
  <c r="Q320" i="1"/>
  <c r="P320" i="1" s="1"/>
  <c r="Q321" i="1"/>
  <c r="P321" i="1" s="1"/>
  <c r="B316" i="1"/>
  <c r="H316" i="1"/>
  <c r="J316" i="1"/>
  <c r="K316" i="1"/>
  <c r="Q316" i="1"/>
  <c r="P316" i="1" s="1"/>
  <c r="B322" i="1"/>
  <c r="H322" i="1"/>
  <c r="J322" i="1"/>
  <c r="K322" i="1"/>
  <c r="Q322" i="1"/>
  <c r="P322" i="1" s="1"/>
  <c r="B314" i="1"/>
  <c r="H314" i="1"/>
  <c r="J314" i="1"/>
  <c r="K314" i="1"/>
  <c r="Q314" i="1"/>
  <c r="P314" i="1" s="1"/>
  <c r="B313" i="1"/>
  <c r="B312" i="1"/>
  <c r="B311" i="1"/>
  <c r="B310" i="1"/>
  <c r="B309" i="1"/>
  <c r="H309" i="1"/>
  <c r="H310" i="1"/>
  <c r="H311" i="1"/>
  <c r="H312" i="1"/>
  <c r="H313" i="1"/>
  <c r="J309" i="1"/>
  <c r="J310" i="1"/>
  <c r="J311" i="1"/>
  <c r="J312" i="1"/>
  <c r="J313" i="1"/>
  <c r="K309" i="1"/>
  <c r="K310" i="1"/>
  <c r="K311" i="1"/>
  <c r="K312" i="1"/>
  <c r="K313" i="1"/>
  <c r="Q309" i="1"/>
  <c r="P309" i="1" s="1"/>
  <c r="Q310" i="1"/>
  <c r="P310" i="1" s="1"/>
  <c r="Q311" i="1"/>
  <c r="P311" i="1" s="1"/>
  <c r="Q312" i="1"/>
  <c r="P312" i="1" s="1"/>
  <c r="Q313" i="1"/>
  <c r="P313" i="1" s="1"/>
  <c r="B308" i="1"/>
  <c r="H308" i="1"/>
  <c r="J308" i="1"/>
  <c r="K308" i="1"/>
  <c r="Q308" i="1"/>
  <c r="P308" i="1" s="1"/>
  <c r="B307" i="1"/>
  <c r="H307" i="1"/>
  <c r="J307" i="1"/>
  <c r="K307" i="1"/>
  <c r="Q307" i="1"/>
  <c r="P307" i="1" s="1"/>
  <c r="B297" i="1"/>
  <c r="B298" i="1"/>
  <c r="B299" i="1"/>
  <c r="B300" i="1"/>
  <c r="B301" i="1"/>
  <c r="B302" i="1"/>
  <c r="B303" i="1"/>
  <c r="B304" i="1"/>
  <c r="B305" i="1"/>
  <c r="B306" i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K297" i="1"/>
  <c r="K298" i="1"/>
  <c r="K299" i="1"/>
  <c r="K300" i="1"/>
  <c r="K301" i="1"/>
  <c r="K302" i="1"/>
  <c r="K303" i="1"/>
  <c r="K304" i="1"/>
  <c r="K305" i="1"/>
  <c r="K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B296" i="1"/>
  <c r="H296" i="1"/>
  <c r="J296" i="1"/>
  <c r="K296" i="1"/>
  <c r="Q296" i="1"/>
  <c r="P296" i="1" s="1"/>
  <c r="B287" i="1"/>
  <c r="B288" i="1"/>
  <c r="B289" i="1"/>
  <c r="B290" i="1"/>
  <c r="B291" i="1"/>
  <c r="B292" i="1"/>
  <c r="B293" i="1"/>
  <c r="B294" i="1"/>
  <c r="B295" i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K287" i="1"/>
  <c r="K288" i="1"/>
  <c r="K289" i="1"/>
  <c r="K290" i="1"/>
  <c r="K291" i="1"/>
  <c r="K292" i="1"/>
  <c r="K293" i="1"/>
  <c r="K294" i="1"/>
  <c r="K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B286" i="1"/>
  <c r="H286" i="1"/>
  <c r="J286" i="1"/>
  <c r="K286" i="1"/>
  <c r="Q286" i="1"/>
  <c r="P286" i="1" s="1"/>
  <c r="B282" i="1"/>
  <c r="B283" i="1"/>
  <c r="B284" i="1"/>
  <c r="B285" i="1"/>
  <c r="H282" i="1"/>
  <c r="H283" i="1"/>
  <c r="H284" i="1"/>
  <c r="H285" i="1"/>
  <c r="J282" i="1"/>
  <c r="J283" i="1"/>
  <c r="J284" i="1"/>
  <c r="J285" i="1"/>
  <c r="K282" i="1"/>
  <c r="K283" i="1"/>
  <c r="K284" i="1"/>
  <c r="K285" i="1"/>
  <c r="Q282" i="1"/>
  <c r="P282" i="1" s="1"/>
  <c r="Q283" i="1"/>
  <c r="P283" i="1" s="1"/>
  <c r="Q284" i="1"/>
  <c r="P284" i="1" s="1"/>
  <c r="Q285" i="1"/>
  <c r="P285" i="1" s="1"/>
  <c r="B267" i="1"/>
  <c r="B268" i="1"/>
  <c r="B269" i="1"/>
  <c r="H267" i="1"/>
  <c r="H268" i="1"/>
  <c r="H269" i="1"/>
  <c r="J267" i="1"/>
  <c r="J268" i="1"/>
  <c r="J269" i="1"/>
  <c r="K267" i="1"/>
  <c r="K268" i="1"/>
  <c r="K269" i="1"/>
  <c r="Q267" i="1"/>
  <c r="P267" i="1" s="1"/>
  <c r="Q268" i="1"/>
  <c r="P268" i="1" s="1"/>
  <c r="Q269" i="1"/>
  <c r="P269" i="1" s="1"/>
  <c r="B266" i="1"/>
  <c r="H266" i="1"/>
  <c r="J266" i="1"/>
  <c r="K266" i="1"/>
  <c r="Q266" i="1"/>
  <c r="P266" i="1" s="1"/>
  <c r="B271" i="1"/>
  <c r="B272" i="1"/>
  <c r="B273" i="1"/>
  <c r="B274" i="1"/>
  <c r="B275" i="1"/>
  <c r="B276" i="1"/>
  <c r="B277" i="1"/>
  <c r="B278" i="1"/>
  <c r="B279" i="1"/>
  <c r="B280" i="1"/>
  <c r="B281" i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K271" i="1"/>
  <c r="K272" i="1"/>
  <c r="K273" i="1"/>
  <c r="K274" i="1"/>
  <c r="K275" i="1"/>
  <c r="K276" i="1"/>
  <c r="K277" i="1"/>
  <c r="K278" i="1"/>
  <c r="K279" i="1"/>
  <c r="K280" i="1"/>
  <c r="K281" i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Q278" i="1"/>
  <c r="P278" i="1" s="1"/>
  <c r="Q279" i="1"/>
  <c r="P279" i="1" s="1"/>
  <c r="Q280" i="1"/>
  <c r="P280" i="1" s="1"/>
  <c r="Q281" i="1"/>
  <c r="P281" i="1" s="1"/>
  <c r="B270" i="1"/>
  <c r="H270" i="1"/>
  <c r="J270" i="1"/>
  <c r="K270" i="1"/>
  <c r="Q270" i="1"/>
  <c r="P270" i="1" s="1"/>
  <c r="B263" i="1"/>
  <c r="B264" i="1"/>
  <c r="B265" i="1"/>
  <c r="H263" i="1"/>
  <c r="H264" i="1"/>
  <c r="H265" i="1"/>
  <c r="J263" i="1"/>
  <c r="J264" i="1"/>
  <c r="J265" i="1"/>
  <c r="K263" i="1"/>
  <c r="K264" i="1"/>
  <c r="K265" i="1"/>
  <c r="Q263" i="1"/>
  <c r="P263" i="1" s="1"/>
  <c r="Q264" i="1"/>
  <c r="P264" i="1" s="1"/>
  <c r="Q265" i="1"/>
  <c r="P265" i="1" s="1"/>
  <c r="B256" i="1"/>
  <c r="B257" i="1"/>
  <c r="B258" i="1"/>
  <c r="B259" i="1"/>
  <c r="B260" i="1"/>
  <c r="B261" i="1"/>
  <c r="B262" i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K256" i="1"/>
  <c r="K257" i="1"/>
  <c r="K258" i="1"/>
  <c r="K259" i="1"/>
  <c r="K260" i="1"/>
  <c r="K261" i="1"/>
  <c r="K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B251" i="1"/>
  <c r="B252" i="1"/>
  <c r="B253" i="1"/>
  <c r="B254" i="1"/>
  <c r="B255" i="1"/>
  <c r="H251" i="1"/>
  <c r="H252" i="1"/>
  <c r="H253" i="1"/>
  <c r="H254" i="1"/>
  <c r="H255" i="1"/>
  <c r="J251" i="1"/>
  <c r="J252" i="1"/>
  <c r="J253" i="1"/>
  <c r="J254" i="1"/>
  <c r="J255" i="1"/>
  <c r="K251" i="1"/>
  <c r="K252" i="1"/>
  <c r="K253" i="1"/>
  <c r="K254" i="1"/>
  <c r="K255" i="1"/>
  <c r="Q251" i="1"/>
  <c r="P251" i="1" s="1"/>
  <c r="Q252" i="1"/>
  <c r="P252" i="1" s="1"/>
  <c r="Q253" i="1"/>
  <c r="P253" i="1" s="1"/>
  <c r="Q254" i="1"/>
  <c r="P254" i="1" s="1"/>
  <c r="Q255" i="1"/>
  <c r="P255" i="1" s="1"/>
  <c r="B250" i="1"/>
  <c r="H250" i="1"/>
  <c r="J250" i="1"/>
  <c r="K250" i="1"/>
  <c r="Q250" i="1"/>
  <c r="P250" i="1" s="1"/>
  <c r="B249" i="1"/>
  <c r="H249" i="1"/>
  <c r="J249" i="1"/>
  <c r="K249" i="1"/>
  <c r="Q249" i="1"/>
  <c r="P249" i="1" s="1"/>
  <c r="B245" i="1"/>
  <c r="B246" i="1"/>
  <c r="B247" i="1"/>
  <c r="B248" i="1"/>
  <c r="H245" i="1"/>
  <c r="H246" i="1"/>
  <c r="H247" i="1"/>
  <c r="H248" i="1"/>
  <c r="J245" i="1"/>
  <c r="J246" i="1"/>
  <c r="J247" i="1"/>
  <c r="J248" i="1"/>
  <c r="K245" i="1"/>
  <c r="K246" i="1"/>
  <c r="K247" i="1"/>
  <c r="K248" i="1"/>
  <c r="Q245" i="1"/>
  <c r="P245" i="1" s="1"/>
  <c r="Q246" i="1"/>
  <c r="P246" i="1" s="1"/>
  <c r="Q247" i="1"/>
  <c r="P247" i="1" s="1"/>
  <c r="Q248" i="1"/>
  <c r="P248" i="1" s="1"/>
  <c r="H244" i="1"/>
  <c r="B235" i="1"/>
  <c r="B236" i="1"/>
  <c r="B237" i="1"/>
  <c r="B238" i="1"/>
  <c r="B239" i="1"/>
  <c r="B240" i="1"/>
  <c r="B241" i="1"/>
  <c r="B242" i="1"/>
  <c r="B243" i="1"/>
  <c r="B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K235" i="1"/>
  <c r="K236" i="1"/>
  <c r="K237" i="1"/>
  <c r="K238" i="1"/>
  <c r="K239" i="1"/>
  <c r="K240" i="1"/>
  <c r="K241" i="1"/>
  <c r="K242" i="1"/>
  <c r="K243" i="1"/>
  <c r="K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B206" i="1"/>
  <c r="B207" i="1"/>
  <c r="H206" i="1"/>
  <c r="H207" i="1"/>
  <c r="J206" i="1"/>
  <c r="J207" i="1"/>
  <c r="K206" i="1"/>
  <c r="K207" i="1"/>
  <c r="Q206" i="1"/>
  <c r="P206" i="1" s="1"/>
  <c r="Q207" i="1"/>
  <c r="P207" i="1" s="1"/>
  <c r="B205" i="1"/>
  <c r="H205" i="1"/>
  <c r="J205" i="1"/>
  <c r="K205" i="1"/>
  <c r="Q205" i="1"/>
  <c r="P205" i="1" s="1"/>
  <c r="B204" i="1"/>
  <c r="H204" i="1"/>
  <c r="J204" i="1"/>
  <c r="K204" i="1"/>
  <c r="Q204" i="1"/>
  <c r="P204" i="1" s="1"/>
  <c r="B203" i="1"/>
  <c r="H203" i="1"/>
  <c r="J203" i="1"/>
  <c r="K203" i="1"/>
  <c r="Q203" i="1"/>
  <c r="P203" i="1" s="1"/>
  <c r="B190" i="1"/>
  <c r="H190" i="1"/>
  <c r="J190" i="1"/>
  <c r="K190" i="1"/>
  <c r="Q190" i="1"/>
  <c r="P190" i="1" s="1"/>
  <c r="B191" i="1"/>
  <c r="H191" i="1"/>
  <c r="J191" i="1"/>
  <c r="K191" i="1"/>
  <c r="Q191" i="1"/>
  <c r="P191" i="1" s="1"/>
  <c r="B192" i="1"/>
  <c r="B193" i="1"/>
  <c r="B194" i="1"/>
  <c r="B195" i="1"/>
  <c r="B196" i="1"/>
  <c r="H192" i="1"/>
  <c r="H193" i="1"/>
  <c r="H194" i="1"/>
  <c r="H195" i="1"/>
  <c r="H196" i="1"/>
  <c r="J192" i="1"/>
  <c r="J193" i="1"/>
  <c r="J194" i="1"/>
  <c r="J195" i="1"/>
  <c r="J196" i="1"/>
  <c r="K192" i="1"/>
  <c r="K193" i="1"/>
  <c r="K194" i="1"/>
  <c r="K195" i="1"/>
  <c r="K196" i="1"/>
  <c r="Q192" i="1"/>
  <c r="P192" i="1" s="1"/>
  <c r="Q193" i="1"/>
  <c r="P193" i="1" s="1"/>
  <c r="Q194" i="1"/>
  <c r="P194" i="1" s="1"/>
  <c r="Q195" i="1"/>
  <c r="P195" i="1" s="1"/>
  <c r="Q196" i="1"/>
  <c r="P196" i="1" s="1"/>
  <c r="B201" i="1"/>
  <c r="B202" i="1"/>
  <c r="H201" i="1"/>
  <c r="H202" i="1"/>
  <c r="J201" i="1"/>
  <c r="J202" i="1"/>
  <c r="K201" i="1"/>
  <c r="K202" i="1"/>
  <c r="Q201" i="1"/>
  <c r="P201" i="1" s="1"/>
  <c r="Q202" i="1"/>
  <c r="P202" i="1" s="1"/>
  <c r="B197" i="1"/>
  <c r="B198" i="1"/>
  <c r="B199" i="1"/>
  <c r="B200" i="1"/>
  <c r="H197" i="1"/>
  <c r="H198" i="1"/>
  <c r="H199" i="1"/>
  <c r="H200" i="1"/>
  <c r="J197" i="1"/>
  <c r="J198" i="1"/>
  <c r="J199" i="1"/>
  <c r="J200" i="1"/>
  <c r="K197" i="1"/>
  <c r="K198" i="1"/>
  <c r="K199" i="1"/>
  <c r="K200" i="1"/>
  <c r="Q197" i="1"/>
  <c r="P197" i="1" s="1"/>
  <c r="Q198" i="1"/>
  <c r="P198" i="1" s="1"/>
  <c r="Q199" i="1"/>
  <c r="P199" i="1" s="1"/>
  <c r="Q200" i="1"/>
  <c r="P200" i="1" s="1"/>
  <c r="B187" i="1"/>
  <c r="B188" i="1"/>
  <c r="B189" i="1"/>
  <c r="H187" i="1"/>
  <c r="H188" i="1"/>
  <c r="H189" i="1"/>
  <c r="J187" i="1"/>
  <c r="J188" i="1"/>
  <c r="J189" i="1"/>
  <c r="K187" i="1"/>
  <c r="K188" i="1"/>
  <c r="K189" i="1"/>
  <c r="Q187" i="1"/>
  <c r="P187" i="1" s="1"/>
  <c r="Q188" i="1"/>
  <c r="P188" i="1" s="1"/>
  <c r="Q189" i="1"/>
  <c r="P189" i="1" s="1"/>
  <c r="B164" i="1"/>
  <c r="H164" i="1"/>
  <c r="K164" i="1"/>
  <c r="Q164" i="1"/>
  <c r="P164" i="1" s="1"/>
  <c r="B165" i="1"/>
  <c r="B166" i="1"/>
  <c r="H165" i="1"/>
  <c r="H166" i="1"/>
  <c r="J165" i="1"/>
  <c r="J166" i="1"/>
  <c r="K165" i="1"/>
  <c r="K166" i="1"/>
  <c r="Q165" i="1"/>
  <c r="P165" i="1" s="1"/>
  <c r="Q166" i="1"/>
  <c r="P166" i="1" s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Q184" i="1"/>
  <c r="P184" i="1" s="1"/>
  <c r="Q185" i="1"/>
  <c r="P185" i="1" s="1"/>
  <c r="Q186" i="1"/>
  <c r="P186" i="1" s="1"/>
  <c r="J164" i="1"/>
  <c r="B163" i="1"/>
  <c r="H163" i="1"/>
  <c r="J163" i="1"/>
  <c r="K163" i="1"/>
  <c r="Q163" i="1"/>
  <c r="P163" i="1" s="1"/>
  <c r="B162" i="1"/>
  <c r="H162" i="1"/>
  <c r="J162" i="1"/>
  <c r="K162" i="1"/>
  <c r="Q162" i="1"/>
  <c r="P162" i="1" s="1"/>
  <c r="B160" i="1"/>
  <c r="B161" i="1"/>
  <c r="H160" i="1"/>
  <c r="H161" i="1"/>
  <c r="J160" i="1"/>
  <c r="J161" i="1"/>
  <c r="K160" i="1"/>
  <c r="K161" i="1"/>
  <c r="Q160" i="1"/>
  <c r="P160" i="1" s="1"/>
  <c r="Q161" i="1"/>
  <c r="P161" i="1" s="1"/>
  <c r="B159" i="1"/>
  <c r="H159" i="1"/>
  <c r="J159" i="1"/>
  <c r="K159" i="1"/>
  <c r="Q159" i="1"/>
  <c r="P159" i="1" s="1"/>
  <c r="B157" i="1"/>
  <c r="B158" i="1"/>
  <c r="H157" i="1"/>
  <c r="H158" i="1"/>
  <c r="J157" i="1"/>
  <c r="J158" i="1"/>
  <c r="K157" i="1"/>
  <c r="K158" i="1"/>
  <c r="Q157" i="1"/>
  <c r="P157" i="1" s="1"/>
  <c r="Q158" i="1"/>
  <c r="P158" i="1" s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B130" i="1"/>
  <c r="B131" i="1"/>
  <c r="H130" i="1"/>
  <c r="H131" i="1"/>
  <c r="J130" i="1"/>
  <c r="J131" i="1"/>
  <c r="K130" i="1"/>
  <c r="K131" i="1"/>
  <c r="Q130" i="1"/>
  <c r="P130" i="1" s="1"/>
  <c r="Q131" i="1"/>
  <c r="P131" i="1" s="1"/>
  <c r="Q129" i="1"/>
  <c r="P129" i="1" s="1"/>
  <c r="K129" i="1"/>
  <c r="Q128" i="1"/>
  <c r="P128" i="1" s="1"/>
  <c r="K128" i="1"/>
  <c r="Q127" i="1"/>
  <c r="P127" i="1" s="1"/>
  <c r="K127" i="1"/>
  <c r="Q126" i="1"/>
  <c r="P126" i="1" s="1"/>
  <c r="K126" i="1"/>
  <c r="Q125" i="1"/>
  <c r="P125" i="1" s="1"/>
  <c r="K125" i="1"/>
  <c r="Q124" i="1"/>
  <c r="P124" i="1" s="1"/>
  <c r="K124" i="1"/>
  <c r="Q123" i="1"/>
  <c r="P123" i="1" s="1"/>
  <c r="K123" i="1"/>
  <c r="Q122" i="1"/>
  <c r="P122" i="1" s="1"/>
  <c r="K122" i="1"/>
  <c r="Q121" i="1"/>
  <c r="P121" i="1" s="1"/>
  <c r="K121" i="1"/>
  <c r="Q120" i="1"/>
  <c r="P120" i="1" s="1"/>
  <c r="K120" i="1"/>
  <c r="Q119" i="1"/>
  <c r="P119" i="1" s="1"/>
  <c r="K119" i="1"/>
  <c r="Q118" i="1"/>
  <c r="P118" i="1" s="1"/>
  <c r="K118" i="1"/>
  <c r="Q117" i="1"/>
  <c r="P117" i="1" s="1"/>
  <c r="K117" i="1"/>
  <c r="Q116" i="1"/>
  <c r="P116" i="1" s="1"/>
  <c r="K116" i="1"/>
  <c r="Q115" i="1"/>
  <c r="P115" i="1" s="1"/>
  <c r="K115" i="1"/>
  <c r="Q114" i="1"/>
  <c r="P114" i="1" s="1"/>
  <c r="K114" i="1"/>
  <c r="Q113" i="1"/>
  <c r="P113" i="1" s="1"/>
  <c r="K113" i="1"/>
  <c r="Q112" i="1"/>
  <c r="P112" i="1" s="1"/>
  <c r="K112" i="1"/>
  <c r="Q111" i="1"/>
  <c r="P111" i="1" s="1"/>
  <c r="K111" i="1"/>
  <c r="Q110" i="1"/>
  <c r="P110" i="1" s="1"/>
  <c r="K110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K109" i="1"/>
  <c r="Q109" i="1"/>
  <c r="P109" i="1" s="1"/>
  <c r="B86" i="1"/>
  <c r="B87" i="1"/>
  <c r="B88" i="1"/>
  <c r="H86" i="1"/>
  <c r="H87" i="1"/>
  <c r="H88" i="1"/>
  <c r="J86" i="1"/>
  <c r="J87" i="1"/>
  <c r="J88" i="1"/>
  <c r="K86" i="1"/>
  <c r="K87" i="1"/>
  <c r="K88" i="1"/>
  <c r="Q86" i="1"/>
  <c r="P86" i="1" s="1"/>
  <c r="Q87" i="1"/>
  <c r="P87" i="1" s="1"/>
  <c r="Q88" i="1"/>
  <c r="P88" i="1" s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Q106" i="1"/>
  <c r="P106" i="1" s="1"/>
  <c r="Q107" i="1"/>
  <c r="P107" i="1" s="1"/>
  <c r="Q108" i="1"/>
  <c r="P108" i="1" s="1"/>
  <c r="B89" i="1"/>
  <c r="H89" i="1"/>
  <c r="J89" i="1"/>
  <c r="K89" i="1"/>
  <c r="Q89" i="1"/>
  <c r="P89" i="1" s="1"/>
  <c r="Q85" i="1"/>
  <c r="P85" i="1" s="1"/>
  <c r="K85" i="1"/>
  <c r="Q84" i="1"/>
  <c r="P84" i="1" s="1"/>
  <c r="K84" i="1"/>
  <c r="Q83" i="1"/>
  <c r="P83" i="1" s="1"/>
  <c r="K83" i="1"/>
  <c r="Q82" i="1"/>
  <c r="P82" i="1" s="1"/>
  <c r="K82" i="1"/>
  <c r="Q81" i="1"/>
  <c r="P81" i="1" s="1"/>
  <c r="K81" i="1"/>
  <c r="Q80" i="1"/>
  <c r="P80" i="1" s="1"/>
  <c r="K80" i="1"/>
  <c r="Q79" i="1"/>
  <c r="P79" i="1" s="1"/>
  <c r="K79" i="1"/>
  <c r="Q78" i="1"/>
  <c r="P78" i="1" s="1"/>
  <c r="K78" i="1"/>
  <c r="Q77" i="1"/>
  <c r="P77" i="1" s="1"/>
  <c r="K77" i="1"/>
  <c r="Q76" i="1"/>
  <c r="P76" i="1" s="1"/>
  <c r="K76" i="1"/>
  <c r="Q75" i="1"/>
  <c r="P75" i="1" s="1"/>
  <c r="K75" i="1"/>
  <c r="Q74" i="1"/>
  <c r="P74" i="1" s="1"/>
  <c r="K74" i="1"/>
  <c r="Q73" i="1"/>
  <c r="P73" i="1" s="1"/>
  <c r="K73" i="1"/>
  <c r="Q72" i="1"/>
  <c r="P72" i="1" s="1"/>
  <c r="K72" i="1"/>
  <c r="Q71" i="1"/>
  <c r="P71" i="1" s="1"/>
  <c r="K71" i="1"/>
  <c r="Q70" i="1"/>
  <c r="P70" i="1" s="1"/>
  <c r="K70" i="1"/>
  <c r="Q69" i="1"/>
  <c r="P69" i="1" s="1"/>
  <c r="K69" i="1"/>
  <c r="Q68" i="1"/>
  <c r="P68" i="1" s="1"/>
  <c r="K68" i="1"/>
  <c r="Q67" i="1"/>
  <c r="P67" i="1" s="1"/>
  <c r="K67" i="1"/>
  <c r="Q66" i="1"/>
  <c r="P66" i="1" s="1"/>
  <c r="K66" i="1"/>
  <c r="Q65" i="1"/>
  <c r="P65" i="1" s="1"/>
  <c r="K65" i="1"/>
  <c r="Q64" i="1"/>
  <c r="P64" i="1" s="1"/>
  <c r="K64" i="1"/>
  <c r="Q63" i="1"/>
  <c r="P63" i="1" s="1"/>
  <c r="K63" i="1"/>
  <c r="Q62" i="1"/>
  <c r="P62" i="1" s="1"/>
  <c r="K62" i="1"/>
  <c r="Q61" i="1"/>
  <c r="P61" i="1" s="1"/>
  <c r="K61" i="1"/>
  <c r="Q60" i="1"/>
  <c r="P60" i="1" s="1"/>
  <c r="K60" i="1"/>
  <c r="Q59" i="1"/>
  <c r="P59" i="1" s="1"/>
  <c r="K59" i="1"/>
  <c r="Q58" i="1"/>
  <c r="P58" i="1" s="1"/>
  <c r="K58" i="1"/>
  <c r="Q57" i="1"/>
  <c r="P57" i="1" s="1"/>
  <c r="K57" i="1"/>
  <c r="Q56" i="1"/>
  <c r="P56" i="1" s="1"/>
  <c r="K56" i="1"/>
  <c r="Q55" i="1"/>
  <c r="P55" i="1" s="1"/>
  <c r="K55" i="1"/>
  <c r="Q54" i="1"/>
  <c r="P54" i="1" s="1"/>
  <c r="K54" i="1"/>
  <c r="Q53" i="1"/>
  <c r="P53" i="1" s="1"/>
  <c r="K53" i="1"/>
  <c r="Q52" i="1"/>
  <c r="P52" i="1" s="1"/>
  <c r="K52" i="1"/>
  <c r="Q51" i="1"/>
  <c r="P51" i="1" s="1"/>
  <c r="K51" i="1"/>
  <c r="Q50" i="1"/>
  <c r="P50" i="1" s="1"/>
  <c r="K50" i="1"/>
  <c r="Q49" i="1"/>
  <c r="P49" i="1" s="1"/>
  <c r="K49" i="1"/>
  <c r="Q48" i="1"/>
  <c r="P48" i="1" s="1"/>
  <c r="K48" i="1"/>
  <c r="Q47" i="1"/>
  <c r="P47" i="1" s="1"/>
  <c r="K47" i="1"/>
  <c r="Q46" i="1"/>
  <c r="P46" i="1" s="1"/>
  <c r="K46" i="1"/>
  <c r="Q45" i="1"/>
  <c r="P45" i="1" s="1"/>
  <c r="K45" i="1"/>
  <c r="Q44" i="1"/>
  <c r="P44" i="1" s="1"/>
  <c r="K44" i="1"/>
  <c r="Q43" i="1"/>
  <c r="P43" i="1" s="1"/>
  <c r="K43" i="1"/>
  <c r="Q42" i="1"/>
  <c r="P42" i="1" s="1"/>
  <c r="K42" i="1"/>
  <c r="Q41" i="1"/>
  <c r="P41" i="1" s="1"/>
  <c r="K41" i="1"/>
  <c r="Q40" i="1"/>
  <c r="P40" i="1" s="1"/>
  <c r="K40" i="1"/>
  <c r="Q39" i="1"/>
  <c r="P39" i="1" s="1"/>
  <c r="K39" i="1"/>
  <c r="Q38" i="1"/>
  <c r="P38" i="1" s="1"/>
  <c r="K38" i="1"/>
  <c r="Q37" i="1"/>
  <c r="P37" i="1" s="1"/>
  <c r="K37" i="1"/>
  <c r="Q36" i="1"/>
  <c r="P36" i="1" s="1"/>
  <c r="K36" i="1"/>
  <c r="Q35" i="1"/>
  <c r="P35" i="1" s="1"/>
  <c r="K35" i="1"/>
  <c r="Q34" i="1"/>
  <c r="P34" i="1" s="1"/>
  <c r="K34" i="1"/>
  <c r="Q33" i="1"/>
  <c r="P33" i="1" s="1"/>
  <c r="K33" i="1"/>
  <c r="Q32" i="1"/>
  <c r="P32" i="1" s="1"/>
  <c r="K32" i="1"/>
  <c r="Q31" i="1"/>
  <c r="P31" i="1" s="1"/>
  <c r="K31" i="1"/>
  <c r="Q30" i="1"/>
  <c r="P30" i="1" s="1"/>
  <c r="K30" i="1"/>
  <c r="Q29" i="1"/>
  <c r="P29" i="1" s="1"/>
  <c r="K29" i="1"/>
  <c r="Q28" i="1"/>
  <c r="P28" i="1" s="1"/>
  <c r="K28" i="1"/>
  <c r="Q27" i="1"/>
  <c r="P27" i="1" s="1"/>
  <c r="K27" i="1"/>
  <c r="Q26" i="1"/>
  <c r="P26" i="1" s="1"/>
  <c r="K26" i="1"/>
  <c r="Q25" i="1"/>
  <c r="P25" i="1" s="1"/>
  <c r="K25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K24" i="1"/>
  <c r="Q24" i="1"/>
  <c r="P24" i="1" s="1"/>
  <c r="Q23" i="1"/>
  <c r="P23" i="1" s="1"/>
  <c r="K23" i="1"/>
  <c r="B23" i="1"/>
  <c r="H23" i="1"/>
  <c r="J23" i="1"/>
  <c r="K20" i="1"/>
  <c r="K19" i="1"/>
  <c r="K18" i="1"/>
  <c r="K17" i="1"/>
  <c r="B17" i="1"/>
  <c r="B18" i="1"/>
  <c r="B19" i="1"/>
  <c r="B20" i="1"/>
  <c r="H17" i="1"/>
  <c r="H18" i="1"/>
  <c r="H19" i="1"/>
  <c r="H20" i="1"/>
  <c r="J17" i="1"/>
  <c r="J18" i="1"/>
  <c r="J19" i="1"/>
  <c r="J20" i="1"/>
  <c r="Q17" i="1"/>
  <c r="P17" i="1" s="1"/>
  <c r="Q18" i="1"/>
  <c r="P18" i="1" s="1"/>
  <c r="Q19" i="1"/>
  <c r="P19" i="1" s="1"/>
  <c r="Q20" i="1"/>
  <c r="P20" i="1" s="1"/>
  <c r="B21" i="1"/>
  <c r="B22" i="1"/>
  <c r="H21" i="1"/>
  <c r="H22" i="1"/>
  <c r="J21" i="1"/>
  <c r="J22" i="1"/>
  <c r="K21" i="1"/>
  <c r="K22" i="1"/>
  <c r="Q21" i="1"/>
  <c r="P21" i="1" s="1"/>
  <c r="Q22" i="1"/>
  <c r="P22" i="1" s="1"/>
  <c r="B11" i="1"/>
  <c r="H11" i="1"/>
  <c r="J11" i="1"/>
  <c r="K11" i="1"/>
  <c r="Q11" i="1"/>
  <c r="P11" i="1" s="1"/>
  <c r="B12" i="1"/>
  <c r="B13" i="1"/>
  <c r="B14" i="1"/>
  <c r="B15" i="1"/>
  <c r="B16" i="1"/>
  <c r="H12" i="1"/>
  <c r="H13" i="1"/>
  <c r="H14" i="1"/>
  <c r="H15" i="1"/>
  <c r="H16" i="1"/>
  <c r="J12" i="1"/>
  <c r="J13" i="1"/>
  <c r="J14" i="1"/>
  <c r="J15" i="1"/>
  <c r="J16" i="1"/>
  <c r="K12" i="1"/>
  <c r="K13" i="1"/>
  <c r="K14" i="1"/>
  <c r="K15" i="1"/>
  <c r="K16" i="1"/>
  <c r="Q12" i="1"/>
  <c r="P12" i="1" s="1"/>
  <c r="Q13" i="1"/>
  <c r="P13" i="1" s="1"/>
  <c r="Q14" i="1"/>
  <c r="P14" i="1" s="1"/>
  <c r="Q15" i="1"/>
  <c r="P15" i="1" s="1"/>
  <c r="Q16" i="1"/>
  <c r="P16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C2" i="2"/>
  <c r="B9" i="1" s="1"/>
  <c r="B7" i="1"/>
  <c r="B8" i="1" l="1"/>
  <c r="B3" i="1"/>
  <c r="B2" i="1"/>
  <c r="B4" i="1"/>
  <c r="B5" i="1"/>
  <c r="B10" i="1"/>
  <c r="B6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<sst xmlns="http://schemas.openxmlformats.org/spreadsheetml/2006/main" count="22664" uniqueCount="4416">
  <si>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</si>
  <si>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</si>
  <si>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</si>
  <si>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</si>
  <si>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</si>
  <si>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</si>
  <si>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</si>
  <si>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</si>
  <si>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</si>
  <si>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</si>
  <si>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</si>
  <si>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</si>
  <si>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</si>
  <si>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</si>
  <si>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</si>
  <si>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</si>
  <si>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</si>
  <si>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</si>
  <si>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</si>
  <si>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</si>
  <si>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</si>
  <si>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</si>
  <si>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</si>
  <si>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</si>
  <si>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</si>
  <si>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</si>
  <si>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</si>
  <si>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</si>
  <si>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</si>
  <si>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</si>
  <si>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</si>
  <si>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</si>
  <si>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</si>
  <si>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</si>
  <si>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</si>
  <si>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</si>
  <si>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</si>
  <si>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</si>
  <si>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</si>
  <si>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</si>
  <si>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</si>
  <si>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</si>
  <si>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</si>
  <si>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</si>
  <si>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</si>
  <si>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</si>
  <si>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</si>
  <si>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</si>
  <si>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</si>
  <si>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</si>
  <si>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</si>
  <si>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</si>
  <si>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</si>
  <si>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</si>
  <si>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</si>
  <si>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</si>
  <si>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</si>
  <si>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</si>
  <si>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</si>
  <si>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</si>
  <si>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</si>
  <si>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</si>
  <si>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</si>
  <si>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</si>
  <si>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</si>
  <si>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</si>
  <si>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</si>
  <si>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</si>
  <si>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</si>
  <si>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</si>
  <si>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</si>
  <si>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</si>
  <si>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</si>
  <si>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</si>
  <si>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</si>
  <si>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</si>
  <si>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</si>
  <si>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</si>
  <si>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</si>
  <si>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</si>
  <si>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</si>
  <si>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</si>
  <si>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</si>
  <si>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</si>
  <si>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</si>
  <si>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</si>
  <si>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</si>
  <si>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</si>
  <si>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</si>
  <si>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</si>
  <si>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</si>
  <si>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</si>
  <si>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</si>
  <si>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</si>
  <si>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</si>
  <si>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</si>
  <si>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</si>
  <si>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</si>
  <si>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</si>
  <si>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</si>
  <si>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</si>
  <si>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</si>
  <si>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</si>
  <si>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</si>
  <si>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</si>
  <si>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</si>
  <si>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</si>
  <si>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</si>
  <si>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</si>
  <si>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</si>
  <si>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</si>
  <si>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</si>
  <si>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</si>
  <si>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</si>
  <si>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</si>
  <si>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</si>
  <si>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</si>
  <si>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</si>
  <si>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</si>
  <si>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</si>
  <si>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</si>
  <si>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</si>
  <si>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</si>
  <si>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</si>
  <si>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</si>
  <si>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</si>
  <si>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</si>
  <si>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</si>
  <si>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</si>
  <si>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</si>
  <si>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</si>
  <si>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</si>
  <si>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</si>
  <si>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</si>
  <si>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</si>
  <si>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</si>
  <si>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</si>
  <si>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</si>
  <si>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</si>
  <si>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</si>
  <si>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</si>
  <si>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</si>
  <si>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</si>
  <si>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</si>
  <si>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</si>
  <si>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</si>
  <si>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</si>
  <si>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</si>
  <si>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</si>
  <si>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</si>
  <si>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</si>
  <si>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</si>
  <si>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</si>
  <si>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</si>
  <si>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</si>
  <si>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</si>
  <si>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</si>
  <si>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</si>
  <si>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</si>
  <si>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</si>
  <si>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</si>
  <si>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</si>
  <si>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</si>
  <si>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</si>
  <si>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</si>
  <si>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</si>
  <si>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</si>
  <si>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</si>
  <si>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</si>
  <si>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</si>
  <si>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</si>
  <si>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</si>
  <si>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</si>
  <si>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</si>
  <si>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</si>
  <si>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</si>
  <si>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</si>
  <si>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</si>
  <si>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</si>
  <si>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</si>
  <si>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</si>
  <si>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</si>
  <si>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</si>
  <si>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</si>
  <si>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</si>
  <si>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</si>
  <si>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</si>
  <si>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</si>
  <si>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</si>
  <si>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</si>
  <si>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</si>
  <si>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</si>
  <si>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</si>
  <si>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</si>
  <si>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</si>
  <si>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</si>
  <si>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</si>
  <si>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</si>
  <si>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</si>
  <si>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</si>
  <si>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</si>
  <si>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</si>
  <si>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</si>
  <si>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</si>
  <si>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</si>
  <si>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</si>
  <si>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</si>
  <si>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</si>
  <si>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</si>
  <si>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</si>
  <si>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</si>
  <si>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</si>
  <si>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</si>
  <si>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</si>
  <si>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</si>
  <si>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</si>
  <si>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</si>
  <si>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</si>
  <si>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</si>
  <si>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</si>
  <si>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</si>
  <si>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</si>
  <si>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</si>
  <si>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</si>
  <si>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</si>
  <si>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</si>
  <si>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</si>
  <si>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</si>
  <si>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</si>
  <si>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</si>
  <si>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</si>
  <si>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</si>
  <si>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</si>
  <si>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</si>
  <si>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</si>
  <si>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</si>
  <si>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</si>
  <si>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</si>
  <si>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</si>
  <si>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</si>
  <si>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</si>
  <si>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</si>
  <si>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</si>
  <si>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</si>
  <si>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</si>
  <si>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</si>
  <si>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</si>
  <si>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</si>
  <si>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</si>
  <si>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</si>
  <si>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</si>
  <si>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</si>
  <si>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</si>
  <si>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</si>
  <si>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</si>
  <si>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</si>
  <si>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</si>
  <si>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</si>
  <si>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</si>
  <si>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</si>
  <si>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</si>
  <si>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</si>
  <si>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</si>
  <si>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</si>
  <si>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</si>
  <si>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</si>
  <si>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</si>
  <si>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</si>
  <si>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</si>
  <si>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</si>
  <si>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</si>
  <si>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</si>
  <si>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</si>
  <si>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</si>
  <si>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</si>
  <si>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</si>
  <si>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</si>
  <si>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</si>
  <si>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</si>
  <si>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</si>
  <si>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</si>
  <si>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</si>
  <si>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</si>
  <si>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</si>
  <si>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</si>
  <si>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</si>
  <si>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</si>
  <si>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</si>
  <si>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</si>
  <si>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</si>
  <si>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</si>
  <si>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</si>
  <si>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</si>
  <si>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</si>
  <si>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</si>
  <si>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</si>
  <si>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</si>
  <si>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</si>
  <si>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</si>
  <si>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</si>
  <si>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</si>
  <si>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</si>
  <si>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</si>
  <si>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</si>
  <si>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</si>
  <si>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</si>
  <si>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</si>
  <si>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</si>
  <si>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</si>
  <si>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</si>
  <si>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</si>
  <si>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</si>
  <si>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</si>
  <si>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</si>
  <si>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</si>
  <si>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</si>
  <si>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</si>
  <si>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</si>
  <si>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</si>
  <si>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</si>
  <si>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</si>
  <si>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</si>
  <si>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</si>
  <si>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</si>
  <si>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</si>
  <si>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</si>
  <si>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</si>
  <si>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</si>
  <si>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</si>
  <si>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</si>
  <si>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</si>
  <si>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</si>
  <si>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</si>
  <si>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</si>
  <si>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</si>
  <si>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</si>
  <si>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</si>
  <si>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</si>
  <si>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</si>
  <si>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</si>
  <si>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</si>
  <si>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</si>
  <si>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</si>
  <si>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</si>
  <si>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</si>
  <si>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</si>
  <si>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</si>
  <si>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</si>
  <si>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</si>
  <si>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</si>
  <si>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</si>
  <si>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</si>
  <si>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</si>
  <si>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</si>
  <si>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</si>
  <si>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</si>
  <si>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</si>
  <si>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</si>
  <si>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</si>
  <si>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</si>
  <si>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</si>
  <si>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</si>
  <si>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</si>
  <si>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</si>
  <si>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</si>
  <si>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</si>
  <si>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</si>
  <si>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</si>
  <si>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</si>
  <si>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</si>
  <si>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</si>
  <si>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</si>
  <si>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</si>
  <si>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</si>
  <si>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</si>
  <si>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</si>
  <si>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</si>
  <si>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</si>
  <si>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</si>
  <si>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</si>
  <si>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</si>
  <si>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</si>
  <si>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</si>
  <si>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</si>
  <si>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</si>
  <si>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</si>
  <si>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</si>
  <si>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</si>
  <si>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</si>
  <si>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</si>
  <si>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</si>
  <si>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</si>
  <si>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</si>
  <si>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</si>
  <si>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</si>
  <si>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</si>
  <si>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</si>
  <si>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</si>
  <si>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</si>
  <si>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</si>
  <si>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</si>
  <si>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</si>
  <si>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</si>
  <si>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</si>
  <si>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</si>
  <si>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</si>
  <si>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</si>
  <si>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</si>
  <si>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</si>
  <si>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</si>
  <si>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</si>
  <si>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</si>
  <si>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</si>
  <si>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</si>
  <si>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</si>
  <si>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</si>
  <si>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</si>
  <si>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</si>
  <si>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</si>
  <si>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</si>
  <si>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</si>
  <si>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</si>
  <si>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</si>
  <si>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</si>
  <si>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</si>
  <si>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</si>
  <si>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</si>
  <si>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</si>
  <si>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</si>
  <si>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</si>
  <si>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</si>
  <si>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</si>
  <si>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</si>
  <si>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</si>
  <si>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</si>
  <si>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</si>
  <si>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</si>
  <si>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</si>
  <si>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</si>
  <si>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</si>
  <si>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</si>
  <si>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</si>
  <si>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</si>
  <si>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</si>
  <si>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</si>
  <si>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</si>
  <si>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Trash</t>
  </si>
  <si>
    <t>L000011242</t>
  </si>
  <si>
    <t>Won-Ju Jeong</t>
  </si>
  <si>
    <t>Bernard Leclercq</t>
  </si>
  <si>
    <t>Edward Arevalo</t>
  </si>
  <si>
    <t>CLFF_1000$$$DE10501111</t>
  </si>
  <si>
    <t>Marcus Morowski</t>
  </si>
  <si>
    <t>CLFF_1000$$$DE10502408</t>
  </si>
  <si>
    <t>CLFF_1000$$$DE10517300</t>
  </si>
  <si>
    <t>CLFF_1000$$$DE10533107</t>
  </si>
  <si>
    <t>CLFF_1000$$$DE10533109</t>
  </si>
  <si>
    <t>CLFF_1000$$$DE10567105</t>
  </si>
  <si>
    <t>CLFF_1000$$$DE10568016</t>
  </si>
  <si>
    <t xml:space="preserve">CLFF_1000$$$DE10604910 </t>
  </si>
  <si>
    <t>CLFF_1000$$$DE10623200</t>
  </si>
  <si>
    <t>CLFF_1000$$$DE10840200</t>
  </si>
  <si>
    <t>CLFF_1000$$$DE20538280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</si>
  <si>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</si>
  <si>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</si>
  <si>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</si>
  <si>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</si>
  <si>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</si>
  <si>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</si>
  <si>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</si>
  <si>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</si>
  <si>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</si>
  <si>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</si>
  <si>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</si>
  <si>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</si>
  <si>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</si>
  <si>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</si>
  <si>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</si>
  <si>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</si>
  <si>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</si>
  <si>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</si>
  <si>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</si>
  <si>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</si>
  <si>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</si>
  <si>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</si>
  <si>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</si>
  <si>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CLFF_1000$$$DE10566400</t>
  </si>
  <si>
    <t>CLFF_1000$$$DE20625300</t>
  </si>
  <si>
    <t>Paul Kopp</t>
  </si>
  <si>
    <t>Ruby Grace Garcia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</si>
  <si>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</si>
  <si>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</si>
  <si>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</si>
  <si>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</si>
  <si>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</si>
  <si>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</si>
  <si>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</si>
  <si>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</si>
  <si>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</si>
  <si>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</si>
  <si>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</si>
  <si>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</si>
  <si>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</si>
  <si>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</si>
  <si>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</si>
  <si>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</si>
  <si>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</si>
  <si>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</si>
  <si>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</si>
  <si>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</si>
  <si>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</si>
  <si>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</si>
  <si>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</si>
  <si>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CLFF_1000$$$DE20533109</t>
  </si>
  <si>
    <t>CLFF_1000$$$DE20588102</t>
  </si>
  <si>
    <t>Jojeff Tagnong</t>
  </si>
  <si>
    <t>Birgit Kroeling-Neumann</t>
  </si>
  <si>
    <t>Frank Kubik</t>
  </si>
  <si>
    <t>Sybille Rogmans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</si>
  <si>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</si>
  <si>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</si>
  <si>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</si>
  <si>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</si>
  <si>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</si>
  <si>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</si>
  <si>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</si>
  <si>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</si>
  <si>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</si>
  <si>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</si>
  <si>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</si>
  <si>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</si>
  <si>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</si>
  <si>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</si>
  <si>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</si>
  <si>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</si>
  <si>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</si>
  <si>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</si>
  <si>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</si>
  <si>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</si>
  <si>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</si>
  <si>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</si>
  <si>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</si>
  <si>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</si>
  <si>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</si>
  <si>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</si>
  <si>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</si>
  <si>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</si>
  <si>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</si>
  <si>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</si>
  <si>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</si>
  <si>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</si>
  <si>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</si>
  <si>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</si>
  <si>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</si>
  <si>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</si>
  <si>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</si>
  <si>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</si>
  <si>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</si>
  <si>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</si>
  <si>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</si>
  <si>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</si>
  <si>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</si>
  <si>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</si>
  <si>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</si>
  <si>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</si>
  <si>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</si>
  <si>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</si>
  <si>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</si>
  <si>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</si>
  <si>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</si>
  <si>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</si>
  <si>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</si>
  <si>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</si>
  <si>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</si>
  <si>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</si>
  <si>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</si>
  <si>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</si>
  <si>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</si>
  <si>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</si>
  <si>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</si>
  <si>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</si>
  <si>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</si>
  <si>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</si>
  <si>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</si>
  <si>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</si>
  <si>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</si>
  <si>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</si>
  <si>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</si>
  <si>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</si>
  <si>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</si>
  <si>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</si>
  <si>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</si>
  <si>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</si>
  <si>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</si>
  <si>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</si>
  <si>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</si>
  <si>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</si>
  <si>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</si>
  <si>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</si>
  <si>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</si>
  <si>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</si>
  <si>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</si>
  <si>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</si>
  <si>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</si>
  <si>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</si>
  <si>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</si>
  <si>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</si>
  <si>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</si>
  <si>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</si>
  <si>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</si>
  <si>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</si>
  <si>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</si>
  <si>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</si>
  <si>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</si>
  <si>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</si>
  <si>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</si>
  <si>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</si>
  <si>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</si>
  <si>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</si>
  <si>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</si>
  <si>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</si>
  <si>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</si>
  <si>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</si>
  <si>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</si>
  <si>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</si>
  <si>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</si>
  <si>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</si>
  <si>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</si>
  <si>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</si>
  <si>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</si>
  <si>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</si>
  <si>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</si>
  <si>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</si>
  <si>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</si>
  <si>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</si>
  <si>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</si>
  <si>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</si>
  <si>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</si>
  <si>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</si>
  <si>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</si>
  <si>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</si>
  <si>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</si>
  <si>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</si>
  <si>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</si>
  <si>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</si>
  <si>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</si>
  <si>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</si>
  <si>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</si>
  <si>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</si>
  <si>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</si>
  <si>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</si>
  <si>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</si>
  <si>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</si>
  <si>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</si>
  <si>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</si>
  <si>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</si>
  <si>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</si>
  <si>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</si>
  <si>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</si>
  <si>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</si>
  <si>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</si>
  <si>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</si>
  <si>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</si>
  <si>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</si>
  <si>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</si>
  <si>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</si>
  <si>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</si>
  <si>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</si>
  <si>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</si>
  <si>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</si>
  <si>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</si>
  <si>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</si>
  <si>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</si>
  <si>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</si>
  <si>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</si>
  <si>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</si>
  <si>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</si>
  <si>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</si>
  <si>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</si>
  <si>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</si>
  <si>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</si>
  <si>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</si>
  <si>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</si>
  <si>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</si>
  <si>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</si>
  <si>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</si>
  <si>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</si>
  <si>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</si>
  <si>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</si>
  <si>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</si>
  <si>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</si>
  <si>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</si>
  <si>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</si>
  <si>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</si>
  <si>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</si>
  <si>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</si>
  <si>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</si>
  <si>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</si>
  <si>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</si>
  <si>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</si>
  <si>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</si>
  <si>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</si>
  <si>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</si>
  <si>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</si>
  <si>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</si>
  <si>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</si>
  <si>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</si>
  <si>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</si>
  <si>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</si>
  <si>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</si>
  <si>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</si>
  <si>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</si>
  <si>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</si>
  <si>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</si>
  <si>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</si>
  <si>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</si>
  <si>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</si>
  <si>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</si>
  <si>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</si>
  <si>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</si>
  <si>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</si>
  <si>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</si>
  <si>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</si>
  <si>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</si>
  <si>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</si>
  <si>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</si>
  <si>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</si>
  <si>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</si>
  <si>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</si>
  <si>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</si>
  <si>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</si>
  <si>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</si>
  <si>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</si>
  <si>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</si>
  <si>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</si>
  <si>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</si>
  <si>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</si>
  <si>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</si>
  <si>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</si>
  <si>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</si>
  <si>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</si>
  <si>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</si>
  <si>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</si>
  <si>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</si>
  <si>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</si>
  <si>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</si>
  <si>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</si>
  <si>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</si>
  <si>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</si>
  <si>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</si>
  <si>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</si>
  <si>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</si>
  <si>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</si>
  <si>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</si>
  <si>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</si>
  <si>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</si>
  <si>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</si>
  <si>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</si>
  <si>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</si>
  <si>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</si>
  <si>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</si>
  <si>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</si>
  <si>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</si>
  <si>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</si>
  <si>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</si>
  <si>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</si>
  <si>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</si>
  <si>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</si>
  <si>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</si>
  <si>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</si>
  <si>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</si>
  <si>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</si>
  <si>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</si>
  <si>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</si>
  <si>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</si>
  <si>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</si>
  <si>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</si>
  <si>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</si>
  <si>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</si>
  <si>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</si>
  <si>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</si>
  <si>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</si>
  <si>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</si>
  <si>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</si>
  <si>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</si>
  <si>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</si>
  <si>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</si>
  <si>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</si>
  <si>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</si>
  <si>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</si>
  <si>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</si>
  <si>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</si>
  <si>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</si>
  <si>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</si>
  <si>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</si>
  <si>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</si>
  <si>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</si>
  <si>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</si>
  <si>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</si>
  <si>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</si>
  <si>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</si>
  <si>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</si>
  <si>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</si>
  <si>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</si>
  <si>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</si>
  <si>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</si>
  <si>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</si>
  <si>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</si>
  <si>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</si>
  <si>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</si>
  <si>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</si>
  <si>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</si>
  <si>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</si>
  <si>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</si>
  <si>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</si>
  <si>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</si>
  <si>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</si>
  <si>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</si>
  <si>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</si>
  <si>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</si>
  <si>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</si>
  <si>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</si>
  <si>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</si>
  <si>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</si>
  <si>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</si>
  <si>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</si>
  <si>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</si>
  <si>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</si>
  <si>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</si>
  <si>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</si>
  <si>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</si>
  <si>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</si>
  <si>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</si>
  <si>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</si>
  <si>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</si>
  <si>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</si>
  <si>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</si>
  <si>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</si>
  <si>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</si>
  <si>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</si>
  <si>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</si>
  <si>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</si>
  <si>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</si>
  <si>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</si>
  <si>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</si>
  <si>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</si>
  <si>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</si>
  <si>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</si>
  <si>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</si>
  <si>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</si>
  <si>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</si>
  <si>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</si>
  <si>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</si>
  <si>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</si>
  <si>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</si>
  <si>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</si>
  <si>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</si>
  <si>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</si>
  <si>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</si>
  <si>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</si>
  <si>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</si>
  <si>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</si>
  <si>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</si>
  <si>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</si>
  <si>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</si>
  <si>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</si>
  <si>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</si>
  <si>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</si>
  <si>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</si>
  <si>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</si>
  <si>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</si>
  <si>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</si>
  <si>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</si>
  <si>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</si>
  <si>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</si>
  <si>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</si>
  <si>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</si>
  <si>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</si>
  <si>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</si>
  <si>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</si>
  <si>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</si>
  <si>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</si>
  <si>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</si>
  <si>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</si>
  <si>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</si>
  <si>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</si>
  <si>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</si>
  <si>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</si>
  <si>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</si>
  <si>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</si>
  <si>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</si>
  <si>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</si>
  <si>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</si>
  <si>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</si>
  <si>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</si>
  <si>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</si>
  <si>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</si>
  <si>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</si>
  <si>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</si>
  <si>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</si>
  <si>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</si>
  <si>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</si>
  <si>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</si>
  <si>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</si>
  <si>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</si>
  <si>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</si>
  <si>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</si>
  <si>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</si>
  <si>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</si>
  <si>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</si>
  <si>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</si>
  <si>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</si>
  <si>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</si>
  <si>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</si>
  <si>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</si>
  <si>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</si>
  <si>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</si>
  <si>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</si>
  <si>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</si>
  <si>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</si>
  <si>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</si>
  <si>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</si>
  <si>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</si>
  <si>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</si>
  <si>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</si>
  <si>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</si>
  <si>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</si>
  <si>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</si>
  <si>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</si>
  <si>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</si>
  <si>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</si>
  <si>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</si>
  <si>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</si>
  <si>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</si>
  <si>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</si>
  <si>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</si>
  <si>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</si>
  <si>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</si>
  <si>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</si>
  <si>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</si>
  <si>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</si>
  <si>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</si>
  <si>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</si>
  <si>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</si>
  <si>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</si>
  <si>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</si>
  <si>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</si>
  <si>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</si>
  <si>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</si>
  <si>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</si>
  <si>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</si>
  <si>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</si>
  <si>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</si>
  <si>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</si>
  <si>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</si>
  <si>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</si>
  <si>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</si>
  <si>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</si>
  <si>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</si>
  <si>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</si>
  <si>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</si>
  <si>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</si>
  <si>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</si>
  <si>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</si>
  <si>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</si>
  <si>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</si>
  <si>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</si>
  <si>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</si>
  <si>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</si>
  <si>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</si>
  <si>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</si>
  <si>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</si>
  <si>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</si>
  <si>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</si>
  <si>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</si>
  <si>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</si>
  <si>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</si>
  <si>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</si>
  <si>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</si>
  <si>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</si>
  <si>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</si>
  <si>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</si>
  <si>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</si>
  <si>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</si>
  <si>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</si>
  <si>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</si>
  <si>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</si>
  <si>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</si>
  <si>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</si>
  <si>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</si>
  <si>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</si>
  <si>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</si>
  <si>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</si>
  <si>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</si>
  <si>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</si>
  <si>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</si>
  <si>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</si>
  <si>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</si>
  <si>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</si>
  <si>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</si>
  <si>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</si>
  <si>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</si>
  <si>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</si>
  <si>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</si>
  <si>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</si>
  <si>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</si>
  <si>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</si>
  <si>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</si>
  <si>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</si>
  <si>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</si>
  <si>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</si>
  <si>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</si>
  <si>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</si>
  <si>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</si>
  <si>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</si>
  <si>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</si>
  <si>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</si>
  <si>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</si>
  <si>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</si>
  <si>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</si>
  <si>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</si>
  <si>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</si>
  <si>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</si>
  <si>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</si>
  <si>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</si>
  <si>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</si>
  <si>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</si>
  <si>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</si>
  <si>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</si>
  <si>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</si>
  <si>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</si>
  <si>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</si>
  <si>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</si>
  <si>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</si>
  <si>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</si>
  <si>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</si>
  <si>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</si>
  <si>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</si>
  <si>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</si>
  <si>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</si>
  <si>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</si>
  <si>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</si>
  <si>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</si>
  <si>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</si>
  <si>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</si>
  <si>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</si>
  <si>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</si>
  <si>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</si>
  <si>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</si>
  <si>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</si>
  <si>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</si>
  <si>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</si>
  <si>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</si>
  <si>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FR6630393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</si>
  <si>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</si>
  <si>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</si>
  <si>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</si>
  <si>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</si>
  <si>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</si>
  <si>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</si>
  <si>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</si>
  <si>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</si>
  <si>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</si>
  <si>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</si>
  <si>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</si>
  <si>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</si>
  <si>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</si>
  <si>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</si>
  <si>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</si>
  <si>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</si>
  <si>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</si>
  <si>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</si>
  <si>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</si>
  <si>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</si>
  <si>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</si>
  <si>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</si>
  <si>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</si>
  <si>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</si>
  <si>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</si>
  <si>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</si>
  <si>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</si>
  <si>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</si>
  <si>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</si>
  <si>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</si>
  <si>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</si>
  <si>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</si>
  <si>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</si>
  <si>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</si>
  <si>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FR6690795</t>
  </si>
  <si>
    <t>FR6691720</t>
  </si>
  <si>
    <t>L000007771</t>
  </si>
  <si>
    <t>FR6693670</t>
  </si>
  <si>
    <t>FR6694770</t>
  </si>
  <si>
    <t>FR6695256</t>
  </si>
  <si>
    <t>FR6695513</t>
  </si>
  <si>
    <t>FR6697237</t>
  </si>
  <si>
    <t>FR6698769</t>
  </si>
  <si>
    <t>FR6703333</t>
  </si>
  <si>
    <t>FR6704501</t>
  </si>
  <si>
    <t>FR6708425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</si>
  <si>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</si>
  <si>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</si>
  <si>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</si>
  <si>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</si>
  <si>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</si>
  <si>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</si>
  <si>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</si>
  <si>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</si>
  <si>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</si>
  <si>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</si>
  <si>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</si>
  <si>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</si>
  <si>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</si>
  <si>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</si>
  <si>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</si>
  <si>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</si>
  <si>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</si>
  <si>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</si>
  <si>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</si>
  <si>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</si>
  <si>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</si>
  <si>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</si>
  <si>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</si>
  <si>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</si>
  <si>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</si>
  <si>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</si>
  <si>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</si>
  <si>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</si>
  <si>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</si>
  <si>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</si>
  <si>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</si>
  <si>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</si>
  <si>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</si>
  <si>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</si>
  <si>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</si>
  <si>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</si>
  <si>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</si>
  <si>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</si>
  <si>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</si>
  <si>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</si>
  <si>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</si>
  <si>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</si>
  <si>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</si>
  <si>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</si>
  <si>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</si>
  <si>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</si>
  <si>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</si>
  <si>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</si>
  <si>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</si>
  <si>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</si>
  <si>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</si>
  <si>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</si>
  <si>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</si>
  <si>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</si>
  <si>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</si>
  <si>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</si>
  <si>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</si>
  <si>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</si>
  <si>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</si>
  <si>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</si>
  <si>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</si>
  <si>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</si>
  <si>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</si>
  <si>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</si>
  <si>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</si>
  <si>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</si>
  <si>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</si>
  <si>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</si>
  <si>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</si>
  <si>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</si>
  <si>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</si>
  <si>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</si>
  <si>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</si>
  <si>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</si>
  <si>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</si>
  <si>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</si>
  <si>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</si>
  <si>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</si>
  <si>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</si>
  <si>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</si>
  <si>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</si>
  <si>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</si>
  <si>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FR6807080</t>
  </si>
  <si>
    <t>FR6808895</t>
  </si>
  <si>
    <t>FR6810200</t>
  </si>
  <si>
    <t>FR6815694</t>
  </si>
  <si>
    <t>FR6814212</t>
  </si>
  <si>
    <t>FR6820003</t>
  </si>
  <si>
    <t>FR6821258</t>
  </si>
  <si>
    <t>FR6821748</t>
  </si>
  <si>
    <t>FR6822543</t>
  </si>
  <si>
    <t>FR6828826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</si>
  <si>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</si>
  <si>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</si>
  <si>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</si>
  <si>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</si>
  <si>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</si>
  <si>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</si>
  <si>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</si>
  <si>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</si>
  <si>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</si>
  <si>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</si>
  <si>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</si>
  <si>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</si>
  <si>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</si>
  <si>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</si>
  <si>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</si>
  <si>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</si>
  <si>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</si>
  <si>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</si>
  <si>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</si>
  <si>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</si>
  <si>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</si>
  <si>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</si>
  <si>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</si>
  <si>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</si>
  <si>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</si>
  <si>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</si>
  <si>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</si>
  <si>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</si>
  <si>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</si>
  <si>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</si>
  <si>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</si>
  <si>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</si>
  <si>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</si>
  <si>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</si>
  <si>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</si>
  <si>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</si>
  <si>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</si>
  <si>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</si>
  <si>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</si>
  <si>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</si>
  <si>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</si>
  <si>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</si>
  <si>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</si>
  <si>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</si>
  <si>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</si>
  <si>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</si>
  <si>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FR6877297</t>
  </si>
  <si>
    <t>FR6879708</t>
  </si>
  <si>
    <t>FR6879586</t>
  </si>
  <si>
    <t>FR6880746</t>
  </si>
  <si>
    <t>FR6881096</t>
  </si>
  <si>
    <t>FR6882174</t>
  </si>
  <si>
    <t>FR6882615</t>
  </si>
  <si>
    <t>FR6883935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</si>
  <si>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</si>
  <si>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</si>
  <si>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</si>
  <si>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</si>
  <si>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</si>
  <si>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</si>
  <si>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</si>
  <si>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</si>
  <si>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</si>
  <si>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</si>
  <si>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</si>
  <si>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</si>
  <si>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</si>
  <si>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</si>
  <si>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</si>
  <si>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</si>
  <si>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</si>
  <si>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</si>
  <si>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</si>
  <si>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</si>
  <si>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</si>
  <si>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</si>
  <si>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</si>
  <si>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</si>
  <si>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</si>
  <si>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</si>
  <si>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</si>
  <si>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</si>
  <si>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</si>
  <si>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</si>
  <si>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</si>
  <si>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</si>
  <si>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</si>
  <si>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</si>
  <si>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</si>
  <si>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</si>
  <si>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</si>
  <si>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</si>
  <si>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</si>
  <si>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</si>
  <si>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</si>
  <si>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</si>
  <si>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</si>
  <si>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</si>
  <si>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</si>
  <si>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</si>
  <si>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</si>
  <si>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</si>
  <si>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</si>
  <si>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</si>
  <si>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</si>
  <si>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</si>
  <si>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</si>
  <si>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</si>
  <si>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</si>
  <si>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</si>
  <si>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</si>
  <si>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</si>
  <si>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</si>
  <si>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</si>
  <si>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</si>
  <si>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</si>
  <si>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</si>
  <si>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</si>
  <si>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</si>
  <si>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</si>
  <si>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</si>
  <si>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</si>
  <si>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</si>
  <si>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</si>
  <si>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</si>
  <si>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</si>
  <si>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</si>
  <si>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</si>
  <si>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</si>
  <si>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</si>
  <si>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</si>
  <si>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</si>
  <si>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</si>
  <si>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</si>
  <si>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</si>
  <si>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</si>
  <si>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</si>
  <si>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</si>
  <si>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</si>
  <si>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</si>
  <si>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</si>
  <si>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</si>
  <si>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</si>
  <si>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</si>
  <si>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</si>
  <si>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</si>
  <si>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</si>
  <si>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</si>
  <si>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</si>
  <si>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</si>
  <si>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</si>
  <si>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</si>
  <si>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</si>
  <si>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</si>
  <si>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</si>
  <si>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</si>
  <si>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</si>
  <si>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</si>
  <si>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</si>
  <si>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</si>
  <si>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</si>
  <si>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</si>
  <si>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</si>
  <si>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</si>
  <si>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</si>
  <si>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</si>
  <si>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</si>
  <si>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</si>
  <si>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</si>
  <si>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</si>
  <si>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</si>
  <si>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</si>
  <si>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</si>
  <si>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</si>
  <si>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</si>
  <si>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</si>
  <si>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</si>
  <si>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</si>
  <si>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</si>
  <si>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</si>
  <si>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</si>
  <si>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</si>
  <si>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</si>
  <si>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</si>
  <si>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</si>
  <si>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</si>
  <si>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</si>
  <si>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</si>
  <si>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</si>
  <si>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</si>
  <si>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</si>
  <si>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</si>
  <si>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</si>
  <si>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</si>
  <si>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</si>
  <si>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</si>
  <si>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</si>
  <si>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</si>
  <si>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</si>
  <si>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</si>
  <si>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</si>
  <si>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</si>
  <si>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</si>
  <si>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</si>
  <si>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</si>
  <si>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</si>
  <si>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</si>
  <si>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</si>
  <si>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</si>
  <si>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</si>
  <si>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</si>
  <si>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</si>
  <si>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</si>
  <si>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</si>
  <si>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</si>
  <si>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</si>
  <si>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</si>
  <si>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</si>
  <si>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</si>
  <si>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</si>
  <si>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</si>
  <si>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</si>
  <si>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</si>
  <si>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</si>
  <si>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</si>
  <si>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</si>
  <si>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</si>
  <si>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</si>
  <si>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</si>
  <si>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</si>
  <si>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</si>
  <si>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</si>
  <si>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</si>
  <si>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</si>
  <si>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</si>
  <si>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</si>
  <si>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</si>
  <si>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</si>
  <si>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</si>
  <si>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</si>
  <si>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</si>
  <si>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</si>
  <si>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</si>
  <si>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</si>
  <si>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</si>
  <si>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</si>
  <si>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</si>
  <si>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</si>
  <si>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</si>
  <si>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</si>
  <si>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</si>
  <si>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</si>
  <si>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</si>
  <si>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</si>
  <si>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</si>
  <si>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</si>
  <si>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</si>
  <si>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</si>
  <si>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</si>
  <si>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</si>
  <si>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</si>
  <si>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</si>
  <si>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</si>
  <si>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</si>
  <si>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</si>
  <si>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</si>
  <si>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</si>
  <si>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</si>
  <si>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</si>
  <si>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</si>
  <si>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</si>
  <si>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</si>
  <si>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</si>
  <si>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</si>
  <si>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</si>
  <si>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</si>
  <si>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</si>
  <si>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</si>
  <si>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</si>
  <si>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</si>
  <si>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</si>
  <si>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</si>
  <si>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</si>
  <si>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</si>
  <si>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</si>
  <si>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</si>
  <si>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</si>
  <si>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</si>
  <si>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</si>
  <si>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</si>
  <si>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</si>
  <si>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</si>
  <si>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</si>
  <si>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</si>
  <si>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</si>
  <si>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</si>
  <si>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</si>
  <si>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</si>
  <si>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</si>
  <si>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</si>
  <si>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</si>
  <si>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</si>
  <si>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</si>
  <si>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</si>
  <si>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</si>
  <si>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</si>
  <si>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</si>
  <si>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</si>
  <si>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</si>
  <si>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</si>
  <si>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</si>
  <si>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</si>
  <si>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</si>
  <si>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</si>
  <si>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</si>
  <si>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</si>
  <si>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</si>
  <si>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</si>
  <si>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</si>
  <si>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</si>
  <si>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</si>
  <si>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</si>
  <si>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</si>
  <si>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</si>
  <si>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</si>
  <si>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</si>
  <si>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</si>
  <si>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</si>
  <si>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</si>
  <si>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</si>
  <si>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</si>
  <si>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</si>
  <si>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</si>
  <si>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</si>
  <si>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</si>
  <si>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</si>
  <si>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</si>
  <si>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</si>
  <si>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</si>
  <si>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</si>
  <si>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</si>
  <si>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</si>
  <si>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</si>
  <si>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</si>
  <si>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</si>
  <si>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</si>
  <si>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</si>
  <si>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</si>
  <si>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</si>
  <si>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</si>
  <si>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</si>
  <si>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</si>
  <si>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</si>
  <si>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</si>
  <si>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</si>
  <si>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</si>
  <si>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</si>
  <si>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</si>
  <si>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</si>
  <si>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</si>
  <si>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</si>
  <si>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</si>
  <si>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</si>
  <si>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</si>
  <si>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</si>
  <si>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</si>
  <si>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</si>
  <si>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</si>
  <si>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</si>
  <si>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</si>
  <si>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</si>
  <si>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FR7000977</t>
  </si>
  <si>
    <t>CLFF_VMCA$$$GB10C00701 PM-IOQ QA Semicon Materials GB</t>
  </si>
  <si>
    <t>FR7006542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</si>
  <si>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</si>
  <si>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</si>
  <si>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</si>
  <si>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</si>
  <si>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</si>
  <si>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</si>
  <si>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</si>
  <si>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</si>
  <si>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</si>
  <si>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</si>
  <si>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</si>
  <si>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</si>
  <si>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</si>
  <si>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</si>
  <si>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</si>
  <si>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</si>
  <si>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</si>
  <si>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</si>
  <si>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</si>
  <si>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</si>
  <si>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</si>
  <si>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</si>
  <si>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</si>
  <si>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</si>
  <si>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</si>
  <si>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</si>
  <si>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</si>
  <si>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</si>
  <si>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</si>
  <si>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</si>
  <si>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</si>
  <si>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</si>
  <si>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</si>
  <si>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</si>
  <si>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</si>
  <si>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</si>
  <si>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</si>
  <si>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</si>
  <si>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</si>
  <si>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</si>
  <si>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</si>
  <si>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</si>
  <si>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</si>
  <si>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</si>
  <si>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</si>
  <si>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CSCALA_1786$704_114</t>
  </si>
  <si>
    <t>CSCALA_1786$704_116</t>
  </si>
  <si>
    <t>CSCALA_1786$0000000704 3110250000 Internal sales service expenses/BF-Y1; Adjustment</t>
  </si>
  <si>
    <t>FR7022004</t>
  </si>
  <si>
    <t>FR7022142</t>
  </si>
  <si>
    <t>CTEMPLA_1000UY10010031 Customer Service</t>
  </si>
  <si>
    <t>H000000598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</si>
  <si>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</si>
  <si>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</si>
  <si>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</si>
  <si>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</si>
  <si>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</si>
  <si>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</si>
  <si>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</si>
  <si>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</si>
  <si>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</si>
  <si>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</si>
  <si>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</si>
  <si>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</si>
  <si>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</si>
  <si>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</si>
  <si>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</si>
  <si>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</si>
  <si>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</si>
  <si>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</si>
  <si>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</si>
  <si>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</si>
  <si>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</si>
  <si>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</si>
  <si>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</si>
  <si>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</si>
  <si>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</si>
  <si>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</si>
  <si>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</si>
  <si>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</si>
  <si>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</si>
  <si>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</si>
  <si>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</si>
  <si>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</si>
  <si>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</si>
  <si>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</si>
  <si>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</si>
  <si>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</si>
  <si>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</si>
  <si>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</si>
  <si>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</si>
  <si>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</si>
  <si>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</si>
  <si>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</si>
  <si>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</si>
  <si>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</si>
  <si>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</si>
  <si>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</si>
  <si>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CLFF_1000$$$DE50TODA13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</si>
  <si>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</si>
  <si>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</si>
  <si>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</si>
  <si>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</si>
  <si>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</si>
  <si>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</si>
  <si>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</si>
  <si>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</si>
  <si>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</si>
  <si>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</si>
  <si>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</si>
  <si>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</si>
  <si>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</si>
  <si>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</si>
  <si>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</si>
  <si>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</si>
  <si>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</si>
  <si>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</si>
  <si>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</si>
  <si>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</si>
  <si>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</si>
  <si>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</si>
  <si>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</si>
  <si>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</si>
  <si>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</si>
  <si>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</si>
  <si>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</si>
  <si>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</si>
  <si>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</si>
  <si>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</si>
  <si>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</si>
  <si>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</si>
  <si>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</si>
  <si>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</si>
  <si>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</si>
  <si>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</si>
  <si>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</si>
  <si>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</si>
  <si>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</si>
  <si>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</si>
  <si>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</si>
  <si>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</si>
  <si>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</si>
  <si>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</si>
  <si>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</si>
  <si>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</si>
  <si>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</si>
  <si>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</si>
  <si>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</si>
  <si>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</si>
  <si>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</si>
  <si>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</si>
  <si>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</si>
  <si>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</si>
  <si>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</si>
  <si>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</si>
  <si>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</si>
  <si>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</si>
  <si>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</si>
  <si>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</si>
  <si>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</si>
  <si>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</si>
  <si>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</si>
  <si>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</si>
  <si>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</si>
  <si>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</si>
  <si>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</si>
  <si>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</si>
  <si>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</si>
  <si>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</si>
  <si>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</si>
  <si>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</si>
  <si>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</si>
  <si>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</si>
  <si>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</si>
  <si>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</si>
  <si>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</si>
  <si>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</si>
  <si>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</si>
  <si>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FR7051681</t>
  </si>
  <si>
    <t>CSCALA_1820$A064 Field Force in New Zealand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</si>
  <si>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</si>
  <si>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</si>
  <si>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</si>
  <si>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</si>
  <si>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</si>
  <si>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</si>
  <si>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</si>
  <si>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</si>
  <si>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</si>
  <si>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</si>
  <si>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</si>
  <si>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</si>
  <si>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</si>
  <si>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</si>
  <si>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</si>
  <si>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</si>
  <si>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</si>
  <si>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</si>
  <si>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</si>
  <si>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</si>
  <si>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</si>
  <si>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</si>
  <si>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</si>
  <si>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</si>
  <si>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</si>
  <si>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</si>
  <si>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</si>
  <si>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</si>
  <si>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</si>
  <si>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</si>
  <si>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</si>
  <si>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</si>
  <si>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</si>
  <si>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</si>
  <si>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</si>
  <si>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</si>
  <si>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</si>
  <si>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</si>
  <si>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</si>
  <si>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</si>
  <si>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</si>
  <si>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</si>
  <si>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</si>
  <si>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</si>
  <si>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</si>
  <si>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</si>
  <si>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</si>
  <si>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</si>
  <si>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</si>
  <si>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</si>
  <si>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</si>
  <si>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</si>
  <si>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</si>
  <si>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</si>
  <si>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</si>
  <si>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</si>
  <si>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</si>
  <si>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</si>
  <si>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</si>
  <si>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</si>
  <si>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</si>
  <si>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</si>
  <si>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</si>
  <si>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</si>
  <si>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</si>
  <si>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</si>
  <si>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</si>
  <si>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</si>
  <si>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</si>
  <si>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</si>
  <si>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</si>
  <si>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</si>
  <si>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FR7061005</t>
  </si>
  <si>
    <t>FR7064092</t>
  </si>
  <si>
    <t>CLFF_1000$$$DE10G69660</t>
  </si>
  <si>
    <t>CLFF_1000$$$DE20506400</t>
  </si>
  <si>
    <t>FR7067731</t>
  </si>
  <si>
    <t>G000000353</t>
  </si>
  <si>
    <t>FR7070747</t>
  </si>
  <si>
    <t>Already mapped but not yet replicated in TM1.</t>
  </si>
  <si>
    <t>FR7076100</t>
  </si>
  <si>
    <t>CLFF_1000$$$DE10GIT04K</t>
  </si>
  <si>
    <t>G000000893</t>
  </si>
  <si>
    <t>CLFF_7210$$$2034C00019 Hub Organoids</t>
  </si>
  <si>
    <t>L000007871</t>
  </si>
  <si>
    <t>FR7079666</t>
  </si>
  <si>
    <t>FR7081100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</si>
  <si>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</si>
  <si>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</si>
  <si>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</si>
  <si>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</si>
  <si>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</si>
  <si>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</si>
  <si>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FR7083726</t>
  </si>
  <si>
    <t>CITR_1000$$$1721IT041</t>
  </si>
  <si>
    <t>FR7084082</t>
  </si>
  <si>
    <t>G000000244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</si>
  <si>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</si>
  <si>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</si>
  <si>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</si>
  <si>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</si>
  <si>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</si>
  <si>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</si>
  <si>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</si>
  <si>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</si>
  <si>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</si>
  <si>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</si>
  <si>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</si>
  <si>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</si>
  <si>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</si>
  <si>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</si>
  <si>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</si>
  <si>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</si>
  <si>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</si>
  <si>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</si>
  <si>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</si>
  <si>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</si>
  <si>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</si>
  <si>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</si>
  <si>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</si>
  <si>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</si>
  <si>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</si>
  <si>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</si>
  <si>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</si>
  <si>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</si>
  <si>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</si>
  <si>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</si>
  <si>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</si>
  <si>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</si>
  <si>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</si>
  <si>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</si>
  <si>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</si>
  <si>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</si>
  <si>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</si>
  <si>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</si>
  <si>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</si>
  <si>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</si>
  <si>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</si>
  <si>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</si>
  <si>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</si>
  <si>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</si>
  <si>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</si>
  <si>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</si>
  <si>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</si>
  <si>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</si>
  <si>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</si>
  <si>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</si>
  <si>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</si>
  <si>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</si>
  <si>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</si>
  <si>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</si>
  <si>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</si>
  <si>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</si>
  <si>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</si>
  <si>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</si>
  <si>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</si>
  <si>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</si>
  <si>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</si>
  <si>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</si>
  <si>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</si>
  <si>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</si>
  <si>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</si>
  <si>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</si>
  <si>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</si>
  <si>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</si>
  <si>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</si>
  <si>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</si>
  <si>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</si>
  <si>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</si>
  <si>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</si>
  <si>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</si>
  <si>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</si>
  <si>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</si>
  <si>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</si>
  <si>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</si>
  <si>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</si>
  <si>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</si>
  <si>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</si>
  <si>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</si>
  <si>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</si>
  <si>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</si>
  <si>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</si>
  <si>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</si>
  <si>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</si>
  <si>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</si>
  <si>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</si>
  <si>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</si>
  <si>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</si>
  <si>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</si>
  <si>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</si>
  <si>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</si>
  <si>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</si>
  <si>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</si>
  <si>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</si>
  <si>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</si>
  <si>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</si>
  <si>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</si>
  <si>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</si>
  <si>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</si>
  <si>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</si>
  <si>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</si>
  <si>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</si>
  <si>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</si>
  <si>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</si>
  <si>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</si>
  <si>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</si>
  <si>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</si>
  <si>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</si>
  <si>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</si>
  <si>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</si>
  <si>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</si>
  <si>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</si>
  <si>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</si>
  <si>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</si>
  <si>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</si>
  <si>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</si>
  <si>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</si>
  <si>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</si>
  <si>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</si>
  <si>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</si>
  <si>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</si>
  <si>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</si>
  <si>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</si>
  <si>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</si>
  <si>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</si>
  <si>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</si>
  <si>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</si>
  <si>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</si>
  <si>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L000013558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</si>
  <si>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</si>
  <si>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</si>
  <si>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</si>
  <si>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</si>
  <si>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</si>
  <si>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</si>
  <si>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</si>
  <si>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</si>
  <si>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</si>
  <si>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</si>
  <si>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</si>
  <si>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</si>
  <si>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</si>
  <si>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</si>
  <si>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</si>
  <si>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</si>
  <si>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</si>
  <si>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</si>
  <si>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</si>
  <si>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</si>
  <si>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</si>
  <si>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</si>
  <si>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</si>
  <si>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</si>
  <si>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</si>
  <si>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</si>
  <si>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</si>
  <si>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</si>
  <si>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</si>
  <si>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</si>
  <si>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</si>
  <si>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</si>
  <si>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</si>
  <si>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</si>
  <si>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</si>
  <si>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</si>
  <si>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</si>
  <si>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</si>
  <si>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</si>
  <si>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</si>
  <si>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</si>
  <si>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</si>
  <si>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</si>
  <si>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</si>
  <si>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</si>
  <si>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</si>
  <si>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CTEMPLA_1000UY10100019</t>
  </si>
  <si>
    <t>CTEMPLA_1000UY10100028</t>
  </si>
  <si>
    <t>G000000758</t>
  </si>
  <si>
    <t>G000000200</t>
  </si>
  <si>
    <t>FR7088907</t>
  </si>
  <si>
    <t>FR7091332</t>
  </si>
  <si>
    <t xml:space="preserve">CLFF_1000$$$DE20538341 </t>
  </si>
  <si>
    <t xml:space="preserve">CLFF_1000$$$DE10538341 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</si>
  <si>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</si>
  <si>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</si>
  <si>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</si>
  <si>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</si>
  <si>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</si>
  <si>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</si>
  <si>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</si>
  <si>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</si>
  <si>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</si>
  <si>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</si>
  <si>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</si>
  <si>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</si>
  <si>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</si>
  <si>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</si>
  <si>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</si>
  <si>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</si>
  <si>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</si>
  <si>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</si>
  <si>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</si>
  <si>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</si>
  <si>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</si>
  <si>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</si>
  <si>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</si>
  <si>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</si>
  <si>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</si>
  <si>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</si>
  <si>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</si>
  <si>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</si>
  <si>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</si>
  <si>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</si>
  <si>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</si>
  <si>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</si>
  <si>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</si>
  <si>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</si>
  <si>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</si>
  <si>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</si>
  <si>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</si>
  <si>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</si>
  <si>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</si>
  <si>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</si>
  <si>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</si>
  <si>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</si>
  <si>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</si>
  <si>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</si>
  <si>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</si>
  <si>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</si>
  <si>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</si>
  <si>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</si>
  <si>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</si>
  <si>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</si>
  <si>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</si>
  <si>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</si>
  <si>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</si>
  <si>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</si>
  <si>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</si>
  <si>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</si>
  <si>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</si>
  <si>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</si>
  <si>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</si>
  <si>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</si>
  <si>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</si>
  <si>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</si>
  <si>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</si>
  <si>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</si>
  <si>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</si>
  <si>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</si>
  <si>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No actions needed from us.</t>
  </si>
  <si>
    <t>FR7108808</t>
  </si>
  <si>
    <t>CLFF_1000$$$CN50C01602 CMCSS R1</t>
  </si>
  <si>
    <t>H000001344</t>
  </si>
  <si>
    <t>CLFF_1000$$$CN90L50000 Local EHS</t>
  </si>
  <si>
    <t>H000001596</t>
  </si>
  <si>
    <t>CLFF_1000$$$CN90L80001 Internal Audit</t>
  </si>
  <si>
    <t>PLEAN_X310001CN5013611 SIT COM C&amp;E Pimi Blue paper</t>
  </si>
  <si>
    <t>H000001595</t>
  </si>
  <si>
    <t>PLEAN_X310101CN5013351 ERB COM C&amp;E Market access for Sales team</t>
  </si>
  <si>
    <t>H000001419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</si>
  <si>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</si>
  <si>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</si>
  <si>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</si>
  <si>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</si>
  <si>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</si>
  <si>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</si>
  <si>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</si>
  <si>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</si>
  <si>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</si>
  <si>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</si>
  <si>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</si>
  <si>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</si>
  <si>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PLEAN_X310201CN5010271 FD COM PROM Fewer and Complete campaign</t>
  </si>
  <si>
    <t>H000001491</t>
  </si>
  <si>
    <t>PLEAN_X310201CN5011201 FD COM ADV Gonal-f 30 years</t>
  </si>
  <si>
    <t>H000001487</t>
  </si>
  <si>
    <t>PLEAN_X310201CN5013372 FD COM C&amp;E Better Campaign</t>
  </si>
  <si>
    <t>H000001489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</si>
  <si>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</si>
  <si>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</si>
  <si>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</si>
  <si>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</si>
  <si>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</si>
  <si>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</si>
  <si>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</si>
  <si>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</si>
  <si>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</si>
  <si>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</si>
  <si>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</si>
  <si>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</si>
  <si>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</si>
  <si>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</si>
  <si>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</si>
  <si>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</si>
  <si>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PLEAN_X310202CN5020340 FD MED MED EDU 科研系列交流会</t>
  </si>
  <si>
    <t>PLEAN_X310202CN5023641 FD MED MED OTH RA Gonal-f 150&amp;300&amp;450IU</t>
  </si>
  <si>
    <t>H000001521</t>
  </si>
  <si>
    <t>PLEAN_X310303CN5020256 DIA R&amp;D MED EDU in depth interview</t>
  </si>
  <si>
    <t>H000001505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</si>
  <si>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</si>
  <si>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</si>
  <si>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</si>
  <si>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</si>
  <si>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</si>
  <si>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PLEAN_X310323CN5020257 CAR R&amp;D MED EDU CV digital  MSL program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</si>
  <si>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</si>
  <si>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</si>
  <si>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</si>
  <si>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</si>
  <si>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</si>
  <si>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PLEAN_X310333CN5020821 THY R&amp;D MED EDU TD 3rd party meetings</t>
  </si>
  <si>
    <t>PLEAN_X310333CN5020822 THY R&amp;D MED EDU TD funding</t>
  </si>
  <si>
    <t>PLEAN_X310941CN5015308 TEP COM PROM OTH ONC TT NRDL</t>
  </si>
  <si>
    <t>H000004119</t>
  </si>
  <si>
    <t>CSCALA_1042$BISS_S00</t>
  </si>
  <si>
    <t>H000000423</t>
  </si>
  <si>
    <t>CSCALA_1042$BISS_S30</t>
  </si>
  <si>
    <t>CSCALA_1042$MSMS_C96</t>
  </si>
  <si>
    <t>CSCALA_1042$MSMS_D11</t>
  </si>
  <si>
    <t>CSCALA_1042$MSMS_F98</t>
  </si>
  <si>
    <t>CSCALA_1042$MSMS_W09</t>
  </si>
  <si>
    <t>CSCALA_1042$MSPM_E98</t>
  </si>
  <si>
    <t>CSCALA_1042$MSPM_I56</t>
  </si>
  <si>
    <t>CSCALA_1042$MSPM_T96</t>
  </si>
  <si>
    <t>CSCALA_1042$ONPM_O33</t>
  </si>
  <si>
    <t>CSCALA_1042$ONPM_W59</t>
  </si>
  <si>
    <t>CSCALA_1042$ONPM_W62</t>
  </si>
  <si>
    <t>IEMERAL_000009101231 7001IC1814SI3110250000</t>
  </si>
  <si>
    <t>H000000434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</si>
  <si>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</si>
  <si>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</si>
  <si>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</si>
  <si>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</si>
  <si>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</si>
  <si>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</si>
  <si>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</si>
  <si>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</si>
  <si>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</si>
  <si>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</si>
  <si>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</si>
  <si>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</si>
  <si>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</si>
  <si>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</si>
  <si>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</si>
  <si>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</si>
  <si>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</si>
  <si>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</si>
  <si>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</si>
  <si>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</si>
  <si>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</si>
  <si>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</si>
  <si>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</si>
  <si>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</si>
  <si>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</si>
  <si>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</si>
  <si>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</si>
  <si>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</si>
  <si>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</si>
  <si>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</si>
  <si>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</si>
  <si>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</si>
  <si>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CPHOENX_01010000639309 SAP Next ERP Implementation</t>
  </si>
  <si>
    <t>L000013805</t>
  </si>
  <si>
    <t>FR7113391</t>
  </si>
  <si>
    <t>FR7113612</t>
  </si>
  <si>
    <t>CLFF_VMCA$$$KR07C06030 Global Quality- SP&amp;C Korea</t>
  </si>
  <si>
    <t>P000000904</t>
  </si>
  <si>
    <t xml:space="preserve">D30010800000000 </t>
  </si>
  <si>
    <t>CEMERAL_64010010991319</t>
  </si>
  <si>
    <t>CEMERAL_64010010991310</t>
  </si>
  <si>
    <t>FR7119096</t>
  </si>
  <si>
    <t>FR7118997</t>
  </si>
  <si>
    <t>CLFF_1000$$$KR02TPAZ06 Customer Fulfillment Excellence Asia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</si>
  <si>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</si>
  <si>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</si>
  <si>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</si>
  <si>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</si>
  <si>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</si>
  <si>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</si>
  <si>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</si>
  <si>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</si>
  <si>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</si>
  <si>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</si>
  <si>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</si>
  <si>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</si>
  <si>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</si>
  <si>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</si>
  <si>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</si>
  <si>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</si>
  <si>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</si>
  <si>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</si>
  <si>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</si>
  <si>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</si>
  <si>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</si>
  <si>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</si>
  <si>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</si>
  <si>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</si>
  <si>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</si>
  <si>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</si>
  <si>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PLEAN_X310201AE5010405 SP PROM MAT-PS-FERT</t>
  </si>
  <si>
    <t>H000000299</t>
  </si>
  <si>
    <t>PLEAN_X310201CH6802049 ESHRE global F04 costs ISS</t>
  </si>
  <si>
    <t>H000000453</t>
  </si>
  <si>
    <t>PLEAN_X310201SA5015301 FER COM-OTHER PROM-SA-GAP</t>
  </si>
  <si>
    <t>H000000303</t>
  </si>
  <si>
    <t>PLEAN_X310201SA5030301 FER COM-OTHER M&amp;S-SA</t>
  </si>
  <si>
    <t>PLEAN_X310301SA5011301 DIA COM-ADVERTISING-SA</t>
  </si>
  <si>
    <t>PLEAN_X310301SA5015303 DIA COM-OTHER PROM-SA</t>
  </si>
  <si>
    <t>PLEAN_X310401AE5013407 SP CONG/EVENTS-SY-ENDO</t>
  </si>
  <si>
    <t>H000000312</t>
  </si>
  <si>
    <t>PLEAN_X310403AE5043402 R&amp;D REGISTRTAION-IQ-ENDO</t>
  </si>
  <si>
    <t>H000000274</t>
  </si>
  <si>
    <t>PLEAN_X310511CH6802043 ECTRIMS Global Costs ISS F04</t>
  </si>
  <si>
    <t>PLEAN_X310511SA5030302 MAV COM-OTHER M&amp;S-SA-REGISTRATION</t>
  </si>
  <si>
    <t>PLEAN_X310942SA5020301 TEP MED-MED EDUCATION-SA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</si>
  <si>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</si>
  <si>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</si>
  <si>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</si>
  <si>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</si>
  <si>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</si>
  <si>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</si>
  <si>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</si>
  <si>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CSCALA_1025$ARAM Electricity</t>
  </si>
  <si>
    <t>H000003642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</si>
  <si>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</si>
  <si>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</si>
  <si>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</si>
  <si>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</si>
  <si>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</si>
  <si>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</si>
  <si>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CSCALA_1025$5111_E81</t>
  </si>
  <si>
    <t>CFLTFLE_2276HRIF_EIC Healthcare CM Croatia Income</t>
  </si>
  <si>
    <t>H000003637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</si>
  <si>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</si>
  <si>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</si>
  <si>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</si>
  <si>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</si>
  <si>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</si>
  <si>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</si>
  <si>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</si>
  <si>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</si>
  <si>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</si>
  <si>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</si>
  <si>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</si>
  <si>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</si>
  <si>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</si>
  <si>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</si>
  <si>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</si>
  <si>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</si>
  <si>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</si>
  <si>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</si>
  <si>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</si>
  <si>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</si>
  <si>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</si>
  <si>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</si>
  <si>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</si>
  <si>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</si>
  <si>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</si>
  <si>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</si>
  <si>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</si>
  <si>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</si>
  <si>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</si>
  <si>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</si>
  <si>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</si>
  <si>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</si>
  <si>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</si>
  <si>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</si>
  <si>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</si>
  <si>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</si>
  <si>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</si>
  <si>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</si>
  <si>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</si>
  <si>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</si>
  <si>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</si>
  <si>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</si>
  <si>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</si>
  <si>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</si>
  <si>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</si>
  <si>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</si>
  <si>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</si>
  <si>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</si>
  <si>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</si>
  <si>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</si>
  <si>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</si>
  <si>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</si>
  <si>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</si>
  <si>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</si>
  <si>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</si>
  <si>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</si>
  <si>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</si>
  <si>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</si>
  <si>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</si>
  <si>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</si>
  <si>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</si>
  <si>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</si>
  <si>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</si>
  <si>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</si>
  <si>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</si>
  <si>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</si>
  <si>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</si>
  <si>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</si>
  <si>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</si>
  <si>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</si>
  <si>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</si>
  <si>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</si>
  <si>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</si>
  <si>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</si>
  <si>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</si>
  <si>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</si>
  <si>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</si>
  <si>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</si>
  <si>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</si>
  <si>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</si>
  <si>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</si>
  <si>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</si>
  <si>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</si>
  <si>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</si>
  <si>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</si>
  <si>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</si>
  <si>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</si>
  <si>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</si>
  <si>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</si>
  <si>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</si>
  <si>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</si>
  <si>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</si>
  <si>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</si>
  <si>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</si>
  <si>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</si>
  <si>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</si>
  <si>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</si>
  <si>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</si>
  <si>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</si>
  <si>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</si>
  <si>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</si>
  <si>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</si>
  <si>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</si>
  <si>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</si>
  <si>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</si>
  <si>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</si>
  <si>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</si>
  <si>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CTEMPLA_1000PE10MSCO01 Awareness campaigns (Colombia)</t>
  </si>
  <si>
    <t>H000004091</t>
  </si>
  <si>
    <t>FR7127941</t>
  </si>
  <si>
    <t>FR7148376</t>
  </si>
  <si>
    <t>CLFF_1000$$$CH50R01012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</si>
  <si>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</si>
  <si>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</si>
  <si>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</si>
  <si>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</si>
  <si>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</si>
  <si>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</si>
  <si>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</si>
  <si>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</si>
  <si>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</si>
  <si>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</si>
  <si>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</si>
  <si>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</si>
  <si>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</si>
  <si>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</si>
  <si>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</si>
  <si>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</si>
  <si>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</si>
  <si>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</si>
  <si>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</si>
  <si>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</si>
  <si>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</si>
  <si>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</si>
  <si>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</si>
  <si>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</si>
  <si>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</si>
  <si>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</si>
  <si>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</si>
  <si>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</si>
  <si>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</si>
  <si>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</si>
  <si>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</si>
  <si>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</si>
  <si>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</si>
  <si>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</si>
  <si>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</si>
  <si>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</si>
  <si>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</si>
  <si>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</si>
  <si>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</si>
  <si>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</si>
  <si>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</si>
  <si>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</si>
  <si>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</si>
  <si>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</si>
  <si>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</si>
  <si>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</si>
  <si>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</si>
  <si>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</si>
  <si>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</si>
  <si>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</si>
  <si>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</si>
  <si>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</si>
  <si>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</si>
  <si>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</si>
  <si>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</si>
  <si>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</si>
  <si>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</si>
  <si>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</si>
  <si>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</si>
  <si>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</si>
  <si>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</si>
  <si>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</si>
  <si>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</si>
  <si>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</si>
  <si>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</si>
  <si>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</si>
  <si>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</si>
  <si>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</si>
  <si>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</si>
  <si>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</si>
  <si>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</si>
  <si>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</si>
  <si>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</si>
  <si>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</si>
  <si>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</si>
  <si>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</si>
  <si>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</si>
  <si>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</si>
  <si>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</si>
  <si>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</si>
  <si>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</si>
  <si>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</si>
  <si>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</si>
  <si>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</si>
  <si>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</si>
  <si>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</si>
  <si>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</si>
  <si>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</si>
  <si>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</si>
  <si>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</si>
  <si>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</si>
  <si>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</si>
  <si>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</si>
  <si>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</si>
  <si>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</si>
  <si>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</si>
  <si>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</si>
  <si>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</si>
  <si>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</si>
  <si>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</si>
  <si>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</si>
  <si>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</si>
  <si>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</si>
  <si>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</si>
  <si>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</si>
  <si>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</si>
  <si>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</si>
  <si>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</si>
  <si>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</si>
  <si>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</si>
  <si>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</si>
  <si>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</si>
  <si>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</si>
  <si>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</si>
  <si>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</si>
  <si>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G000000560</t>
  </si>
  <si>
    <t>FR7198162</t>
  </si>
  <si>
    <t xml:space="preserve">CLFF_1000$$$DE20569502 </t>
  </si>
  <si>
    <t>G000000686</t>
  </si>
  <si>
    <t>FR7198155</t>
  </si>
  <si>
    <t xml:space="preserve">CLFF_1000$$$DZ50GM1100 </t>
  </si>
  <si>
    <t xml:space="preserve">CLFF_7210$$$2053OF0000 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</si>
  <si>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</si>
  <si>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</si>
  <si>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</si>
  <si>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</si>
  <si>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</si>
  <si>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</si>
  <si>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</si>
  <si>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</si>
  <si>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</si>
  <si>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</si>
  <si>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</si>
  <si>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</si>
  <si>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</si>
  <si>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</si>
  <si>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</si>
  <si>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</si>
  <si>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</si>
  <si>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</si>
  <si>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</si>
  <si>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</si>
  <si>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</si>
  <si>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</si>
  <si>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</si>
  <si>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</si>
  <si>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</si>
  <si>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</si>
  <si>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</si>
  <si>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</si>
  <si>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FR7205291</t>
  </si>
  <si>
    <t>PQUATRO_T000394DE0413001 LAFAMD Support CN 2024 CN01R00403</t>
  </si>
  <si>
    <t>P000000573</t>
  </si>
  <si>
    <t>FR7203070</t>
  </si>
  <si>
    <t>CLFF_1000$$$ES50GPO794</t>
  </si>
  <si>
    <t>H000004174</t>
  </si>
  <si>
    <t>FR7203031</t>
  </si>
  <si>
    <t>CLFF_1000$$$CH75GM8300</t>
  </si>
  <si>
    <t>CNOW_7210$$$0000010137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</si>
  <si>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</si>
  <si>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</si>
  <si>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</si>
  <si>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</si>
  <si>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</si>
  <si>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</si>
  <si>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</si>
  <si>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</si>
  <si>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</si>
  <si>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G000000636</t>
  </si>
  <si>
    <t>CFLTFLE_17710000000500 Techn:alloc.key BP Gen</t>
  </si>
  <si>
    <t>H000000002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</si>
  <si>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</si>
  <si>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</si>
  <si>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</si>
  <si>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</si>
  <si>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</si>
  <si>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</si>
  <si>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FR7207432</t>
  </si>
  <si>
    <t>CLFF_1000$$$CH50GIT032</t>
  </si>
  <si>
    <t>G000001121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</si>
  <si>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</si>
  <si>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</si>
  <si>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</si>
  <si>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</si>
  <si>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</si>
  <si>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</si>
  <si>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</si>
  <si>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</si>
  <si>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</si>
  <si>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</si>
  <si>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</si>
  <si>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</si>
  <si>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</si>
  <si>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</si>
  <si>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</si>
  <si>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</si>
  <si>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</si>
  <si>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</si>
  <si>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</si>
  <si>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</si>
  <si>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</si>
  <si>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</si>
  <si>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</si>
  <si>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</si>
  <si>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</si>
  <si>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</si>
  <si>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</si>
  <si>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</si>
  <si>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</si>
  <si>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</si>
  <si>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</si>
  <si>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</si>
  <si>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</si>
  <si>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</si>
  <si>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</si>
  <si>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</si>
  <si>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</si>
  <si>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</si>
  <si>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</si>
  <si>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</si>
  <si>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</si>
  <si>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</si>
  <si>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</si>
  <si>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</si>
  <si>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</si>
  <si>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</si>
  <si>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</si>
  <si>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</si>
  <si>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</si>
  <si>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</si>
  <si>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</si>
  <si>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</si>
  <si>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</si>
  <si>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</si>
  <si>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</si>
  <si>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</si>
  <si>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</si>
  <si>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</si>
  <si>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</si>
  <si>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</si>
  <si>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</si>
  <si>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</si>
  <si>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</si>
  <si>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</si>
  <si>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</si>
  <si>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</si>
  <si>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</si>
  <si>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</si>
  <si>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</si>
  <si>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</si>
  <si>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</si>
  <si>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</si>
  <si>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</si>
  <si>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</si>
  <si>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</si>
  <si>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</si>
  <si>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</si>
  <si>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</si>
  <si>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</si>
  <si>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</si>
  <si>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</si>
  <si>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</si>
  <si>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</si>
  <si>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</si>
  <si>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</si>
  <si>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</si>
  <si>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</si>
  <si>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</si>
  <si>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</si>
  <si>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</si>
  <si>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</si>
  <si>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</si>
  <si>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</si>
  <si>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</si>
  <si>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</si>
  <si>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</si>
  <si>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FR7233618</t>
  </si>
  <si>
    <t>CTEMPLA_1000PE10764100</t>
  </si>
  <si>
    <t>G000001160</t>
  </si>
  <si>
    <t>FR7230888</t>
  </si>
  <si>
    <t>CFLTFLE_2276BX227601 F80  EUS CAO Organization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</si>
  <si>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</si>
  <si>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</si>
  <si>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</si>
  <si>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</si>
  <si>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</si>
  <si>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</si>
  <si>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</si>
  <si>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</si>
  <si>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</si>
  <si>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</si>
  <si>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</si>
  <si>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</si>
  <si>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</si>
  <si>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</si>
  <si>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</si>
  <si>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</si>
  <si>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</si>
  <si>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</si>
  <si>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</si>
  <si>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</si>
  <si>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</si>
  <si>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</si>
  <si>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</si>
  <si>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</si>
  <si>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</si>
  <si>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</si>
  <si>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</si>
  <si>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</si>
  <si>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</si>
  <si>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</si>
  <si>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</si>
  <si>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</si>
  <si>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</si>
  <si>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</si>
  <si>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</si>
  <si>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</si>
  <si>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</si>
  <si>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</si>
  <si>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</si>
  <si>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</si>
  <si>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</si>
  <si>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</si>
  <si>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</si>
  <si>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</si>
  <si>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</si>
  <si>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</si>
  <si>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</si>
  <si>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</si>
  <si>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</si>
  <si>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</si>
  <si>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</si>
  <si>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</si>
  <si>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</si>
  <si>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</si>
  <si>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</si>
  <si>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</si>
  <si>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</si>
  <si>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</si>
  <si>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</si>
  <si>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</si>
  <si>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</si>
  <si>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</si>
  <si>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</si>
  <si>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</si>
  <si>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</si>
  <si>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</si>
  <si>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</si>
  <si>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</si>
  <si>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</si>
  <si>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</si>
  <si>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</si>
  <si>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</si>
  <si>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</si>
  <si>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</si>
  <si>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</si>
  <si>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</si>
  <si>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</si>
  <si>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</si>
  <si>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</si>
  <si>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</si>
  <si>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</si>
  <si>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</si>
  <si>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</si>
  <si>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</si>
  <si>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</si>
  <si>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</si>
  <si>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</si>
  <si>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</si>
  <si>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</si>
  <si>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</si>
  <si>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</si>
  <si>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</si>
  <si>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</si>
  <si>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</si>
  <si>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</si>
  <si>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</si>
  <si>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</si>
  <si>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</si>
  <si>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</si>
  <si>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</si>
  <si>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</si>
  <si>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</si>
  <si>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</si>
  <si>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</si>
  <si>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</si>
  <si>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</si>
  <si>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</si>
  <si>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</si>
  <si>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</si>
  <si>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</si>
  <si>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</si>
  <si>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</si>
  <si>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</si>
  <si>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</si>
  <si>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</si>
  <si>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</si>
  <si>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</si>
  <si>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</si>
  <si>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</si>
  <si>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</si>
  <si>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Requested last April 16. This request is still within the cut-off and prior K2 transition.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</si>
  <si>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</si>
  <si>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</si>
  <si>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</si>
  <si>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</si>
  <si>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</si>
  <si>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</si>
  <si>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</si>
  <si>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</si>
  <si>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</si>
  <si>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</si>
  <si>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</si>
  <si>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</si>
  <si>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</si>
  <si>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</si>
  <si>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</si>
  <si>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</si>
  <si>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</si>
  <si>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</si>
  <si>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</si>
  <si>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</si>
  <si>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</si>
  <si>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</si>
  <si>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</si>
  <si>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Changes were saved for change request 25249553</t>
  </si>
  <si>
    <t>D30012600000000 Advanced Filtration Technology 0.1um</t>
  </si>
  <si>
    <t>on track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</si>
  <si>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</si>
  <si>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</si>
  <si>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</si>
  <si>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</si>
  <si>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</si>
  <si>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</si>
  <si>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</si>
  <si>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</si>
  <si>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</si>
  <si>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</si>
  <si>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</si>
  <si>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FR7265072</t>
  </si>
  <si>
    <t xml:space="preserve">Changes were saved for change request 25256034 </t>
  </si>
  <si>
    <t>FR7274431</t>
  </si>
  <si>
    <t>CPHOENX_01010000652050 LS-SC-DNDF Freight Services</t>
  </si>
  <si>
    <t>CORAERP_MMOR1945.2477 EMSC Research Plant</t>
  </si>
  <si>
    <t>CORAERP_MMOR1945.2478 EMSC Applied Plant</t>
  </si>
  <si>
    <t>CORAERP_MMOR1945.2479 EMSC Process Plant</t>
  </si>
  <si>
    <t>CORAERP_MMOR1975.2477 EMSC Research Plant</t>
  </si>
  <si>
    <t>CORAERP_MMOR1975.2478 EMSC Applied Plant</t>
  </si>
  <si>
    <t>CORAERP_MMOR1975.2479 EMSC Process Plant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</si>
  <si>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</si>
  <si>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</si>
  <si>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</si>
  <si>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</si>
  <si>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</si>
  <si>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</si>
  <si>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</si>
  <si>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</si>
  <si>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</si>
  <si>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</si>
  <si>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</si>
  <si>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</si>
  <si>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FR7269207</t>
  </si>
  <si>
    <t>CSCALA_1248$GEHR</t>
  </si>
  <si>
    <t>H000000878</t>
  </si>
  <si>
    <t>Changes were saved for change request 25267790</t>
  </si>
  <si>
    <t>FR7280962</t>
  </si>
  <si>
    <t>CORAERP_MMOR1945.5695</t>
  </si>
  <si>
    <t>FR7283426</t>
  </si>
  <si>
    <t xml:space="preserve">CNOW_7210$$$0000052131 </t>
  </si>
  <si>
    <t xml:space="preserve">CNOW_AUS0$$$0000092060 </t>
  </si>
  <si>
    <t xml:space="preserve">CNOW_7210$$$0000001053 </t>
  </si>
  <si>
    <t xml:space="preserve">CNOW_7210$$$0000001153 </t>
  </si>
  <si>
    <t>L000013315</t>
  </si>
  <si>
    <t>L000008350</t>
  </si>
  <si>
    <t>L000009941</t>
  </si>
  <si>
    <t>CPRJ-952024016</t>
  </si>
  <si>
    <t>FR7283753</t>
  </si>
  <si>
    <t>CSCALA_1042$PMAD SPICE Set up of NewCos</t>
  </si>
  <si>
    <t>FR7287236</t>
  </si>
  <si>
    <t>G000000874</t>
  </si>
  <si>
    <t>Changes were saved for change request 25290612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</si>
  <si>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</si>
  <si>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</si>
  <si>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</si>
  <si>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</si>
  <si>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</si>
  <si>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</si>
  <si>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</si>
  <si>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</si>
  <si>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</si>
  <si>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</si>
  <si>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</si>
  <si>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</si>
  <si>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</si>
  <si>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</si>
  <si>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Changes were saved for change request 25304523</t>
  </si>
  <si>
    <t>Objects are new and no figures yet in TM1.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</si>
  <si>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</si>
  <si>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</si>
  <si>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</si>
  <si>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</si>
  <si>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</si>
  <si>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</si>
  <si>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</si>
  <si>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</si>
  <si>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FR7298409</t>
  </si>
  <si>
    <t>FR7298416</t>
  </si>
  <si>
    <t>L000012908</t>
  </si>
  <si>
    <t>FR7298556</t>
  </si>
  <si>
    <t>L000009975</t>
  </si>
  <si>
    <t>FR7300233</t>
  </si>
  <si>
    <t>PLEAN_X310512SE5020201 Mavenclad Medical Non R&amp;D SE50 Medical E</t>
  </si>
  <si>
    <t>PLEAN_X310512SE5022201 Mavenclad Medical Non R&amp;D SE50 Medical C</t>
  </si>
  <si>
    <t>PLEAN_X310512SE5023201 Mavenclad Medical Non R&amp;D SE50 Other Med</t>
  </si>
  <si>
    <t>PLEAN_X310101SE5015201 Erbitux Commercial SE50 Other Promo and</t>
  </si>
  <si>
    <t>PLEAN_X310102SE5020201 Erbitux Medical Non R&amp;D SE50 Medical Edu</t>
  </si>
  <si>
    <t>PLEAN_X310102SE5022201 Erbitux Medical Non R&amp;D SE50 Medical Con</t>
  </si>
  <si>
    <t>PLEAN_X310202SE5020201 Fertility Medical Non R&amp;D SE50 Medical E</t>
  </si>
  <si>
    <t>PLEAN_X310202SE5022201 Fertility Medical Non R&amp;D SE50 Medical C</t>
  </si>
  <si>
    <t>PLEAN_X310202SE5023201 Fertility Medical Non R&amp;D SE50 Other Med</t>
  </si>
  <si>
    <t>PLEAN_X310321FI5030201 Cardio Commercial FI50 Other M&amp;S Registr</t>
  </si>
  <si>
    <t>PLEAN_X310512FI5021201 Mavenclad Medical Non R&amp;D FI50 Medical D</t>
  </si>
  <si>
    <t>PLEAN_X310512FI5022201 Mavenclad Medical Non R&amp;D FI50 Medical C</t>
  </si>
  <si>
    <t>PLEAN_X310512FI5023201 Mavenclad Medical Non R&amp;D FI50 Other Med</t>
  </si>
  <si>
    <t>PLEAN_X310101FI5010201 Erbitux Commercial FI50 Promo Material G</t>
  </si>
  <si>
    <t>PLEAN_X310101FI5011201 Erbitux Commercial FI50 Advertising Gene</t>
  </si>
  <si>
    <t>PLEAN_X310101FI5013201 Erbitux Commercial FI50 Congress &amp; Event</t>
  </si>
  <si>
    <t>PLEAN_X310101FI5015201 Erbitux Commercial FI50 Other Promo and</t>
  </si>
  <si>
    <t>PLEAN_X310101FI5030201 Erbitux Commercial FI50 Other M&amp;S Regist</t>
  </si>
  <si>
    <t>PLEAN_X310102FI5020201 Erbitux Medical Non R&amp;D FI50 Medical Edu</t>
  </si>
  <si>
    <t>PLEAN_X310102FI5023201 Erbitux Medical Non R&amp;D FI50 Other Medic</t>
  </si>
  <si>
    <t>PLEAN_X310202FI5020201 Fertility Medical Non R&amp;D FI50 Medical E</t>
  </si>
  <si>
    <t>PLEAN_X310202FI5023201 Fertility Medical Non R&amp;D FI50 Other Med</t>
  </si>
  <si>
    <t>PLEAN_X310512DK5020201 Mavenclad Medical Non R&amp;D DK50 Medical E</t>
  </si>
  <si>
    <t>PLEAN_X310101DK5010201 Erbitux Commercial DK50 Promo Material G</t>
  </si>
  <si>
    <t>PLEAN_X310101DK5013201 Erbitux Commercial DK50 Congress &amp; Event</t>
  </si>
  <si>
    <t>PLEAN_X310202DK5020201 Fertility Medical Non R&amp;D DK50 Medical E</t>
  </si>
  <si>
    <t>PLEAN_X310202DK5023201 Fertility Medical Non R&amp;D DK50 Other Med</t>
  </si>
  <si>
    <t>PLEAN_X310512NO5020201 Mavenclad Medical Non R&amp;D NO50 Medical E</t>
  </si>
  <si>
    <t>PLEAN_X310512NO5022201 Mavenclad Medical Non R&amp;D NO50 Medical C</t>
  </si>
  <si>
    <t>PLEAN_X310512NO5023201 Mavenclad Medical Non R&amp;D NO50 Other Med</t>
  </si>
  <si>
    <t>ITEMPEU_009000002325 FR40IC1786SE3110250000 FR40399017 NORWAY</t>
  </si>
  <si>
    <t>PLEAN_X310102NO5023201 Erbitux Medical Non R&amp;D NO50 Other Medic</t>
  </si>
  <si>
    <t>PLEAN_X310202NO5020201 Fertility Medical Non R&amp;D NO50 Medical E</t>
  </si>
  <si>
    <t>PLEAN_X310202NO5022201 Fertility Medical Non R&amp;D NO50 Medical C</t>
  </si>
  <si>
    <t>PLEAN_X310202NO5023201 Fertility Medical Non R&amp;D NO50 Other Med</t>
  </si>
  <si>
    <t>PLEAN_X310512EE5020201 Mavenclad Medical Non R&amp;D EE50 Medical E</t>
  </si>
  <si>
    <t>PLEAN_X310512EE5022201 Mavenclad Medical Non R&amp;D EE50 Medical C</t>
  </si>
  <si>
    <t>PLEAN_X310202EE5020201 Fertility Medical Non R&amp;D EE50 Medical E</t>
  </si>
  <si>
    <t>PLEAN_X310202EE5022201 Fertility Medical Non R&amp;D EE50 Medical C</t>
  </si>
  <si>
    <t>PLEAN_X310202EE5023201 Fertility Medical Non R&amp;D EE50 Other Med</t>
  </si>
  <si>
    <t>PLEAN_X310512LT5020201 Mavenclad Medical Non R&amp;D LT50 Medical E</t>
  </si>
  <si>
    <t>PLEAN_X310202LT5022201 Fertility Medical Non R&amp;D LT50 Medical C</t>
  </si>
  <si>
    <t>PLEAN_X310321LV5013201 Cardio Commercial LV50 Congress &amp; Events</t>
  </si>
  <si>
    <t>PLEAN_X310512LV5022201 Mavenclad Medical Non R&amp;D LV50 Medical C</t>
  </si>
  <si>
    <t>PLEAN_X310202LV5020201 Fertility Medical Non R&amp;D LV50 Medical E</t>
  </si>
  <si>
    <t>PLEAN_X310202LV5022201 Fertility Medical Non R&amp;D LV50 Medical C</t>
  </si>
  <si>
    <t>PLEAN_X310131AT5013200 Tepmetko Sponsorings &amp; events</t>
  </si>
  <si>
    <t>PLEAN_X310131AT5015200 Tepmetko Promo &amp; advertising</t>
  </si>
  <si>
    <t>PLEAN_X310321AT5011200 Cardio Advertising</t>
  </si>
  <si>
    <t>PLEAN_X310321AT5013200 Cardio Congresses &amp; events</t>
  </si>
  <si>
    <t>PLEAN_X310321AT5015200 Cardio Other promotion and advertising</t>
  </si>
  <si>
    <t>PLEAN_X310512AT5023200 Mavenclad Other medical activities (non-</t>
  </si>
  <si>
    <t>PLEAN_X310101AT5013200 Erbitux Sponsorings &amp; events</t>
  </si>
  <si>
    <t>PLEAN_X310101AT5015200 Erbitux Promo &amp; advertising</t>
  </si>
  <si>
    <t>PLEAN_X310102AT5023200 Erbitux Medical activities</t>
  </si>
  <si>
    <t>PLEAN_X310102AT5023201 Erbitux Medical congresses</t>
  </si>
  <si>
    <t>PLEAN_X310202AT5023200 Fertility Other medical activities (non-</t>
  </si>
  <si>
    <t>PLEAN_X310322AT5020200 Cardio Medical education</t>
  </si>
  <si>
    <t>PLEAN_X310322AT5022200 Cardio Medical consultants</t>
  </si>
  <si>
    <t>PLEAN_X310322AT5023200 Cardio Other medical activities (non-R&amp;D</t>
  </si>
  <si>
    <t>PLEAN_X310331AT5013200 Thyroids Congresses &amp; events</t>
  </si>
  <si>
    <t>PLEAN_X310331AT5015200 Thyroids Other promotion and advertising</t>
  </si>
  <si>
    <t>PLEAN_X310332AT5020200 Thyroids Medical education</t>
  </si>
  <si>
    <t>PLEAN_X310332AT5022200 Thyroids Medical consultants</t>
  </si>
  <si>
    <t>PLEAN_X310332AT5023200 Thyroids Other medical activities (non-R</t>
  </si>
  <si>
    <t>PLEAN_X310321CZ5010201 Cardio Commercial CZ50 Promo Material Ge</t>
  </si>
  <si>
    <t>PLEAN_X310321CZ5011201 Cardio Commercial CZ50 Advertising Gener</t>
  </si>
  <si>
    <t>PLEAN_X310321CZ5013201 Cardio Commercial CZ50 Congress &amp; Events</t>
  </si>
  <si>
    <t>PLEAN_X310321CZ5013202 Cardio Commercial CZ50 Congress &amp; Events</t>
  </si>
  <si>
    <t>PLEAN_X310321CZ5013205 Cardio Commercial CZ50 Congress &amp; Events</t>
  </si>
  <si>
    <t>PLEAN_X310321CZ5015201 Cardio Commercial CZ50 Other Promo and A</t>
  </si>
  <si>
    <t>PLEAN_X310321CZ5015205 Cardio Commercial CZ50 Other Promo and A</t>
  </si>
  <si>
    <t>PLEAN_X310321CZ5030201 Cardio Commercial CZ50 Other M&amp;S Registr</t>
  </si>
  <si>
    <t>PLEAN_X310512CZ5020202 Mavenclad Medical Non R&amp;D CZ50 Medical E</t>
  </si>
  <si>
    <t>PLEAN_X310512CZ5020203 Mavenclad Medical Non R&amp;D CZ50 Medical E</t>
  </si>
  <si>
    <t>PLEAN_X310512CZ5021201 Mavenclad Medical Non R&amp;D CZ50 Medical D</t>
  </si>
  <si>
    <t>PLEAN_X310512CZ5022201 Mavenclad Medical Non R&amp;D CZ50 Medical C</t>
  </si>
  <si>
    <t>PLEAN_X310101CZ5010201 Erbitux Commercial CZ50 Promo Material G</t>
  </si>
  <si>
    <t>PLEAN_X310101CZ5013202 Erbitux Commercial CZ50 Congress &amp; Event</t>
  </si>
  <si>
    <t>PLEAN_X310101CZ5013203 Erbitux Commercial CZ50 Congress &amp; Event</t>
  </si>
  <si>
    <t>PLEAN_X310101CZ5013204 Erbitux Commercial CZ50 Congress &amp; Event</t>
  </si>
  <si>
    <t>PLEAN_X310101CZ5013205 Erbitux Commercial CZ50 Congress &amp; Event</t>
  </si>
  <si>
    <t>PLEAN_X310101CZ5015201 Erbitux Commercial CZ50 Other Promo and</t>
  </si>
  <si>
    <t>PLEAN_X310101CZ5015205 Erbitux Commercial CZ50 Other Promo and</t>
  </si>
  <si>
    <t>PLEAN_X310101CZ5030201 Erbitux Commercial CZ50 Other M&amp;S Regist</t>
  </si>
  <si>
    <t>PLEAN_X310102CZ5020201 Erbitux Medical Non R&amp;D CZ50 Medical Edu</t>
  </si>
  <si>
    <t>PLEAN_X310102CZ5020202 Erbitux Medical Non R&amp;D CZ50 Medical Edu</t>
  </si>
  <si>
    <t>PLEAN_X310102CZ5020203 Erbitux Medical Non R&amp;D CZ50 Medical Edu</t>
  </si>
  <si>
    <t>PLEAN_X310102CZ5020206 Erbitux Medical Non R&amp;D CZ50 Medical Edu</t>
  </si>
  <si>
    <t>PLEAN_X310202CZ5020202 Fertility Medical Non R&amp;D CZ50 Medical E</t>
  </si>
  <si>
    <t>PLEAN_X310202CZ5020206 Fertility Medical Non R&amp;D CZ50 Medical E</t>
  </si>
  <si>
    <t>PLEAN_X310322CZ5020205 Cardio Medical Non R&amp;D CZ50 Medical Educ</t>
  </si>
  <si>
    <t>PLEAN_X310331CZ5011201 Thyro Commercial CZ50 Advertising Genera</t>
  </si>
  <si>
    <t>PLEAN_X310331CZ5013201 Thyro Commercial CZ50 Congress &amp; Events</t>
  </si>
  <si>
    <t>PLEAN_X310331CZ5013202 Thyro Commercial CZ50 Congress &amp; Events</t>
  </si>
  <si>
    <t>PLEAN_X310331CZ5013205 Thyro Commercial CZ50 Congress &amp; Events</t>
  </si>
  <si>
    <t>PLEAN_X310331CZ5015201 Thyro Commercial CZ50 Other Promo and Ad</t>
  </si>
  <si>
    <t>PLEAN_X310331CZ5015205 Thyro Commercial CZ50 Other Promo and Ad</t>
  </si>
  <si>
    <t>PLEAN_X310331CZ5030201 Thyro Commercial CZ50 Other M&amp;S Registra</t>
  </si>
  <si>
    <t>PLEAN_X310332CZ5020201 Thyro Medical Non R&amp;D CZ50 Medical Educa</t>
  </si>
  <si>
    <t>PLEAN_X310332CZ5020205 Thyro Medical Non R&amp;D CZ50 Medical Educa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</si>
  <si>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</si>
  <si>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</si>
  <si>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</si>
  <si>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</si>
  <si>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</si>
  <si>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</si>
  <si>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</si>
  <si>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</si>
  <si>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</si>
  <si>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 xml:space="preserve">CNOW_7210$$$0000051664 </t>
  </si>
  <si>
    <t xml:space="preserve">G000000145 </t>
  </si>
  <si>
    <t>FR7303087</t>
  </si>
  <si>
    <t>Changes were saved for change request 25312406</t>
  </si>
  <si>
    <t>FR7311725</t>
  </si>
  <si>
    <t>CFLTFLE_11030000000420 Nymphaea</t>
  </si>
  <si>
    <t>P000000658</t>
  </si>
  <si>
    <t>FR7311374</t>
  </si>
  <si>
    <t>CFLTFLE_1054ITIP1054 IT GOVERNANCE</t>
  </si>
  <si>
    <t>G000000894</t>
  </si>
  <si>
    <t>FR7311013</t>
  </si>
  <si>
    <t>CNOW_7210$$$0000056667</t>
  </si>
  <si>
    <t>G000000631</t>
  </si>
  <si>
    <t>PNEXT_CPRJ-138705 GY3 3 Year ICH Stability Study</t>
  </si>
  <si>
    <t>L000013187</t>
  </si>
  <si>
    <t>PNEXT_CPRJ-138716 GY3 (ONCT-534) Phase 2 cGMP Manufacture</t>
  </si>
  <si>
    <t>PNEXT_CPRJ-138717 GY3 (ONCT-534) Phase 2 cGMP Manufacture</t>
  </si>
  <si>
    <t>PNEXT_CPRJ-138718 GY3 (ONCT-534) 3KG GMP Batch &amp; Testing</t>
  </si>
  <si>
    <t>PNEXT_CON_00011716TTO ER6 Stability Testing Batch</t>
  </si>
  <si>
    <t>PNEXT_CPRJ-98202200116 ER6 cGMP Manufacture 140G Batch 1</t>
  </si>
  <si>
    <t>PNEXT_CPRJ-98202200117 ER6 cGMP Manufacture 140G Batch 2</t>
  </si>
  <si>
    <t>PNEXT_CPRJ-98202200118 ER6 Campaign Summary Report</t>
  </si>
  <si>
    <t>PNEXT_CPRJ-98202200120 ER6 Stability Initiation 140G Batch 2</t>
  </si>
  <si>
    <t>PNEXT_CPRJ-98202200122 ER6 cGMP Mfg 140G Batch 3(rebill)</t>
  </si>
  <si>
    <t>PNEXT_CPRJ-98202200123 FIO analytical testing</t>
  </si>
  <si>
    <t>PNEXT_CPRJ-98202200124 FIO analytical testing</t>
  </si>
  <si>
    <t>PNEXT_CPRJ-98202200125 FIO analytical testing</t>
  </si>
  <si>
    <t>PNEXT_CPRJ-98202200126 Reference standard characterization</t>
  </si>
  <si>
    <t>PNEXT_CPRJ-98202200134 ER6 Analytical Testing PO 4300025737</t>
  </si>
  <si>
    <t>PNEXT_CPRJ-98202200135 ER6 Delivery of Revised CoA</t>
  </si>
  <si>
    <t>PNEXT_CPRJ-98202300021 Analytical Summary Qual and Validation</t>
  </si>
  <si>
    <t>PNEXT_CPRJ-98202300022 Outsource Testing</t>
  </si>
  <si>
    <t>PNEXT_CPRJ-98202300027 cGMP Manufacture of ML59</t>
  </si>
  <si>
    <t>PNEXT_CPRJ-98202300028 cGMP Manufacture of ML8</t>
  </si>
  <si>
    <t>PNEXT_CPRJ-98202300029 Campaign Summary Report</t>
  </si>
  <si>
    <t>PNEXT_CPRJ-98202300030 Stability Testing batch of ML8</t>
  </si>
  <si>
    <t>PNEXT_CPRJ-98202300063 HPLC Method Purity Development- Cpd 7</t>
  </si>
  <si>
    <t>PNEXT_CPRJ-98202300064 GC Method Purity Development- ML59</t>
  </si>
  <si>
    <t>PNEXT_CPRJ-98202300065 Supplemental Method Validation</t>
  </si>
  <si>
    <t>PNEXT_CPRJ-98202300067 Short term storage of Alisertib</t>
  </si>
  <si>
    <t>PNEXT_CPRJ-98202300068 FMEA/DoE Gap Assesment</t>
  </si>
  <si>
    <t>PNEXT_CPRJ-98202300034 SSP-014 Stability</t>
  </si>
  <si>
    <t>PNEXT_CPRJ-98202300039 SSP-020 (2024 Batch #1)</t>
  </si>
  <si>
    <t>PNEXT_CPRJ-98202300040 SSP-021 (2024 Batch #2)</t>
  </si>
  <si>
    <t>PNEXT_CPRJ-98202300041 SSP-022 (2024 Batch #3) and Report</t>
  </si>
  <si>
    <t>PNEXT_CPRJ-98202300045 SSP-018 (Phase 4 150g of cGMP SSP)</t>
  </si>
  <si>
    <t>PNEXT_CPRJ-98202300046 SSP-019 (Phase 5 150g of cGMP SSP)</t>
  </si>
  <si>
    <t>PNEXT_CPRJ-98202300051 Dedicated general Lab GlasswareEquipment</t>
  </si>
  <si>
    <t>PNEXT_CPRJ-98202300055 SSP-024 (Replacement batch for SSP-015)</t>
  </si>
  <si>
    <t>PNEXT_CPRJ-98202300060 SSP Reference Standard Qualification</t>
  </si>
  <si>
    <t>CPRJ-13870</t>
  </si>
  <si>
    <t>CPRJ-9820220011</t>
  </si>
  <si>
    <t>CPRJ-9820230002</t>
  </si>
  <si>
    <t>CPRJ-9820230003</t>
  </si>
  <si>
    <t>FR7317802</t>
  </si>
  <si>
    <t>ITEMPEU_003300000473 CH71 ACA_ALC-0315 Invest F</t>
  </si>
  <si>
    <t>ITEMPEU_003300000474 CH71 MBH DOTMA Invest F</t>
  </si>
  <si>
    <t>ITEMPEU_003300000475 CH71 MBC DOPE Invest F</t>
  </si>
  <si>
    <t>ITEMPEU_003900000189 CH71 MBQ Nacalai</t>
  </si>
  <si>
    <t>ITEMPEU_003900000211 CH71 ENA 89Bio</t>
  </si>
  <si>
    <t>ITEMPEU_003900000216 CH71 CVA Curevac</t>
  </si>
  <si>
    <t>ITEMPEU_003900000217 CH71 MBM Fu Fang</t>
  </si>
  <si>
    <t>ITEMPEU_003900000224 CH71  ASM Aerosol-Service</t>
  </si>
  <si>
    <t>ITEMPEU_003900000226 CH71 DSA Daiichi Sankyo</t>
  </si>
  <si>
    <t>ITEMPEU_003900000227 CH71 OBB Orbital Therapeutics</t>
  </si>
  <si>
    <t>ITEMPEU_003900000228 CH71 OBA Orbital Tx</t>
  </si>
  <si>
    <t>ITEMPEU_003900000229 CH71 MDL Merck_Darmstadt</t>
  </si>
  <si>
    <t>ITEMPEU_003900000234 CH71  UHA_University_of_Hokkaido</t>
  </si>
  <si>
    <t>ITEMPEU_003900000235 CH71  PIA_Prime_Medicine_Inc</t>
  </si>
  <si>
    <t>ITEMPEU_003900000237 CH71 _UAA_University_Health_Network</t>
  </si>
  <si>
    <t>ITEMPEU_003900000238 CH71 _ACD_Acuitas Therapeutics</t>
  </si>
  <si>
    <t>ITEMPEU_003900000239 CH71 _ACC Petheon Alc-0366 S Bulk</t>
  </si>
  <si>
    <t>FR7317532</t>
  </si>
  <si>
    <t>FR7319861</t>
  </si>
  <si>
    <t>FR7319903</t>
  </si>
  <si>
    <t>CEMERAL_70006101MS3119 Communications  Executive Proj</t>
  </si>
  <si>
    <t>CEMERAL_70006101MS3216 Portfolio Brand</t>
  </si>
  <si>
    <t>CEMERAL_70006101STOMKT STO - Strategic market Intelligence</t>
  </si>
  <si>
    <t>CEMERAL_70006203991365 LS Business Services India</t>
  </si>
  <si>
    <t>CEMERAL_700065020KAIST KAIST - CTO</t>
  </si>
  <si>
    <t>CEMERAL_70006502993C17 Social Media Governance</t>
  </si>
  <si>
    <t>CEMERAL_70007001581230 MESI REG LS Com Exec Proj</t>
  </si>
  <si>
    <t>CLFF_1000$$$DE10OF0003 Tail Spend Management</t>
  </si>
  <si>
    <t>CLFF_7210$$$1756OF0001 Social Media &amp; Digital Communications</t>
  </si>
  <si>
    <t>CLFF_7210$$$1756OF0006 Communications Executive Projects</t>
  </si>
  <si>
    <t>CLFF_7210$$$1756OF7061 UK WIL Exec Proj</t>
  </si>
  <si>
    <t>CLFF_7210$$$1756OF7094 LS Business Svcs UK</t>
  </si>
  <si>
    <t>CLFF_7210$$$2148OF0261 LS Creative Svcs CM</t>
  </si>
  <si>
    <t>CNOW_7210$$$0000000658 sustainability</t>
  </si>
  <si>
    <t>CNOW_7210$$$0000010131 LS Business Services</t>
  </si>
  <si>
    <t>CNOW_7210$$$0000010335 LS Global Portfolio Brand Sigma</t>
  </si>
  <si>
    <t>CNOW_7210$$$0000010430 LS US Executive Projects</t>
  </si>
  <si>
    <t>CNOW_7210$$$0000010432 US WIL HR 2098</t>
  </si>
  <si>
    <t>CNOW_7210$$$0000010445 Social Media Governance</t>
  </si>
  <si>
    <t>CNOW_7210$$$0000010453 Social Media Governance</t>
  </si>
  <si>
    <t>CNOW_7210$$$0000010479 Exec Projects Other Admin STL HUB</t>
  </si>
  <si>
    <t>CNOW_7210$$$0000020356 Creative Services</t>
  </si>
  <si>
    <t>CNOW_7210$$$0000020414 C-Virus Expenses</t>
  </si>
  <si>
    <t>CNOW_7210$$$0000021415 Studio Expansion</t>
  </si>
  <si>
    <t>CNOW_7210$$$0000022408 BD BP SLS</t>
  </si>
  <si>
    <t>CNOW_7210$$$0000023175 Executive Projects Other M&amp;S</t>
  </si>
  <si>
    <t>CNOW_7210$$$0000023467 Portfolio Brand</t>
  </si>
  <si>
    <t>CNOW_7210$$$0000040406 C-Virus Expenses</t>
  </si>
  <si>
    <t>CNOW_7210$$$0000040407 LS Business Services Milwaukee</t>
  </si>
  <si>
    <t>CNOW_7210$$$0000057094 LS Business Services UK</t>
  </si>
  <si>
    <t>CNOW_7210$$$0000264020 US WIL HR 5410 BioR</t>
  </si>
  <si>
    <t>CNOW_AUS0$$$0000092047 LS TRO - Competitive Intelligence</t>
  </si>
  <si>
    <t>CORAERP_MMOR1945.5084 Exec Projects Other M&amp;S</t>
  </si>
  <si>
    <t>CORAERP_MMOR1945.5631 LS Corp Responsibilty</t>
  </si>
  <si>
    <t>CORAERP_MMOR1945.9415 Corporate Giving</t>
  </si>
  <si>
    <t>CORAERP_MMOR1945.9541 HR Exec Projects</t>
  </si>
  <si>
    <t>CORAERP_MMOR1945.9655 Communications Executive Proj</t>
  </si>
  <si>
    <t>CORAERP_MMOR1945.9797 Studio Expansion</t>
  </si>
  <si>
    <t>CORAERP_MMOR1975.5084 Exec Projects Other M&amp;S</t>
  </si>
  <si>
    <t>CORAERP_MMOR1975.5611 LS Brand team</t>
  </si>
  <si>
    <t>CORAERP_MMOR1975.5631 LS Corp Responsibilty</t>
  </si>
  <si>
    <t>CORAERP_MMOR1975.5632 Creative Services Depreciation</t>
  </si>
  <si>
    <t>CORAERP_MMOR1975.6042 Business &amp; Competitive Information</t>
  </si>
  <si>
    <t>CORAERP_MMOR1975.6726 Exec Projects R&amp;D</t>
  </si>
  <si>
    <t>CORAERP_MMOR1975.9415 Corporate Giving</t>
  </si>
  <si>
    <t>CORAERP_MMOR1975.9479 LS Global Portfolio Brand US</t>
  </si>
  <si>
    <t>CORAERP_MMOR1975.9501 US Burlington HQ CEO Office</t>
  </si>
  <si>
    <t>CORAERP_MMOR1975.9509 US WIL HR Exec Proj 1975</t>
  </si>
  <si>
    <t>CORAERP_MMOR1975.9517 Employee Engagement</t>
  </si>
  <si>
    <t>CORAERP_MMOR1975.9540 Executive Projects other</t>
  </si>
  <si>
    <t>CORAERP_MMOR1975.9541 HR Exec Projects</t>
  </si>
  <si>
    <t>CORAERP_MMOR1975.9553 C-virus activities</t>
  </si>
  <si>
    <t>CORAERP_MMOR1975.9556 LS Strategy</t>
  </si>
  <si>
    <t>CORAERP_MMOR1975.9655 Communications Executive Proj</t>
  </si>
  <si>
    <t>CORAERP_MMOR1975.9659 Pharma Value Chain</t>
  </si>
  <si>
    <t>CORAERP_MMOR1975.9679 LS Creative Services</t>
  </si>
  <si>
    <t>CORAERP_MMOR1975.9793 PVC - AI Enabled Drug Discovery</t>
  </si>
  <si>
    <t>CORAERP_MMOR1975.9794 PVC - Advanced Cell Culture</t>
  </si>
  <si>
    <t>CORAERP_MMOR1975.9795 PVC - Exploration</t>
  </si>
  <si>
    <t>CORAERP_MMOR1975.9797 Studio Expansion</t>
  </si>
  <si>
    <t>CORAERP_MMOR1975.9871 LS Business Development</t>
  </si>
  <si>
    <t>CPHOENX_01010000623501 LS Lab hub Interim solution A60</t>
  </si>
  <si>
    <t>CPHOENX_01010000623502 LS interim solution R&amp;D growth</t>
  </si>
  <si>
    <t>CPHOENX_01010000630700 LS Global Portfolio Brand - Germany</t>
  </si>
  <si>
    <t>CPHOENX_01010000636700 LS Brand Team - Germany</t>
  </si>
  <si>
    <t>CPHOENX_01010000636710 Business Development</t>
  </si>
  <si>
    <t>CPHOENX_01010000661600 Life Science C4 Exp</t>
  </si>
  <si>
    <t>CPHOENX_01010000683000 LS Strategy</t>
  </si>
  <si>
    <t>CPHOENX_01010000697500 LS Business Services</t>
  </si>
  <si>
    <t>CPHOENX_01010000697550 LS Creative Services</t>
  </si>
  <si>
    <t>CPHOENX_01010000697650 LS Strategic Initiatives</t>
  </si>
  <si>
    <t>CPHOENX_01010000697760 Studio Expansion</t>
  </si>
  <si>
    <t>CPHOENX_01010000697840 HR Execuitive Projects</t>
  </si>
  <si>
    <t>CPHOENX_01010000697860 LS R&amp;D Executive Projects</t>
  </si>
  <si>
    <t>CPHOENX_01010000697880 LS Executive Projects Other M&amp;S</t>
  </si>
  <si>
    <t>CTEMPEU_1000TR10ADK701 Comm Exec Proj</t>
  </si>
  <si>
    <t>CTEMPLA_1000BR10110001 Comm Exec Proj</t>
  </si>
  <si>
    <t>FL000011147_IO Executive Projects Comm-G (IO)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</si>
  <si>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</si>
  <si>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</si>
  <si>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</si>
  <si>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</si>
  <si>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</si>
  <si>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</si>
  <si>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</si>
  <si>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</si>
  <si>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</si>
  <si>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</si>
  <si>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</si>
  <si>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</si>
  <si>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</si>
  <si>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</si>
  <si>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</si>
  <si>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</si>
  <si>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</si>
  <si>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Changes were saved for change request 25330658</t>
  </si>
  <si>
    <t>FR7320399</t>
  </si>
  <si>
    <t xml:space="preserve">CLFF_7210$$$2123GM1021 </t>
  </si>
  <si>
    <t xml:space="preserve">CLFF_7210$$$2123GMB010 </t>
  </si>
  <si>
    <t>G000001374</t>
  </si>
  <si>
    <t>G000001183</t>
  </si>
  <si>
    <t>Changes were saved for change request 25330845</t>
  </si>
  <si>
    <t>FR7320867</t>
  </si>
  <si>
    <t>CLFF_1000$$$KE50C0FF10 FF - Science &amp; Lab Solutions</t>
  </si>
  <si>
    <t>Changes were saved for change request 25331260</t>
  </si>
  <si>
    <t>FR7322183</t>
  </si>
  <si>
    <t>CLFF_7210$$$2148TCSZ30 Maintenance &amp; Engineering</t>
  </si>
  <si>
    <t>CLFF_7210$$$2148TFSZ60 Production Infrastructure</t>
  </si>
  <si>
    <t>CLFF_7210$$$2148TFSZ61 Production Infrastrcuture (EHS)</t>
  </si>
  <si>
    <t>CLFF_7210$$$2148TFSZ62 IVDR Costs Allocated Out</t>
  </si>
  <si>
    <t>CLFF_7210$$$2148TFSZ63 Site Costs</t>
  </si>
  <si>
    <t>CLFF_7210$$$2148TASA00 Production 1-Main</t>
  </si>
  <si>
    <t>FLFF_7210$$$2148TASA00_IO Production 1-Main (IO)</t>
  </si>
  <si>
    <t>CLFF_7210$$$2148TASA00_IO</t>
  </si>
  <si>
    <t>CLFF_7210$$$2148TASA00</t>
  </si>
  <si>
    <t>FR7318069</t>
  </si>
  <si>
    <t>CLFF_1000$$$DE04G0IT99 Spice non-transferring assets IT</t>
  </si>
  <si>
    <t>CLFF_1000$$$DE04O01001 SPICE non-transferring assets F129</t>
  </si>
  <si>
    <t>CLFF_1000$$$DE04O01002 SPICE non-transferring assets misc</t>
  </si>
  <si>
    <t>CLFF_1000$$$DE04Z03110 SPICE Rebranding</t>
  </si>
  <si>
    <t>CEMERAL_70007001Z03100 SPICE HR</t>
  </si>
  <si>
    <t>CFLTFLE_1044PMHR SPICE HR</t>
  </si>
  <si>
    <t>CLFF_1000$$$CN01Z03105 SPICE HR</t>
  </si>
  <si>
    <t>CLFF_1000$$$DE04Z03108 SPICE HR</t>
  </si>
  <si>
    <t>CLFF_1000$$$DE10Z03113 SPICE HR</t>
  </si>
  <si>
    <t>CLFF_1000$$$IN01Z03101 SPICE HR</t>
  </si>
  <si>
    <t>CLFF_1000$$$JP01Z03103 SPICE HR</t>
  </si>
  <si>
    <t>CLFF_1000$$$US01Z03107 SPICE HR</t>
  </si>
  <si>
    <t>CLFF_KR00$$$KR03Z03104 SPICE HR</t>
  </si>
  <si>
    <t>CLFF_VMCA$$$US10Z03102 SPICE HR</t>
  </si>
  <si>
    <t>CPHOENX_01019182003100 SPICE HR</t>
  </si>
  <si>
    <t>CSCALA_1042$PMHR SPICE HR</t>
  </si>
  <si>
    <t>CTEMPEU_1000BE40Z03001 SPICE HR</t>
  </si>
  <si>
    <t>CTEMPEU_1000ES40Z03100 SPICE HR</t>
  </si>
  <si>
    <t>CTEMPEU_1000FR10Z03100 SPICE HR</t>
  </si>
  <si>
    <t>CTEMPEU_1000NL40Z03100 SPICE HR</t>
  </si>
  <si>
    <t>CTEMPEU_1000PL10Z03100 SPICE HR</t>
  </si>
  <si>
    <t>CTEMPLA_1000BR10Z03100 SPICE HR</t>
  </si>
  <si>
    <t>CTEMPLA_1000MX10Z03100 SPICE HR</t>
  </si>
  <si>
    <t>P000001271</t>
  </si>
  <si>
    <t>P000001268</t>
  </si>
  <si>
    <t>P000001273</t>
  </si>
  <si>
    <t>FR7324585</t>
  </si>
  <si>
    <t>CLFF_1000$$$AE50GCO220 Lumina Plan &amp; Report</t>
  </si>
  <si>
    <t>CLFF_1000$$$CN90GMK003 Lumina  RGP Processes</t>
  </si>
  <si>
    <t>CLFF_1000$$$DE10624905 LEAP</t>
  </si>
  <si>
    <t>CLFF_1000$$$DE10624906 LEAP IT projects</t>
  </si>
  <si>
    <t>CLFF_1000$$$DE10GM1057 Lumina  RGP Processes</t>
  </si>
  <si>
    <t>CLFF_1000$$$DE10GMK003 Lumina Regulatory Compl.</t>
  </si>
  <si>
    <t>CLFF_1000$$$DE10GMK004 Lumina Process Excellence</t>
  </si>
  <si>
    <t>CLFF_1000$$$DE10Z03107 Lumina FTO &amp; FTOM</t>
  </si>
  <si>
    <t>CLFF_1000$$$DE10Z03108 Lumina  RGP Processes</t>
  </si>
  <si>
    <t>CLFF_1000$$$DE10Z03109 Lumina Plan &amp; Report</t>
  </si>
  <si>
    <t>CLFF_1000$$$DE10Z03110 Lumina RDF and Tech&amp;Data</t>
  </si>
  <si>
    <t>CLFF_7210$$$1937GMK003 Lumina FTO &amp; FTOM</t>
  </si>
  <si>
    <t>CLFF_7210$$$2025GMK003 Project Lumina Plan &amp; Report</t>
  </si>
  <si>
    <t>CLFF_7210$$$2123Z03104 Lumina  RGP Processes</t>
  </si>
  <si>
    <t>CORAERP_MMOR1975.9682 Lumina Plan &amp; Report</t>
  </si>
  <si>
    <t>CTEMPEU_1000PL80GMK003 Lumina  RGP Processes</t>
  </si>
  <si>
    <t>CTEMPEU_1000PL80GMK004 Lumina Process Excellence</t>
  </si>
  <si>
    <t>CTEMPNA_1000PH80GBTL53 Lumina Plan &amp; Report</t>
  </si>
  <si>
    <t>CTEMPNA_1000PH80GMK003 Lumina  RGP Processes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</si>
  <si>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</si>
  <si>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</si>
  <si>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</si>
  <si>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</si>
  <si>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</si>
  <si>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</si>
  <si>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</si>
  <si>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</si>
  <si>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</si>
  <si>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</si>
  <si>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</si>
  <si>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Changes were saved for change request 25334997</t>
  </si>
  <si>
    <t>FR7328669</t>
  </si>
  <si>
    <t>CNOW_7210$$$PC00000000</t>
  </si>
  <si>
    <t>CNOW_7210$$$PC00011091</t>
  </si>
  <si>
    <t>CNOW_7210$$$PC00011809</t>
  </si>
  <si>
    <t>L000012168</t>
  </si>
  <si>
    <t>L000012167</t>
  </si>
  <si>
    <t>L000012165</t>
  </si>
  <si>
    <t>FR7327207</t>
  </si>
  <si>
    <t>PLEAN_X310201CH6843049 ESHRE local costs-1028 Chile LRD</t>
  </si>
  <si>
    <t>CTEMPLA_1000PA20ZZ0B22 ISS - Marketing Ferti / Endo</t>
  </si>
  <si>
    <t>CTEMPLA_1000PA10BB1E33 XXXCMC - Sales Promo CM Care Local-Cilos</t>
  </si>
  <si>
    <t>CTEMPLA_1000PA10CW1E33 XXXCMC - Sales Promo CM Care Local-Cilos</t>
  </si>
  <si>
    <t>CTEMPLA_1000GT10ZZ0E21 ISS - Marketing Cardio</t>
  </si>
  <si>
    <t>CTEMPLA_1000GT10ZZ0E22 ISS - Marketing Tiroides</t>
  </si>
  <si>
    <t>CTEMPLA_1000PA10ZZ0E21 ISS - Marketing Cardio</t>
  </si>
  <si>
    <t>CTEMPLA_1000PA10ZZ0E22 ISS - Marketing tiroides</t>
  </si>
  <si>
    <t>CTEMPLA_1000PA20ZZ0E21 ISS - Marketing Cardio</t>
  </si>
  <si>
    <t>CTEMPLA_1000PA20ZZ0B21 ISS - Marketing Neurology</t>
  </si>
  <si>
    <t>CTEMPLA_1000CL10788702 Destruction expenses TSM</t>
  </si>
  <si>
    <t>H000000336</t>
  </si>
  <si>
    <t>H000000369</t>
  </si>
  <si>
    <t>H000000346</t>
  </si>
  <si>
    <t>H000000353</t>
  </si>
  <si>
    <t>H000000359</t>
  </si>
  <si>
    <t>Dan John Magada</t>
  </si>
  <si>
    <t>Changes were saved for change request 25339736</t>
  </si>
  <si>
    <t>Changes were saved for change request 25339737</t>
  </si>
  <si>
    <t>CNOW_7210$$$0000015235</t>
  </si>
  <si>
    <t>L000013203</t>
  </si>
  <si>
    <t>FR7330120</t>
  </si>
  <si>
    <t>Florian Sonntag</t>
  </si>
  <si>
    <t>FR7332565</t>
  </si>
  <si>
    <t>FR7335135</t>
  </si>
  <si>
    <t>CNOW_7210$$$0000021406</t>
  </si>
  <si>
    <t>L000007892</t>
  </si>
  <si>
    <t>CLFF_7210$$$2137C00001</t>
  </si>
  <si>
    <t>L000013113</t>
  </si>
  <si>
    <t>FR7335136</t>
  </si>
  <si>
    <t>CSCALA_1042$BISS_S22</t>
  </si>
  <si>
    <t>CSCALA_1042$FEPM_F77</t>
  </si>
  <si>
    <t>CSCALA_1042$MSMS_D17</t>
  </si>
  <si>
    <t>CSCALA_1042$MSMS_D20</t>
  </si>
  <si>
    <t>CSCALA_1042$MSMS_E12</t>
  </si>
  <si>
    <t>CSCALA_1042$MSMS_F09</t>
  </si>
  <si>
    <t>CSCALA_1042$MSMS_F10</t>
  </si>
  <si>
    <t>CSCALA_1042$MSMS_O15</t>
  </si>
  <si>
    <t>CSCALA_1042$MSMS_TT6</t>
  </si>
  <si>
    <t>CSCALA_1042$MSMS_W13</t>
  </si>
  <si>
    <t>CSCALA_1042$MSMS_X04</t>
  </si>
  <si>
    <t>CSCALA_1042$MSMS_X06</t>
  </si>
  <si>
    <t>CSCALA_1042$MSPM_C53</t>
  </si>
  <si>
    <t>CSCALA_1042$MSPM_C57</t>
  </si>
  <si>
    <t>CSCALA_1042$MSPM_D93</t>
  </si>
  <si>
    <t>CSCALA_1042$MSPM_D94</t>
  </si>
  <si>
    <t>CSCALA_1042$MSPM_E83</t>
  </si>
  <si>
    <t>CSCALA_1042$MSPM_T52</t>
  </si>
  <si>
    <t>CSCALA_1042$MSPM_T97</t>
  </si>
  <si>
    <t>CSCALA_1042$ONPM_W98</t>
  </si>
  <si>
    <t>CSCALA_1042$ONPM_X53</t>
  </si>
  <si>
    <t>PSCALA_C53 Hiaman Noah</t>
  </si>
  <si>
    <t>PSCALA_F09 Aspire 2025</t>
  </si>
  <si>
    <t>PSCALA_F68 MSART Congress</t>
  </si>
  <si>
    <t>PSCALA_F79 Key Account territory event</t>
  </si>
  <si>
    <t>PSCALA_F99 Unplanned expense</t>
  </si>
  <si>
    <t>PSCALA_O07 ASCOMOS 2024</t>
  </si>
  <si>
    <t>PSCALA_T97 Thyroid Area's Event/ Conferences 2025</t>
  </si>
  <si>
    <t>FR7336709</t>
  </si>
  <si>
    <t>FR7336726</t>
  </si>
  <si>
    <t>IEMERAL_000009101206 7001IC2156SI3110250000</t>
  </si>
  <si>
    <t>Changes were saved for change request 25352858</t>
  </si>
  <si>
    <t>CTEMPLA_1000PA10PA1E25 Medical non R&amp;D Cardiovascular</t>
  </si>
  <si>
    <t>FR7339023</t>
  </si>
  <si>
    <t>FR7339740</t>
  </si>
  <si>
    <t xml:space="preserve">CFLTFLE_23940000000110 </t>
  </si>
  <si>
    <t xml:space="preserve">CFLTFLE_23940000000130 </t>
  </si>
  <si>
    <t xml:space="preserve">CFLTFLE_23940000000150 </t>
  </si>
  <si>
    <t xml:space="preserve">CFLTFLE_23940000000171 </t>
  </si>
  <si>
    <t xml:space="preserve">CFLTFLE_23940000000230 </t>
  </si>
  <si>
    <t xml:space="preserve">CFLTFLE_23940000000430 </t>
  </si>
  <si>
    <t xml:space="preserve">CFLTFLE_22760000891084 </t>
  </si>
  <si>
    <t xml:space="preserve">CFLTFLE_2373TTR </t>
  </si>
  <si>
    <t xml:space="preserve">CORAERP_MMOR1975.LLZRX </t>
  </si>
  <si>
    <t xml:space="preserve">ITEMPEU_003300000049 CH71 C_L_MBD </t>
  </si>
  <si>
    <t>L000013197</t>
  </si>
  <si>
    <t>L000006428</t>
  </si>
  <si>
    <t>FR7337019</t>
  </si>
  <si>
    <t>L000010101</t>
  </si>
  <si>
    <t>FR7314300</t>
  </si>
  <si>
    <t>CTEMPEU_1000PL80GHR223</t>
  </si>
  <si>
    <t>G000001173</t>
  </si>
  <si>
    <t>CTEMPNA_1000PH80GFO122</t>
  </si>
  <si>
    <t>CLFF_1000$$$DE10GMW030</t>
  </si>
  <si>
    <t>CORAERP_MMOR1975.9007</t>
  </si>
  <si>
    <t>CTEMPNA_1000US20GM1000</t>
  </si>
  <si>
    <t>CLFF_1000$$$CN90GHR110</t>
  </si>
  <si>
    <t>FR7337931</t>
  </si>
  <si>
    <t>L000012885</t>
  </si>
  <si>
    <t>FR7337981</t>
  </si>
  <si>
    <t>L000010089</t>
  </si>
  <si>
    <t>IPHOENX_000400763895</t>
  </si>
  <si>
    <t>IPHOENX_000400764088</t>
  </si>
  <si>
    <t>IPHOENX_000400764092</t>
  </si>
  <si>
    <t>IPHOENX_000400764173</t>
  </si>
  <si>
    <t>IPHOENX_000400764086</t>
  </si>
  <si>
    <t>IPHOENX_000400764097</t>
  </si>
  <si>
    <t>IPHOENX_000400764098</t>
  </si>
  <si>
    <t>IPHOENX_000400764095</t>
  </si>
  <si>
    <t>Changes were saved for change request 25366984</t>
  </si>
  <si>
    <t>FR7345542</t>
  </si>
  <si>
    <t xml:space="preserve">CNOW_7210$$$0000056336 </t>
  </si>
  <si>
    <t>CTEMPNA_1000PH80GFO047</t>
  </si>
  <si>
    <t>G000001194</t>
  </si>
  <si>
    <t>G000001161</t>
  </si>
  <si>
    <t>CFLTFLE_23960000000450</t>
  </si>
  <si>
    <t>FR7345953</t>
  </si>
  <si>
    <t>FR7352279</t>
  </si>
  <si>
    <t>EMERAL_70006202991013</t>
  </si>
  <si>
    <t>H000000940</t>
  </si>
  <si>
    <t>CLFF_1000$$$DE20538638</t>
  </si>
  <si>
    <t>CLFF_1000$$$DE10538638</t>
  </si>
  <si>
    <t>FR7351855</t>
  </si>
  <si>
    <t>G000000943</t>
  </si>
  <si>
    <t>G000001017</t>
  </si>
  <si>
    <t>Changes were saved for change request 25374757</t>
  </si>
  <si>
    <t>FR7352048</t>
  </si>
  <si>
    <t>CEMERAL_70006202991013 Learning &amp; Development Administrator</t>
  </si>
  <si>
    <t>ITEMPEU_009000002323 PL10IC1261IS3110350000</t>
  </si>
  <si>
    <t>CEMERAL_70007001433297 MESI REG BP Regional Business Excellence</t>
  </si>
  <si>
    <t>PLEAN_X310001DE5015767 SIT COM PROM OTH GBEI Content Management</t>
  </si>
  <si>
    <t>PLEAN_X310001DE5015768 SIT COM PROM OTH GBEI Content Management</t>
  </si>
  <si>
    <t>PLEAN_X310001DE5015769 SIT COM PROM OTH GCE-Omnichannel Insight</t>
  </si>
  <si>
    <t>PLEAN_X310001DE5015770 SIT COM PROM OTH GCE-Global Conventions</t>
  </si>
  <si>
    <t>PLEAN_X310001DE5015771 SIT COM PROM OTH GCE-FFE Excellence</t>
  </si>
  <si>
    <t>PLEAN_X310001DE5015772 SIT COM PROM OTH GCE-Omnichannel Excelle</t>
  </si>
  <si>
    <t>H000000945</t>
  </si>
  <si>
    <t>FR7352478</t>
  </si>
  <si>
    <t>H000003622</t>
  </si>
  <si>
    <t>H000003628</t>
  </si>
  <si>
    <t>H000003625</t>
  </si>
  <si>
    <t>H000003631</t>
  </si>
  <si>
    <t>H000003633</t>
  </si>
  <si>
    <t>H000002141</t>
  </si>
  <si>
    <t xml:space="preserve">CTEMPLA_1000UY10100011 </t>
  </si>
  <si>
    <t>FR7352779</t>
  </si>
  <si>
    <t>FR7354774</t>
  </si>
  <si>
    <t>CEMERAL_64010010860940 BioP Portfolio Management Headcount</t>
  </si>
  <si>
    <t>CEMERAL_64010010990901</t>
  </si>
  <si>
    <t>CEMERAL_70006101992001</t>
  </si>
  <si>
    <t>CEMERAL_70006101MS1314 LS-PS-FS Focused Modalities &amp; New Segmen</t>
  </si>
  <si>
    <t>CEMERAL_70006101MS3114 Nantong/Wuxi MO</t>
  </si>
  <si>
    <t>CEMERAL_70006101MS3203 Building up a Marketing team in Shanghai</t>
  </si>
  <si>
    <t>CEMERAL_70006101RD3110 Product Management Nantong/Wuxi MO</t>
  </si>
  <si>
    <t>CEMERAL_70006101T2A040</t>
  </si>
  <si>
    <t>CEMERAL_70006112ADA403</t>
  </si>
  <si>
    <t>CEMERAL_70006203100501</t>
  </si>
  <si>
    <t>CEMERAL_70006203121212</t>
  </si>
  <si>
    <t>CEMERAL_70006203131313</t>
  </si>
  <si>
    <t>CEMERAL_70006203600902 A&amp;F Segment Mrktg (IN)</t>
  </si>
  <si>
    <t>CEMERAL_700063029905RA</t>
  </si>
  <si>
    <t>CEMERAL_70006502000001 GTM Mod Focus Korea</t>
  </si>
  <si>
    <t>CEMERAL_70006502991734</t>
  </si>
  <si>
    <t>CEMERAL_70007001580588</t>
  </si>
  <si>
    <t>CEMERAL_70007102171417 Bioprocessing segments</t>
  </si>
  <si>
    <t>CEMERAL_70007102171431 BioP APAC Product Management</t>
  </si>
  <si>
    <t>CEMERAL_70007102171811</t>
  </si>
  <si>
    <t>CFLTFLE_1044LSTC</t>
  </si>
  <si>
    <t>CFLTFLE_10548-151-RMTC</t>
  </si>
  <si>
    <t>CFLTFLE_1106T95000 Marketing</t>
  </si>
  <si>
    <t>CFLTFLE_1798C15</t>
  </si>
  <si>
    <t>CFLTFLE_22450000002762</t>
  </si>
  <si>
    <t>CLFF_7210$$$1756C00005 BioC Innovation Mgmt Mkt UK</t>
  </si>
  <si>
    <t>CLFF_7210$$$1756CS7063 Segment Mkt (U&amp;S)</t>
  </si>
  <si>
    <t>CLFF_7210$$$1756CS7346 PSC - TM EMEA</t>
  </si>
  <si>
    <t>CLFF_7210$$$1756OF0007</t>
  </si>
  <si>
    <t>CLFF_7210$$$1937L52686</t>
  </si>
  <si>
    <t>CLFF_7210$$$2025C01122 A&amp;F Segment Marketing Italy</t>
  </si>
  <si>
    <t>CLFF_7210$$$2063C05891 Strategy Integration</t>
  </si>
  <si>
    <t>CLFF_7210$$$2063C06245 UPSTREAM CANADA</t>
  </si>
  <si>
    <t>CLFF_7210$$$2088C00662 Regional Sales support USA PSC Upstream</t>
  </si>
  <si>
    <t>CLFF_7210$$$2088L50001</t>
  </si>
  <si>
    <t>CLFF_7210$$$2102CS0020 SFRVN cell bank cost</t>
  </si>
  <si>
    <t>CLFF_7210$$$2102CS0713 GENM - Producer Cell Lines Inventory</t>
  </si>
  <si>
    <t>CLFF_7210$$$2102OF0002</t>
  </si>
  <si>
    <t>CLFF_7210$$$2102TESZ81 Cell bank cost STL</t>
  </si>
  <si>
    <t>CLFF_7210$$$2103OF0001</t>
  </si>
  <si>
    <t>CLFF_7210$$$2123C00049 Biocontinuum Marketing</t>
  </si>
  <si>
    <t>CLFF_7210$$$2123CS0002 eCommerce business development India</t>
  </si>
  <si>
    <t>CLFF_7210$$$2123L50008</t>
  </si>
  <si>
    <t>CLFF_7210$$$2125C00005</t>
  </si>
  <si>
    <t>CLFF_7210$$$2128C00002 REG PS-FF UPS&amp;CHROM</t>
  </si>
  <si>
    <t>CLFF_7210$$$2137TPM813 Supply Chain 3813</t>
  </si>
  <si>
    <t>CLFF_7210$$$2137TPM819 Planning 3819</t>
  </si>
  <si>
    <t>CLFF_7210$$$2148L50220</t>
  </si>
  <si>
    <t>CNOW_7210$$$0000010152</t>
  </si>
  <si>
    <t>CNOW_7210$$$0000015019 PSC - Central EU (GESA)</t>
  </si>
  <si>
    <t>CNOW_7210$$$0000021383 Segment Marketing A&amp;F (US)</t>
  </si>
  <si>
    <t>CNOW_7210$$$0000025463 Marketing Ops (Upstream &amp; Systems)</t>
  </si>
  <si>
    <t>CNOW_7210$$$0000025467 Cell Culture Media Marketing</t>
  </si>
  <si>
    <t>CNOW_7210$$$0000040106 Pre-engineering &amp; design support LEAD_PS</t>
  </si>
  <si>
    <t>CNOW_7210$$$0000040459</t>
  </si>
  <si>
    <t>CNOW_7210$$$0000052155 CL - Commercial</t>
  </si>
  <si>
    <t>CNOW_7210$$$0000056127 PS Downstream Portfolio Operations</t>
  </si>
  <si>
    <t>CNOW_7210$$$0000057491</t>
  </si>
  <si>
    <t>CNOW_7210$$$0000058232</t>
  </si>
  <si>
    <t>CNOW_AUS0$$$0000091710</t>
  </si>
  <si>
    <t>CNOW_ROW$$$$0000005301</t>
  </si>
  <si>
    <t>CORAERP_MMOR1917.2686</t>
  </si>
  <si>
    <t>CORAERP_MMOR1917.9076</t>
  </si>
  <si>
    <t>CORAERP_MMOR1945.5002 BioProcessing Upstream</t>
  </si>
  <si>
    <t>CORAERP_MMOR1945.5069 Market, Competitive &amp; Sales Intel / Analytics</t>
  </si>
  <si>
    <t>CORAERP_MMOR1945.5070 BioC Marketing</t>
  </si>
  <si>
    <t>CORAERP_MMOR1945.5077 PS GSA</t>
  </si>
  <si>
    <t>CORAERP_MMOR1945.5124 BioP Process &amp; Governance</t>
  </si>
  <si>
    <t>CORAERP_MMOR1945.5246</t>
  </si>
  <si>
    <t>CORAERP_MMOR1945.5292 Marketing - Single Use</t>
  </si>
  <si>
    <t>CORAERP_MMOR1945.5299 Marketing - Hardware &amp; Systems</t>
  </si>
  <si>
    <t>CORAERP_MMOR1945.5514 Global PSC Tech Management</t>
  </si>
  <si>
    <t>CORAERP_MMOR1945.5891 Segment Marketing</t>
  </si>
  <si>
    <t>CORAERP_MMOR1945.5894 Strategy Operationalization</t>
  </si>
  <si>
    <t>CORAERP_MMOR1945.6520</t>
  </si>
  <si>
    <t>CORAERP_MMOR1945.9729 Resolution Spectra OOEI</t>
  </si>
  <si>
    <t>CORAERP_MMOR1945.L8ZU XXXBL L8 BioPharma Materials - MM - ZU</t>
  </si>
  <si>
    <t>CORAERP_MMOR1945.LR41 PS N9 Single-Use Royalty Expenses</t>
  </si>
  <si>
    <t>CORAERP_MMOR1975.5069 Market, Competitive &amp; Sales Intel / Analytics</t>
  </si>
  <si>
    <t>CORAERP_MMOR1975.5070 BioC Marketing</t>
  </si>
  <si>
    <t>CORAERP_MMOR1975.5074 BioP Upstream Business Line Headcount</t>
  </si>
  <si>
    <t>CORAERP_MMOR1975.5095 PFM Marketing GoGlobal exit</t>
  </si>
  <si>
    <t>CORAERP_MMOR1975.5140 Artemis expenses</t>
  </si>
  <si>
    <t>CORAERP_MMOR1975.5155 PS Digital Experience Management</t>
  </si>
  <si>
    <t>CORAERP_MMOR1975.5202 GENM - Cell &amp; Gene Therapy Franchise</t>
  </si>
  <si>
    <t>CORAERP_MMOR1975.5292 Marketing - Single Use</t>
  </si>
  <si>
    <t>CORAERP_MMOR1975.5299 Marketing - Hardware &amp; Systems</t>
  </si>
  <si>
    <t>CORAERP_MMOR1975.5514 Global PSC Tech Management</t>
  </si>
  <si>
    <t>CORAERP_MMOR1975.5540 PS Marketing Center Management</t>
  </si>
  <si>
    <t>CORAERP_MMOR1975.5598 Marketing - Hardware &amp; Systems</t>
  </si>
  <si>
    <t>CORAERP_MMOR1975.5891 Segment Marketing</t>
  </si>
  <si>
    <t>CORAERP_MMOR1975.5894 Strategy Operationalization</t>
  </si>
  <si>
    <t>CPHOENX_01010000102020 UPM Strategy and Execution</t>
  </si>
  <si>
    <t>CPHOENX_01010000650001 PS UPM Process Liquids &amp; Buffers</t>
  </si>
  <si>
    <t>CPHOENX_01010000681200 MM-PP Marketing Upstream</t>
  </si>
  <si>
    <t>CPHOENX_01010000687201 Bioprocessing - Marketing Operations</t>
  </si>
  <si>
    <t>CPHOENX_01010000689700 NEO-HR HO Operations - Inactive</t>
  </si>
  <si>
    <t>CPHOENX_01010000689970 Franchise 2 SU, Systems &amp; Services</t>
  </si>
  <si>
    <t>CPHOENX_01010000691801 BioProcessing Marketing Excellence</t>
  </si>
  <si>
    <t>CPHOENX_01010000699615 P&amp;FM Tech Comm.</t>
  </si>
  <si>
    <t>CPHOENX_01010000699618 PFM Management</t>
  </si>
  <si>
    <t>CPHOENX_01010000699999 UPM Strategy &amp; Execution</t>
  </si>
  <si>
    <t>CSCALA_1042$LSRG</t>
  </si>
  <si>
    <t>CTEMPEU_1000AT40MS9999 BioProcessing Marketing Segments</t>
  </si>
  <si>
    <t>CTEMPEU_1000CH70MS1105 Marketing SH</t>
  </si>
  <si>
    <t>CTEMPEU_1000CH70MS4004 Franchise 4 BioContinuum</t>
  </si>
  <si>
    <t>CTEMPEU_1000FR60101010</t>
  </si>
  <si>
    <t>CTEMPEU_1000NL40001310 SU Business Planning &amp; Implementation</t>
  </si>
  <si>
    <t>CTEMPLA_1000MX10555555</t>
  </si>
  <si>
    <t>L000013858</t>
  </si>
  <si>
    <t>L000013862</t>
  </si>
  <si>
    <t>L000013855</t>
  </si>
  <si>
    <t>L000013143</t>
  </si>
  <si>
    <t>L000011361</t>
  </si>
  <si>
    <t>L000011394</t>
  </si>
  <si>
    <t>L000013863</t>
  </si>
  <si>
    <t>L000013859</t>
  </si>
  <si>
    <t>L000012407</t>
  </si>
  <si>
    <t>L000013851</t>
  </si>
  <si>
    <t>L000013226</t>
  </si>
  <si>
    <t>L000013840</t>
  </si>
  <si>
    <t>L000013861</t>
  </si>
  <si>
    <t>L000013850</t>
  </si>
  <si>
    <t>L000011362</t>
  </si>
  <si>
    <t>L000011397</t>
  </si>
  <si>
    <t>L000013554</t>
  </si>
  <si>
    <t>L000013841</t>
  </si>
  <si>
    <t>L000006593</t>
  </si>
  <si>
    <t>L000013532</t>
  </si>
  <si>
    <t>L000011363</t>
  </si>
  <si>
    <t>L000010057</t>
  </si>
  <si>
    <t>L000011393</t>
  </si>
  <si>
    <t>L000012348</t>
  </si>
  <si>
    <t>L000013220</t>
  </si>
  <si>
    <t>L000012394</t>
  </si>
  <si>
    <t>L000012392</t>
  </si>
  <si>
    <t>L000011442</t>
  </si>
  <si>
    <t>L000013854</t>
  </si>
  <si>
    <t>L000013842</t>
  </si>
  <si>
    <t>L000013847</t>
  </si>
  <si>
    <t>L000013857</t>
  </si>
  <si>
    <t>L000013852</t>
  </si>
  <si>
    <t>FR7354787</t>
  </si>
  <si>
    <t>CLFF_1000$$$DE10639300 ONE LS ERP - EPP Services</t>
  </si>
  <si>
    <t>CLFF_1000$$$DE10650100 GER NEXT ERP IT Trav 1500</t>
  </si>
  <si>
    <t>CLFF_1000$$$DE10OF0005 T&amp;E - ONE LS ERP</t>
  </si>
  <si>
    <t>CNOW_7210$$$0000010222 US NEXT ERP IT Travel 2098</t>
  </si>
  <si>
    <t>CORAERP_MMOR1975.9770 US NX ERP IT Trav 1975</t>
  </si>
  <si>
    <t>CPHOENX_01010000639300 NEXT - IT Personnel</t>
  </si>
  <si>
    <t>CPHOENX_01010000699620 SAC Business Implementation</t>
  </si>
  <si>
    <t>L000013810</t>
  </si>
  <si>
    <t>L000013831</t>
  </si>
  <si>
    <t>L000013789</t>
  </si>
  <si>
    <t>Changes were saved for change request 25379143</t>
  </si>
  <si>
    <t>FR7356287</t>
  </si>
  <si>
    <t>CSCALA_1042$GSD Global Service Desk MBS</t>
  </si>
  <si>
    <t>CSCALA_1042$MSIS_E55</t>
  </si>
  <si>
    <t>CSCALA_1042$MSIS_O61</t>
  </si>
  <si>
    <t>CSCALA_1042$MSMS_E06</t>
  </si>
  <si>
    <t>CSCALA_1042$MSMS_E07</t>
  </si>
  <si>
    <t>CSCALA_1042$MSMS_W10</t>
  </si>
  <si>
    <t>CSCALA_1042$MSPM_C54</t>
  </si>
  <si>
    <t>PSCALA_F13</t>
  </si>
  <si>
    <t>FR7357071</t>
  </si>
  <si>
    <t>CLFF_7210$$$2102TMCZ91 LSS Global Ops Engineering</t>
  </si>
  <si>
    <t>L000013864</t>
  </si>
  <si>
    <t>CNOW_7210$$$0000268118 LSS Global Engineering - Rockville</t>
  </si>
  <si>
    <t>CNOW_7210$$$0024068118 LSS Global Engineering UK</t>
  </si>
  <si>
    <t>CORAERP_MMOR1975.2696 Engineering - LSS Global Ops</t>
  </si>
  <si>
    <t>CTEMPEU_1000FR60638000 LSS Global Ops Engineering</t>
  </si>
  <si>
    <t>FR7357987</t>
  </si>
  <si>
    <t>D00108800000000 AUO-OLED-Automotive</t>
  </si>
  <si>
    <t>P000001227</t>
  </si>
  <si>
    <t>D00124900000000 LCOS</t>
  </si>
  <si>
    <t>D00125500000000 SDC-OLED-Mobile-M17</t>
  </si>
  <si>
    <t>D00125600000000 SDC-OLED-Mobile-M17</t>
  </si>
  <si>
    <t>D00125700000000 SDC-OLED-TV-QM4</t>
  </si>
  <si>
    <t>D00125800000000 SDC-OLED-TV-QM4</t>
  </si>
  <si>
    <t>D00125900000000 SDC-OLED-IT-T4</t>
  </si>
  <si>
    <t>D00126000000000 SDC-OLED-IT-T4</t>
  </si>
  <si>
    <t>D00127500000000 SHTM-OLED-mobile-U11</t>
  </si>
  <si>
    <t>P000001231</t>
  </si>
  <si>
    <t>D00127700000000 LGD-OLED-TV-WBK</t>
  </si>
  <si>
    <t>D00127900000000 EML Application DE</t>
  </si>
  <si>
    <t>P000001126</t>
  </si>
  <si>
    <t>D00126600000000</t>
  </si>
  <si>
    <t>D00128100000000</t>
  </si>
  <si>
    <t>D00128500000000</t>
  </si>
  <si>
    <t>Changes were saved for change request 25389013</t>
  </si>
  <si>
    <t>CTEMPEU_1000TR10MS3210 MS - ISS - Oncology II</t>
  </si>
  <si>
    <t>CTEMPEU_1000TR10MS3209 MS - ISS - Neurology &amp; PK</t>
  </si>
  <si>
    <t>CTEMPEU_1000TR10MS3208 MS - ISS - Fertility &amp; En</t>
  </si>
  <si>
    <t>H000003497</t>
  </si>
  <si>
    <t>H000003501</t>
  </si>
  <si>
    <t>FR7366903</t>
  </si>
  <si>
    <t>FR7368372</t>
  </si>
  <si>
    <t>CSCALA_1820$A060_A19</t>
  </si>
  <si>
    <t>H000000393</t>
  </si>
  <si>
    <t>CSCALA_1820$A103_AM5</t>
  </si>
  <si>
    <t>CSCALA_1820$A805_AC7</t>
  </si>
  <si>
    <t>CSCALA_1820$A805_H99</t>
  </si>
  <si>
    <t>CSCALA_1820$A870 A870 ANZ Entities Cross Charge</t>
  </si>
  <si>
    <t>CSCALA_1820$Q300_E65</t>
  </si>
  <si>
    <t>FR7368448</t>
  </si>
  <si>
    <t xml:space="preserve">CNOW_7210$$$0000010311 </t>
  </si>
  <si>
    <t xml:space="preserve">CNOW_7210$$$0000057266 </t>
  </si>
  <si>
    <t xml:space="preserve">CNOW_7210$$$0000010312 </t>
  </si>
  <si>
    <t xml:space="preserve">CNOW_7210$$$0000015221 </t>
  </si>
  <si>
    <t xml:space="preserve">CNOW_7210$$$0000040962 </t>
  </si>
  <si>
    <t>L000013262</t>
  </si>
  <si>
    <t>L000009969</t>
  </si>
  <si>
    <t>L000008362</t>
  </si>
  <si>
    <t>CLFF_1000$$$DE10B45000</t>
  </si>
  <si>
    <t>L000006438</t>
  </si>
  <si>
    <t>FR7369412</t>
  </si>
  <si>
    <t>FR7365034</t>
  </si>
  <si>
    <t>CEMERAL_64016401108608 M Lab project cost collection</t>
  </si>
  <si>
    <t>L000012393</t>
  </si>
  <si>
    <t>Changes were saved for change request 25400280</t>
  </si>
  <si>
    <t>FR7368411</t>
  </si>
  <si>
    <t>H000000447</t>
  </si>
  <si>
    <t>CEMERAL_7000640399NP99</t>
  </si>
  <si>
    <t>FR7372363</t>
  </si>
  <si>
    <t>H000001589</t>
  </si>
  <si>
    <t>H000001383</t>
  </si>
  <si>
    <t>PLEAN_X310101CN5013350</t>
  </si>
  <si>
    <t>PLEAN_X310001CN5015349</t>
  </si>
  <si>
    <t>PLEAN_X310001CN5015350</t>
  </si>
  <si>
    <t>PLEAN_X310001CN5015351</t>
  </si>
  <si>
    <t>PLEAN_X310941CN5013012</t>
  </si>
  <si>
    <t>PLEAN_X310331CN5015202</t>
  </si>
  <si>
    <t>PTEMPNA_US201PIOSCCRAPR98</t>
  </si>
  <si>
    <t>H000003677</t>
  </si>
  <si>
    <t>FR7372650</t>
  </si>
  <si>
    <t>Rizza Tolentino</t>
  </si>
  <si>
    <t>FR7372864</t>
  </si>
  <si>
    <t>CTEMPEU_1000GB10005454 Oncology Erbitux</t>
  </si>
  <si>
    <t>CSCALA_1082$12_999</t>
  </si>
  <si>
    <t>CSCALA_1082$4012_114</t>
  </si>
  <si>
    <t>CSCALA_1082$4012_303</t>
  </si>
  <si>
    <t>CSCALA_1082$4901_303</t>
  </si>
  <si>
    <t>CSCALA_1082$10_503</t>
  </si>
  <si>
    <t>CSCALA_1082$4901_214</t>
  </si>
  <si>
    <t>CSCALA_1082$4012_301</t>
  </si>
  <si>
    <t>CSCALA_1082$4012_314</t>
  </si>
  <si>
    <t>CSCALA_1082$0000004008</t>
  </si>
  <si>
    <t>CSCALA_1872$70_C68</t>
  </si>
  <si>
    <t>CSCALA_1203$2004_HP1</t>
  </si>
  <si>
    <t>CSCALA_1785$100_310</t>
  </si>
  <si>
    <t>CSCALA_1082$4901_116</t>
  </si>
  <si>
    <t>CSCALA_1082$0000000021 Evija Buksa</t>
  </si>
  <si>
    <t>CSCALA_1785$610_110</t>
  </si>
  <si>
    <t>PLEAN_X310181DK5013201 Bavencio Commercial DK50 Congress &amp; Even</t>
  </si>
  <si>
    <t>PLEAN_X310181FI5013201 Bavencio Commercial FI50 Congress &amp; Even</t>
  </si>
  <si>
    <t>PLEAN_X310181FI5015201 Bavencio Commercial FI50 Other Promo and</t>
  </si>
  <si>
    <t>PLEAN_X310181FI5030201 Bavencio Commercial FI50 Other M&amp;S Regis</t>
  </si>
  <si>
    <t>PLEAN_X310181NO5011201 Bavencio Commercial NO50 Advertising Gen</t>
  </si>
  <si>
    <t>PLEAN_X310181NO5013201 Bavencio Commercial NO50 Congress &amp; Even</t>
  </si>
  <si>
    <t>PLEAN_X310181NO5030201 Bavencio Commercial NO50 Other M&amp;S Regis</t>
  </si>
  <si>
    <t>PLEAN_X310182DK5020201 Bavencio Medical Non R&amp;D DK50 Medical Ed</t>
  </si>
  <si>
    <t>PLEAN_X310941FI5011201 Tepmetko Commercial FI50 Advertising Gen</t>
  </si>
  <si>
    <t>PLEAN_X310941FI5030201 Tepmetko Commercial FI50 Other M&amp;S Regis</t>
  </si>
  <si>
    <t>PLEAN_X310942FI5023201 Tepmetko Medical Non R&amp;D FI50 Other Medi</t>
  </si>
  <si>
    <t>CSCALA_1872$70_C40</t>
  </si>
  <si>
    <t>PLEAN_X310201FI5011201 Fertility Commercial FI50 Advertising Ge</t>
  </si>
  <si>
    <t>PLEAN_X310201FI5015201 Fertility Commercial FI50 Other Promo an</t>
  </si>
  <si>
    <t>PLEAN_X310201FI5030201 Fertility Commercial FI50 Other M&amp;S Regi</t>
  </si>
  <si>
    <t>PLEAN_X310201NO5013201 Fertility Commercial NO50 Congress &amp; Eve</t>
  </si>
  <si>
    <t>PLEAN_X310201NO5015201 Fertility Commercial NO50 Other Promo an</t>
  </si>
  <si>
    <t>PLEAN_X310201NO5030201 Fertility Commercial NO50 Other M&amp;S Regi</t>
  </si>
  <si>
    <t>PLEAN_X310301FI5030201 Gluco Commercial FI50 Other M&amp;S Registra</t>
  </si>
  <si>
    <t>PLEAN_X310401FI5011201 Saizen Commercial FI50 Advertising Gener</t>
  </si>
  <si>
    <t>PLEAN_X310401FI5013201 Saizen Commercial FI50 Congress &amp; Events</t>
  </si>
  <si>
    <t>PLEAN_X310401FI5015201 Saizen Commercial FI50 Other Promo and A</t>
  </si>
  <si>
    <t>PLEAN_X310401FI5030201 Saizen Commercial FI50 Other M&amp;S Registr</t>
  </si>
  <si>
    <t>PLEAN_X310511DK5013201 Mavenclad Commercial DK50 Congress &amp; Eve</t>
  </si>
  <si>
    <t>PLEAN_X310511FI5010201 Mavenclad Commercial FI50 Promo Material</t>
  </si>
  <si>
    <t>PLEAN_X310511FI5011201 Mavenclad Commercial FI50 Advertising Ge</t>
  </si>
  <si>
    <t>PLEAN_X310511FI5013201 Mavenclad Commercial FI50 Congress &amp; Eve</t>
  </si>
  <si>
    <t>PLEAN_X310511FI5015201 Mavenclad Commercial FI50 Other Promo an</t>
  </si>
  <si>
    <t>PLEAN_X310511FI5030201 Mavenclad Commercial FI50 Other M&amp;S Regi</t>
  </si>
  <si>
    <t>PLEAN_X310511NO5013201 Mavenclad Commercial NO50 Congress &amp; Eve</t>
  </si>
  <si>
    <t>PLEAN_X310511NO5015201 Mavenclad Commercial NO50 Other Promo an</t>
  </si>
  <si>
    <t>PLEAN_X310511NO5030201 Mavenclad Commercial NO50 Other M&amp;S Regi</t>
  </si>
  <si>
    <t>PLEAN_X310513FI5023201 Mavenclad Local R&amp;D FI50 Clinical Study</t>
  </si>
  <si>
    <t>CSCALA_1872$100_C20</t>
  </si>
  <si>
    <t>PLEAN_X310181CH7630200 Local R&amp;D Regulatory Bavencio</t>
  </si>
  <si>
    <t>PLEAN_X310401CH7610200 END COM Promo (Prints, Mailings, Ads)</t>
  </si>
  <si>
    <t>CSCALA_1022$521_SPC</t>
  </si>
  <si>
    <t>PLEAN_X310132CH7630203 Local R&amp;D Regulatory Tepmetko</t>
  </si>
  <si>
    <t>PLEAN_X310201CH6843343 Fertility Award 2024 CH</t>
  </si>
  <si>
    <t>PLEAN_X310401CH7613200 END COM Sponsorings &amp; Events (inkl. WB)</t>
  </si>
  <si>
    <t>PLEAN_X310161CH7630200 BAV COM MAP activities</t>
  </si>
  <si>
    <t>CSCALA_1022$ONB_SER</t>
  </si>
  <si>
    <t>CSCALA_1022$FST_PRM</t>
  </si>
  <si>
    <t>PLEAN_X310201CH7613201 FER Family Forward</t>
  </si>
  <si>
    <t>PLEAN_X310513CH7643201 Medical Research Grant 1300003225</t>
  </si>
  <si>
    <t>PLEAN_X310181CZ5010201 Bavencio Commercial CZ50 Promo Material</t>
  </si>
  <si>
    <t>PLEAN_X310181CZ5013203 Bavencio Commercial CZ50 Congress &amp; Even</t>
  </si>
  <si>
    <t>PLEAN_X310181CZ5013205 Bavencio Commercial CZ50 Congress &amp; Even</t>
  </si>
  <si>
    <t>PLEAN_X310181CZ5015201 Bavencio Commercial CZ50 Other Promo and</t>
  </si>
  <si>
    <t>PLEAN_X310181CZ5030201 Bavencio Commercial CZ50 Other M&amp;S Regis</t>
  </si>
  <si>
    <t>PLEAN_X310182CZ5020202 Bavencio Medical Non R&amp;D CZ50 Medical Ed</t>
  </si>
  <si>
    <t>PLEAN_X310182CZ5020203 Bavencio Medical Non R&amp;D CZ50 Medical Ed</t>
  </si>
  <si>
    <t>PLEAN_X310182CZ5020206 Bavencio Medical Non R&amp;D CZ50 Medical Ed</t>
  </si>
  <si>
    <t>PLEAN_X310182CZ5022201 Bavencio Medical Non R&amp;D CZ50 Medical Co</t>
  </si>
  <si>
    <t>PLEAN_X310361CZ5030201 GM Sante Commercial CZ50 Other M&amp;S Regis</t>
  </si>
  <si>
    <t>PLEAN_X310941CZ5010201 Tepmetko Commercial CZ50 Promo Material</t>
  </si>
  <si>
    <t>PLEAN_X310942CZ5020203 Tepmetko Medical Non R&amp;D CZ50 Medical Ed</t>
  </si>
  <si>
    <t>PLEAN_X310942CZ5023201 Tepmetko Medical Non R&amp;D CZ50 Other Medi</t>
  </si>
  <si>
    <t>PLEAN_X310201CZ5010201 Fertility Commercial CZ50 Promo Material</t>
  </si>
  <si>
    <t>PLEAN_X310201CZ5013204 Fertility Commercial CZ50 Congress &amp; Eve</t>
  </si>
  <si>
    <t>PLEAN_X310201CZ5015201 Fertility Commercial CZ50 Other Promo an</t>
  </si>
  <si>
    <t>PLEAN_X310201CZ5030201 Fertility Commercial CZ50 Other M&amp;S Regi</t>
  </si>
  <si>
    <t>PLEAN_X310301CZ5010201 Gluco Commercial CZ50 Promo Material Gen</t>
  </si>
  <si>
    <t>PLEAN_X310301CZ5013204 Gluco Commercial CZ50 Congress &amp; Events</t>
  </si>
  <si>
    <t>PLEAN_X310301CZ5013205 Gluco Commercial CZ50 Congress &amp; Events</t>
  </si>
  <si>
    <t>PLEAN_X310301CZ5015205 Gluco Commercial CZ50 Other Promo and Ad</t>
  </si>
  <si>
    <t>PLEAN_X310301CZ5030201 Gluco Commercial CZ50 Other M&amp;S Registra</t>
  </si>
  <si>
    <t>PLEAN_X310351CZ5030201 GM KGAA Commercial CZ50 Other M&amp;S Regist</t>
  </si>
  <si>
    <t>PLEAN_X310401CZ5010201 Saizen Commercial CZ50 Promo Material Ge</t>
  </si>
  <si>
    <t>PLEAN_X310401CZ5011201 Saizen Commercial CZ50 Advertising Gener</t>
  </si>
  <si>
    <t>PLEAN_X310401CZ5013202 Saizen Commercial CZ50 Congress &amp; Events</t>
  </si>
  <si>
    <t>PLEAN_X310401CZ5013204 Saizen Commercial CZ50 Congress &amp; Events</t>
  </si>
  <si>
    <t>PLEAN_X310401CZ5015201 Saizen Commercial CZ50 Other Promo and A</t>
  </si>
  <si>
    <t>PLEAN_X310401CZ5030201 Saizen Commercial CZ50 Other M&amp;S Registr</t>
  </si>
  <si>
    <t>PLEAN_X310511CZ5011201 Mavenclad Commercial CZ50 Advertising Ge</t>
  </si>
  <si>
    <t>PLEAN_X310511CZ5013201 Mavenclad Commercial CZ50 Congress &amp; Eve</t>
  </si>
  <si>
    <t>PLEAN_X310511CZ5013202 Mavenclad Commercial CZ50 Congress &amp; Eve</t>
  </si>
  <si>
    <t>PLEAN_X310511CZ5013203 Mavenclad Commercial CZ50 Congress &amp; Eve</t>
  </si>
  <si>
    <t>PLEAN_X310511CZ5013205 Mavenclad Commercial CZ50 Congress &amp; Eve</t>
  </si>
  <si>
    <t>PLEAN_X310511CZ5015201 Mavenclad Commercial CZ50 Other Promo an</t>
  </si>
  <si>
    <t>PLEAN_X310511CZ5030201 Mavenclad Commercial CZ50 Other M&amp;S Regi</t>
  </si>
  <si>
    <t>PLEAN_X310942CZ5020206 Tepmetko Medical Non R&amp;D CZ50 Medical Ed</t>
  </si>
  <si>
    <t>H000000203</t>
  </si>
  <si>
    <t>H000000224</t>
  </si>
  <si>
    <t>H000001986</t>
  </si>
  <si>
    <t>H000002010</t>
  </si>
  <si>
    <t>H000001997</t>
  </si>
  <si>
    <t>H000002151</t>
  </si>
  <si>
    <t>H000002150</t>
  </si>
  <si>
    <t>H000001985</t>
  </si>
  <si>
    <t>FR7372904</t>
  </si>
  <si>
    <t>CSCALA_1086$4901_504</t>
  </si>
  <si>
    <t>CSCALA_1759$B992</t>
  </si>
  <si>
    <t>CSCALA_1759$B993</t>
  </si>
  <si>
    <t>CSCALA_1759$B994</t>
  </si>
  <si>
    <t>CSCALA_1759$B997</t>
  </si>
  <si>
    <t>CSCALA_1759$B990</t>
  </si>
  <si>
    <t>CSCALA_1759$B991</t>
  </si>
  <si>
    <t>CSCALA_1759$B995</t>
  </si>
  <si>
    <t>CSCALA_1759$B996</t>
  </si>
  <si>
    <t>CSCALA_1759$R030</t>
  </si>
  <si>
    <t>CSCALA_1759$R031</t>
  </si>
  <si>
    <t>CSCALA_1759$R032</t>
  </si>
  <si>
    <t>CSCALA_1759$B276</t>
  </si>
  <si>
    <t>CSCALA_1759$B44</t>
  </si>
  <si>
    <t>CSCALA_1759$B45</t>
  </si>
  <si>
    <t>CSCALA_1759$B46</t>
  </si>
  <si>
    <t>CSCALA_1759$B674</t>
  </si>
  <si>
    <t>CSCALA_1759$B998</t>
  </si>
  <si>
    <t>CSCALA_1759$B999</t>
  </si>
  <si>
    <t>CSCALA_1759$O455</t>
  </si>
  <si>
    <t>CSCALA_1759$O515</t>
  </si>
  <si>
    <t>CSCALA_1759$O880</t>
  </si>
  <si>
    <t>CSCALA_1759$F200</t>
  </si>
  <si>
    <t>CSCALA_1759$F810</t>
  </si>
  <si>
    <t>CSCALA_1759$F811</t>
  </si>
  <si>
    <t>CSCALA_1759$F812</t>
  </si>
  <si>
    <t>CSCALA_1759$F813</t>
  </si>
  <si>
    <t>CSCALA_1759$F814</t>
  </si>
  <si>
    <t>CSCALA_1759$F816</t>
  </si>
  <si>
    <t>CSCALA_1759$C181</t>
  </si>
  <si>
    <t>CSCALA_1759$C182</t>
  </si>
  <si>
    <t>CSCALA_1759$C183</t>
  </si>
  <si>
    <t>CSCALA_1759$C185</t>
  </si>
  <si>
    <t>CSCALA_1759$C186</t>
  </si>
  <si>
    <t>CSCALA_1759$C188</t>
  </si>
  <si>
    <t>CSCALA_1759$C189</t>
  </si>
  <si>
    <t>CSCALA_1759$C190</t>
  </si>
  <si>
    <t>CSCALA_1759$C191</t>
  </si>
  <si>
    <t>CSCALA_1759$C193</t>
  </si>
  <si>
    <t>CSCALA_1759$C194</t>
  </si>
  <si>
    <t>CSCALA_1759$C195</t>
  </si>
  <si>
    <t>CSCALA_1759$C196</t>
  </si>
  <si>
    <t>CSCALA_1759$C184</t>
  </si>
  <si>
    <t>CSCALA_1759$C187</t>
  </si>
  <si>
    <t>CSCALA_1759$C192</t>
  </si>
  <si>
    <t>CSCALA_1759$C180</t>
  </si>
  <si>
    <t>CSCALA_1759$F221</t>
  </si>
  <si>
    <t>CSCALA_1759$O658</t>
  </si>
  <si>
    <t>PSCALA_205 ASCO/ESMO evening meeting, NorNe Ea</t>
  </si>
  <si>
    <t>CSCALA_1086$4901_516</t>
  </si>
  <si>
    <t>CSCALA_1759$B62</t>
  </si>
  <si>
    <t>CSCALA_1759$O537</t>
  </si>
  <si>
    <t>CSCALA_1759$F270</t>
  </si>
  <si>
    <t>CSCALA_1759$F817</t>
  </si>
  <si>
    <t>CSCALA_1759$F818</t>
  </si>
  <si>
    <t>CSCALA_1759$F819</t>
  </si>
  <si>
    <t>CSCALA_1759$F820</t>
  </si>
  <si>
    <t>CSCALA_1759$F821</t>
  </si>
  <si>
    <t>CSCALA_1759$F822</t>
  </si>
  <si>
    <t>CSCALA_1759$F823</t>
  </si>
  <si>
    <t>CSCALA_1759$F824</t>
  </si>
  <si>
    <t>CSCALA_1759$F825</t>
  </si>
  <si>
    <t>CSCALA_1759$F890</t>
  </si>
  <si>
    <t>CSCALA_1759$C197</t>
  </si>
  <si>
    <t>CSCALA_1759$C199</t>
  </si>
  <si>
    <t>CSCALA_1759$C200</t>
  </si>
  <si>
    <t>CSCALA_1759$C198</t>
  </si>
  <si>
    <t>CSCALA_1759$C201</t>
  </si>
  <si>
    <t>CSCALA_1759$N318</t>
  </si>
  <si>
    <t>CSCALA_1759$N323</t>
  </si>
  <si>
    <t>CSCALA_1759$R033</t>
  </si>
  <si>
    <t>CSCALA_1759$R043</t>
  </si>
  <si>
    <t>CSCALA_1759$R044</t>
  </si>
  <si>
    <t>CSCALA_1759$R045</t>
  </si>
  <si>
    <t>CSCALA_1759$R046</t>
  </si>
  <si>
    <t>CSCALA_1759$R047</t>
  </si>
  <si>
    <t>CSCALA_1759$R048</t>
  </si>
  <si>
    <t>CSCALA_1759$R049</t>
  </si>
  <si>
    <t>CSCALA_1759$R050</t>
  </si>
  <si>
    <t>CSCALA_1759$R051</t>
  </si>
  <si>
    <t>CSCALA_1759$R052</t>
  </si>
  <si>
    <t>CSCALA_1759$R053</t>
  </si>
  <si>
    <t>CSCALA_1025$6114_Y04</t>
  </si>
  <si>
    <t>CSCALA_1025$8114_Y04</t>
  </si>
  <si>
    <t>CSCALA_1025$AMI4_Y04</t>
  </si>
  <si>
    <t>CSCALA_1759$ACCR</t>
  </si>
  <si>
    <t>CSCALA_1759$E018</t>
  </si>
  <si>
    <t>CSCALA_1759$E019</t>
  </si>
  <si>
    <t>CSCALA_1759$E017</t>
  </si>
  <si>
    <t>CSCALA_1759$E026</t>
  </si>
  <si>
    <t>CSCALA_1759$O519</t>
  </si>
  <si>
    <t>CSCALA_1025$6112_Y04</t>
  </si>
  <si>
    <t>CSCALA_1759$E020</t>
  </si>
  <si>
    <t>CSCALA_1759$E021</t>
  </si>
  <si>
    <t>CSCALA_1759$E022</t>
  </si>
  <si>
    <t>CSCALA_1759$E023</t>
  </si>
  <si>
    <t>CSCALA_1759$E024</t>
  </si>
  <si>
    <t>CSCALA_1759$E025</t>
  </si>
  <si>
    <t>CSCALA_1759$O469</t>
  </si>
  <si>
    <t>CSCALA_1759$F522</t>
  </si>
  <si>
    <t>CSCALA_1759$F891</t>
  </si>
  <si>
    <t>CSCALA_1759$F892</t>
  </si>
  <si>
    <t>CSCALA_1759$C202</t>
  </si>
  <si>
    <t>CSCALA_1025$5111_E82</t>
  </si>
  <si>
    <t>CSCALA_1759$R080</t>
  </si>
  <si>
    <t>CSCALA_1025$6113_Y04</t>
  </si>
  <si>
    <t>CSCALA_1759$N256</t>
  </si>
  <si>
    <t>CSCALA_1759$N99</t>
  </si>
  <si>
    <t>CSCALA_1759$R034</t>
  </si>
  <si>
    <t>CSCALA_1759$R035</t>
  </si>
  <si>
    <t>CSCALA_1759$R036</t>
  </si>
  <si>
    <t>CSCALA_1759$R037</t>
  </si>
  <si>
    <t>CSCALA_1759$R038</t>
  </si>
  <si>
    <t>CSCALA_1759$R039</t>
  </si>
  <si>
    <t>CSCALA_1759$R040</t>
  </si>
  <si>
    <t>CSCALA_1759$R041</t>
  </si>
  <si>
    <t>CSCALA_1759$R042</t>
  </si>
  <si>
    <t>CSCALA_1759$R064</t>
  </si>
  <si>
    <t>CSCALA_1759$R065</t>
  </si>
  <si>
    <t>CSCALA_1759$R066</t>
  </si>
  <si>
    <t>CSCALA_1759$R067</t>
  </si>
  <si>
    <t>CSCALA_1759$R068</t>
  </si>
  <si>
    <t>CSCALA_1759$R069</t>
  </si>
  <si>
    <t>CSCALA_1759$R070</t>
  </si>
  <si>
    <t>CSCALA_1759$R071</t>
  </si>
  <si>
    <t>CSCALA_1759$R072</t>
  </si>
  <si>
    <t>CSCALA_1759$R073</t>
  </si>
  <si>
    <t>CSCALA_1759$R074</t>
  </si>
  <si>
    <t>CSCALA_1759$R075</t>
  </si>
  <si>
    <t>CSCALA_1759$R076</t>
  </si>
  <si>
    <t>CSCALA_1759$R077</t>
  </si>
  <si>
    <t>CSCALA_1759$R078</t>
  </si>
  <si>
    <t>CSCALA_1759$R079</t>
  </si>
  <si>
    <t>PSCALA_E80 MYSG Growth Speaker Tour</t>
  </si>
  <si>
    <t>CSCALA_1025$5111_E84</t>
  </si>
  <si>
    <t>CSCALA_1759$FEVL</t>
  </si>
  <si>
    <t>CSCALA_1759$TUST</t>
  </si>
  <si>
    <t>CSCALA_1759$E060</t>
  </si>
  <si>
    <t>CSCALA_1759$E079</t>
  </si>
  <si>
    <t>CSCALA_1759$E081</t>
  </si>
  <si>
    <t>CSCALA_1759$E080</t>
  </si>
  <si>
    <t>CSCALA_1759$E082</t>
  </si>
  <si>
    <t>CSCALA_1759$E027</t>
  </si>
  <si>
    <t>CSCALA_1759$E028</t>
  </si>
  <si>
    <t>CSCALA_1759$E029</t>
  </si>
  <si>
    <t>CSCALA_1759$E030</t>
  </si>
  <si>
    <t>CSCALA_1759$E031</t>
  </si>
  <si>
    <t>CSCALA_1759$E032</t>
  </si>
  <si>
    <t>CSCALA_1759$E033</t>
  </si>
  <si>
    <t>CSCALA_1759$E034</t>
  </si>
  <si>
    <t>CSCALA_1759$E035</t>
  </si>
  <si>
    <t>CSCALA_1759$E036</t>
  </si>
  <si>
    <t>CSCALA_1759$E037</t>
  </si>
  <si>
    <t>CSCALA_1759$E038</t>
  </si>
  <si>
    <t>CSCALA_1759$E039</t>
  </si>
  <si>
    <t>CSCALA_1759$E040</t>
  </si>
  <si>
    <t>CSCALA_1759$E041</t>
  </si>
  <si>
    <t>CSCALA_1759$E042</t>
  </si>
  <si>
    <t>CSCALA_1759$E043</t>
  </si>
  <si>
    <t>CSCALA_1759$E044</t>
  </si>
  <si>
    <t>CSCALA_1759$E045</t>
  </si>
  <si>
    <t>CSCALA_1759$E046</t>
  </si>
  <si>
    <t>CSCALA_1759$E047</t>
  </si>
  <si>
    <t>CSCALA_1759$E048</t>
  </si>
  <si>
    <t>CSCALA_1759$E049</t>
  </si>
  <si>
    <t>CSCALA_1759$E050</t>
  </si>
  <si>
    <t>CSCALA_1759$E051</t>
  </si>
  <si>
    <t>CSCALA_1759$E052</t>
  </si>
  <si>
    <t>CSCALA_1759$E053</t>
  </si>
  <si>
    <t>CSCALA_1759$E054</t>
  </si>
  <si>
    <t>CSCALA_1759$E055</t>
  </si>
  <si>
    <t>CSCALA_1759$E056</t>
  </si>
  <si>
    <t>CSCALA_1759$E057</t>
  </si>
  <si>
    <t>CSCALA_1759$E058</t>
  </si>
  <si>
    <t>CSCALA_1759$E059</t>
  </si>
  <si>
    <t>CSCALA_1759$E061</t>
  </si>
  <si>
    <t>CSCALA_1759$E062</t>
  </si>
  <si>
    <t>CSCALA_1759$E063</t>
  </si>
  <si>
    <t>CSCALA_1759$E064</t>
  </si>
  <si>
    <t>CSCALA_1759$E065</t>
  </si>
  <si>
    <t>CSCALA_1759$E066</t>
  </si>
  <si>
    <t>CSCALA_1759$E067</t>
  </si>
  <si>
    <t>CSCALA_1759$E068</t>
  </si>
  <si>
    <t>CSCALA_1759$E069</t>
  </si>
  <si>
    <t>CSCALA_1759$E070</t>
  </si>
  <si>
    <t>CSCALA_1759$E071</t>
  </si>
  <si>
    <t>CSCALA_1759$E072</t>
  </si>
  <si>
    <t>CSCALA_1759$E073</t>
  </si>
  <si>
    <t>CSCALA_1759$E074</t>
  </si>
  <si>
    <t>CSCALA_1759$E075</t>
  </si>
  <si>
    <t>CSCALA_1759$E076</t>
  </si>
  <si>
    <t>CSCALA_1759$E077</t>
  </si>
  <si>
    <t>CSCALA_1759$E078</t>
  </si>
  <si>
    <t>CSCALA_1759$F893</t>
  </si>
  <si>
    <t>CSCALA_1759$C203</t>
  </si>
  <si>
    <t>CSCALA_1759$C204</t>
  </si>
  <si>
    <t>CSCALA_1759$G208</t>
  </si>
  <si>
    <t>CSCALA_1759$M002</t>
  </si>
  <si>
    <t>CSCALA_1759$R081</t>
  </si>
  <si>
    <t>CSCALA_1025$6113_V40</t>
  </si>
  <si>
    <t>CSCALA_1759$R082</t>
  </si>
  <si>
    <t>CSCALA_1759$R083</t>
  </si>
  <si>
    <t>CSCALA_1759$R084</t>
  </si>
  <si>
    <t>CSCALA_1759$G573</t>
  </si>
  <si>
    <t>CSCALA_1759$O048</t>
  </si>
  <si>
    <t>CSCALA_1025$8111_V40</t>
  </si>
  <si>
    <t>CSCALA_1025$8111_Y04</t>
  </si>
  <si>
    <t>CSCALA_1025$COMP_Y04</t>
  </si>
  <si>
    <t>CSCALA_1759$MAPP</t>
  </si>
  <si>
    <t>CSCALA_1759$E083</t>
  </si>
  <si>
    <t>CSCALA_1759$E163</t>
  </si>
  <si>
    <t>CSCALA_1759$E158</t>
  </si>
  <si>
    <t>CSCALA_1759$E084</t>
  </si>
  <si>
    <t>CSCALA_1759$E085</t>
  </si>
  <si>
    <t>CSCALA_1759$E086</t>
  </si>
  <si>
    <t>CSCALA_1759$E087</t>
  </si>
  <si>
    <t>CSCALA_1759$E088</t>
  </si>
  <si>
    <t>CSCALA_1759$E089</t>
  </si>
  <si>
    <t>CSCALA_1759$E090</t>
  </si>
  <si>
    <t>CSCALA_1759$E091</t>
  </si>
  <si>
    <t>CSCALA_1759$E093</t>
  </si>
  <si>
    <t>CSCALA_1759$E094</t>
  </si>
  <si>
    <t>CSCALA_1759$E095</t>
  </si>
  <si>
    <t>CSCALA_1759$E096</t>
  </si>
  <si>
    <t>CSCALA_1759$E097</t>
  </si>
  <si>
    <t>CSCALA_1759$E098</t>
  </si>
  <si>
    <t>CSCALA_1759$E099</t>
  </si>
  <si>
    <t>CSCALA_1759$E100</t>
  </si>
  <si>
    <t>CSCALA_1759$E101</t>
  </si>
  <si>
    <t>CSCALA_1759$E102</t>
  </si>
  <si>
    <t>CSCALA_1759$E103</t>
  </si>
  <si>
    <t>CSCALA_1759$E104</t>
  </si>
  <si>
    <t>CSCALA_1759$E105</t>
  </si>
  <si>
    <t>CSCALA_1759$E106</t>
  </si>
  <si>
    <t>CSCALA_1759$E107</t>
  </si>
  <si>
    <t>CSCALA_1759$E108</t>
  </si>
  <si>
    <t>CSCALA_1759$E109</t>
  </si>
  <si>
    <t>CSCALA_1759$E110</t>
  </si>
  <si>
    <t>CSCALA_1759$E111</t>
  </si>
  <si>
    <t>CSCALA_1759$E112</t>
  </si>
  <si>
    <t>CSCALA_1759$E113</t>
  </si>
  <si>
    <t>CSCALA_1759$E114</t>
  </si>
  <si>
    <t>CSCALA_1759$E115</t>
  </si>
  <si>
    <t>CSCALA_1759$E116</t>
  </si>
  <si>
    <t>CSCALA_1759$E117</t>
  </si>
  <si>
    <t>CSCALA_1759$E118</t>
  </si>
  <si>
    <t>CSCALA_1759$E119</t>
  </si>
  <si>
    <t>CSCALA_1759$E120</t>
  </si>
  <si>
    <t>CSCALA_1759$E121</t>
  </si>
  <si>
    <t>CSCALA_1759$E122</t>
  </si>
  <si>
    <t>CSCALA_1759$E123</t>
  </si>
  <si>
    <t>CSCALA_1759$E124</t>
  </si>
  <si>
    <t>CSCALA_1759$E125</t>
  </si>
  <si>
    <t>CSCALA_1759$E126</t>
  </si>
  <si>
    <t>CSCALA_1759$E127</t>
  </si>
  <si>
    <t>CSCALA_1759$E128</t>
  </si>
  <si>
    <t>CSCALA_1759$E129</t>
  </si>
  <si>
    <t>CSCALA_1759$E130</t>
  </si>
  <si>
    <t>CSCALA_1759$E131</t>
  </si>
  <si>
    <t>CSCALA_1759$E132</t>
  </si>
  <si>
    <t>CSCALA_1759$E133</t>
  </si>
  <si>
    <t>CSCALA_1759$E134</t>
  </si>
  <si>
    <t>CSCALA_1759$E135</t>
  </si>
  <si>
    <t>CSCALA_1759$E136</t>
  </si>
  <si>
    <t>CSCALA_1759$E137</t>
  </si>
  <si>
    <t>CSCALA_1759$E138</t>
  </si>
  <si>
    <t>CSCALA_1759$E139</t>
  </si>
  <si>
    <t>CSCALA_1759$E140</t>
  </si>
  <si>
    <t>CSCALA_1759$E141</t>
  </si>
  <si>
    <t>CSCALA_1759$E142</t>
  </si>
  <si>
    <t>CSCALA_1759$E143</t>
  </si>
  <si>
    <t>CSCALA_1759$E144</t>
  </si>
  <si>
    <t>CSCALA_1759$E145</t>
  </si>
  <si>
    <t>CSCALA_1759$E146</t>
  </si>
  <si>
    <t>CSCALA_1759$E147</t>
  </si>
  <si>
    <t>CSCALA_1759$E148</t>
  </si>
  <si>
    <t>CSCALA_1759$E150</t>
  </si>
  <si>
    <t>CSCALA_1759$E151</t>
  </si>
  <si>
    <t>CSCALA_1759$E152</t>
  </si>
  <si>
    <t>CSCALA_1759$E153</t>
  </si>
  <si>
    <t>CSCALA_1759$E154</t>
  </si>
  <si>
    <t>CSCALA_1759$E155</t>
  </si>
  <si>
    <t>CSCALA_1759$E156</t>
  </si>
  <si>
    <t>CSCALA_1759$E157</t>
  </si>
  <si>
    <t>CSCALA_1759$E159</t>
  </si>
  <si>
    <t>CSCALA_1759$E160</t>
  </si>
  <si>
    <t>CSCALA_1759$E92</t>
  </si>
  <si>
    <t>CSCALA_1759$F028</t>
  </si>
  <si>
    <t>CSCALA_1759$F894</t>
  </si>
  <si>
    <t>CSCALA_1759$F895</t>
  </si>
  <si>
    <t>CSCALA_1759$F896</t>
  </si>
  <si>
    <t>CSCALA_1759$F897</t>
  </si>
  <si>
    <t>CSCALA_1759$F898</t>
  </si>
  <si>
    <t>CSCALA_1759$F899</t>
  </si>
  <si>
    <t>CSCALA_1759$F900</t>
  </si>
  <si>
    <t>CSCALA_1759$F901</t>
  </si>
  <si>
    <t>CSCALA_1759$F902</t>
  </si>
  <si>
    <t>CSCALA_1759$F903</t>
  </si>
  <si>
    <t>CSCALA_1759$F904</t>
  </si>
  <si>
    <t>CSCALA_1025$5111_E85</t>
  </si>
  <si>
    <t>CSCALA_1759$ALIS</t>
  </si>
  <si>
    <t>CSCALA_1759$N009</t>
  </si>
  <si>
    <t>CSCALA_1759$N229</t>
  </si>
  <si>
    <t>CSCALA_1759$O016</t>
  </si>
  <si>
    <t>CSCALA_1759$R063</t>
  </si>
  <si>
    <t>CSCALA_1759$R085</t>
  </si>
  <si>
    <t>CSCALA_1759$R086</t>
  </si>
  <si>
    <t>CSCALA_1759$R087</t>
  </si>
  <si>
    <t>CSCALA_1759$R088</t>
  </si>
  <si>
    <t>CSCALA_1759$R089</t>
  </si>
  <si>
    <t>CSCALA_1759$R090</t>
  </si>
  <si>
    <t>CSCALA_1759$R091</t>
  </si>
  <si>
    <t>CSCALA_1759$R092</t>
  </si>
  <si>
    <t>CSCALA_1759$R093</t>
  </si>
  <si>
    <t>CSCALA_1759$F105</t>
  </si>
  <si>
    <t>CSCALA_1759$G592</t>
  </si>
  <si>
    <t>CSCALA_1759$O683</t>
  </si>
  <si>
    <t>CSCALA_1025$8112_E21</t>
  </si>
  <si>
    <t>H000002302</t>
  </si>
  <si>
    <t>H000002337</t>
  </si>
  <si>
    <t>H000003613</t>
  </si>
  <si>
    <t>H000003615</t>
  </si>
  <si>
    <t>PROBLEM NODE WAS DELETED; FR6291121</t>
  </si>
  <si>
    <t>PSCALA_.205 Printed Matter</t>
  </si>
  <si>
    <t>CEMERAL_7000640399NP99 NPP Japan APAC cross charge</t>
  </si>
  <si>
    <t>Object's under Trash</t>
  </si>
  <si>
    <t>FR7374774</t>
  </si>
  <si>
    <t>CORAERP_MMOR1975.4169 LSS Operations (Global)</t>
  </si>
  <si>
    <t>FR7375562</t>
  </si>
  <si>
    <t>CLFF_1000$$$CZ50GIT01D</t>
  </si>
  <si>
    <t>CLFF_1000$$$CZ50GM1000</t>
  </si>
  <si>
    <t>CLFF_1000$$$CZ50GIT01M</t>
  </si>
  <si>
    <t>CLFF_1000$$$CZ50OF0007</t>
  </si>
  <si>
    <t>H000000007</t>
  </si>
  <si>
    <t>Changes were saved for change request 25408363</t>
  </si>
  <si>
    <t>FR7376495</t>
  </si>
  <si>
    <t>CLFF_1000$$$CH75GIT060</t>
  </si>
  <si>
    <t>CLFF_1000$$$DE10653700</t>
  </si>
  <si>
    <t>CNOW_7210$$$0000015456</t>
  </si>
  <si>
    <t>CNOW_7210$$$0000010273</t>
  </si>
  <si>
    <t>CNOW_7210$$$0000031701</t>
  </si>
  <si>
    <t>CNOW_7210$$$0000059608</t>
  </si>
  <si>
    <t>Changes were saved for change request 25408693</t>
  </si>
  <si>
    <t>CITR_1000$$$1022ITE</t>
  </si>
  <si>
    <t>FR7380686</t>
  </si>
  <si>
    <t>CSCALA_1826 0000000340</t>
  </si>
  <si>
    <t>H000000868</t>
  </si>
  <si>
    <t>CSCALA_1042$EDP_P52</t>
  </si>
  <si>
    <t xml:space="preserve">G000000635 </t>
  </si>
  <si>
    <t>FR7382702</t>
  </si>
  <si>
    <t>FR7382732</t>
  </si>
  <si>
    <t>PNEXT_D300119210201000000</t>
  </si>
  <si>
    <t>L000011451</t>
  </si>
  <si>
    <t>L000011147_IO Executive Projects Comm-G (IO)</t>
  </si>
  <si>
    <t>L000011146 Exec Proj Communications -G</t>
  </si>
  <si>
    <t>FR7385123</t>
  </si>
  <si>
    <t>CNOW_7210$$$0000023169</t>
  </si>
  <si>
    <t>CLFF_1000$$$DE20538353</t>
  </si>
  <si>
    <t>CLFF_1000$$$DE10538353</t>
  </si>
  <si>
    <t>CLFF_1000$$$DE10538602</t>
  </si>
  <si>
    <t>CLFF_1000$$$DE10538603</t>
  </si>
  <si>
    <t>CLFF_1000$$$DE10538604</t>
  </si>
  <si>
    <t>CLFF_1000$$$DE20538602</t>
  </si>
  <si>
    <t>CLFF_1000$$$DE20538603</t>
  </si>
  <si>
    <t>CLFF_1000$$$DE20538604</t>
  </si>
  <si>
    <t>G000000994</t>
  </si>
  <si>
    <t>G000001084</t>
  </si>
  <si>
    <t>FR7391800</t>
  </si>
  <si>
    <t>Changes were saved for change request 25432822</t>
  </si>
  <si>
    <t>D30011900000000</t>
  </si>
  <si>
    <t>FR7396570</t>
  </si>
  <si>
    <t>FR7400262</t>
  </si>
  <si>
    <t>G000000763</t>
  </si>
  <si>
    <t>G000001281</t>
  </si>
  <si>
    <t>CNOW_7210$$$PC00011060</t>
  </si>
  <si>
    <t>FR7400920</t>
  </si>
  <si>
    <t>D00128400000000 OLED R&amp;D Transformation</t>
  </si>
  <si>
    <t>D00114300000000 LGD-OLED-Automotive-RDF DE</t>
  </si>
  <si>
    <t>D00128300000000 LGD-OLED-IT-RDH 2</t>
  </si>
  <si>
    <t>D00128700000000 GVO-OLED-mobile-VM11</t>
  </si>
  <si>
    <t>D00128800000000 GVO-OLED-mobile-VM11 DE</t>
  </si>
  <si>
    <t>D00128900000000 BOE-OLED-mobile-L12</t>
  </si>
  <si>
    <t>D00129000000000 BOE-OLED-mobile-L12 DE</t>
  </si>
  <si>
    <t>P000001230</t>
  </si>
  <si>
    <t>P000001228</t>
  </si>
  <si>
    <t>FR7403248</t>
  </si>
  <si>
    <t>CLFF_7210$$$2053OF0000</t>
  </si>
  <si>
    <t>CLFF_1000$$$DZ50GM1100</t>
  </si>
  <si>
    <t>CLFF_1000$$$ZA50GM2100</t>
  </si>
  <si>
    <t>Changes were saved for change request 25454879</t>
  </si>
  <si>
    <t>Object was under in checking sheet.</t>
  </si>
  <si>
    <t>FR7416050</t>
  </si>
  <si>
    <t>CTEMPEU_1000FR40587001 Cial&amp;RegistStandaMey</t>
  </si>
  <si>
    <t>ITEMPEU_009000000264 FR90IC1402AO3121050000 LOYER</t>
  </si>
  <si>
    <t>ITEMPEU_009000000265 FR90IC1403AO3121050000 LOYER</t>
  </si>
  <si>
    <t>ITEMPEU_009000000268 FR90IC1852AO3121050000 LOYER</t>
  </si>
  <si>
    <t>ILEAN_006010001401</t>
  </si>
  <si>
    <t>ILEAN_006010001420</t>
  </si>
  <si>
    <t>CFLTFLE_1075SIIF-EI Healthcare Slovenia Income</t>
  </si>
  <si>
    <t>ITEMPEU_001500000003 GB10_Capit.Loss/Ass. Imp.</t>
  </si>
  <si>
    <t>ITEMPLA_001520000112 Asset retirement Gains</t>
  </si>
  <si>
    <t>IPHOENX_000400757258 1500 KGaA-1401 Santè</t>
  </si>
  <si>
    <t>ITEMPEU_001500000810 Ireland IE10 - 3122113000 Transfer remai</t>
  </si>
  <si>
    <t>ITEMPEU_001500001688 Xcharges to Trading Partner 1917</t>
  </si>
  <si>
    <t>ITEMPEU_001500001689 Xcharges to Trading Partner 1927</t>
  </si>
  <si>
    <t>ITEMPEU_001500001691 Xcharges to Trading Partner 1307</t>
  </si>
  <si>
    <t>ITEMPEU_001500003017 Xcharge to BioReliance Limited</t>
  </si>
  <si>
    <t>ITEMPEU_001500003018 Xcharge to SAFC Biosciences Limited</t>
  </si>
  <si>
    <t>ITEMPEU_001500003019 Xcharge to Sigma-Aldrich Company Limited</t>
  </si>
  <si>
    <t>ITEMPEU_001500003020 Xcharge to  SAFC Hitech Limited</t>
  </si>
  <si>
    <t>ITEMPEU_001500003021 Xcharge to Sigma-Aldrich Ireland</t>
  </si>
  <si>
    <t>ITEMPEU_001500004812 Xcharge to Merck Performance Materials</t>
  </si>
  <si>
    <t>ITEMPEU_001500004813 Xcharge to Merck Life Science Ltd</t>
  </si>
  <si>
    <t>ITEMPEU_001500002889 Marketing and Selling B8 1500 kgaa</t>
  </si>
  <si>
    <t>ITEMPEU_001500002890 GlobaltechOPS B8 1500 kgaa</t>
  </si>
  <si>
    <t>ITEMPEU_001500002891 Logistic B8 1500 kgaa</t>
  </si>
  <si>
    <t>ITEMPLA_001520001017 PE10 - ITF postings - GL 17950000</t>
  </si>
  <si>
    <t>ITEMPLA_001520000530 GT10 - Sales of Fixed Assets (Incomes)</t>
  </si>
  <si>
    <t>ITEMPLA_001520000532 GT10 - Sales of Fixed Assets (Losses)</t>
  </si>
  <si>
    <t>ITEMPLA_001520000289 CO10 - I/O for  99 Dummy</t>
  </si>
  <si>
    <t>ITEMPLA_001520001042 PA20 - Sales of Fixed Assets (Losses)</t>
  </si>
  <si>
    <t>ITEMPEU_003200001474 CH70 Remaining oth inc IC 3122205000</t>
  </si>
  <si>
    <t>ITEMPEU_003200001480 CH70 RemOther Exp 3122112000 3rd P AL</t>
  </si>
  <si>
    <t>ITEMPEU_009000001569 FR40IC1814OX3122112000 FR40884702 JPAN</t>
  </si>
  <si>
    <t>CTEMPEU_1000FR40884103 Manufact Litigation</t>
  </si>
  <si>
    <t>H000001095</t>
  </si>
  <si>
    <t>H000000004</t>
  </si>
  <si>
    <t>H000000970</t>
  </si>
  <si>
    <t>CLFF_1000$$$TN50Z01000</t>
  </si>
  <si>
    <t>CLFF_1000$$$TN60Z01000</t>
  </si>
  <si>
    <t>CLFF_1000$$$DE10629410</t>
  </si>
  <si>
    <t>CLFF_1000$$$DE10594600</t>
  </si>
  <si>
    <t>FR7417161</t>
  </si>
  <si>
    <t>CNOW_ROW$$$$0000008723</t>
  </si>
  <si>
    <t>CFLTFLE_23940000000450</t>
  </si>
  <si>
    <t>CFLTFLE_23940000000420</t>
  </si>
  <si>
    <t>CFLTFLE_23950000000450</t>
  </si>
  <si>
    <t>CFLTFLE_23960000000210</t>
  </si>
  <si>
    <t>CORAERP_MMOR1968.9751</t>
  </si>
  <si>
    <t>FR7417823</t>
  </si>
  <si>
    <t>FR7418685</t>
  </si>
  <si>
    <t>CPHOENX_01010000611714</t>
  </si>
  <si>
    <t>CPHOENX_01010000611716</t>
  </si>
  <si>
    <t>CPHOENX_01010000611720</t>
  </si>
  <si>
    <t>CPHOENX_01010000611722</t>
  </si>
  <si>
    <t>CPHOENX_01010000611740</t>
  </si>
  <si>
    <t>CPHOENX_01010000611750</t>
  </si>
  <si>
    <t>CPHOENX_01010000611780</t>
  </si>
  <si>
    <t>CPHOENX_01010000611800</t>
  </si>
  <si>
    <t>CPHOENX_01010000611812</t>
  </si>
  <si>
    <t>CPHOENX_01010000611813</t>
  </si>
  <si>
    <t>CPHOENX_01010000611814</t>
  </si>
  <si>
    <t>CPHOENX_01010000611816</t>
  </si>
  <si>
    <t>CPHOENX_01010000611818</t>
  </si>
  <si>
    <t>CPHOENX_01010000611820</t>
  </si>
  <si>
    <t>CPHOENX_01010000611826</t>
  </si>
  <si>
    <t>CPHOENX_01010000611830</t>
  </si>
  <si>
    <t>CPHOENX_01010000611840</t>
  </si>
  <si>
    <t>CPHOENX_01010000611850</t>
  </si>
  <si>
    <t>CPHOENX_01010000611855</t>
  </si>
  <si>
    <t>CPHOENX_01010000611860</t>
  </si>
  <si>
    <t>CPHOENX_01010000611863</t>
  </si>
  <si>
    <t>CPHOENX_01010000611864</t>
  </si>
  <si>
    <t>CPHOENX_01010000611870</t>
  </si>
  <si>
    <t>CPHOENX_01010000611880</t>
  </si>
  <si>
    <t>CPHOENX_01010000611881</t>
  </si>
  <si>
    <t>CPHOENX_01019182611700</t>
  </si>
  <si>
    <t>CPHOENX_01019182611714</t>
  </si>
  <si>
    <t>CPHOENX_01019182611716</t>
  </si>
  <si>
    <t>CPHOENX_01019182611720</t>
  </si>
  <si>
    <t>CPHOENX_01019182611722</t>
  </si>
  <si>
    <t>CPHOENX_01019182611740</t>
  </si>
  <si>
    <t>CPHOENX_01019182611750</t>
  </si>
  <si>
    <t>CPHOENX_01019182611780</t>
  </si>
  <si>
    <t>CPHOENX_01019182611800</t>
  </si>
  <si>
    <t>CPHOENX_01019182611812</t>
  </si>
  <si>
    <t>CPHOENX_01019182611813</t>
  </si>
  <si>
    <t>CPHOENX_01019182611814</t>
  </si>
  <si>
    <t>CPHOENX_01019182611816</t>
  </si>
  <si>
    <t>CPHOENX_01019182611818</t>
  </si>
  <si>
    <t>CPHOENX_01019182611820</t>
  </si>
  <si>
    <t>CPHOENX_01019182611826</t>
  </si>
  <si>
    <t>CPHOENX_01019182611830</t>
  </si>
  <si>
    <t>CPHOENX_01019182611840</t>
  </si>
  <si>
    <t>CPHOENX_01019182611850</t>
  </si>
  <si>
    <t>CPHOENX_01019182611855</t>
  </si>
  <si>
    <t>CPHOENX_01019182611860</t>
  </si>
  <si>
    <t>CPHOENX_01019182611863</t>
  </si>
  <si>
    <t>CPHOENX_01019182611864</t>
  </si>
  <si>
    <t>CPHOENX_01019182611870</t>
  </si>
  <si>
    <t>CPHOENX_01019182611880</t>
  </si>
  <si>
    <t>CPHOENX_01019182611881</t>
  </si>
  <si>
    <t>IPHOENX_000400762834</t>
  </si>
  <si>
    <t>IPHOENX_000400762835</t>
  </si>
  <si>
    <t>IPHOENX_000400763392</t>
  </si>
  <si>
    <t>IPHOENX_000400763916</t>
  </si>
  <si>
    <t>IPHOENX_000400764132</t>
  </si>
  <si>
    <t>L000013834</t>
  </si>
  <si>
    <t>L000013835</t>
  </si>
  <si>
    <t>CLFF_1000$$$DE10N11700</t>
  </si>
  <si>
    <t>CLFF_1000$$$DE10N11714</t>
  </si>
  <si>
    <t>CLFF_1000$$$DE10N11716</t>
  </si>
  <si>
    <t>CLFF_1000$$$DE10N11720</t>
  </si>
  <si>
    <t>CLFF_1000$$$DE10N11722</t>
  </si>
  <si>
    <t>CLFF_1000$$$DE10N11740</t>
  </si>
  <si>
    <t>CLFF_1000$$$DE10N11750</t>
  </si>
  <si>
    <t>CLFF_1000$$$DE10N11780</t>
  </si>
  <si>
    <t>CLFF_1000$$$DE10N11800</t>
  </si>
  <si>
    <t>CLFF_1000$$$DE10N11812</t>
  </si>
  <si>
    <t>CLFF_1000$$$DE10N11813</t>
  </si>
  <si>
    <t>CLFF_1000$$$DE10N11814</t>
  </si>
  <si>
    <t>CLFF_1000$$$DE10N11816</t>
  </si>
  <si>
    <t>CLFF_1000$$$DE10N11818</t>
  </si>
  <si>
    <t>CLFF_1000$$$DE10N11820</t>
  </si>
  <si>
    <t>CLFF_1000$$$DE10N11826</t>
  </si>
  <si>
    <t>CLFF_1000$$$DE10N11830</t>
  </si>
  <si>
    <t>CLFF_1000$$$DE10N11840</t>
  </si>
  <si>
    <t>CLFF_1000$$$DE10N11850</t>
  </si>
  <si>
    <t>CLFF_1000$$$DE10N11855</t>
  </si>
  <si>
    <t>CLFF_1000$$$DE10N11860</t>
  </si>
  <si>
    <t>CLFF_1000$$$DE10N11863</t>
  </si>
  <si>
    <t>CLFF_1000$$$DE10N11864</t>
  </si>
  <si>
    <t>CLFF_1000$$$DE10N11870</t>
  </si>
  <si>
    <t>CLFF_1000$$$DE10N11880</t>
  </si>
  <si>
    <t>CLFF_1000$$$DE10N11881</t>
  </si>
  <si>
    <t>PQUATRO_D001263DE0413000000 DSA rectification BCP</t>
  </si>
  <si>
    <t>PQUATRO_D001264DE0413000000 DSA rectification NUL</t>
  </si>
  <si>
    <t>PQUATRO_D001265DE0413000000 DSA rectification PIN</t>
  </si>
  <si>
    <t>PQUATRO_D001267DE0413000000 DSA C/H PIN and PSPT</t>
  </si>
  <si>
    <t>PQUATRO_D001268DE0413000000 DSA Advanced Tech Project</t>
  </si>
  <si>
    <t>PQUATRO_D001269DE0413000000 KrF resist 9300 series</t>
  </si>
  <si>
    <t>PQUATRO_D001270DE0413000000 KrF resist polymers</t>
  </si>
  <si>
    <t>PQUATRO_D001271DE0413000000 KrF Positiv Tone Patterning (China)</t>
  </si>
  <si>
    <t>PQUATRO_D001272DE0413000000 i-line resist polymers</t>
  </si>
  <si>
    <t>PQUATRO_D001262US0101000000 Spin-on Metal-containing TIM</t>
  </si>
  <si>
    <t>PQUATRO_D001273DE0413000000 DCSB Feasibility</t>
  </si>
  <si>
    <t>PQUATRO_D001274DE0413000000 SN-888 Supply</t>
  </si>
  <si>
    <t>PQUATRO_D001278DE0413000000 SN-909</t>
  </si>
  <si>
    <t>PQUATRO_D001293DE0413000000 Low Shrinkage PHPS Feasibility</t>
  </si>
  <si>
    <t>FR7418966</t>
  </si>
  <si>
    <t>Changes were saved for change request 25470855</t>
  </si>
  <si>
    <t>CLFF_1000$$$CH50L95008 Rebilling - USA</t>
  </si>
  <si>
    <t>FR7419978</t>
  </si>
  <si>
    <t>PC00011842</t>
  </si>
  <si>
    <t>L000013495</t>
  </si>
  <si>
    <t>FR7425378</t>
  </si>
  <si>
    <t>FR7426909</t>
  </si>
  <si>
    <t>DFLTPGCOH_SDV-LP5_002245</t>
  </si>
  <si>
    <t>(All)</t>
  </si>
  <si>
    <t>PEMERAL_6403H2018040201__1001 SI_Project Chronos/H.20180402.01.1001</t>
  </si>
  <si>
    <t>ITEMPNA_009004000840 CA20IC1881SE3122112000</t>
  </si>
  <si>
    <t>ITEMPNA_009004001045 CA20IC1881SE3110250000A4</t>
  </si>
  <si>
    <t>ITEMPNA_001040000036</t>
  </si>
  <si>
    <t>H201804020</t>
  </si>
  <si>
    <t>H000000974</t>
  </si>
  <si>
    <t>FR7428161</t>
  </si>
  <si>
    <t>PCB doesn't recognize the object.</t>
  </si>
  <si>
    <t>CNOW_7210$$$PC00011842</t>
  </si>
  <si>
    <t>FR7436498</t>
  </si>
  <si>
    <t>CPHOENX_01010000538989</t>
  </si>
  <si>
    <t>CLFF_1000$$$DE10B20210</t>
  </si>
  <si>
    <t>L000013259</t>
  </si>
  <si>
    <t>FR7437769</t>
  </si>
  <si>
    <t xml:space="preserve">CLFF_7210$$$2123OF0033 </t>
  </si>
  <si>
    <t xml:space="preserve">CLFF_1000$$$CH75GM8300 </t>
  </si>
  <si>
    <t>G000001325</t>
  </si>
  <si>
    <t>Changes were saved for change request 25497069</t>
  </si>
  <si>
    <t>FR7449455</t>
  </si>
  <si>
    <t>CLFF_7210$$$2068TAUA00 Urbana Operations Main CC</t>
  </si>
  <si>
    <t>CLFF_7210$$$2068TAUA99 Urbana Labor</t>
  </si>
  <si>
    <t>CLFF_7210$$$2068TBUZ21 Urbana QC</t>
  </si>
  <si>
    <t>CLFF_7210$$$2068TFUZ61 Urbana Management</t>
  </si>
  <si>
    <t>CLFF_7210$$$2068TKUZ70 Urbana MAOH</t>
  </si>
  <si>
    <t>CLFF_7210$$$2068TQUZ90 Urbana Warehouse</t>
  </si>
  <si>
    <t>PL_E2_ES52 PL_E4_US44 ProcOrd_Urbana Production_US4</t>
  </si>
  <si>
    <t>PL_E4_US44 ProcOrd_Urbana Production_US44</t>
  </si>
  <si>
    <t>CLFF_7210$$$2068TAUA01</t>
  </si>
  <si>
    <t>L000013447</t>
  </si>
  <si>
    <t>P000000179 EL-PS-OU Site Urbana, USA</t>
  </si>
  <si>
    <t>P&amp;L objects not for mapping.</t>
  </si>
  <si>
    <t>Changes were saved for change request 25506375</t>
  </si>
  <si>
    <t>yep</t>
  </si>
  <si>
    <t>CFLTFLE_17710000514000</t>
  </si>
  <si>
    <t>FR7446458</t>
  </si>
  <si>
    <t xml:space="preserve">CFLTFLE_17710000110200 </t>
  </si>
  <si>
    <t>H000002268</t>
  </si>
  <si>
    <t>G000000233</t>
  </si>
  <si>
    <t>ITEMPLA_001520001102 Manifesto - Sales Promo BR</t>
  </si>
  <si>
    <t>H000002867</t>
  </si>
  <si>
    <t>G000000634</t>
  </si>
  <si>
    <t>FR7457278</t>
  </si>
  <si>
    <t>FR7453635</t>
  </si>
  <si>
    <t>CFLTFLE_23940000000115</t>
  </si>
  <si>
    <t>DFLTPGCOH_002394 HUB Organoids Holding B.V., Netherlands</t>
  </si>
  <si>
    <t>CFLTFLE_23940000000120</t>
  </si>
  <si>
    <t>CFLTFLE_23940000000135</t>
  </si>
  <si>
    <t>CFLTFLE_23940000000140</t>
  </si>
  <si>
    <t>CFLTFLE_23940000000160</t>
  </si>
  <si>
    <t>CFLTFLE_23940000000170</t>
  </si>
  <si>
    <t>CFLTFLE_23940000000180</t>
  </si>
  <si>
    <t>CFLTFLE_23940000000220</t>
  </si>
  <si>
    <t>CFLTFLE_23940000000240</t>
  </si>
  <si>
    <t>CFLTFLE_23940000000250</t>
  </si>
  <si>
    <t>CFLTFLE_23940000000310</t>
  </si>
  <si>
    <t>CFLTFLE_23940000000320</t>
  </si>
  <si>
    <t>CFLTFLE_23940000000330</t>
  </si>
  <si>
    <t>CFLTFLE_23940000000340</t>
  </si>
  <si>
    <t>CFLTFLE_23940000000350</t>
  </si>
  <si>
    <t>CFLTFLE_23940000000360</t>
  </si>
  <si>
    <t>CFLTFLE_23940000000510</t>
  </si>
  <si>
    <t>CFLTFLE_23940000000530</t>
  </si>
  <si>
    <t>CFLTFLE_23950000000110</t>
  </si>
  <si>
    <t>DFLTPGCOH_002395 HUB Organoids IP B.V., Netherlands</t>
  </si>
  <si>
    <t>CFLTFLE_23950000000115</t>
  </si>
  <si>
    <t>CFLTFLE_23950000000120</t>
  </si>
  <si>
    <t>CFLTFLE_23950000000130</t>
  </si>
  <si>
    <t>CFLTFLE_23950000000135</t>
  </si>
  <si>
    <t>CFLTFLE_23950000000140</t>
  </si>
  <si>
    <t>CFLTFLE_23950000000150</t>
  </si>
  <si>
    <t>CFLTFLE_23950000000160</t>
  </si>
  <si>
    <t>CFLTFLE_23950000000170</t>
  </si>
  <si>
    <t>CFLTFLE_23950000000171</t>
  </si>
  <si>
    <t>CFLTFLE_23950000000180</t>
  </si>
  <si>
    <t>CFLTFLE_23950000000220</t>
  </si>
  <si>
    <t>CFLTFLE_23950000000240</t>
  </si>
  <si>
    <t>CFLTFLE_23950000000250</t>
  </si>
  <si>
    <t>CFLTFLE_23950000000320</t>
  </si>
  <si>
    <t>CFLTFLE_23950000000330</t>
  </si>
  <si>
    <t>CFLTFLE_23950000000340</t>
  </si>
  <si>
    <t>CFLTFLE_23950000000350</t>
  </si>
  <si>
    <t>CFLTFLE_23950000000360</t>
  </si>
  <si>
    <t>CFLTFLE_23950000000430</t>
  </si>
  <si>
    <t>CFLTFLE_23960000000115</t>
  </si>
  <si>
    <t>DFLTPGCOH_002396 HUB Organoids B.V., Netherlands</t>
  </si>
  <si>
    <t>CFLTFLE_23960000000130</t>
  </si>
  <si>
    <t>CFLTFLE_23960000000135</t>
  </si>
  <si>
    <t>CFLTFLE_23960000000140</t>
  </si>
  <si>
    <t>CFLTFLE_23960000000150</t>
  </si>
  <si>
    <t>CFLTFLE_23960000000160</t>
  </si>
  <si>
    <t>CFLTFLE_23960000000320</t>
  </si>
  <si>
    <t>CFLTFLE_23960000000350</t>
  </si>
  <si>
    <t>CFLTFLE_23960000000530</t>
  </si>
  <si>
    <t>CNOW_7210$$$0000010318</t>
  </si>
  <si>
    <t>L000013324</t>
  </si>
  <si>
    <t>DFLTPGCOH_002098 Sigma-Aldrich Corporation, USA</t>
  </si>
  <si>
    <t>CNOW_7210$$$0000015207</t>
  </si>
  <si>
    <t>DFLTPGCOH_002004 Sigma-Aldrich Grundstücks GmbH &amp; Co. KG, Germany</t>
  </si>
  <si>
    <t>CNOW_7210$$$0000015561</t>
  </si>
  <si>
    <t>L000007673</t>
  </si>
  <si>
    <t>DFLTPGCOH_002002 Sigma-Aldrich Chemie GmbH, Germany</t>
  </si>
  <si>
    <t>CNOW_7210$$$0000020048</t>
  </si>
  <si>
    <t>L000007835</t>
  </si>
  <si>
    <t>DFLTPGCOH_002097 Sigma-Aldrich Co.LLC, USA</t>
  </si>
  <si>
    <t>CNOW_7210$$$0000040054</t>
  </si>
  <si>
    <t>L000009807</t>
  </si>
  <si>
    <t>CNOW_7210$$$0000052117</t>
  </si>
  <si>
    <t>DFLTPGCOH_002061 Sigma-Aldrich International GmbH, Switzerland</t>
  </si>
  <si>
    <t>CNOW_7210$$$0000052118</t>
  </si>
  <si>
    <t>CNOW_7210$$$0000052356</t>
  </si>
  <si>
    <t>L000011665</t>
  </si>
  <si>
    <t>DFLTPGCOH_002119 Sigma-Aldrich (Wuxi) Life Science &amp; Technology, China</t>
  </si>
  <si>
    <t>CNOW_7210$$$0000265236</t>
  </si>
  <si>
    <t>DFLTPGCOH_002072 BioReliance Corporation, USA</t>
  </si>
  <si>
    <t>CNOW_7210$$$0024065237</t>
  </si>
  <si>
    <t>DFLTPGCOH_002037 BioReliance Ltd., UK</t>
  </si>
  <si>
    <t>CNOW_7210$$$0024068113</t>
  </si>
  <si>
    <t>L000007252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</si>
</sst>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_(* #,##0_);_(* \(#,##0\);_(* &quot;-&quot;_);_(@_)"/>
    <numFmt numFmtId="165" formatCode="_(* #,##0.00_);_(* \(#,##0.00\);_(* &quot;-&quot;??_);_(@_)"/>
    <numFmt numFmtId="166" formatCode="_(&quot;₱&quot;* #,##0_);_(&quot;₱&quot;* \(#,##0\);_(&quot;₱&quot;* &quot;-&quot;_);_(@_)"/>
    <numFmt numFmtId="167" formatCode="_(&quot;₱&quot;* #,##0.00_);_(&quot;₱&quot;* \(#,##0.00\);_(&quot;₱&quot;* &quot;-&quot;??_);_(@_)"/>
    <numFmt numFmtId="168" formatCode="_ * #,##0.00_ ;_ * \-#,##0.00_ ;_ * &quot;-&quot;??_ ;_ @_ "/>
    <numFmt numFmtId="169" formatCode="[$-F400]h:mm:ss\ AM/PM"/>
    <numFmt numFmtId="170" formatCode="m/d/yyyy"/>
  </numFmts>
  <fonts count="26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sz val="10"/>
      <color theme="1"/>
      <name val="Arial Narrow"/>
      <family val="2"/>
    </font>
  </fonts>
  <fills count="10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</fills>
  <borders count="15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</borders>
  <cellStyleXfs count="102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9" fontId="16" fillId="0" borderId="0">
      <alignment vertical="center"/>
    </xf>
    <xf numFmtId="168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7" fontId="20" fillId="0" borderId="0" applyFont="0" applyFill="0" applyBorder="0" applyAlignment="0" applyProtection="0"/>
    <xf numFmtId="166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7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165" fontId="22" fillId="0" borderId="0" applyFont="0" applyFill="0" applyBorder="0" applyAlignment="0" applyProtection="0"/>
    <xf numFmtId="0" fontId="20" fillId="0" borderId="0"/>
    <xf numFmtId="0" fontId="25" fillId="0" borderId="0">
      <alignment vertical="center"/>
    </xf>
  </cellStyleXfs>
  <cellXfs count="113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0" fontId="24" fillId="0" borderId="0" xfId="0" applyFon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/>
    <xf numFmtId="0" fontId="0" fillId="0" borderId="0" xfId="0"/>
    <xf numFmtId="0" fontId="24" fillId="0" borderId="0" xfId="0" applyNumberFormat="1" applyFont="1" applyFill="1" applyBorder="1" applyAlignment="1">
      <alignment vertical="center" wrapText="1"/>
    </xf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70" fontId="0" fillId="0" borderId="0" xfId="0" applyNumberFormat="1"/>
  </cellXfs>
  <cellStyles count="102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urrency [0] 2" xfId="72" xr:uid="{A9643ABF-1764-4135-AD74-1BCB63C7DA4A}"/>
    <cellStyle name="Currency 2" xfId="71" xr:uid="{6AF40904-AEB5-436E-8FF4-E22F8F18BE99}"/>
    <cellStyle name="Currency 3" xfId="77" xr:uid="{551AA383-97DE-4A90-9335-BCFA36FEED10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tandard 2 2" xfId="101" xr:uid="{1E3042A6-F202-4A81-8B6C-C12A470D8EE5}"/>
    <cellStyle name="Standard_Test_FR21_YI05" xfId="100" xr:uid="{BED271CC-5950-4692-9B40-8F20A876875B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37"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70" formatCode="m/d/yyyy"/>
    </dxf>
    <dxf>
      <numFmt numFmtId="2" formatCode="0.00"/>
    </dxf>
    <dxf>
      <numFmt numFmtId="170" formatCode="m/d/yyyy"/>
    </dxf>
    <dxf>
      <numFmt numFmtId="19" formatCode="dd/mm/yyyy"/>
    </dxf>
    <dxf>
      <numFmt numFmtId="19" formatCode="dd/mm/yyyy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land Earvin Combalicer" refreshedDate="45839.741797222225" createdVersion="7" refreshedVersion="8" minRefreshableVersion="3" recordCount="2486" xr:uid="{11839AE3-6158-4318-87AD-2C711D0BF451}">
  <cacheSource type="worksheet">
    <worksheetSource name="Proc"/>
  </cacheSource>
  <cacheFields count="19">
    <cacheField name="App" numFmtId="0">
      <sharedItems containsBlank="1" count="1453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s v="FR7328669"/>
        <s v="FR7327207"/>
        <s v="FR7330120"/>
        <s v="FR7332565"/>
        <s v="FR7335135"/>
        <s v="FR7335136"/>
        <s v="FR7336709"/>
        <s v="FR7336726"/>
        <s v="FR7339023"/>
        <s v="FR7339740"/>
        <s v="FR7337019"/>
        <s v="FR7314300"/>
        <s v="FR7337931"/>
        <s v="FR7337981"/>
        <s v="FR7345542"/>
        <s v="FR7345953"/>
        <s v="FR7352279"/>
        <s v="FR7351855"/>
        <s v="FR7352048"/>
        <s v="FR7352478"/>
        <s v="FR7352779"/>
        <s v="FR7354774"/>
        <s v="FR7354787"/>
        <s v="FR7356287"/>
        <s v="FR7357071"/>
        <s v="FR7357987"/>
        <s v="FR7366903"/>
        <s v="FR7368372"/>
        <s v="FR7368448"/>
        <s v="FR7369412"/>
        <s v="FR7365034"/>
        <s v="FR7368411"/>
        <s v="FR7372363"/>
        <s v="FR7372650"/>
        <s v="FR7372864"/>
        <s v="FR7372904"/>
        <s v="FR7374774"/>
        <s v="FR7375562"/>
        <s v="FR7376495"/>
        <s v="FR7380686"/>
        <s v="FR7382702"/>
        <s v="FR7382732"/>
        <s v="FR7385123"/>
        <s v="FR7391800"/>
        <s v="FR7396570"/>
        <s v="FR7400262"/>
        <s v="FR7400920"/>
        <s v="FR7403248"/>
        <s v="FR7416050"/>
        <s v="FR7417161"/>
        <s v="FR7417823"/>
        <s v="FR7418685"/>
        <s v="FR7418966"/>
        <s v="FR7419978"/>
        <s v="FR7425378"/>
        <s v="FR7426909"/>
        <s v="FR7428161"/>
        <s v="FR7436498"/>
        <s v="FR7437769"/>
        <s v="FR7449455"/>
        <s v="FR7446458"/>
        <s v="FR7457278"/>
        <s v="FR7453635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 containsMixedTypes="1" containsNumber="1" containsInteger="1" minValue="0" maxValue="0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9">
        <s v="MGF"/>
        <s v="HC"/>
        <s v="LS"/>
        <s v="EL"/>
        <s v="Electronics" u="1"/>
        <s v="Healthcare" u="1"/>
        <s v="No known" u="1"/>
        <e v="#N/A" u="1"/>
        <s v="Life Science" u="1"/>
      </sharedItems>
    </cacheField>
    <cacheField name="Forecast" numFmtId="0">
      <sharedItems containsBlank="1" count="5">
        <s v="F0"/>
        <s v="F1"/>
        <s v="F2"/>
        <m/>
        <s v="F3" u="1"/>
      </sharedItems>
    </cacheField>
    <cacheField name="DateOpened" numFmtId="14">
      <sharedItems containsSemiMixedTypes="0" containsNonDate="0" containsDate="1" containsString="0" minDate="2023-09-01T00:00:00" maxDate="2025-07-01T09:43:16"/>
    </cacheField>
    <cacheField name="DateMapped" numFmtId="14">
      <sharedItems containsNonDate="0" containsDate="1" containsString="0" containsBlank="1" minDate="2023-09-01T00:00:00" maxDate="2025-07-02T00:00:00"/>
    </cacheField>
    <cacheField name="DateClosed" numFmtId="14">
      <sharedItems containsNonDate="0" containsDate="1" containsString="0" containsBlank="1" minDate="2023-09-06T00:00:00" maxDate="2025-07-02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137"/>
    </cacheField>
    <cacheField name="Author" numFmtId="0">
      <sharedItems/>
    </cacheField>
    <cacheField name="Prognosis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86">
  <r>
    <x v="0"/>
    <x v="0"/>
    <x v="0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s v="P000001203"/>
    <s v="LFF (MDG-F)"/>
    <s v="DE10N01513"/>
    <m/>
    <b v="1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G000000103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G000000179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39"/>
    <s v="LFF (MDG-F)"/>
    <s v="CH65GMF012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39"/>
    <s v="LFF (MDG-F)"/>
    <s v="CH65GMF011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39"/>
    <s v="LFF (MDG-F)"/>
    <s v="CH65C00056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39"/>
    <s v="LFF (MDG-F)"/>
    <s v="CH65C00057"/>
    <m/>
    <b v="1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s v="G000000103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s v="G000000630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s v="G000001181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L000010126"/>
    <s v="LFF (MDG-F)"/>
    <s v="DE1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L000013249"/>
    <s v="LFF (MDG-F)"/>
    <s v="DE105011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L000010130"/>
    <s v="LFF (MDG-F)"/>
    <s v="DE1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L000010130"/>
    <s v="LFF (MDG-F)"/>
    <s v="DE1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L000010130"/>
    <s v="LFF (MDG-F)"/>
    <s v="DE1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L000010130"/>
    <s v="LFF (MDG-F)"/>
    <s v="DE1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L000010130"/>
    <s v="LFF (MDG-F)"/>
    <s v="DE1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L000010130"/>
    <s v="LFF (MDG-F)"/>
    <s v="DE105024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L000010130"/>
    <s v="LFF (MDG-F)"/>
    <s v="DE1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L000010130"/>
    <s v="LFF (MDG-F)"/>
    <s v="DE1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L000010130"/>
    <s v="LFF (MDG-F)"/>
    <s v="DE1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L000010130"/>
    <s v="LFF (MDG-F)"/>
    <s v="DE1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L000010130"/>
    <s v="LFF (MDG-F)"/>
    <s v="DE1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L000010132"/>
    <s v="LFF (MDG-F)"/>
    <s v="DE1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L000010132"/>
    <s v="LFF (MDG-F)"/>
    <s v="DE1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L000010132"/>
    <s v="LFF (MDG-F)"/>
    <s v="DE1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L000010132"/>
    <s v="LFF (MDG-F)"/>
    <s v="DE1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L000010132"/>
    <s v="LFF (MDG-F)"/>
    <s v="DE1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L000010132"/>
    <s v="LFF (MDG-F)"/>
    <s v="DE1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L000010132"/>
    <s v="LFF (MDG-F)"/>
    <s v="DE1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L000010132"/>
    <s v="LFF (MDG-F)"/>
    <s v="DE1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L000010128"/>
    <s v="LFF (MDG-F)"/>
    <s v="DE1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L000010128"/>
    <s v="LFF (MDG-F)"/>
    <s v="DE1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L000010128"/>
    <s v="LFF (MDG-F)"/>
    <s v="DE1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L000010128"/>
    <s v="LFF (MDG-F)"/>
    <s v="DE1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L000010134"/>
    <s v="LFF (MDG-F)"/>
    <s v="DE1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L000010134"/>
    <s v="LFF (MDG-F)"/>
    <s v="DE1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L000010130"/>
    <s v="LFF (MDG-F)"/>
    <s v="DE1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L000010134"/>
    <s v="LFF (MDG-F)"/>
    <s v="DE1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L000010134"/>
    <s v="LFF (MDG-F)"/>
    <s v="DE1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L000010124"/>
    <s v="LFF (MDG-F)"/>
    <s v="DE10588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L000010126"/>
    <s v="LFF (MDG-F)"/>
    <s v="DE2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L000013249"/>
    <s v="LFF (MDG-F)"/>
    <s v="DE2050110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L000010130"/>
    <s v="LFF (MDG-F)"/>
    <s v="DE2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L000010130"/>
    <s v="LFF (MDG-F)"/>
    <s v="DE2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L000010130"/>
    <s v="LFF (MDG-F)"/>
    <s v="DE2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L000010130"/>
    <s v="LFF (MDG-F)"/>
    <s v="DE2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L000010130"/>
    <s v="LFF (MDG-F)"/>
    <s v="DE2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9"/>
    <s v="L000010130"/>
    <s v="L000010130"/>
    <s v="LFF (MDG-F)"/>
    <s v="DE20502409"/>
    <s v="object was left out during the process and is now awaiting replication. However, it has been resolved to avoid breaching the SLA."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L000010130"/>
    <s v="LFF (MDG-F)"/>
    <s v="DE2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L000010130"/>
    <s v="LFF (MDG-F)"/>
    <s v="DE2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L000010130"/>
    <s v="LFF (MDG-F)"/>
    <s v="DE2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L000010130"/>
    <s v="LFF (MDG-F)"/>
    <s v="DE2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L000010130"/>
    <s v="LFF (MDG-F)"/>
    <s v="DE2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L000010132"/>
    <s v="LFF (MDG-F)"/>
    <s v="DE2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L000010132"/>
    <s v="LFF (MDG-F)"/>
    <s v="DE2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L000010132"/>
    <s v="LFF (MDG-F)"/>
    <s v="DE2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L000010132"/>
    <s v="LFF (MDG-F)"/>
    <s v="DE2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L000010132"/>
    <s v="LFF (MDG-F)"/>
    <s v="DE2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L000010132"/>
    <s v="LFF (MDG-F)"/>
    <s v="DE2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L000010132"/>
    <s v="LFF (MDG-F)"/>
    <s v="DE2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L000010132"/>
    <s v="LFF (MDG-F)"/>
    <s v="DE2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L000010128"/>
    <s v="LFF (MDG-F)"/>
    <s v="DE2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L000010128"/>
    <s v="LFF (MDG-F)"/>
    <s v="DE2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L000010128"/>
    <s v="LFF (MDG-F)"/>
    <s v="DE2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L000010128"/>
    <s v="LFF (MDG-F)"/>
    <s v="DE2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L000010134"/>
    <s v="LFF (MDG-F)"/>
    <s v="DE2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L000010134"/>
    <s v="LFF (MDG-F)"/>
    <s v="DE2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L000010130"/>
    <s v="LFF (MDG-F)"/>
    <s v="DE2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L000010134"/>
    <s v="LFF (MDG-F)"/>
    <s v="DE2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L000010134"/>
    <s v="LFF (MDG-F)"/>
    <s v="DE2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L000010124"/>
    <s v="LFF (MDG-F)"/>
    <s v="DE20588102"/>
    <m/>
    <b v="1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s v="P000001208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s v="P000001206"/>
    <s v="Non-LFF"/>
    <s v=""/>
    <s v="Already mapped"/>
    <b v="1"/>
    <x v="0"/>
    <x v="0"/>
    <d v="2024-12-20T13:14:51"/>
    <m/>
    <m/>
    <x v="1"/>
    <n v="137"/>
    <s v="Eivy Denine Cruz"/>
    <m/>
  </r>
  <r>
    <x v="6"/>
    <x v="0"/>
    <x v="2"/>
    <s v="CTEMPNA_1000PH80L35002 SPICE Carve Out"/>
    <s v="G000000201"/>
    <s v="G000000201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s v="L000007346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s v="L000009452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s v="L000009997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s v="L00001344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s v="L000013450"/>
    <s v="LFF (MDG-F)"/>
    <s v="2053L44109"/>
    <m/>
    <b v="1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P000001045"/>
    <s v="LFF (MDG-F)"/>
    <s v="CH01Z01000"/>
    <m/>
    <b v="1"/>
    <x v="0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P000001045"/>
    <s v="LFF (MDG-F)"/>
    <s v="DE01Z01000"/>
    <m/>
    <b v="1"/>
    <x v="0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L000007758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L00000777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L000013313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L00000592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L00000734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L000008315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s v="G000000201"/>
    <s v="Non-LFF"/>
    <s v=""/>
    <s v="Mapped for 2025. Waiting for Andreas response for action."/>
    <b v="1"/>
    <x v="0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s v="G000001356"/>
    <s v="Non-LFF"/>
    <s v=""/>
    <s v="Mapped for 2025. Waiting for Andreas response for action."/>
    <b v="1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s v="G000000727"/>
    <s v="LFF (MDG-F)"/>
    <s v="DE10GIT05A"/>
    <m/>
    <b v="1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s v="G000000279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s v="G000000895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s v="G000000390"/>
    <s v="LFF (MDG-F)"/>
    <s v="DE10300076"/>
    <m/>
    <b v="1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s v="G000000397"/>
    <s v="LFF (MDG-F)"/>
    <s v="DE10200023"/>
    <m/>
    <b v="1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s v="G000000397"/>
    <s v="LFF (MDG-F)"/>
    <s v="DE10200050"/>
    <m/>
    <b v="1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s v="H000003682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s v="H000003683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s v="H00000368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s v="H000003681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s v="H00000436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s v="H000003678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s v="H000003675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s v="H000003679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s v="L000008315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s v="L000013154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s v="L000011687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s v="L000011470"/>
    <s v="Non-LFF"/>
    <s v=""/>
    <m/>
    <b v="1"/>
    <x v="2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s v="G000000397"/>
    <s v="LFF (MDG-F)"/>
    <s v="DE10604910"/>
    <m/>
    <b v="1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s v="G000000390"/>
    <s v="LFF (MDG-F)"/>
    <s v="DE10200058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s v="G000000390"/>
    <s v="LFF (MDG-F)"/>
    <s v="DE10200059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s v="G000000390"/>
    <s v="LFF (MDG-F)"/>
    <s v="DE10200060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s v="G000000390"/>
    <s v="LFF (MDG-F)"/>
    <s v="DE10200061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s v="G000000390"/>
    <s v="LFF (MDG-F)"/>
    <s v="DE10200062"/>
    <m/>
    <b v="1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s v="L000008966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s v="L000008965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s v="L000008972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s v="L000013121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s v="P000001013"/>
    <s v="Non-LFF"/>
    <s v=""/>
    <s v="Loaded in 2024."/>
    <b v="1"/>
    <x v="0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s v="P000000489"/>
    <s v="LFF (MDG-F)"/>
    <s v="TW91C02001"/>
    <s v="Successfully loaded to 2025. Will be resolving the this ticket for now and inform the requester about the situation."/>
    <b v="1"/>
    <x v="0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s v="L000008834"/>
    <s v="LFF (MDG-F)"/>
    <s v="NG50C1CSLS"/>
    <m/>
    <b v="1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s v="G000000277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s v="G000000895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s v="L00001346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s v="L00001315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397"/>
    <s v="LFF (MDG-F)"/>
    <s v="DE2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397"/>
    <s v="LFF (MDG-F)"/>
    <s v="DE2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397"/>
    <s v="LFF (MDG-F)"/>
    <s v="DE2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397"/>
    <s v="LFF (MDG-F)"/>
    <s v="DE2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397"/>
    <s v="LFF (MDG-F)"/>
    <s v="DE2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397"/>
    <s v="LFF (MDG-F)"/>
    <s v="DE2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397"/>
    <s v="LFF (MDG-F)"/>
    <s v="DE20533107"/>
    <s v="Trash"/>
    <b v="1"/>
    <x v="0"/>
    <x v="1"/>
    <d v="2025-01-14T09:33:55"/>
    <m/>
    <d v="2025-01-31T00:00:00"/>
    <x v="1"/>
    <n v="13"/>
    <s v="Francesco Ricioppo"/>
    <m/>
  </r>
  <r>
    <x v="27"/>
    <x v="0"/>
    <x v="2"/>
    <s v="CLFF_1000$$$DE20533108"/>
    <s v="G000000397"/>
    <s v="G000000397"/>
    <s v="LFF (MDG-F)"/>
    <s v="DE2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397"/>
    <s v="LFF (MDG-F)"/>
    <s v="DE20533109"/>
    <s v="Trash"/>
    <b v="1"/>
    <x v="0"/>
    <x v="1"/>
    <d v="2025-01-14T09:33:55"/>
    <m/>
    <d v="2025-01-31T00:00:00"/>
    <x v="1"/>
    <n v="13"/>
    <s v="Francesco Ricioppo"/>
    <m/>
  </r>
  <r>
    <x v="27"/>
    <x v="0"/>
    <x v="2"/>
    <s v="CLFF_1000$$$DE20533110"/>
    <s v="G000000397"/>
    <s v="G000000397"/>
    <s v="LFF (MDG-F)"/>
    <s v="DE2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397"/>
    <s v="LFF (MDG-F)"/>
    <s v="DE2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397"/>
    <s v="LFF (MDG-F)"/>
    <s v="DE2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397"/>
    <s v="LFF (MDG-F)"/>
    <s v="DE20533113"/>
    <s v="Trash"/>
    <b v="1"/>
    <x v="0"/>
    <x v="1"/>
    <d v="2025-01-14T09:33:55"/>
    <m/>
    <d v="2025-01-31T00:00:00"/>
    <x v="1"/>
    <n v="13"/>
    <s v="Francesco Ricioppo"/>
    <m/>
  </r>
  <r>
    <x v="27"/>
    <x v="0"/>
    <x v="2"/>
    <s v="CLFF_1000$$$DE20533198"/>
    <s v="G000000397"/>
    <s v="G000000397"/>
    <s v="LFF (MDG-F)"/>
    <s v="DE2053319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0397"/>
    <s v="LFF (MDG-F)"/>
    <s v="DE1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0397"/>
    <s v="LFF (MDG-F)"/>
    <s v="DE1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0397"/>
    <s v="LFF (MDG-F)"/>
    <s v="DE1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0397"/>
    <s v="LFF (MDG-F)"/>
    <s v="DE1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0397"/>
    <s v="LFF (MDG-F)"/>
    <s v="DE1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0397"/>
    <s v="LFF (MDG-F)"/>
    <s v="DE1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0397"/>
    <s v="LFF (MDG-F)"/>
    <s v="DE10533107"/>
    <s v="Trash"/>
    <b v="1"/>
    <x v="0"/>
    <x v="1"/>
    <d v="2025-01-14T09:33:55"/>
    <m/>
    <d v="2025-01-31T00:00:00"/>
    <x v="1"/>
    <n v="13"/>
    <s v="Francesco Ricioppo"/>
    <m/>
  </r>
  <r>
    <x v="27"/>
    <x v="0"/>
    <x v="2"/>
    <s v="CLFF_1000$$$DE10533108"/>
    <s v="G000000397"/>
    <s v="G000000397"/>
    <s v="LFF (MDG-F)"/>
    <s v="DE1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0397"/>
    <s v="LFF (MDG-F)"/>
    <s v="DE10533109"/>
    <s v="Trash"/>
    <b v="1"/>
    <x v="0"/>
    <x v="1"/>
    <d v="2025-01-14T09:33:55"/>
    <m/>
    <d v="2025-01-31T00:00:00"/>
    <x v="1"/>
    <n v="13"/>
    <s v="Francesco Ricioppo"/>
    <m/>
  </r>
  <r>
    <x v="27"/>
    <x v="0"/>
    <x v="2"/>
    <s v="CLFF_1000$$$DE10533110"/>
    <s v="G000000397"/>
    <s v="G000000397"/>
    <s v="LFF (MDG-F)"/>
    <s v="DE1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0397"/>
    <s v="LFF (MDG-F)"/>
    <s v="DE1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0397"/>
    <s v="LFF (MDG-F)"/>
    <s v="DE1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0397"/>
    <s v="LFF (MDG-F)"/>
    <s v="DE10533113"/>
    <s v="Trash"/>
    <b v="1"/>
    <x v="0"/>
    <x v="1"/>
    <d v="2025-01-14T09:33:55"/>
    <m/>
    <d v="2025-01-31T00:00:00"/>
    <x v="1"/>
    <n v="13"/>
    <s v="Francesco Ricioppo"/>
    <m/>
  </r>
  <r>
    <x v="28"/>
    <x v="0"/>
    <x v="2"/>
    <s v="D00118900000000 Ultra-High Purity Colloidal Silica PD Su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P000001012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1195"/>
    <s v="LFF (MDG-F)"/>
    <s v="TW03TNKA06"/>
    <s v="Successfully loaded to 2025."/>
    <b v="1"/>
    <x v="0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L000007346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L000013154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P000000575"/>
    <s v="LFF (MDG-F)"/>
    <s v="GB10C00701"/>
    <s v="Successfully loaded to 2025."/>
    <b v="1"/>
    <x v="0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s v="L000009822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s v="L00001317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s v="L00000641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13772"/>
    <s v="LFF (MDG-F)"/>
    <s v="2102TCBZ30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1377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18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24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13318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2"/>
    <s v="LFF (MDG-F)"/>
    <s v="DE105583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89"/>
    <s v="LFF (MDG-F)"/>
    <s v="DE106222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87"/>
    <s v="LFF (MDG-F)"/>
    <s v="DE106230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L000008494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L000008495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L000007703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L000013188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P00000123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P000001235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P000001236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P00000122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H000000965"/>
    <s v="LFF (MDG-F)"/>
    <s v="EG50C01152"/>
    <s v="Not found in MDGF"/>
    <b v="1"/>
    <x v="1"/>
    <x v="1"/>
    <d v="2025-01-23T13:54:16"/>
    <m/>
    <d v="2025-01-24T00:00:00"/>
    <x v="0"/>
    <n v="1"/>
    <s v="Henry Ifurung Jr."/>
    <m/>
  </r>
  <r>
    <x v="36"/>
    <x v="0"/>
    <x v="2"/>
    <s v="CSCALA_1786$0000000704 3110250000 Internal sales service expenses/BF-Y1; Adjustment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H000000598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0199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8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7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1174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0"/>
    <x v="1"/>
    <d v="2025-01-24T12:39:05"/>
    <m/>
    <m/>
    <x v="1"/>
    <n v="112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0"/>
    <x v="1"/>
    <d v="2025-01-24T12:39:05"/>
    <m/>
    <m/>
    <x v="1"/>
    <n v="112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0"/>
    <x v="1"/>
    <d v="2025-01-24T12:39:05"/>
    <m/>
    <m/>
    <x v="1"/>
    <n v="112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0"/>
    <x v="1"/>
    <d v="2025-01-24T12:39:05"/>
    <m/>
    <m/>
    <x v="1"/>
    <n v="112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0"/>
    <x v="1"/>
    <d v="2025-01-24T12:39:05"/>
    <m/>
    <m/>
    <x v="1"/>
    <n v="112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0"/>
    <x v="1"/>
    <d v="2025-01-24T12:39:05"/>
    <m/>
    <m/>
    <x v="1"/>
    <n v="112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0"/>
    <x v="1"/>
    <d v="2025-01-24T12:39:05"/>
    <m/>
    <m/>
    <x v="1"/>
    <n v="112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0"/>
    <x v="1"/>
    <d v="2025-01-24T12:39:05"/>
    <m/>
    <m/>
    <x v="1"/>
    <n v="112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0"/>
    <x v="1"/>
    <d v="2025-01-24T12:39:05"/>
    <m/>
    <m/>
    <x v="1"/>
    <n v="112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0"/>
    <x v="1"/>
    <d v="2025-01-24T12:39:05"/>
    <m/>
    <m/>
    <x v="1"/>
    <n v="112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0"/>
    <x v="1"/>
    <d v="2025-01-24T12:39:05"/>
    <m/>
    <m/>
    <x v="1"/>
    <n v="112"/>
    <s v="Eivy Denine Cruz"/>
    <m/>
  </r>
  <r>
    <x v="40"/>
    <x v="0"/>
    <x v="2"/>
    <s v="CEMERAL_70006101P13202 PS APAC Commercial"/>
    <s v="L000006770"/>
    <s v="L000006770"/>
    <s v="Non-LFF"/>
    <s v=""/>
    <m/>
    <b v="1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s v="L000013800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s v="L000013802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s v="L000009473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s v="L00000919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s v="L000013391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s v="L00000930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s v="H000000340"/>
    <s v="Non-LFF"/>
    <s v=""/>
    <m/>
    <b v="1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4262"/>
    <s v="LFF (MDG-F)"/>
    <s v="DE50TODA13"/>
    <m/>
    <b v="1"/>
    <x v="1"/>
    <x v="1"/>
    <d v="2025-01-30T12:47:25"/>
    <m/>
    <m/>
    <x v="1"/>
    <n v="108"/>
    <s v="Volker Ogan"/>
    <m/>
  </r>
  <r>
    <x v="44"/>
    <x v="0"/>
    <x v="2"/>
    <s v="CPRJ-9820240010 MA8 T228 6828a Payload Synthesis"/>
    <s v="L000011470"/>
    <s v="L000011470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P000001016"/>
    <s v="Non-LFF"/>
    <s v=""/>
    <m/>
    <b v="1"/>
    <x v="0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H000000325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H00000031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H000002963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H000002944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H00000025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720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979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L00001353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L00000935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s v="G000000397"/>
    <s v="LFF (MDG-F)"/>
    <s v="DE10523702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s v="G000000397"/>
    <s v="LFF (MDG-F)"/>
    <s v="DE10575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s v="G000000397"/>
    <s v="LFF (MDG-F)"/>
    <s v="DE105757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s v="G000000397"/>
    <s v="LFF (MDG-F)"/>
    <s v="DE10577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s v="G000000397"/>
    <s v="LFF (MDG-F)"/>
    <s v="DE10671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s v="G000000397"/>
    <s v="LFF (MDG-F)"/>
    <s v="DE10575119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s v="G000000397"/>
    <s v="LFF (MDG-F)"/>
    <s v="DE1057531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s v="G000000397"/>
    <s v="LFF (MDG-F)"/>
    <s v="DE106751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s v="G000000397"/>
    <s v="LFF (MDG-F)"/>
    <s v="DE105985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s v="G000000397"/>
    <s v="LFF (MDG-F)"/>
    <s v="DE105986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s v="G000000397"/>
    <s v="LFF (MDG-F)"/>
    <s v="DE106985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00"/>
    <s v="G000000397"/>
    <s v="G000000397"/>
    <s v="LFF (MDG-F)"/>
    <s v="DE105753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s v="G000000397"/>
    <s v="LFF (MDG-F)"/>
    <s v="DE10672000"/>
    <m/>
    <b v="1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L000013802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L000013800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397"/>
    <s v="LFF (MDG-F)"/>
    <s v="DE20675100"/>
    <m/>
    <b v="1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G000000630"/>
    <s v="LFF (MDG-F)"/>
    <s v="CH50L98016"/>
    <m/>
    <b v="1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8"/>
    <s v="LFF (MDG-F)"/>
    <s v="DE1051540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808"/>
    <s v="LFF (MDG-F)"/>
    <s v="DE10533731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808"/>
    <s v="LFF (MDG-F)"/>
    <s v="DE1053373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808"/>
    <s v="LFF (MDG-F)"/>
    <s v="2029GIT00M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808"/>
    <s v="LFF (MDG-F)"/>
    <s v="2123GIT094"/>
    <m/>
    <b v="1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13119"/>
    <s v="LFF (MDG-F)"/>
    <s v="DE10GT8764"/>
    <s v="Not found in MDGF"/>
    <b v="1"/>
    <x v="2"/>
    <x v="1"/>
    <d v="2025-02-04T07:33:04"/>
    <m/>
    <d v="2025-02-05T00:00:00"/>
    <x v="0"/>
    <n v="1"/>
    <s v="Joan Rose Pena"/>
    <m/>
  </r>
  <r>
    <x v="53"/>
    <x v="0"/>
    <x v="2"/>
    <s v="CORAERP_MMOR1975.9760 "/>
    <s v="L000013119"/>
    <s v="L000013119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11242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L000011157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H000001141"/>
    <s v="Non-LFF"/>
    <s v=""/>
    <m/>
    <b v="1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397"/>
    <s v="LFF (MDG-F)"/>
    <s v="DE20538290"/>
    <s v="Trash"/>
    <b v="1"/>
    <x v="0"/>
    <x v="1"/>
    <d v="2025-02-04T11:10:05"/>
    <m/>
    <m/>
    <x v="1"/>
    <n v="105"/>
    <s v="Francesco Ricioppo"/>
    <m/>
  </r>
  <r>
    <x v="55"/>
    <x v="0"/>
    <x v="2"/>
    <s v="CLFF_1000$$$DE10598000"/>
    <s v="G000000397"/>
    <s v="G000000397"/>
    <s v="LFF (MDG-F)"/>
    <s v="DE10598000"/>
    <m/>
    <b v="1"/>
    <x v="0"/>
    <x v="1"/>
    <d v="2025-02-04T11:10:05"/>
    <m/>
    <m/>
    <x v="1"/>
    <n v="105"/>
    <s v="Francesco Ricioppo"/>
    <m/>
  </r>
  <r>
    <x v="55"/>
    <x v="0"/>
    <x v="2"/>
    <s v="CLFF_1000$$$DE10598100"/>
    <s v="G000000397"/>
    <s v="G000000397"/>
    <s v="LFF (MDG-F)"/>
    <s v="DE10598100"/>
    <m/>
    <b v="1"/>
    <x v="0"/>
    <x v="1"/>
    <d v="2025-02-04T11:10:05"/>
    <m/>
    <m/>
    <x v="1"/>
    <n v="105"/>
    <s v="Francesco Ricioppo"/>
    <m/>
  </r>
  <r>
    <x v="55"/>
    <x v="0"/>
    <x v="2"/>
    <s v="CLFF_1000$$$DE10598200"/>
    <s v="G000000397"/>
    <s v="G000000397"/>
    <s v="LFF (MDG-F)"/>
    <s v="DE10598200"/>
    <m/>
    <b v="1"/>
    <x v="0"/>
    <x v="1"/>
    <d v="2025-02-04T11:10:05"/>
    <m/>
    <m/>
    <x v="1"/>
    <n v="105"/>
    <s v="Francesco Ricioppo"/>
    <m/>
  </r>
  <r>
    <x v="55"/>
    <x v="0"/>
    <x v="2"/>
    <s v="CLFF_1000$$$DE10598300"/>
    <s v="G000000397"/>
    <s v="G000000397"/>
    <s v="LFF (MDG-F)"/>
    <s v="DE10598300"/>
    <m/>
    <b v="1"/>
    <x v="0"/>
    <x v="1"/>
    <d v="2025-02-04T11:10:05"/>
    <m/>
    <m/>
    <x v="1"/>
    <n v="105"/>
    <s v="Francesco Ricioppo"/>
    <m/>
  </r>
  <r>
    <x v="55"/>
    <x v="0"/>
    <x v="2"/>
    <s v="CLFF_1000$$$DE10598400"/>
    <s v="G000000397"/>
    <s v="G000000397"/>
    <s v="LFF (MDG-F)"/>
    <s v="DE10598400"/>
    <m/>
    <b v="1"/>
    <x v="0"/>
    <x v="1"/>
    <d v="2025-02-04T11:10:05"/>
    <m/>
    <m/>
    <x v="1"/>
    <n v="105"/>
    <s v="Francesco Ricioppo"/>
    <m/>
  </r>
  <r>
    <x v="55"/>
    <x v="0"/>
    <x v="2"/>
    <s v="CLFF_1000$$$DE10598700"/>
    <s v="G000000397"/>
    <s v="G000000397"/>
    <s v="LFF (MDG-F)"/>
    <s v="DE10598700"/>
    <m/>
    <b v="1"/>
    <x v="0"/>
    <x v="1"/>
    <d v="2025-02-04T11:10:05"/>
    <m/>
    <m/>
    <x v="1"/>
    <n v="105"/>
    <s v="Francesco Ricioppo"/>
    <m/>
  </r>
  <r>
    <x v="55"/>
    <x v="0"/>
    <x v="2"/>
    <s v="CLFF_1000$$$DE20538280"/>
    <s v="G000000397"/>
    <s v="G000000397"/>
    <s v="LFF (MDG-F)"/>
    <s v="DE20538280"/>
    <m/>
    <b v="1"/>
    <x v="0"/>
    <x v="1"/>
    <d v="2025-02-04T11:10:05"/>
    <m/>
    <m/>
    <x v="1"/>
    <n v="105"/>
    <s v="Francesco Ricioppo"/>
    <m/>
  </r>
  <r>
    <x v="55"/>
    <x v="0"/>
    <x v="2"/>
    <s v="CLFF_1000$$$DE20568200"/>
    <s v="G000000397"/>
    <s v="G000000397"/>
    <s v="LFF (MDG-F)"/>
    <s v="DE20568200"/>
    <m/>
    <b v="1"/>
    <x v="0"/>
    <x v="1"/>
    <d v="2025-02-04T11:10:05"/>
    <m/>
    <m/>
    <x v="1"/>
    <n v="105"/>
    <s v="Francesco Ricioppo"/>
    <m/>
  </r>
  <r>
    <x v="55"/>
    <x v="0"/>
    <x v="2"/>
    <s v="CLFF_1000$$$DE20529600"/>
    <s v="G000000397"/>
    <s v="G000000397"/>
    <s v="LFF (MDG-F)"/>
    <s v="DE20529600"/>
    <m/>
    <b v="1"/>
    <x v="0"/>
    <x v="1"/>
    <d v="2025-02-04T11:10:05"/>
    <m/>
    <m/>
    <x v="1"/>
    <n v="105"/>
    <s v="Francesco Ricioppo"/>
    <m/>
  </r>
  <r>
    <x v="55"/>
    <x v="0"/>
    <x v="2"/>
    <s v="CLFF_1000$$$DE20847200"/>
    <s v="G000000397"/>
    <s v="G000000397"/>
    <s v="LFF (MDG-F)"/>
    <s v="DE20847200"/>
    <m/>
    <b v="1"/>
    <x v="0"/>
    <x v="1"/>
    <d v="2025-02-04T11:10:05"/>
    <m/>
    <m/>
    <x v="1"/>
    <n v="105"/>
    <s v="Francesco Ricioppo"/>
    <m/>
  </r>
  <r>
    <x v="55"/>
    <x v="0"/>
    <x v="4"/>
    <s v="CLFF_1000$$$DE20538257"/>
    <s v="G000000397"/>
    <s v="G000000397"/>
    <s v="LFF (MDG-F)"/>
    <s v="DE20538257"/>
    <m/>
    <b v="1"/>
    <x v="0"/>
    <x v="1"/>
    <d v="2025-02-04T11:10:05"/>
    <m/>
    <m/>
    <x v="1"/>
    <n v="105"/>
    <s v="Francesco Ricioppo"/>
    <m/>
  </r>
  <r>
    <x v="55"/>
    <x v="0"/>
    <x v="2"/>
    <s v="CLFF_1000$$$DE10538257"/>
    <s v="G000000397"/>
    <s v="G000000397"/>
    <s v="LFF (MDG-F)"/>
    <s v="DE10538257"/>
    <m/>
    <b v="1"/>
    <x v="0"/>
    <x v="1"/>
    <d v="2025-02-04T11:10:05"/>
    <m/>
    <m/>
    <x v="1"/>
    <n v="105"/>
    <s v="Francesco Ricioppo"/>
    <m/>
  </r>
  <r>
    <x v="55"/>
    <x v="0"/>
    <x v="2"/>
    <s v="CLFF_1000$$$DE20538295"/>
    <s v="G000000397"/>
    <s v="G000000397"/>
    <s v="LFF (MDG-F)"/>
    <s v="DE20538295"/>
    <m/>
    <b v="1"/>
    <x v="0"/>
    <x v="1"/>
    <d v="2025-02-04T11:10:05"/>
    <m/>
    <m/>
    <x v="1"/>
    <n v="105"/>
    <s v="Francesco Ricioppo"/>
    <m/>
  </r>
  <r>
    <x v="55"/>
    <x v="0"/>
    <x v="2"/>
    <s v="CLFF_1000$$$DE10538295"/>
    <s v="G000000397"/>
    <s v="G000000397"/>
    <s v="LFF (MDG-F)"/>
    <s v="DE10538295"/>
    <m/>
    <b v="1"/>
    <x v="0"/>
    <x v="1"/>
    <d v="2025-02-04T11:10:05"/>
    <m/>
    <m/>
    <x v="1"/>
    <n v="105"/>
    <s v="Francesco Ricioppo"/>
    <m/>
  </r>
  <r>
    <x v="55"/>
    <x v="0"/>
    <x v="2"/>
    <s v="CLFF_1000$$$DE20538456"/>
    <s v="G000000397"/>
    <s v="G000000397"/>
    <s v="LFF (MDG-F)"/>
    <s v="DE20538456"/>
    <m/>
    <b v="1"/>
    <x v="0"/>
    <x v="1"/>
    <d v="2025-02-04T11:10:05"/>
    <m/>
    <m/>
    <x v="1"/>
    <n v="105"/>
    <s v="Francesco Ricioppo"/>
    <m/>
  </r>
  <r>
    <x v="55"/>
    <x v="0"/>
    <x v="2"/>
    <s v="CLFF_1000$$$DE10538456"/>
    <s v="G000000397"/>
    <s v="G000000397"/>
    <s v="LFF (MDG-F)"/>
    <s v="DE10538456"/>
    <m/>
    <b v="1"/>
    <x v="0"/>
    <x v="1"/>
    <d v="2025-02-04T11:10:05"/>
    <m/>
    <m/>
    <x v="1"/>
    <n v="105"/>
    <s v="Francesco Ricioppo"/>
    <m/>
  </r>
  <r>
    <x v="55"/>
    <x v="0"/>
    <x v="4"/>
    <s v="CLFF_1000$$$DE10623200"/>
    <s v="G000000397"/>
    <s v="G000000397"/>
    <s v="LFF (MDG-F)"/>
    <s v="DE10623200"/>
    <m/>
    <b v="1"/>
    <x v="0"/>
    <x v="1"/>
    <d v="2025-02-04T11:10:05"/>
    <m/>
    <m/>
    <x v="1"/>
    <n v="105"/>
    <s v="Francesco Ricioppo"/>
    <m/>
  </r>
  <r>
    <x v="55"/>
    <x v="0"/>
    <x v="2"/>
    <s v="CLFF_1000$$$DE10523100"/>
    <s v="G000000397"/>
    <s v="G000000397"/>
    <s v="LFF (MDG-F)"/>
    <s v="DE10523100"/>
    <m/>
    <b v="1"/>
    <x v="0"/>
    <x v="1"/>
    <d v="2025-02-04T11:10:05"/>
    <m/>
    <m/>
    <x v="1"/>
    <n v="105"/>
    <s v="Francesco Ricioppo"/>
    <m/>
  </r>
  <r>
    <x v="55"/>
    <x v="0"/>
    <x v="2"/>
    <s v="CLFF_1000$$$DE20538554"/>
    <s v="G000000397"/>
    <s v="G000000397"/>
    <s v="LFF (MDG-F)"/>
    <s v="DE20538554"/>
    <m/>
    <b v="1"/>
    <x v="0"/>
    <x v="1"/>
    <d v="2025-02-04T11:10:05"/>
    <m/>
    <m/>
    <x v="1"/>
    <n v="105"/>
    <s v="Francesco Ricioppo"/>
    <m/>
  </r>
  <r>
    <x v="55"/>
    <x v="0"/>
    <x v="2"/>
    <s v="CLFF_1000$$$DE10538554"/>
    <s v="G000000397"/>
    <s v="G000000397"/>
    <s v="LFF (MDG-F)"/>
    <s v="DE10538554"/>
    <m/>
    <b v="1"/>
    <x v="0"/>
    <x v="1"/>
    <d v="2025-02-04T11:10:05"/>
    <m/>
    <m/>
    <x v="1"/>
    <n v="105"/>
    <s v="Francesco Ricioppo"/>
    <m/>
  </r>
  <r>
    <x v="55"/>
    <x v="0"/>
    <x v="2"/>
    <s v="CLFF_1000$$$DE10840200"/>
    <s v="G000000397"/>
    <s v="G000000397"/>
    <s v="LFF (MDG-F)"/>
    <s v="DE10840200"/>
    <m/>
    <b v="1"/>
    <x v="0"/>
    <x v="1"/>
    <d v="2025-02-04T11:10:05"/>
    <m/>
    <m/>
    <x v="1"/>
    <n v="105"/>
    <s v="Francesco Ricioppo"/>
    <m/>
  </r>
  <r>
    <x v="55"/>
    <x v="0"/>
    <x v="2"/>
    <s v="CLFF_1000$$$DE10537810"/>
    <s v="G000000397"/>
    <s v="G000000397"/>
    <s v="LFF (MDG-F)"/>
    <s v="DE10537810"/>
    <m/>
    <b v="1"/>
    <x v="0"/>
    <x v="1"/>
    <d v="2025-02-04T11:10:05"/>
    <m/>
    <m/>
    <x v="1"/>
    <n v="105"/>
    <s v="Francesco Ricioppo"/>
    <m/>
  </r>
  <r>
    <x v="55"/>
    <x v="0"/>
    <x v="2"/>
    <s v="CLFF_1000$$$DE20538242"/>
    <s v="G000000397"/>
    <s v="G000000397"/>
    <s v="LFF (MDG-F)"/>
    <s v="DE20538242"/>
    <m/>
    <b v="1"/>
    <x v="0"/>
    <x v="1"/>
    <d v="2025-02-04T11:10:05"/>
    <m/>
    <m/>
    <x v="1"/>
    <n v="105"/>
    <s v="Francesco Ricioppo"/>
    <m/>
  </r>
  <r>
    <x v="55"/>
    <x v="0"/>
    <x v="2"/>
    <s v="CLFF_1000$$$DE10538242"/>
    <s v="G000000397"/>
    <s v="G000000397"/>
    <s v="LFF (MDG-F)"/>
    <s v="DE10538242"/>
    <m/>
    <b v="1"/>
    <x v="0"/>
    <x v="1"/>
    <d v="2025-02-04T11:10:05"/>
    <m/>
    <m/>
    <x v="1"/>
    <n v="105"/>
    <s v="Francesco Ricioppo"/>
    <m/>
  </r>
  <r>
    <x v="55"/>
    <x v="0"/>
    <x v="4"/>
    <s v="CLFF_1000$$$DE20568016"/>
    <s v="G000000397"/>
    <s v="G000000397"/>
    <s v="LFF (MDG-F)"/>
    <s v="DE20568016"/>
    <m/>
    <b v="1"/>
    <x v="0"/>
    <x v="1"/>
    <d v="2025-02-04T11:10:05"/>
    <m/>
    <m/>
    <x v="1"/>
    <n v="105"/>
    <s v="Francesco Ricioppo"/>
    <m/>
  </r>
  <r>
    <x v="55"/>
    <x v="0"/>
    <x v="4"/>
    <s v="CLFF_1000$$$DE10568016"/>
    <s v="G000000397"/>
    <s v="G000000397"/>
    <s v="LFF (MDG-F)"/>
    <s v="DE10568016"/>
    <m/>
    <b v="1"/>
    <x v="0"/>
    <x v="1"/>
    <d v="2025-02-04T11:10:05"/>
    <m/>
    <m/>
    <x v="1"/>
    <n v="105"/>
    <s v="Francesco Ricioppo"/>
    <m/>
  </r>
  <r>
    <x v="55"/>
    <x v="0"/>
    <x v="2"/>
    <s v="CLFF_1000$$$DE20538431"/>
    <s v="G000000397"/>
    <s v="G000000397"/>
    <s v="LFF (MDG-F)"/>
    <s v="DE20538431"/>
    <m/>
    <b v="1"/>
    <x v="0"/>
    <x v="1"/>
    <d v="2025-02-04T11:10:05"/>
    <m/>
    <m/>
    <x v="1"/>
    <n v="105"/>
    <s v="Francesco Ricioppo"/>
    <m/>
  </r>
  <r>
    <x v="55"/>
    <x v="0"/>
    <x v="2"/>
    <s v="CLFF_1000$$$DE20567105"/>
    <s v="G000000397"/>
    <s v="G000000397"/>
    <s v="LFF (MDG-F)"/>
    <s v="DE20567105"/>
    <m/>
    <b v="1"/>
    <x v="0"/>
    <x v="1"/>
    <d v="2025-02-04T11:10:05"/>
    <m/>
    <m/>
    <x v="1"/>
    <n v="105"/>
    <s v="Francesco Ricioppo"/>
    <m/>
  </r>
  <r>
    <x v="55"/>
    <x v="0"/>
    <x v="2"/>
    <s v="CLFF_1000$$$DE10538431"/>
    <s v="G000000397"/>
    <s v="G000000397"/>
    <s v="LFF (MDG-F)"/>
    <s v="DE10538431"/>
    <m/>
    <b v="1"/>
    <x v="0"/>
    <x v="1"/>
    <d v="2025-02-04T11:10:05"/>
    <m/>
    <m/>
    <x v="1"/>
    <n v="105"/>
    <s v="Francesco Ricioppo"/>
    <m/>
  </r>
  <r>
    <x v="55"/>
    <x v="0"/>
    <x v="2"/>
    <s v="CLFF_1000$$$DE10567105"/>
    <s v="G000000397"/>
    <s v="G000000397"/>
    <s v="LFF (MDG-F)"/>
    <s v="DE10567105"/>
    <m/>
    <b v="1"/>
    <x v="0"/>
    <x v="1"/>
    <d v="2025-02-04T11:10:05"/>
    <m/>
    <m/>
    <x v="1"/>
    <n v="105"/>
    <s v="Francesco Ricioppo"/>
    <m/>
  </r>
  <r>
    <x v="55"/>
    <x v="0"/>
    <x v="2"/>
    <s v="CLFF_1000$$$DE10566400"/>
    <s v="G000000397"/>
    <s v="G000000397"/>
    <s v="LFF (MDG-F)"/>
    <s v="DE10566400"/>
    <m/>
    <b v="1"/>
    <x v="0"/>
    <x v="1"/>
    <d v="2025-02-04T11:10:05"/>
    <m/>
    <m/>
    <x v="1"/>
    <n v="105"/>
    <s v="Francesco Ricioppo"/>
    <m/>
  </r>
  <r>
    <x v="55"/>
    <x v="0"/>
    <x v="2"/>
    <s v="CLFF_1000$$$DE10505600"/>
    <s v="G000000397"/>
    <s v="G000000397"/>
    <s v="LFF (MDG-F)"/>
    <s v="DE10505600"/>
    <m/>
    <b v="1"/>
    <x v="0"/>
    <x v="1"/>
    <d v="2025-02-04T11:10:05"/>
    <m/>
    <m/>
    <x v="1"/>
    <n v="105"/>
    <s v="Francesco Ricioppo"/>
    <m/>
  </r>
  <r>
    <x v="55"/>
    <x v="0"/>
    <x v="4"/>
    <s v="CLFF_1000$$$DE20566500"/>
    <s v="G000000397"/>
    <s v="G000000397"/>
    <s v="LFF (MDG-F)"/>
    <s v="DE20566500"/>
    <m/>
    <b v="1"/>
    <x v="0"/>
    <x v="1"/>
    <d v="2025-02-04T11:10:05"/>
    <m/>
    <m/>
    <x v="1"/>
    <n v="105"/>
    <s v="Francesco Ricioppo"/>
    <m/>
  </r>
  <r>
    <x v="55"/>
    <x v="0"/>
    <x v="2"/>
    <s v="CLFF_1000$$$DE20625300"/>
    <s v="G000000397"/>
    <s v="G000000397"/>
    <s v="LFF (MDG-F)"/>
    <s v="DE20625300"/>
    <m/>
    <b v="1"/>
    <x v="0"/>
    <x v="1"/>
    <d v="2025-02-04T11:10:05"/>
    <m/>
    <m/>
    <x v="1"/>
    <n v="105"/>
    <s v="Francesco Ricioppo"/>
    <m/>
  </r>
  <r>
    <x v="55"/>
    <x v="0"/>
    <x v="2"/>
    <s v="CLFF_1000$$$DE20585300"/>
    <s v="G000000397"/>
    <s v="G000000397"/>
    <s v="LFF (MDG-F)"/>
    <s v="DE20585300"/>
    <m/>
    <b v="1"/>
    <x v="0"/>
    <x v="1"/>
    <d v="2025-02-04T11:10:05"/>
    <m/>
    <m/>
    <x v="1"/>
    <n v="105"/>
    <s v="Francesco Ricioppo"/>
    <m/>
  </r>
  <r>
    <x v="55"/>
    <x v="0"/>
    <x v="2"/>
    <s v="CLFF_1000$$$DE10649700"/>
    <s v="G000000397"/>
    <s v="G000000397"/>
    <s v="LFF (MDG-F)"/>
    <s v="DE10649700"/>
    <m/>
    <b v="1"/>
    <x v="0"/>
    <x v="1"/>
    <d v="2025-02-04T11:10:05"/>
    <m/>
    <m/>
    <x v="1"/>
    <n v="105"/>
    <s v="Francesco Ricioppo"/>
    <m/>
  </r>
  <r>
    <x v="55"/>
    <x v="0"/>
    <x v="2"/>
    <s v="CLFF_1000$$$DE10607900"/>
    <s v="G000000397"/>
    <s v="G000000397"/>
    <s v="LFF (MDG-F)"/>
    <s v="DE10607900"/>
    <m/>
    <b v="1"/>
    <x v="0"/>
    <x v="1"/>
    <d v="2025-02-04T11:10:05"/>
    <m/>
    <m/>
    <x v="1"/>
    <n v="105"/>
    <s v="Francesco Ricioppo"/>
    <m/>
  </r>
  <r>
    <x v="55"/>
    <x v="0"/>
    <x v="2"/>
    <s v="CLFF_1000$$$DE10517300"/>
    <s v="G000000397"/>
    <s v="G000000397"/>
    <s v="LFF (MDG-F)"/>
    <s v="DE10517300"/>
    <m/>
    <b v="1"/>
    <x v="0"/>
    <x v="1"/>
    <d v="2025-02-04T11:10:05"/>
    <m/>
    <m/>
    <x v="1"/>
    <n v="105"/>
    <s v="Francesco Ricioppo"/>
    <m/>
  </r>
  <r>
    <x v="55"/>
    <x v="0"/>
    <x v="2"/>
    <s v="CLFF_1000$$$DE20569511"/>
    <s v="G000000397"/>
    <s v="G000000397"/>
    <s v="LFF (MDG-F)"/>
    <s v="DE20569511"/>
    <m/>
    <b v="1"/>
    <x v="0"/>
    <x v="1"/>
    <d v="2025-02-04T11:10:05"/>
    <m/>
    <m/>
    <x v="1"/>
    <n v="105"/>
    <s v="Francesco Ricioppo"/>
    <m/>
  </r>
  <r>
    <x v="55"/>
    <x v="0"/>
    <x v="2"/>
    <s v="CLFF_1000$$$DE20675101"/>
    <s v="G000000397"/>
    <s v="G000000397"/>
    <s v="LFF (MDG-F)"/>
    <s v="DE20675101"/>
    <m/>
    <b v="1"/>
    <x v="0"/>
    <x v="1"/>
    <d v="2025-02-04T11:10:05"/>
    <m/>
    <m/>
    <x v="1"/>
    <n v="105"/>
    <s v="Francesco Ricioppo"/>
    <m/>
  </r>
  <r>
    <x v="56"/>
    <x v="0"/>
    <x v="2"/>
    <s v="CNOW_7210$$$0000051654 Payroll Vendor"/>
    <s v="G000000630"/>
    <s v="G000000630"/>
    <s v="Non-LFF"/>
    <s v=""/>
    <m/>
    <b v="1"/>
    <x v="0"/>
    <x v="1"/>
    <d v="2025-02-05T14:28:05"/>
    <m/>
    <m/>
    <x v="1"/>
    <n v="104"/>
    <s v="Jojeff Tagnong"/>
    <m/>
  </r>
  <r>
    <x v="56"/>
    <x v="0"/>
    <x v="2"/>
    <s v="CNOW_7210$$$0000051644 Payroll Vendor"/>
    <s v="G000000630"/>
    <s v="G000000630"/>
    <s v="Non-LFF"/>
    <s v=""/>
    <m/>
    <b v="1"/>
    <x v="0"/>
    <x v="1"/>
    <d v="2025-02-05T14:28:05"/>
    <m/>
    <m/>
    <x v="1"/>
    <n v="104"/>
    <s v="Jojeff Tagnong"/>
    <m/>
  </r>
  <r>
    <x v="56"/>
    <x v="0"/>
    <x v="2"/>
    <s v="CORAERP_MMOR1975.2738 MBS Hub Wroclaw"/>
    <s v="G000001171"/>
    <s v="G000001171"/>
    <s v="Non-LFF"/>
    <s v=""/>
    <m/>
    <b v="1"/>
    <x v="0"/>
    <x v="1"/>
    <d v="2025-02-05T14:28:05"/>
    <m/>
    <m/>
    <x v="1"/>
    <n v="104"/>
    <s v="Jojeff Tagnong"/>
    <m/>
  </r>
  <r>
    <x v="57"/>
    <x v="0"/>
    <x v="2"/>
    <s v="CNOW_7210$$$0000015104 DE RS Administration Steinheim"/>
    <s v="L000012426"/>
    <s v="L000012426"/>
    <s v="Non-LFF"/>
    <s v=""/>
    <m/>
    <b v="1"/>
    <x v="2"/>
    <x v="1"/>
    <d v="2025-02-05T15:47:25"/>
    <m/>
    <m/>
    <x v="1"/>
    <n v="104"/>
    <s v="Jayson Martinez"/>
    <m/>
  </r>
  <r>
    <x v="57"/>
    <x v="0"/>
    <x v="2"/>
    <s v="CNOW_7210$$$0000015304 DE RS Inbound-Steinheim"/>
    <s v="L000012426"/>
    <s v="L000012426"/>
    <s v="Non-LFF"/>
    <s v=""/>
    <m/>
    <b v="1"/>
    <x v="2"/>
    <x v="1"/>
    <d v="2025-02-05T15:47:25"/>
    <m/>
    <m/>
    <x v="1"/>
    <n v="104"/>
    <s v="Jayson Martinez"/>
    <m/>
  </r>
  <r>
    <x v="57"/>
    <x v="0"/>
    <x v="2"/>
    <s v="CNOW_7210$$$0000015305 DE RS Workshop Chemie GmbH"/>
    <s v="L000012426"/>
    <s v="L000012426"/>
    <s v="Non-LFF"/>
    <s v=""/>
    <m/>
    <b v="1"/>
    <x v="2"/>
    <x v="1"/>
    <d v="2025-02-05T15:47:25"/>
    <m/>
    <m/>
    <x v="1"/>
    <n v="104"/>
    <s v="Jayson Martinez"/>
    <m/>
  </r>
  <r>
    <x v="57"/>
    <x v="0"/>
    <x v="2"/>
    <s v="CNOW_7210$$$0000015320 DE RS Goods In"/>
    <s v="L000012426"/>
    <s v="L000012426"/>
    <s v="Non-LFF"/>
    <s v=""/>
    <m/>
    <b v="1"/>
    <x v="2"/>
    <x v="1"/>
    <d v="2025-02-05T15:47:25"/>
    <m/>
    <m/>
    <x v="1"/>
    <n v="104"/>
    <s v="Jayson Martinez"/>
    <m/>
  </r>
  <r>
    <x v="57"/>
    <x v="0"/>
    <x v="2"/>
    <s v="CNOW_7210$$$0000015350 DE RS Inventory-Steinheim"/>
    <s v="L000012426"/>
    <s v="L000012426"/>
    <s v="Non-LFF"/>
    <s v=""/>
    <m/>
    <b v="1"/>
    <x v="2"/>
    <x v="1"/>
    <d v="2025-02-05T15:47:25"/>
    <m/>
    <m/>
    <x v="1"/>
    <n v="104"/>
    <s v="Jayson Martinez"/>
    <m/>
  </r>
  <r>
    <x v="57"/>
    <x v="0"/>
    <x v="2"/>
    <s v="CNOW_7210$$$0000015355 DE RS EHS"/>
    <s v="L000012426"/>
    <s v="L000012426"/>
    <s v="Non-LFF"/>
    <s v=""/>
    <m/>
    <b v="1"/>
    <x v="2"/>
    <x v="1"/>
    <d v="2025-02-05T15:47:25"/>
    <m/>
    <m/>
    <x v="1"/>
    <n v="104"/>
    <s v="Jayson Martinez"/>
    <m/>
  </r>
  <r>
    <x v="57"/>
    <x v="0"/>
    <x v="2"/>
    <s v="CNOW_7210$$$0000015360 DE RS waste"/>
    <s v="L000012426"/>
    <s v="L000012426"/>
    <s v="Non-LFF"/>
    <s v=""/>
    <m/>
    <b v="1"/>
    <x v="2"/>
    <x v="1"/>
    <d v="2025-02-05T15:47:25"/>
    <m/>
    <m/>
    <x v="1"/>
    <n v="104"/>
    <s v="Jayson Martinez"/>
    <m/>
  </r>
  <r>
    <x v="57"/>
    <x v="0"/>
    <x v="2"/>
    <s v="CNOW_7210$$$0000015404 DE RS Dispatch - Steinheim"/>
    <s v="L000012426"/>
    <s v="L000012426"/>
    <s v="Non-LFF"/>
    <s v=""/>
    <m/>
    <b v="1"/>
    <x v="2"/>
    <x v="1"/>
    <d v="2025-02-05T15:47:25"/>
    <m/>
    <m/>
    <x v="1"/>
    <n v="104"/>
    <s v="Jayson Martinez"/>
    <m/>
  </r>
  <r>
    <x v="57"/>
    <x v="0"/>
    <x v="2"/>
    <s v="CNOW_7210$$$0000015504 DE RS Export-Shipping-Steinheim"/>
    <s v="L000012426"/>
    <s v="L000012426"/>
    <s v="Non-LFF"/>
    <s v=""/>
    <m/>
    <b v="1"/>
    <x v="2"/>
    <x v="1"/>
    <d v="2025-02-05T15:47:25"/>
    <m/>
    <m/>
    <x v="1"/>
    <n v="104"/>
    <s v="Jayson Martinez"/>
    <m/>
  </r>
  <r>
    <x v="57"/>
    <x v="0"/>
    <x v="2"/>
    <s v="CNOW_7210$$$0000015520 DE RS Sales Support Steinheim"/>
    <s v="L000012426"/>
    <s v="L000012426"/>
    <s v="Non-LFF"/>
    <s v=""/>
    <m/>
    <b v="1"/>
    <x v="2"/>
    <x v="1"/>
    <d v="2025-02-05T15:47:25"/>
    <m/>
    <m/>
    <x v="1"/>
    <n v="104"/>
    <s v="Jayson Martinez"/>
    <m/>
  </r>
  <r>
    <x v="57"/>
    <x v="0"/>
    <x v="2"/>
    <s v="CNOW_7210$$$0000015550 DE RS Quality Control"/>
    <s v="L000012426"/>
    <s v="L000012426"/>
    <s v="Non-LFF"/>
    <s v=""/>
    <m/>
    <b v="1"/>
    <x v="2"/>
    <x v="1"/>
    <d v="2025-02-05T15:47:25"/>
    <m/>
    <m/>
    <x v="1"/>
    <n v="104"/>
    <s v="Jayson Martinez"/>
    <m/>
  </r>
  <r>
    <x v="57"/>
    <x v="0"/>
    <x v="2"/>
    <s v="CNOW_7210$$$0000015570 DE RS Compliance"/>
    <s v="L000012426"/>
    <s v="L000012426"/>
    <s v="Non-LFF"/>
    <s v=""/>
    <m/>
    <b v="1"/>
    <x v="2"/>
    <x v="1"/>
    <d v="2025-02-05T15:47:25"/>
    <m/>
    <m/>
    <x v="1"/>
    <n v="104"/>
    <s v="Jayson Martinez"/>
    <m/>
  </r>
  <r>
    <x v="57"/>
    <x v="0"/>
    <x v="2"/>
    <s v="CNOW_7210$$$0000015600 DE SAFC Filling Station Bulk / F&amp;F"/>
    <s v="L000012426"/>
    <s v="L000012426"/>
    <s v="Non-LFF"/>
    <s v=""/>
    <m/>
    <b v="1"/>
    <x v="2"/>
    <x v="1"/>
    <d v="2025-02-05T15:47:25"/>
    <m/>
    <m/>
    <x v="1"/>
    <n v="104"/>
    <s v="Jayson Martinez"/>
    <m/>
  </r>
  <r>
    <x v="57"/>
    <x v="0"/>
    <x v="2"/>
    <s v="CNOW_7210$$$0000015610 DE RS Lables &amp; Prepack Filling"/>
    <s v="L000012426"/>
    <s v="L000012426"/>
    <s v="Non-LFF"/>
    <s v=""/>
    <m/>
    <b v="1"/>
    <x v="2"/>
    <x v="1"/>
    <d v="2025-02-05T15:47:25"/>
    <m/>
    <m/>
    <x v="1"/>
    <n v="104"/>
    <s v="Jayson Martinez"/>
    <m/>
  </r>
  <r>
    <x v="57"/>
    <x v="0"/>
    <x v="2"/>
    <s v="CNOW_7210$$$0000015611 DE RS Etikettierungg"/>
    <s v="L000012426"/>
    <s v="L000012426"/>
    <s v="Non-LFF"/>
    <s v=""/>
    <m/>
    <b v="1"/>
    <x v="2"/>
    <x v="1"/>
    <d v="2025-02-05T15:47:25"/>
    <m/>
    <m/>
    <x v="1"/>
    <n v="104"/>
    <s v="Jayson Martinez"/>
    <m/>
  </r>
  <r>
    <x v="57"/>
    <x v="0"/>
    <x v="2"/>
    <s v="CNOW_7210$$$0000015614 DE RS Etikettendruck"/>
    <s v="L000012426"/>
    <s v="L000012426"/>
    <s v="Non-LFF"/>
    <s v=""/>
    <m/>
    <b v="1"/>
    <x v="2"/>
    <x v="1"/>
    <d v="2025-02-05T15:47:25"/>
    <m/>
    <m/>
    <x v="1"/>
    <n v="104"/>
    <s v="Jayson Martinez"/>
    <m/>
  </r>
  <r>
    <x v="57"/>
    <x v="0"/>
    <x v="2"/>
    <s v="CNOW_7210$$$0000015615 DE SAFC Food Filling"/>
    <s v="L000012426"/>
    <s v="L000012426"/>
    <s v="Non-LFF"/>
    <s v=""/>
    <m/>
    <b v="1"/>
    <x v="2"/>
    <x v="1"/>
    <d v="2025-02-05T15:47:25"/>
    <m/>
    <m/>
    <x v="1"/>
    <n v="104"/>
    <s v="Jayson Martinez"/>
    <m/>
  </r>
  <r>
    <x v="57"/>
    <x v="0"/>
    <x v="2"/>
    <s v="CNOW_7210$$$0000015620 DE RS Air Sensitive Filling"/>
    <s v="L000012426"/>
    <s v="L000012426"/>
    <s v="Non-LFF"/>
    <s v=""/>
    <m/>
    <b v="1"/>
    <x v="2"/>
    <x v="1"/>
    <d v="2025-02-05T15:47:25"/>
    <m/>
    <m/>
    <x v="1"/>
    <n v="104"/>
    <s v="Jayson Martinez"/>
    <m/>
  </r>
  <r>
    <x v="57"/>
    <x v="0"/>
    <x v="2"/>
    <s v="CNOW_7210$$$0000015710 DE RS Purchasing/Sourcing"/>
    <s v="L000012426"/>
    <s v="L000012426"/>
    <s v="Non-LFF"/>
    <s v=""/>
    <m/>
    <b v="1"/>
    <x v="2"/>
    <x v="1"/>
    <d v="2025-02-05T15:47:25"/>
    <m/>
    <m/>
    <x v="1"/>
    <n v="104"/>
    <s v="Jayson Martinez"/>
    <m/>
  </r>
  <r>
    <x v="57"/>
    <x v="0"/>
    <x v="2"/>
    <s v="CNOW_7210$$$0000015919 STH MAOH CCV"/>
    <s v="L000012426"/>
    <s v="L000012426"/>
    <s v="Non-LFF"/>
    <s v=""/>
    <m/>
    <b v="1"/>
    <x v="2"/>
    <x v="1"/>
    <d v="2025-02-05T15:47:25"/>
    <m/>
    <m/>
    <x v="1"/>
    <n v="104"/>
    <s v="Jayson Martinez"/>
    <m/>
  </r>
  <r>
    <x v="57"/>
    <x v="0"/>
    <x v="2"/>
    <s v="CNOW_7210$$$0000015940 STH MAOH CCV"/>
    <s v="L000012426"/>
    <s v="L000012426"/>
    <s v="Non-LFF"/>
    <s v=""/>
    <m/>
    <b v="1"/>
    <x v="2"/>
    <x v="1"/>
    <d v="2025-02-05T15:47:25"/>
    <m/>
    <m/>
    <x v="1"/>
    <n v="104"/>
    <s v="Jayson Martinez"/>
    <m/>
  </r>
  <r>
    <x v="57"/>
    <x v="0"/>
    <x v="2"/>
    <s v="CNOW_7210$$$0000015941 STH TOLSO charges"/>
    <s v="L000012426"/>
    <s v="L000012426"/>
    <s v="Non-LFF"/>
    <s v=""/>
    <m/>
    <b v="1"/>
    <x v="2"/>
    <x v="1"/>
    <d v="2025-02-05T15:47:25"/>
    <m/>
    <m/>
    <x v="1"/>
    <n v="104"/>
    <s v="Jayson Martinez"/>
    <m/>
  </r>
  <r>
    <x v="57"/>
    <x v="0"/>
    <x v="2"/>
    <s v="CNOW_7210$$$0000015995 DE RS SG&amp;A KG Steinheim"/>
    <s v="L000012426"/>
    <s v="L000012426"/>
    <s v="Non-LFF"/>
    <s v=""/>
    <m/>
    <b v="1"/>
    <x v="2"/>
    <x v="1"/>
    <d v="2025-02-05T15:47:25"/>
    <m/>
    <m/>
    <x v="1"/>
    <n v="104"/>
    <s v="Jayson Martinez"/>
    <m/>
  </r>
  <r>
    <x v="57"/>
    <x v="0"/>
    <x v="2"/>
    <s v="CNOW_7210$$$0000051910 DE SAFC Filling Station Bulk / F&amp;F"/>
    <s v="L000012426"/>
    <s v="L000012426"/>
    <s v="Non-LFF"/>
    <s v=""/>
    <m/>
    <b v="1"/>
    <x v="2"/>
    <x v="1"/>
    <d v="2025-02-05T15:47:25"/>
    <m/>
    <m/>
    <x v="1"/>
    <n v="104"/>
    <s v="Jayson Martinez"/>
    <m/>
  </r>
  <r>
    <x v="57"/>
    <x v="0"/>
    <x v="2"/>
    <s v="CNOW_7210$$$0000051911 DE-PC SAFC Filling Station Bulk/F&amp;F"/>
    <s v="L000012426"/>
    <s v="L000012426"/>
    <s v="Non-LFF"/>
    <s v=""/>
    <m/>
    <b v="1"/>
    <x v="2"/>
    <x v="1"/>
    <d v="2025-02-05T15:47:25"/>
    <m/>
    <m/>
    <x v="1"/>
    <n v="104"/>
    <s v="Jayson Martinez"/>
    <m/>
  </r>
  <r>
    <x v="57"/>
    <x v="0"/>
    <x v="2"/>
    <s v="CNOW_7210$$$0000051912 DE-PC RS Lables &amp; Prepack Filling"/>
    <s v="L000012426"/>
    <s v="L000012426"/>
    <s v="Non-LFF"/>
    <s v=""/>
    <m/>
    <b v="1"/>
    <x v="2"/>
    <x v="1"/>
    <d v="2025-02-05T15:47:25"/>
    <m/>
    <m/>
    <x v="1"/>
    <n v="104"/>
    <s v="Jayson Martinez"/>
    <m/>
  </r>
  <r>
    <x v="57"/>
    <x v="0"/>
    <x v="2"/>
    <s v="CNOW_7210$$$0000051914 DE-PC SAFC Food Filling"/>
    <s v="L000012426"/>
    <s v="L000012426"/>
    <s v="Non-LFF"/>
    <s v=""/>
    <m/>
    <b v="1"/>
    <x v="2"/>
    <x v="1"/>
    <d v="2025-02-05T15:47:25"/>
    <m/>
    <m/>
    <x v="1"/>
    <n v="104"/>
    <s v="Jayson Martinez"/>
    <m/>
  </r>
  <r>
    <x v="57"/>
    <x v="0"/>
    <x v="2"/>
    <s v="CNOW_7210$$$0000051915 DE-PC RS Air Sensitive Filling"/>
    <s v="L000012426"/>
    <s v="L000012426"/>
    <s v="Non-LFF"/>
    <s v=""/>
    <m/>
    <b v="1"/>
    <x v="2"/>
    <x v="1"/>
    <d v="2025-02-05T15:47:25"/>
    <m/>
    <m/>
    <x v="1"/>
    <n v="104"/>
    <s v="Jayson Martinez"/>
    <m/>
  </r>
  <r>
    <x v="57"/>
    <x v="0"/>
    <x v="2"/>
    <s v="CNOW_7210$$$0000051926 DE RE CoGs Logistic - Steinheim"/>
    <s v="L000012426"/>
    <s v="L000012426"/>
    <s v="Non-LFF"/>
    <s v=""/>
    <m/>
    <b v="1"/>
    <x v="2"/>
    <x v="1"/>
    <d v="2025-02-05T15:47:25"/>
    <m/>
    <m/>
    <x v="1"/>
    <n v="104"/>
    <s v="Jayson Martinez"/>
    <m/>
  </r>
  <r>
    <x v="57"/>
    <x v="0"/>
    <x v="2"/>
    <s v="CNOW_7210$$$0000051936 DE-PC RS Pilot Plant Production"/>
    <s v="L000012426"/>
    <s v="L000012426"/>
    <s v="Non-LFF"/>
    <s v=""/>
    <m/>
    <b v="1"/>
    <x v="2"/>
    <x v="1"/>
    <d v="2025-02-05T15:47:25"/>
    <m/>
    <m/>
    <x v="1"/>
    <n v="104"/>
    <s v="Jayson Martinez"/>
    <m/>
  </r>
  <r>
    <x v="57"/>
    <x v="0"/>
    <x v="2"/>
    <s v="CNOW_7210$$$0000051937 DE BT Sigma Genosys Production"/>
    <s v="L000012426"/>
    <s v="L000012426"/>
    <s v="Non-LFF"/>
    <s v=""/>
    <m/>
    <b v="1"/>
    <x v="2"/>
    <x v="1"/>
    <d v="2025-02-05T15:47:25"/>
    <m/>
    <m/>
    <x v="1"/>
    <n v="104"/>
    <s v="Jayson Martinez"/>
    <m/>
  </r>
  <r>
    <x v="57"/>
    <x v="0"/>
    <x v="2"/>
    <s v="CNOW_7210$$$0000052070 ICON DE 15104"/>
    <s v="L000012426"/>
    <s v="L000012426"/>
    <s v="Non-LFF"/>
    <s v=""/>
    <m/>
    <b v="1"/>
    <x v="2"/>
    <x v="1"/>
    <d v="2025-02-05T15:47:25"/>
    <m/>
    <m/>
    <x v="1"/>
    <n v="104"/>
    <s v="Jayson Martinez"/>
    <m/>
  </r>
  <r>
    <x v="57"/>
    <x v="0"/>
    <x v="2"/>
    <s v="CNOW_7210$$$0000052074 ICON DE 15305"/>
    <s v="L000012426"/>
    <s v="L000012426"/>
    <s v="Non-LFF"/>
    <s v=""/>
    <m/>
    <b v="1"/>
    <x v="2"/>
    <x v="1"/>
    <d v="2025-02-05T15:47:25"/>
    <m/>
    <m/>
    <x v="1"/>
    <n v="104"/>
    <s v="Jayson Martinez"/>
    <m/>
  </r>
  <r>
    <x v="57"/>
    <x v="0"/>
    <x v="2"/>
    <s v="CNOW_7210$$$0000052077 ICON DE 15550"/>
    <s v="L000012426"/>
    <s v="L000012426"/>
    <s v="Non-LFF"/>
    <s v=""/>
    <m/>
    <b v="1"/>
    <x v="2"/>
    <x v="1"/>
    <d v="2025-02-05T15:47:25"/>
    <m/>
    <m/>
    <x v="1"/>
    <n v="104"/>
    <s v="Jayson Martinez"/>
    <m/>
  </r>
  <r>
    <x v="57"/>
    <x v="0"/>
    <x v="2"/>
    <s v="CNOW_7210$$$0000052078 ICON DE 15600"/>
    <s v="L000012426"/>
    <s v="L000012426"/>
    <s v="Non-LFF"/>
    <s v=""/>
    <m/>
    <b v="1"/>
    <x v="2"/>
    <x v="1"/>
    <d v="2025-02-05T15:47:25"/>
    <m/>
    <m/>
    <x v="1"/>
    <n v="104"/>
    <s v="Jayson Martinez"/>
    <m/>
  </r>
  <r>
    <x v="57"/>
    <x v="0"/>
    <x v="2"/>
    <s v="CNOW_7210$$$0000052079 ICON DE 15610"/>
    <s v="L000012426"/>
    <s v="L000012426"/>
    <s v="Non-LFF"/>
    <s v=""/>
    <m/>
    <b v="1"/>
    <x v="2"/>
    <x v="1"/>
    <d v="2025-02-05T15:47:25"/>
    <m/>
    <m/>
    <x v="1"/>
    <n v="104"/>
    <s v="Jayson Martinez"/>
    <m/>
  </r>
  <r>
    <x v="57"/>
    <x v="0"/>
    <x v="2"/>
    <s v="CNOW_7210$$$0000052080 ICON DE 15611"/>
    <s v="L000012426"/>
    <s v="L000012426"/>
    <s v="Non-LFF"/>
    <s v=""/>
    <m/>
    <b v="1"/>
    <x v="2"/>
    <x v="1"/>
    <d v="2025-02-05T15:47:25"/>
    <m/>
    <m/>
    <x v="1"/>
    <n v="104"/>
    <s v="Jayson Martinez"/>
    <m/>
  </r>
  <r>
    <x v="57"/>
    <x v="0"/>
    <x v="2"/>
    <s v="CNOW_7210$$$0000052081 ICON DE 15614"/>
    <s v="L000012426"/>
    <s v="L000012426"/>
    <s v="Non-LFF"/>
    <s v=""/>
    <m/>
    <b v="1"/>
    <x v="2"/>
    <x v="1"/>
    <d v="2025-02-05T15:47:25"/>
    <m/>
    <m/>
    <x v="1"/>
    <n v="104"/>
    <s v="Jayson Martinez"/>
    <m/>
  </r>
  <r>
    <x v="57"/>
    <x v="0"/>
    <x v="2"/>
    <s v="CNOW_7210$$$0000052082 ICON DE 15615"/>
    <s v="L000012426"/>
    <s v="L000012426"/>
    <s v="Non-LFF"/>
    <s v=""/>
    <m/>
    <b v="1"/>
    <x v="2"/>
    <x v="1"/>
    <d v="2025-02-05T15:47:25"/>
    <m/>
    <m/>
    <x v="1"/>
    <n v="104"/>
    <s v="Jayson Martinez"/>
    <m/>
  </r>
  <r>
    <x v="57"/>
    <x v="0"/>
    <x v="2"/>
    <s v="CNOW_7210$$$0000052083 ICON DE 15620"/>
    <s v="L000012426"/>
    <s v="L000012426"/>
    <s v="Non-LFF"/>
    <s v=""/>
    <m/>
    <b v="1"/>
    <x v="2"/>
    <x v="1"/>
    <d v="2025-02-05T15:47:25"/>
    <m/>
    <m/>
    <x v="1"/>
    <n v="104"/>
    <s v="Jayson Martinez"/>
    <m/>
  </r>
  <r>
    <x v="57"/>
    <x v="0"/>
    <x v="2"/>
    <s v="CNOW_7210$$$0000052084 ICON DE 15320"/>
    <s v="L000012426"/>
    <s v="L000012426"/>
    <s v="Non-LFF"/>
    <s v=""/>
    <m/>
    <b v="1"/>
    <x v="2"/>
    <x v="1"/>
    <d v="2025-02-05T15:47:25"/>
    <m/>
    <m/>
    <x v="1"/>
    <n v="104"/>
    <s v="Jayson Martinez"/>
    <m/>
  </r>
  <r>
    <x v="57"/>
    <x v="0"/>
    <x v="2"/>
    <s v="CNOW_7210$$$0000052085 ICON DE 15350"/>
    <s v="L000012426"/>
    <s v="L000012426"/>
    <s v="Non-LFF"/>
    <s v=""/>
    <m/>
    <b v="1"/>
    <x v="2"/>
    <x v="1"/>
    <d v="2025-02-05T15:47:25"/>
    <m/>
    <m/>
    <x v="1"/>
    <n v="104"/>
    <s v="Jayson Martinez"/>
    <m/>
  </r>
  <r>
    <x v="57"/>
    <x v="0"/>
    <x v="2"/>
    <s v="CNOW_7210$$$0000052086 ICON DE 15355"/>
    <s v="L000012426"/>
    <s v="L000012426"/>
    <s v="Non-LFF"/>
    <s v=""/>
    <m/>
    <b v="1"/>
    <x v="2"/>
    <x v="1"/>
    <d v="2025-02-05T15:47:25"/>
    <m/>
    <m/>
    <x v="1"/>
    <n v="104"/>
    <s v="Jayson Martinez"/>
    <m/>
  </r>
  <r>
    <x v="57"/>
    <x v="0"/>
    <x v="2"/>
    <s v="CNOW_7210$$$0000052087 ICON DE 15360"/>
    <s v="L000012426"/>
    <s v="L000012426"/>
    <s v="Non-LFF"/>
    <s v=""/>
    <m/>
    <b v="1"/>
    <x v="2"/>
    <x v="1"/>
    <d v="2025-02-05T15:47:25"/>
    <m/>
    <m/>
    <x v="1"/>
    <n v="104"/>
    <s v="Jayson Martinez"/>
    <m/>
  </r>
  <r>
    <x v="57"/>
    <x v="0"/>
    <x v="2"/>
    <s v="CNOW_7210$$$0000052088 ICON DE 15404"/>
    <s v="L000012426"/>
    <s v="L000012426"/>
    <s v="Non-LFF"/>
    <s v=""/>
    <m/>
    <b v="1"/>
    <x v="2"/>
    <x v="1"/>
    <d v="2025-02-05T15:47:25"/>
    <m/>
    <m/>
    <x v="1"/>
    <n v="104"/>
    <s v="Jayson Martinez"/>
    <m/>
  </r>
  <r>
    <x v="57"/>
    <x v="0"/>
    <x v="2"/>
    <s v="CNOW_7210$$$0000052090 ICON DE 15570"/>
    <s v="L000012426"/>
    <s v="L000012426"/>
    <s v="Non-LFF"/>
    <s v=""/>
    <m/>
    <b v="1"/>
    <x v="2"/>
    <x v="1"/>
    <d v="2025-02-05T15:47:25"/>
    <m/>
    <m/>
    <x v="1"/>
    <n v="104"/>
    <s v="Jayson Martinez"/>
    <m/>
  </r>
  <r>
    <x v="57"/>
    <x v="0"/>
    <x v="2"/>
    <s v="CNOW_7210$$$0000052093 ICON DE 15710"/>
    <s v="L000012426"/>
    <s v="L000012426"/>
    <s v="Non-LFF"/>
    <s v=""/>
    <m/>
    <b v="1"/>
    <x v="2"/>
    <x v="1"/>
    <d v="2025-02-05T15:47:25"/>
    <m/>
    <m/>
    <x v="1"/>
    <n v="104"/>
    <s v="Jayson Martinez"/>
    <m/>
  </r>
  <r>
    <x v="57"/>
    <x v="0"/>
    <x v="2"/>
    <s v="CNOW_7210$$$0000052157 STH MAOH Absorption"/>
    <s v="L000012426"/>
    <s v="L000012426"/>
    <s v="Non-LFF"/>
    <s v=""/>
    <m/>
    <b v="1"/>
    <x v="2"/>
    <x v="1"/>
    <d v="2025-02-05T15:47:25"/>
    <m/>
    <m/>
    <x v="1"/>
    <n v="104"/>
    <s v="Jayson Martinez"/>
    <m/>
  </r>
  <r>
    <x v="57"/>
    <x v="0"/>
    <x v="2"/>
    <s v="CNOW_7210$$$0000052172 ICON DE 15941"/>
    <s v="L000012426"/>
    <s v="L000012426"/>
    <s v="Non-LFF"/>
    <s v=""/>
    <m/>
    <b v="1"/>
    <x v="2"/>
    <x v="1"/>
    <d v="2025-02-05T15:47:25"/>
    <m/>
    <m/>
    <x v="1"/>
    <n v="104"/>
    <s v="Jayson Martinez"/>
    <m/>
  </r>
  <r>
    <x v="57"/>
    <x v="0"/>
    <x v="2"/>
    <s v="CNOW_7210$$$0000058241 STH R&amp;D Production"/>
    <s v="L000012426"/>
    <s v="L000012426"/>
    <s v="Non-LFF"/>
    <s v=""/>
    <m/>
    <b v="1"/>
    <x v="2"/>
    <x v="1"/>
    <d v="2025-02-05T15:47:25"/>
    <m/>
    <m/>
    <x v="1"/>
    <n v="104"/>
    <s v="Jayson Martinez"/>
    <m/>
  </r>
  <r>
    <x v="57"/>
    <x v="0"/>
    <x v="2"/>
    <s v="CNOW_7210$$$0000058242 STH Lab Production"/>
    <s v="L000012426"/>
    <s v="L000012426"/>
    <s v="Non-LFF"/>
    <s v=""/>
    <m/>
    <b v="1"/>
    <x v="2"/>
    <x v="1"/>
    <d v="2025-02-05T15:47:25"/>
    <m/>
    <m/>
    <x v="1"/>
    <n v="104"/>
    <s v="Jayson Martinez"/>
    <m/>
  </r>
  <r>
    <x v="57"/>
    <x v="0"/>
    <x v="2"/>
    <s v="CNOW_7210$$$0000058243 STH Pilot Plant Production"/>
    <s v="L000012426"/>
    <s v="L000012426"/>
    <s v="Non-LFF"/>
    <s v=""/>
    <m/>
    <b v="1"/>
    <x v="2"/>
    <x v="1"/>
    <d v="2025-02-05T15:47:25"/>
    <m/>
    <m/>
    <x v="1"/>
    <n v="104"/>
    <s v="Jayson Martinez"/>
    <m/>
  </r>
  <r>
    <x v="57"/>
    <x v="0"/>
    <x v="2"/>
    <s v="CNOW_7210$$$0000058244 STH Poduction General"/>
    <s v="L000012426"/>
    <s v="L000012426"/>
    <s v="Non-LFF"/>
    <s v=""/>
    <m/>
    <b v="1"/>
    <x v="2"/>
    <x v="1"/>
    <d v="2025-02-05T15:47:25"/>
    <m/>
    <m/>
    <x v="1"/>
    <n v="104"/>
    <s v="Jayson Martinez"/>
    <m/>
  </r>
  <r>
    <x v="57"/>
    <x v="0"/>
    <x v="2"/>
    <s v="CNOW_7210$$$0000058245 STH Oligo Production"/>
    <s v="L000012426"/>
    <s v="L000012426"/>
    <s v="Non-LFF"/>
    <s v=""/>
    <m/>
    <b v="1"/>
    <x v="2"/>
    <x v="1"/>
    <d v="2025-02-05T15:47:25"/>
    <m/>
    <m/>
    <x v="1"/>
    <n v="104"/>
    <s v="Jayson Martinez"/>
    <m/>
  </r>
  <r>
    <x v="57"/>
    <x v="0"/>
    <x v="2"/>
    <s v="CNOW_7210$$$0000058251 STH Apprentices Production"/>
    <s v="L000012426"/>
    <s v="L000012426"/>
    <s v="Non-LFF"/>
    <s v=""/>
    <m/>
    <b v="1"/>
    <x v="2"/>
    <x v="1"/>
    <d v="2025-02-05T15:47:25"/>
    <m/>
    <m/>
    <x v="1"/>
    <n v="104"/>
    <s v="Jayson Martinez"/>
    <m/>
  </r>
  <r>
    <x v="57"/>
    <x v="0"/>
    <x v="2"/>
    <s v="CNOW_7210$$$0000058261 STH Other Inc/Exp Production"/>
    <s v="L000012426"/>
    <s v="L000012426"/>
    <s v="Non-LFF"/>
    <s v=""/>
    <m/>
    <b v="1"/>
    <x v="2"/>
    <x v="1"/>
    <d v="2025-02-05T15:47:25"/>
    <m/>
    <m/>
    <x v="1"/>
    <n v="104"/>
    <s v="Jayson Martinez"/>
    <m/>
  </r>
  <r>
    <x v="58"/>
    <x v="0"/>
    <x v="2"/>
    <s v="CLFF_1000$$$ZA50GIT10C"/>
    <s v="G000001233"/>
    <s v="G000001233"/>
    <s v="LFF (MDG-F)"/>
    <s v="ZA50GIT10C"/>
    <m/>
    <b v="1"/>
    <x v="0"/>
    <x v="1"/>
    <d v="2025-02-06T14:26:11"/>
    <m/>
    <m/>
    <x v="1"/>
    <n v="103"/>
    <s v="Jay-R Lizardo"/>
    <m/>
  </r>
  <r>
    <x v="58"/>
    <x v="0"/>
    <x v="2"/>
    <s v="CLFF_1000$$$EE50GIT00C"/>
    <s v="H000004185"/>
    <s v="H000004185"/>
    <s v="LFF (MDG-F)"/>
    <s v="EE50GIT00C"/>
    <m/>
    <b v="1"/>
    <x v="0"/>
    <x v="1"/>
    <d v="2025-02-06T14:26:11"/>
    <m/>
    <m/>
    <x v="1"/>
    <n v="103"/>
    <s v="Jay-R Lizardo"/>
    <m/>
  </r>
  <r>
    <x v="58"/>
    <x v="0"/>
    <x v="2"/>
    <s v="CLFF_1000$$$KE50GIT10B"/>
    <s v="G000000279"/>
    <s v="G000000279"/>
    <s v="LFF (MDG-F)"/>
    <s v="KE50GIT10B"/>
    <m/>
    <b v="1"/>
    <x v="0"/>
    <x v="1"/>
    <d v="2025-02-06T14:26:11"/>
    <m/>
    <m/>
    <x v="1"/>
    <n v="103"/>
    <s v="Jay-R Lizardo"/>
    <m/>
  </r>
  <r>
    <x v="58"/>
    <x v="0"/>
    <x v="2"/>
    <s v="CLFF_1000$$$KE50GIT10C"/>
    <s v="H000004185"/>
    <s v="H000004185"/>
    <s v="LFF (MDG-F)"/>
    <s v="KE50GIT10C"/>
    <m/>
    <b v="1"/>
    <x v="0"/>
    <x v="1"/>
    <d v="2025-02-06T14:26:11"/>
    <m/>
    <m/>
    <x v="1"/>
    <n v="103"/>
    <s v="Jay-R Lizardo"/>
    <m/>
  </r>
  <r>
    <x v="58"/>
    <x v="0"/>
    <x v="2"/>
    <s v="CNOW_7210$$$0000051458"/>
    <s v="L000013808"/>
    <s v="L000013808"/>
    <s v="Non-LFF"/>
    <s v=""/>
    <m/>
    <b v="1"/>
    <x v="0"/>
    <x v="1"/>
    <d v="2025-02-06T14:26:11"/>
    <m/>
    <m/>
    <x v="1"/>
    <n v="103"/>
    <s v="Jay-R Lizardo"/>
    <m/>
  </r>
  <r>
    <x v="59"/>
    <x v="0"/>
    <x v="2"/>
    <s v="CORAERP_MMOR1945.9115"/>
    <s v="G000001174"/>
    <s v="G000001174"/>
    <s v="Non-LFF"/>
    <s v=""/>
    <m/>
    <b v="1"/>
    <x v="0"/>
    <x v="1"/>
    <d v="2025-02-07T13:27:47"/>
    <m/>
    <m/>
    <x v="1"/>
    <n v="102"/>
    <s v="Jojeff Tagnong"/>
    <m/>
  </r>
  <r>
    <x v="59"/>
    <x v="0"/>
    <x v="4"/>
    <s v="CLFF_1000$$$DE10G69660"/>
    <s v="G000001174"/>
    <s v="G000001174"/>
    <s v="LFF (MDG-F)"/>
    <s v="DE10G69660"/>
    <m/>
    <b v="1"/>
    <x v="0"/>
    <x v="1"/>
    <d v="2025-02-07T13:27:47"/>
    <m/>
    <m/>
    <x v="1"/>
    <n v="102"/>
    <s v="Jojeff Tagnong"/>
    <m/>
  </r>
  <r>
    <x v="60"/>
    <x v="0"/>
    <x v="2"/>
    <s v="CLFF_1000$$$DE20506400"/>
    <s v="G000000353"/>
    <s v="G000000353"/>
    <s v="LFF (MDG-F)"/>
    <s v="DE20506400"/>
    <m/>
    <b v="1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5"/>
    <s v="LFF (MDG-F)"/>
    <s v="DE10624905"/>
    <s v="Already mapped but not yet replicated in TM1."/>
    <b v="1"/>
    <x v="0"/>
    <x v="1"/>
    <d v="2025-02-11T04:00:09"/>
    <m/>
    <m/>
    <x v="1"/>
    <n v="100"/>
    <s v="Jojeff Tagnong"/>
    <m/>
  </r>
  <r>
    <x v="61"/>
    <x v="0"/>
    <x v="2"/>
    <s v="CLFF_1000$$$DE10624906"/>
    <s v="G000000235"/>
    <s v="G000000235"/>
    <s v="LFF (MDG-F)"/>
    <s v="DE10624906"/>
    <m/>
    <b v="1"/>
    <x v="0"/>
    <x v="1"/>
    <d v="2025-02-11T04:00:09"/>
    <m/>
    <m/>
    <x v="1"/>
    <n v="100"/>
    <s v="Jojeff Tagnong"/>
    <m/>
  </r>
  <r>
    <x v="62"/>
    <x v="0"/>
    <x v="2"/>
    <s v="CLFF_1000$$$DE10GIT04K"/>
    <s v="G000000893"/>
    <s v="G000000893"/>
    <s v="LFF (MDG-F)"/>
    <s v="DE10GIT04K"/>
    <m/>
    <b v="1"/>
    <x v="0"/>
    <x v="1"/>
    <d v="2025-02-12T04:00:09"/>
    <m/>
    <m/>
    <x v="1"/>
    <n v="99"/>
    <s v="Jay-R Lizardo"/>
    <m/>
  </r>
  <r>
    <x v="63"/>
    <x v="0"/>
    <x v="2"/>
    <s v="CLFF_7210$$$2034C00019 Hub Organoids"/>
    <s v="L000007871"/>
    <s v="L000007871"/>
    <s v="LFF (MDG-F)"/>
    <s v="2034C00019"/>
    <m/>
    <b v="1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L000013391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4"/>
    <s v="Non-LFF"/>
    <s v=""/>
    <m/>
    <b v="1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G000001314"/>
    <s v="LFF (MDG-F)"/>
    <s v="2123L2851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G000001315"/>
    <s v="LFF (MDG-F)"/>
    <s v="2123OF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G000001315"/>
    <s v="LFF (MDG-F)"/>
    <s v="2123OF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G000001319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G000001319"/>
    <s v="LFF (MDG-F)"/>
    <s v="2123L7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G000001303"/>
    <s v="LFF (MDG-F)"/>
    <s v="2123C0011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G000001287"/>
    <s v="LFF (MDG-F)"/>
    <s v="2123C001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G000001287"/>
    <s v="LFF (MDG-F)"/>
    <s v="2123C0007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G000001322"/>
    <s v="LFF (MDG-F)"/>
    <s v="2123C000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G000001287"/>
    <s v="LFF (MDG-F)"/>
    <s v="2123C0005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G000001287"/>
    <s v="LFF (MDG-F)"/>
    <s v="2123C0005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G000001287"/>
    <s v="LFF (MDG-F)"/>
    <s v="2123OF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G000001288"/>
    <s v="LFF (MDG-F)"/>
    <s v="2123C000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G000001288"/>
    <s v="LFF (MDG-F)"/>
    <s v="2123C0008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G000001323"/>
    <s v="LFF (MDG-F)"/>
    <s v="2123C0007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G000001288"/>
    <s v="LFF (MDG-F)"/>
    <s v="2123C0007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G000001289"/>
    <s v="LFF (MDG-F)"/>
    <s v="2123C000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G000001290"/>
    <s v="LFF (MDG-F)"/>
    <s v="2123C0006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G000001290"/>
    <s v="LFF (MDG-F)"/>
    <s v="2123CS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G000001290"/>
    <s v="LFF (MDG-F)"/>
    <s v="2123CS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G000001290"/>
    <s v="LFF (MDG-F)"/>
    <s v="2123CS005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G000001290"/>
    <s v="LFF (MDG-F)"/>
    <s v="2123R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G000001291"/>
    <s v="LFF (MDG-F)"/>
    <s v="2123C0002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G000001291"/>
    <s v="LFF (MDG-F)"/>
    <s v="2123C0002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G000001291"/>
    <s v="LFF (MDG-F)"/>
    <s v="2123C0849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G000001291"/>
    <s v="LFF (MDG-F)"/>
    <s v="2123C085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G000001291"/>
    <s v="Non-LFF"/>
    <s v=""/>
    <s v="Mapped in Trash"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6 SBS Digital Marketing &amp; Prd Mgt"/>
    <s v="G000001291"/>
    <s v="G000001291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G000001292"/>
    <s v="LFF (MDG-F)"/>
    <s v="2123C0003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G000001292"/>
    <s v="LFF (MDG-F)"/>
    <s v="2123C0003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G000001292"/>
    <s v="LFF (MDG-F)"/>
    <s v="2123C0003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G000001292"/>
    <s v="LFF (MDG-F)"/>
    <s v="2123C0006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G000001292"/>
    <s v="LFF (MDG-F)"/>
    <s v="2123C000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G000001292"/>
    <s v="LFF (MDG-F)"/>
    <s v="2123C001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G000001292"/>
    <s v="LFF (MDG-F)"/>
    <s v="2123C085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G000001293"/>
    <s v="LFF (MDG-F)"/>
    <s v="2123C0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G000001293"/>
    <s v="LFF (MDG-F)"/>
    <s v="2123C0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G000001293"/>
    <s v="LFF (MDG-F)"/>
    <s v="2123C0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G000001293"/>
    <s v="LFF (MDG-F)"/>
    <s v="2123C0005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G000001293"/>
    <s v="LFF (MDG-F)"/>
    <s v="2123C0006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G000001293"/>
    <s v="LFF (MDG-F)"/>
    <s v="2123C0006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G000001293"/>
    <s v="LFF (MDG-F)"/>
    <s v="2123C084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G000001293"/>
    <s v="LFF (MDG-F)"/>
    <s v="2123C0BS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G000001293"/>
    <s v="LFF (MDG-F)"/>
    <s v="2123C0BS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G000001293"/>
    <s v="LFF (MDG-F)"/>
    <s v="2123C0BS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G000001293"/>
    <s v="LFF (MDG-F)"/>
    <s v="2123C0BS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G000001294"/>
    <s v="LFF (MDG-F)"/>
    <s v="2123C000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G000001294"/>
    <s v="LFF (MDG-F)"/>
    <s v="2123C0005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G000001294"/>
    <s v="LFF (MDG-F)"/>
    <s v="2123C0006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G000001294"/>
    <s v="LFF (MDG-F)"/>
    <s v="2123C0006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G000001294"/>
    <s v="LFF (MDG-F)"/>
    <s v="2123C0008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G000001295"/>
    <s v="LFF (MDG-F)"/>
    <s v="2123C0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G000001295"/>
    <s v="LFF (MDG-F)"/>
    <s v="2123C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G000001295"/>
    <s v="LFF (MDG-F)"/>
    <s v="2123C0004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G000001295"/>
    <s v="LFF (MDG-F)"/>
    <s v="2123C0004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G000001295"/>
    <s v="LFF (MDG-F)"/>
    <s v="2123C0004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G000001295"/>
    <s v="LFF (MDG-F)"/>
    <s v="2123C0007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G000001295"/>
    <s v="LFF (MDG-F)"/>
    <s v="2123C0008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G000001295"/>
    <s v="LFF (MDG-F)"/>
    <s v="2123C000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G000001295"/>
    <s v="LFF (MDG-F)"/>
    <s v="2123C084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G000001295"/>
    <s v="LFF (MDG-F)"/>
    <s v="2123C085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G000001295"/>
    <s v="LFF (MDG-F)"/>
    <s v="2123C0BS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G000001295"/>
    <s v="LFF (MDG-F)"/>
    <s v="2123C0BS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G000001295"/>
    <s v="LFF (MDG-F)"/>
    <s v="2123C0BS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G000001295"/>
    <s v="Non-LFF"/>
    <s v=""/>
    <s v="Mapped in Trash"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4 MM-SIAL Cross charge"/>
    <s v="G000001295"/>
    <s v="G000001295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G000001296"/>
    <s v="LFF (MDG-F)"/>
    <s v="2123C0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G000001296"/>
    <s v="LFF (MDG-F)"/>
    <s v="2123C000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G000001296"/>
    <s v="LFF (MDG-F)"/>
    <s v="2123C0851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G000001334"/>
    <s v="LFF (MDG-F)"/>
    <s v="2123OF001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G000001299"/>
    <s v="LFF (MDG-F)"/>
    <s v="2123OF001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G000001337"/>
    <s v="LFF (MDG-F)"/>
    <s v="2123C0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G000001302"/>
    <s v="LFF (MDG-F)"/>
    <s v="2123C0002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G000001302"/>
    <s v="LFF (MDG-F)"/>
    <s v="2123C0009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G000001337"/>
    <s v="LFF (MDG-F)"/>
    <s v="2123C001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G000001303"/>
    <s v="LFF (MDG-F)"/>
    <s v="2123C001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G000001303"/>
    <s v="LFF (MDG-F)"/>
    <s v="2123OF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G000001306"/>
    <s v="LFF (MDG-F)"/>
    <s v="2123TPSZ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G000001341"/>
    <s v="LFF (MDG-F)"/>
    <s v="2123TPSZ9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G000001307"/>
    <s v="LFF (MDG-F)"/>
    <s v="2123L8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G000001307"/>
    <s v="LFF (MDG-F)"/>
    <s v="2123TPSZ9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G000001343"/>
    <s v="LFF (MDG-F)"/>
    <s v="2123TQJZ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G000001316"/>
    <s v="LFF (MDG-F)"/>
    <s v="2123OF00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G000001317"/>
    <s v="LFF (MDG-F)"/>
    <s v="2123L5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G000001317"/>
    <s v="LFF (MDG-F)"/>
    <s v="2123L584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G000001317"/>
    <s v="LFF (MDG-F)"/>
    <s v="2123L500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G000001352"/>
    <s v="LFF (MDG-F)"/>
    <s v="2123L5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G000001317"/>
    <s v="LFF (MDG-F)"/>
    <s v="2123L5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G000001317"/>
    <s v="LFF (MDG-F)"/>
    <s v="2123L5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G000001318"/>
    <s v="LFF (MDG-F)"/>
    <s v="2123C0011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G000001309"/>
    <s v="LFF (MDG-F)"/>
    <s v="2123OF002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G000001310"/>
    <s v="LFF (MDG-F)"/>
    <s v="2123OF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G000001311"/>
    <s v="LFF (MDG-F)"/>
    <s v="2123OF002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P000001045"/>
    <s v="LFF (MDG-F)"/>
    <s v="US20Z01000"/>
    <s v="Not found in MDGF"/>
    <b v="1"/>
    <x v="0"/>
    <x v="1"/>
    <d v="2025-02-17T15:23:20"/>
    <m/>
    <m/>
    <x v="1"/>
    <n v="96"/>
    <s v="Eivy Denine Cruz"/>
    <m/>
  </r>
  <r>
    <x v="68"/>
    <x v="0"/>
    <x v="4"/>
    <s v="CLFF_VMCA$$$US16Z01000 Automatic Account Assignment OKB9"/>
    <s v="P000001045"/>
    <s v="P000001045"/>
    <s v="LFF (MDG-F)"/>
    <s v="US16Z01000"/>
    <s v="Not found in MDGF"/>
    <b v="1"/>
    <x v="0"/>
    <x v="1"/>
    <d v="2025-02-17T15:23:20"/>
    <m/>
    <m/>
    <x v="1"/>
    <n v="96"/>
    <s v="Eivy Denine Cruz"/>
    <m/>
  </r>
  <r>
    <x v="68"/>
    <x v="0"/>
    <x v="4"/>
    <s v="CLFF_VMCA$$$US14Z01000 Automatic Account Assignment OKB9"/>
    <s v="P000001045"/>
    <s v="P000001045"/>
    <s v="LFF (MDG-F)"/>
    <s v="US14Z01000"/>
    <s v="Not found in MDGF"/>
    <b v="1"/>
    <x v="0"/>
    <x v="1"/>
    <d v="2025-02-17T15:23:20"/>
    <m/>
    <m/>
    <x v="1"/>
    <n v="96"/>
    <s v="Eivy Denine Cruz"/>
    <m/>
  </r>
  <r>
    <x v="68"/>
    <x v="0"/>
    <x v="4"/>
    <s v="CLFF_VMCA$$$US15Z01000 Automatic Account Assignment OKB9"/>
    <s v="P000001045"/>
    <s v="P000001045"/>
    <s v="LFF (MDG-F)"/>
    <s v="US15Z01000"/>
    <s v="Not found in MDGF"/>
    <b v="1"/>
    <x v="0"/>
    <x v="1"/>
    <d v="2025-02-17T15:23:20"/>
    <m/>
    <m/>
    <x v="1"/>
    <n v="96"/>
    <s v="Eivy Denine Cruz"/>
    <m/>
  </r>
  <r>
    <x v="68"/>
    <x v="0"/>
    <x v="4"/>
    <s v="CLFF_1000$$$US01TNHZ06 EL-SC-E Capital Efficiency &amp; Project Dev"/>
    <s v="P000001191"/>
    <s v="P000001191"/>
    <s v="LFF (MDG-F)"/>
    <s v="US01TNHZ06"/>
    <s v="Manually added in the parent node."/>
    <b v="1"/>
    <x v="0"/>
    <x v="1"/>
    <d v="2025-02-17T15:23:20"/>
    <m/>
    <m/>
    <x v="1"/>
    <n v="96"/>
    <s v="Eivy Denine Cruz"/>
    <m/>
  </r>
  <r>
    <x v="68"/>
    <x v="0"/>
    <x v="4"/>
    <s v="CLFF_1000$$$TW03TOKA00 EL-SC-E Capital Efficiency &amp; Project Dev"/>
    <s v="P000001191"/>
    <s v="P000001191"/>
    <s v="LFF (MDG-F)"/>
    <s v="TW03TOKA00"/>
    <s v="Manually added in the parent node."/>
    <b v="1"/>
    <x v="0"/>
    <x v="1"/>
    <d v="2025-02-17T15:23:20"/>
    <m/>
    <m/>
    <x v="1"/>
    <n v="96"/>
    <s v="Eivy Denine Cruz"/>
    <m/>
  </r>
  <r>
    <x v="68"/>
    <x v="0"/>
    <x v="4"/>
    <s v="CLFF_1000$$$US01TNHZ05 EL-SC-E Global Techn. &amp; Engineering SMEs"/>
    <s v="P000001195"/>
    <s v="P000001195"/>
    <s v="LFF (MDG-F)"/>
    <s v="US01TNHZ05"/>
    <s v="Manually added in the parent node."/>
    <b v="1"/>
    <x v="0"/>
    <x v="1"/>
    <d v="2025-02-17T15:23:20"/>
    <m/>
    <m/>
    <x v="1"/>
    <n v="96"/>
    <s v="Eivy Denine Cruz"/>
    <m/>
  </r>
  <r>
    <x v="68"/>
    <x v="0"/>
    <x v="2"/>
    <s v="CLFF_1000$$$US01TN0001 US ELDP Central CC"/>
    <s v="P000001187"/>
    <s v="P000001187"/>
    <s v="LFF (MDG-F)"/>
    <s v="US01TN0001"/>
    <m/>
    <b v="1"/>
    <x v="0"/>
    <x v="1"/>
    <d v="2025-02-17T15:23:20"/>
    <m/>
    <m/>
    <x v="1"/>
    <n v="96"/>
    <s v="Eivy Denine Cruz"/>
    <m/>
  </r>
  <r>
    <x v="68"/>
    <x v="0"/>
    <x v="2"/>
    <s v="CLFF_VMCA$$$US10TN2100 US ELDP Central CC"/>
    <s v="P000001187"/>
    <s v="P000001187"/>
    <s v="LFF (MDG-F)"/>
    <s v="US10TN2100"/>
    <m/>
    <b v="1"/>
    <x v="0"/>
    <x v="1"/>
    <d v="2025-02-17T15:23:20"/>
    <m/>
    <m/>
    <x v="1"/>
    <n v="96"/>
    <s v="Eivy Denine Cruz"/>
    <m/>
  </r>
  <r>
    <x v="68"/>
    <x v="0"/>
    <x v="2"/>
    <s v="CLFF_VMCA$$$CN10C01004 RedOx Operations Technology"/>
    <s v="P000001193"/>
    <s v="P000001193"/>
    <s v="LFF (MDG-F)"/>
    <s v="CN10C01004"/>
    <m/>
    <b v="1"/>
    <x v="0"/>
    <x v="1"/>
    <d v="2025-02-17T15:23:20"/>
    <m/>
    <m/>
    <x v="1"/>
    <n v="96"/>
    <s v="Eivy Denine Cruz"/>
    <m/>
  </r>
  <r>
    <x v="68"/>
    <x v="0"/>
    <x v="2"/>
    <s v="CFLTFLE_2152IMIPARVR02 AR VR Pilot Line"/>
    <s v="P000000649"/>
    <s v="P000000649"/>
    <s v="Non-LFF"/>
    <s v=""/>
    <m/>
    <b v="1"/>
    <x v="0"/>
    <x v="1"/>
    <d v="2025-02-17T15:23:20"/>
    <m/>
    <m/>
    <x v="1"/>
    <n v="96"/>
    <s v="Eivy Denine Cruz"/>
    <m/>
  </r>
  <r>
    <x v="69"/>
    <x v="0"/>
    <x v="2"/>
    <s v="D00120400000000 SDC-OLED-IT-T2 prime"/>
    <s v="P000001233"/>
    <s v="P000001233"/>
    <s v="Non-LFF"/>
    <s v=""/>
    <m/>
    <b v="1"/>
    <x v="3"/>
    <x v="1"/>
    <d v="2025-02-17T15:29:53"/>
    <m/>
    <m/>
    <x v="1"/>
    <n v="96"/>
    <s v="Uros Jablanov"/>
    <m/>
  </r>
  <r>
    <x v="69"/>
    <x v="0"/>
    <x v="2"/>
    <s v="D00124000000000 Unity-SC Cross-collaborations"/>
    <s v="P000001243"/>
    <s v="P000001243"/>
    <s v="Non-LFF"/>
    <s v=""/>
    <m/>
    <b v="1"/>
    <x v="3"/>
    <x v="1"/>
    <d v="2025-02-17T15:29:53"/>
    <m/>
    <m/>
    <x v="1"/>
    <n v="96"/>
    <s v="Uros Jablanov"/>
    <m/>
  </r>
  <r>
    <x v="69"/>
    <x v="0"/>
    <x v="2"/>
    <s v="D00124200000000 CSOT-OLED-Mobile-C11"/>
    <s v="P000001229"/>
    <s v="P000001229"/>
    <s v="Non-LFF"/>
    <s v=""/>
    <m/>
    <b v="1"/>
    <x v="3"/>
    <x v="1"/>
    <d v="2025-02-17T15:29:53"/>
    <m/>
    <m/>
    <x v="1"/>
    <n v="96"/>
    <s v="Uros Jablanov"/>
    <m/>
  </r>
  <r>
    <x v="69"/>
    <x v="0"/>
    <x v="2"/>
    <s v="D00124300000000 Exploration of New Ideas AR/VR"/>
    <s v="P000001252"/>
    <s v="P000001252"/>
    <s v="Non-LFF"/>
    <s v=""/>
    <m/>
    <b v="1"/>
    <x v="3"/>
    <x v="1"/>
    <d v="2025-02-17T15:29:53"/>
    <m/>
    <m/>
    <x v="1"/>
    <n v="96"/>
    <s v="Uros Jablanov"/>
    <m/>
  </r>
  <r>
    <x v="69"/>
    <x v="0"/>
    <x v="2"/>
    <s v="D00124400000000 LCOS"/>
    <s v="P000001252"/>
    <s v="P000001252"/>
    <s v="Non-LFF"/>
    <s v=""/>
    <m/>
    <b v="1"/>
    <x v="3"/>
    <x v="1"/>
    <d v="2025-02-17T15:29:53"/>
    <m/>
    <m/>
    <x v="1"/>
    <n v="96"/>
    <s v="Uros Jablanov"/>
    <m/>
  </r>
  <r>
    <x v="69"/>
    <x v="0"/>
    <x v="2"/>
    <s v="ITEMPEU_001300003831 Exploration of new ideas AR/VR UK"/>
    <s v="P000001252"/>
    <s v="P000001252"/>
    <s v="Non-LFF"/>
    <s v=""/>
    <m/>
    <b v="1"/>
    <x v="3"/>
    <x v="1"/>
    <d v="2025-02-17T15:29:53"/>
    <m/>
    <m/>
    <x v="1"/>
    <n v="96"/>
    <s v="Uros Jablanov"/>
    <m/>
  </r>
  <r>
    <x v="69"/>
    <x v="0"/>
    <x v="2"/>
    <s v="D00119900000000 OT R&amp;D IC Charge"/>
    <s v="P000001266"/>
    <s v="P000001266"/>
    <s v="Non-LFF"/>
    <s v=""/>
    <m/>
    <b v="1"/>
    <x v="3"/>
    <x v="1"/>
    <d v="2025-02-17T15:29:53"/>
    <m/>
    <m/>
    <x v="1"/>
    <n v="96"/>
    <s v="Uros Jablanov"/>
    <m/>
  </r>
  <r>
    <x v="69"/>
    <x v="0"/>
    <x v="2"/>
    <s v="D00121600000000 OT R&amp;D CrossCharge"/>
    <s v="P000001266"/>
    <s v="P000001266"/>
    <s v="Non-LFF"/>
    <s v=""/>
    <m/>
    <b v="1"/>
    <x v="3"/>
    <x v="1"/>
    <d v="2025-02-17T15:29:53"/>
    <m/>
    <m/>
    <x v="1"/>
    <n v="96"/>
    <s v="Uros Jablanov"/>
    <m/>
  </r>
  <r>
    <x v="69"/>
    <x v="0"/>
    <x v="2"/>
    <s v="D00120100000000 DPM R&amp;D IC Charge"/>
    <s v="P000001265"/>
    <s v="P000001265"/>
    <s v="Non-LFF"/>
    <s v=""/>
    <m/>
    <b v="1"/>
    <x v="3"/>
    <x v="1"/>
    <d v="2025-02-17T15:29:53"/>
    <m/>
    <m/>
    <x v="1"/>
    <n v="96"/>
    <s v="Uros Jablanov"/>
    <m/>
  </r>
  <r>
    <x v="69"/>
    <x v="0"/>
    <x v="2"/>
    <s v="D00121800000000 DPM R&amp;D CrossCharge"/>
    <s v="P000001265"/>
    <s v="P000001265"/>
    <s v="Non-LFF"/>
    <s v=""/>
    <m/>
    <b v="1"/>
    <x v="3"/>
    <x v="1"/>
    <d v="2025-02-17T15:29:53"/>
    <m/>
    <m/>
    <x v="1"/>
    <n v="96"/>
    <s v="Uros Jablanov"/>
    <m/>
  </r>
  <r>
    <x v="70"/>
    <x v="0"/>
    <x v="2"/>
    <s v="CTEMPLA_1000UY10100019"/>
    <s v="G000000758"/>
    <s v="G000000758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200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3151"/>
    <s v="Non-LFF"/>
    <s v=""/>
    <m/>
    <b v="1"/>
    <x v="2"/>
    <x v="1"/>
    <d v="2025-02-18T06:18:31"/>
    <m/>
    <m/>
    <x v="1"/>
    <n v="95"/>
    <s v="Jayson Martinez"/>
    <m/>
  </r>
  <r>
    <x v="71"/>
    <x v="0"/>
    <x v="2"/>
    <s v="CPRJ-9820230003 SSP IMMUNOGEN"/>
    <s v="L000013151"/>
    <s v="L000013151"/>
    <s v="Non-LFF"/>
    <s v=""/>
    <m/>
    <b v="1"/>
    <x v="2"/>
    <x v="1"/>
    <d v="2025-02-18T06:18:31"/>
    <m/>
    <m/>
    <x v="1"/>
    <n v="95"/>
    <s v="Jayson Martinez"/>
    <m/>
  </r>
  <r>
    <x v="71"/>
    <x v="0"/>
    <x v="2"/>
    <s v="CPRJ-13870 GY3 Non-GMP Production for Oncternal"/>
    <s v="L000013151"/>
    <s v="L000013151"/>
    <s v="Non-LFF"/>
    <s v=""/>
    <m/>
    <b v="1"/>
    <x v="2"/>
    <x v="1"/>
    <d v="2025-02-18T06:18:31"/>
    <m/>
    <m/>
    <x v="1"/>
    <n v="95"/>
    <s v="Jayson Martinez"/>
    <m/>
  </r>
  <r>
    <x v="71"/>
    <x v="0"/>
    <x v="2"/>
    <s v="CPRJ-9820220011 RED-601(ER6) Exelixis Development"/>
    <s v="L000013151"/>
    <s v="L000013151"/>
    <s v="Non-LFF"/>
    <s v=""/>
    <m/>
    <b v="1"/>
    <x v="2"/>
    <x v="1"/>
    <d v="2025-02-18T06:18:31"/>
    <m/>
    <m/>
    <x v="1"/>
    <n v="95"/>
    <s v="Jayson Martinez"/>
    <m/>
  </r>
  <r>
    <x v="71"/>
    <x v="0"/>
    <x v="2"/>
    <s v="IPHOENX_000400762139 Telios Cogs"/>
    <s v="L000013151"/>
    <s v="L000013151"/>
    <s v="Non-LFF"/>
    <s v=""/>
    <m/>
    <b v="1"/>
    <x v="2"/>
    <x v="1"/>
    <d v="2025-02-18T06:18:31"/>
    <m/>
    <m/>
    <x v="1"/>
    <n v="95"/>
    <s v="Jayson Martinez"/>
    <m/>
  </r>
  <r>
    <x v="72"/>
    <x v="0"/>
    <x v="2"/>
    <s v="CLFF_1000$$$DE20538341 "/>
    <s v="G000000527"/>
    <s v="G000000527"/>
    <s v="LFF (MDG-F)"/>
    <s v="DE20538341"/>
    <m/>
    <b v="1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1079"/>
    <s v="LFF (MDG-F)"/>
    <s v="DE10538341"/>
    <m/>
    <b v="1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s v="G000001174"/>
    <s v="LFF (MDG-F)"/>
    <s v="DE10G69660"/>
    <m/>
    <b v="1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1175"/>
    <s v="LFF (MDG-F)"/>
    <s v="ZA50GM2260"/>
    <m/>
    <b v="1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P000001015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"/>
    <s v="Non-LFF"/>
    <s v=""/>
    <s v="Mapped already."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"/>
    <s v="LFF (MDG-F)"/>
    <s v="KR03C00402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959"/>
    <s v="LFF (MDG-F)"/>
    <s v="US01C01107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201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891"/>
    <s v="Non-LFF"/>
    <s v=""/>
    <m/>
    <b v="1"/>
    <x v="2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G000000235"/>
    <s v="LFF (MDG-F)"/>
    <s v="AE50GCO220"/>
    <m/>
    <b v="1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2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798"/>
    <s v="LFF (MDG-F)"/>
    <s v="DE10OF0005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798"/>
    <s v="LFF (MDG-F)"/>
    <s v="2123OF0029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H000003686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O000000007"/>
    <s v="LFF (MDG-F)"/>
    <s v="DE10GIN006"/>
    <s v="DE1XGIN006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O000000007"/>
    <s v="LFF (MDG-F)"/>
    <s v="DE10GM1008"/>
    <s v="DE1XGM1008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O000000007"/>
    <s v="LFF (MDG-F)"/>
    <s v="DE10GM2000"/>
    <s v="DE1XGM2000 - Both found"/>
    <b v="1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O000000007"/>
    <s v="LFF (MDG-F)"/>
    <s v="DE10GM4009"/>
    <s v="DE1XGM4009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O000000007"/>
    <s v="LFF (MDG-F)"/>
    <s v="DE10GM8003"/>
    <s v="DE1XGM8003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O000000007"/>
    <s v="LFF (MDG-F)"/>
    <s v="KR08GLE009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O000000007"/>
    <s v="LFF (MDG-F)"/>
    <s v="KR11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O000000007"/>
    <s v="LFF (MDG-F)"/>
    <s v="KR15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O000000007"/>
    <s v="LFF (MDG-F)"/>
    <s v="KR16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O000000007"/>
    <s v="LFF (MDG-F)"/>
    <s v="SG10GM2004"/>
    <m/>
    <b v="1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1344"/>
    <s v="LFF (MDG-F)"/>
    <s v="CN50C01602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H000001596"/>
    <s v="LFF (MDG-F)"/>
    <s v="CN90L50000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H000001596"/>
    <s v="LFF (MDG-F)"/>
    <s v="CN90L80001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H00000439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H00000148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H000001486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H00000152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H00000150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H00000138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H0000041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L000006137"/>
    <s v="Non-LFF"/>
    <s v=""/>
    <s v="No actions needed from us."/>
    <b v="1"/>
    <x v="1"/>
    <x v="1"/>
    <d v="2025-02-25T07:29:41"/>
    <m/>
    <m/>
    <x v="1"/>
    <n v="90"/>
    <s v="Natasha Hazel Aliado"/>
    <m/>
  </r>
  <r>
    <x v="83"/>
    <x v="0"/>
    <x v="2"/>
    <s v="CFLTFLE_10548-141-ECOM"/>
    <s v="L000008508"/>
    <s v="L000008508"/>
    <s v="Non-LFF"/>
    <s v=""/>
    <s v="No actions needed from us."/>
    <b v="1"/>
    <x v="1"/>
    <x v="1"/>
    <d v="2025-02-25T07:29:41"/>
    <m/>
    <m/>
    <x v="1"/>
    <n v="90"/>
    <s v="Natasha Hazel Aliado"/>
    <m/>
  </r>
  <r>
    <x v="83"/>
    <x v="0"/>
    <x v="2"/>
    <s v="OUY_3110250000_BF-C2_1823"/>
    <s v="H000000381"/>
    <s v="H000000381"/>
    <s v="Non-LFF"/>
    <s v=""/>
    <s v="No actions needed from us."/>
    <b v="1"/>
    <x v="1"/>
    <x v="1"/>
    <d v="2025-02-25T07:29:41"/>
    <m/>
    <m/>
    <x v="1"/>
    <n v="90"/>
    <s v="Natasha Hazel Aliado"/>
    <m/>
  </r>
  <r>
    <x v="84"/>
    <x v="0"/>
    <x v="2"/>
    <s v="CNOW_7210$$$0000052369 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L000009982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L0000099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L00001158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L00001232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3805"/>
    <s v="Non-LFF"/>
    <s v=""/>
    <m/>
    <b v="1"/>
    <x v="2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904"/>
    <s v="LFF (MDG-F)"/>
    <s v="KR07C06030"/>
    <m/>
    <b v="1"/>
    <x v="0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L000006431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L000010037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L000009356"/>
    <s v="Non-LFF"/>
    <s v=""/>
    <m/>
    <b v="1"/>
    <x v="2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68"/>
    <s v="LFF (MDG-F)"/>
    <s v="KR02TPAZ06"/>
    <m/>
    <b v="1"/>
    <x v="0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H000003637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H000001141"/>
    <s v="Non-LFF"/>
    <s v=""/>
    <s v="Already mapped"/>
    <b v="1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H000001142"/>
    <s v="Non-LFF"/>
    <s v=""/>
    <m/>
    <b v="1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3"/>
    <s v="Non-LFF"/>
    <s v=""/>
    <m/>
    <b v="1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H000000299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H000000312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H000000274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397"/>
    <s v="LFF (MDG-F)"/>
    <s v="DE20517200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397"/>
    <s v="LFF (MDG-F)"/>
    <s v="DE20847204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397"/>
    <s v="LFF (MDG-F)"/>
    <s v="DE20847205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397"/>
    <s v="LFF (MDG-F)"/>
    <s v="DE20847206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397"/>
    <s v="LFF (MDG-F)"/>
    <s v="DE20847207"/>
    <m/>
    <b v="1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97"/>
    <s v="LFF (MDG-F)"/>
    <s v="DE105055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7"/>
    <s v="LFF (MDG-F)"/>
    <s v="DE10550100"/>
    <s v="Trash"/>
    <b v="1"/>
    <x v="0"/>
    <x v="1"/>
    <d v="2025-03-03T09:34:30"/>
    <m/>
    <d v="2025-03-06T00:00:00"/>
    <x v="0"/>
    <n v="3"/>
    <s v="Francesco Ricioppo"/>
    <m/>
  </r>
  <r>
    <x v="97"/>
    <x v="0"/>
    <x v="4"/>
    <s v="CLFF_1000$$$DE10559100"/>
    <s v="G000000397"/>
    <s v="G000000397"/>
    <s v="LFF (MDG-F)"/>
    <s v="DE10559100"/>
    <s v="Trash"/>
    <b v="1"/>
    <x v="0"/>
    <x v="1"/>
    <d v="2025-03-03T09:34:30"/>
    <m/>
    <d v="2025-03-06T00:00:00"/>
    <x v="0"/>
    <n v="3"/>
    <s v="Francesco Ricioppo"/>
    <m/>
  </r>
  <r>
    <x v="97"/>
    <x v="0"/>
    <x v="4"/>
    <s v="CLFF_1000$$$DE10566910"/>
    <s v="G000000397"/>
    <s v="G000000397"/>
    <s v="LFF (MDG-F)"/>
    <s v="DE10566910"/>
    <s v="Trash"/>
    <b v="1"/>
    <x v="0"/>
    <x v="1"/>
    <d v="2025-03-03T09:34:30"/>
    <m/>
    <d v="2025-03-06T00:00:00"/>
    <x v="0"/>
    <n v="3"/>
    <s v="Francesco Ricioppo"/>
    <m/>
  </r>
  <r>
    <x v="97"/>
    <x v="0"/>
    <x v="2"/>
    <s v="CLFF_1000$$$DE10580022"/>
    <s v="G000000397"/>
    <s v="G000000397"/>
    <s v="LFF (MDG-F)"/>
    <s v="DE10580022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97"/>
    <s v="LFF (MDG-F)"/>
    <s v="DE10580023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97"/>
    <s v="LFF (MDG-F)"/>
    <s v="DE10580024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97"/>
    <s v="LFF (MDG-F)"/>
    <s v="DE1058002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97"/>
    <s v="LFF (MDG-F)"/>
    <s v="DE1058002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97"/>
    <s v="LFF (MDG-F)"/>
    <s v="DE10580027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97"/>
    <s v="LFF (MDG-F)"/>
    <s v="DE1058004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97"/>
    <s v="LFF (MDG-F)"/>
    <s v="DE106283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397"/>
    <s v="LFF (MDG-F)"/>
    <s v="DE2067510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397"/>
    <s v="LFF (MDG-F)"/>
    <s v="DE2067510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G000000397"/>
    <s v="LFF (MDG-F)"/>
    <s v="DE20995000"/>
    <s v="Trash"/>
    <b v="1"/>
    <x v="0"/>
    <x v="1"/>
    <d v="2025-03-03T09:34:30"/>
    <m/>
    <d v="2025-03-06T00:00:00"/>
    <x v="0"/>
    <n v="3"/>
    <s v="Francesco Ricioppo"/>
    <m/>
  </r>
  <r>
    <x v="97"/>
    <x v="0"/>
    <x v="4"/>
    <s v="CLFF_1000$$$DE10889997"/>
    <s v="G000000397"/>
    <s v="G000000397"/>
    <s v="LFF (MDG-F)"/>
    <s v="DE10889997"/>
    <s v="Trash"/>
    <b v="1"/>
    <x v="0"/>
    <x v="1"/>
    <d v="2025-03-03T09:34:30"/>
    <m/>
    <d v="2025-03-06T00:00:00"/>
    <x v="0"/>
    <n v="3"/>
    <s v="Francesco Ricioppo"/>
    <m/>
  </r>
  <r>
    <x v="97"/>
    <x v="0"/>
    <x v="4"/>
    <s v="CLFF_1000$$$DE10889998"/>
    <s v="G000000397"/>
    <s v="G000000397"/>
    <s v="LFF (MDG-F)"/>
    <s v="DE10889998"/>
    <s v="Trash"/>
    <b v="1"/>
    <x v="0"/>
    <x v="1"/>
    <d v="2025-03-03T09:34:30"/>
    <m/>
    <d v="2025-03-06T00:00:00"/>
    <x v="0"/>
    <n v="3"/>
    <s v="Francesco Ricioppo"/>
    <m/>
  </r>
  <r>
    <x v="97"/>
    <x v="0"/>
    <x v="4"/>
    <s v="CLFF_1000$$$DE10889999"/>
    <s v="G000000397"/>
    <s v="G000000397"/>
    <s v="LFF (MDG-F)"/>
    <s v="DE10889999"/>
    <s v="Trash"/>
    <b v="1"/>
    <x v="0"/>
    <x v="1"/>
    <d v="2025-03-03T09:34:30"/>
    <m/>
    <d v="2025-03-06T00:00:00"/>
    <x v="0"/>
    <n v="3"/>
    <s v="Francesco Ricioppo"/>
    <m/>
  </r>
  <r>
    <x v="98"/>
    <x v="0"/>
    <x v="2"/>
    <s v="CLFF_VMCA$$$CN09L16005"/>
    <s v="P000000499"/>
    <s v="P000000499"/>
    <s v="LFF (MDG-F)"/>
    <s v="CN09L16005"/>
    <m/>
    <b v="1"/>
    <x v="0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91"/>
    <s v="Non-LFF"/>
    <s v=""/>
    <m/>
    <b v="1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s v="G000001280"/>
    <s v="LFF (MDG-F)"/>
    <s v="DE10698316"/>
    <m/>
    <b v="1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L00001019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L0000134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L00001015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L00001355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L00000964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L000013671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97"/>
    <s v="LFF (MDG-F)"/>
    <s v="DE10600870"/>
    <m/>
    <b v="1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G000000397"/>
    <s v="LFF (MDG-F)"/>
    <s v="DE20553406"/>
    <s v="Trash"/>
    <b v="1"/>
    <x v="0"/>
    <x v="1"/>
    <d v="2025-03-04T09:55:18"/>
    <m/>
    <d v="2025-03-07T00:00:00"/>
    <x v="0"/>
    <n v="3"/>
    <s v="Francesco Ricioppo"/>
    <m/>
  </r>
  <r>
    <x v="102"/>
    <x v="0"/>
    <x v="4"/>
    <s v="CLFF_1000$$$DE20553407"/>
    <s v="G000000397"/>
    <s v="G000000397"/>
    <s v="LFF (MDG-F)"/>
    <s v="DE20553407"/>
    <s v="Trash"/>
    <b v="1"/>
    <x v="0"/>
    <x v="1"/>
    <d v="2025-03-04T09:55:18"/>
    <m/>
    <d v="2025-03-07T00:00:00"/>
    <x v="0"/>
    <n v="3"/>
    <s v="Francesco Ricioppo"/>
    <m/>
  </r>
  <r>
    <x v="103"/>
    <x v="0"/>
    <x v="4"/>
    <s v="FX31017400000 Bavencio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m/>
  </r>
  <r>
    <x v="103"/>
    <x v="0"/>
    <x v="4"/>
    <s v="FX31050400000 Rebif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m/>
  </r>
  <r>
    <x v="103"/>
    <x v="0"/>
    <x v="4"/>
    <s v="FX31051400000 Mavenclad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m/>
  </r>
  <r>
    <x v="103"/>
    <x v="0"/>
    <x v="2"/>
    <s v="X31017400000 Bavencio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s v="G000001233"/>
    <s v="Non-LFF"/>
    <s v=""/>
    <m/>
    <b v="1"/>
    <x v="0"/>
    <x v="1"/>
    <d v="2025-03-04T14:35:25"/>
    <m/>
    <m/>
    <x v="1"/>
    <n v="85"/>
    <s v="Jay-R Lizardo"/>
    <m/>
  </r>
  <r>
    <x v="104"/>
    <x v="0"/>
    <x v="2"/>
    <s v="CITR_1000$$$3943IT1055"/>
    <s v="G000000279"/>
    <s v="G000000279"/>
    <s v="Non-LFF"/>
    <s v=""/>
    <m/>
    <b v="1"/>
    <x v="0"/>
    <x v="1"/>
    <d v="2025-03-04T14:35:25"/>
    <m/>
    <m/>
    <x v="1"/>
    <n v="85"/>
    <s v="Jay-R Lizardo"/>
    <m/>
  </r>
  <r>
    <x v="104"/>
    <x v="0"/>
    <x v="2"/>
    <s v="CITR_1000$$$ITCC179801"/>
    <s v="G000001233"/>
    <s v="G000001233"/>
    <s v="Non-LFF"/>
    <s v=""/>
    <m/>
    <b v="1"/>
    <x v="0"/>
    <x v="1"/>
    <d v="2025-03-04T14:35:25"/>
    <m/>
    <m/>
    <x v="1"/>
    <n v="85"/>
    <s v="Jay-R Lizardo"/>
    <m/>
  </r>
  <r>
    <x v="104"/>
    <x v="0"/>
    <x v="2"/>
    <s v="CLFF_1000$$$DE10513301"/>
    <s v="G000001356"/>
    <s v="G000001356"/>
    <s v="LFF (MDG-F)"/>
    <s v="DE10513301"/>
    <m/>
    <b v="1"/>
    <x v="0"/>
    <x v="1"/>
    <d v="2025-03-04T14:35:25"/>
    <m/>
    <m/>
    <x v="1"/>
    <n v="85"/>
    <s v="Jay-R Lizardo"/>
    <m/>
  </r>
  <r>
    <x v="104"/>
    <x v="0"/>
    <x v="2"/>
    <s v="CLFF_1000$$$DE10533004"/>
    <s v="G000001123"/>
    <s v="G000001123"/>
    <s v="LFF (MDG-F)"/>
    <s v="DE10533004"/>
    <m/>
    <b v="1"/>
    <x v="0"/>
    <x v="1"/>
    <d v="2025-03-04T14:35:25"/>
    <m/>
    <m/>
    <x v="1"/>
    <n v="85"/>
    <s v="Jay-R Lizardo"/>
    <m/>
  </r>
  <r>
    <x v="104"/>
    <x v="0"/>
    <x v="2"/>
    <s v="CLFF_1000$$$DE65GIT032"/>
    <s v="G000000256"/>
    <s v="G000000256"/>
    <s v="LFF (MDG-F)"/>
    <s v="DE65GIT032"/>
    <s v="Object was map in SAP but did not replicate in TM1."/>
    <b v="1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s v="H000004183"/>
    <s v="LFF (MDG-F)"/>
    <s v="VN50GIT050"/>
    <m/>
    <b v="1"/>
    <x v="0"/>
    <x v="1"/>
    <d v="2025-03-04T14:35:25"/>
    <m/>
    <m/>
    <x v="1"/>
    <n v="85"/>
    <s v="Jay-R Lizardo"/>
    <m/>
  </r>
  <r>
    <x v="104"/>
    <x v="0"/>
    <x v="2"/>
    <s v="CLFF_1000$$$ZA50GIT11B"/>
    <s v="G000000279"/>
    <s v="G000000279"/>
    <s v="LFF (MDG-F)"/>
    <s v="ZA50GIT11B"/>
    <m/>
    <b v="1"/>
    <x v="0"/>
    <x v="1"/>
    <d v="2025-03-04T14:35:25"/>
    <m/>
    <m/>
    <x v="1"/>
    <n v="85"/>
    <s v="Jay-R Lizardo"/>
    <m/>
  </r>
  <r>
    <x v="104"/>
    <x v="0"/>
    <x v="2"/>
    <s v="CLFF_VMCA$$$US10GIT044"/>
    <s v="G000001356"/>
    <s v="G000001356"/>
    <s v="LFF (MDG-F)"/>
    <s v="US10GIT044"/>
    <m/>
    <b v="1"/>
    <x v="0"/>
    <x v="1"/>
    <d v="2025-03-04T14:35:25"/>
    <m/>
    <m/>
    <x v="1"/>
    <n v="85"/>
    <s v="Jay-R Lizardo"/>
    <m/>
  </r>
  <r>
    <x v="104"/>
    <x v="0"/>
    <x v="2"/>
    <s v="CNOW_7210$$$0000010256"/>
    <s v="G000001356"/>
    <s v="G000001356"/>
    <s v="Non-LFF"/>
    <m/>
    <m/>
    <b v="1"/>
    <x v="0"/>
    <x v="1"/>
    <d v="2025-03-04T14:35:25"/>
    <m/>
    <m/>
    <x v="1"/>
    <n v="85"/>
    <s v="Jay-R Lizardo"/>
    <m/>
  </r>
  <r>
    <x v="104"/>
    <x v="0"/>
    <x v="2"/>
    <s v="CNOW_7210$$$0000015455"/>
    <s v="L000013391"/>
    <s v="L000013391"/>
    <s v="Non-LFF"/>
    <s v=""/>
    <m/>
    <b v="1"/>
    <x v="0"/>
    <x v="1"/>
    <d v="2025-03-04T14:35:25"/>
    <m/>
    <m/>
    <x v="1"/>
    <n v="85"/>
    <s v="Jay-R Lizardo"/>
    <m/>
  </r>
  <r>
    <x v="104"/>
    <x v="0"/>
    <x v="2"/>
    <s v="CNOW_7210$$$0000051657"/>
    <s v="L000013808"/>
    <s v="L000013808"/>
    <s v="Non-LFF"/>
    <s v=""/>
    <m/>
    <b v="1"/>
    <x v="0"/>
    <x v="1"/>
    <d v="2025-03-04T14:35:25"/>
    <m/>
    <m/>
    <x v="1"/>
    <n v="85"/>
    <s v="Jay-R Lizardo"/>
    <m/>
  </r>
  <r>
    <x v="104"/>
    <x v="0"/>
    <x v="2"/>
    <s v="CNOW_7210$$$0000051660"/>
    <s v="L000013808"/>
    <s v="L000013808"/>
    <s v="Non-LFF"/>
    <s v=""/>
    <m/>
    <b v="1"/>
    <x v="0"/>
    <x v="1"/>
    <d v="2025-03-04T14:35:25"/>
    <m/>
    <m/>
    <x v="1"/>
    <n v="85"/>
    <s v="Jay-R Lizardo"/>
    <m/>
  </r>
  <r>
    <x v="104"/>
    <x v="0"/>
    <x v="2"/>
    <s v="CNOW_7210$$$0000051708"/>
    <s v="L000013391"/>
    <s v="L000013391"/>
    <s v="Non-LFF"/>
    <s v=""/>
    <m/>
    <b v="1"/>
    <x v="0"/>
    <x v="1"/>
    <d v="2025-03-04T14:35:25"/>
    <m/>
    <m/>
    <x v="1"/>
    <n v="85"/>
    <s v="Jay-R Lizardo"/>
    <m/>
  </r>
  <r>
    <x v="104"/>
    <x v="0"/>
    <x v="2"/>
    <s v="CNOW_7210$$$0000057162"/>
    <s v="G000001356"/>
    <s v="G000001356"/>
    <s v="Non-LFF"/>
    <s v=""/>
    <m/>
    <b v="1"/>
    <x v="0"/>
    <x v="1"/>
    <d v="2025-03-04T14:35:25"/>
    <m/>
    <m/>
    <x v="1"/>
    <n v="85"/>
    <s v="Jay-R Lizardo"/>
    <m/>
  </r>
  <r>
    <x v="104"/>
    <x v="0"/>
    <x v="2"/>
    <s v="CORAERP_MMOR1975.9445"/>
    <s v="G000001356"/>
    <s v="G000001356"/>
    <s v="Non-LFF"/>
    <s v=""/>
    <m/>
    <b v="1"/>
    <x v="0"/>
    <x v="1"/>
    <d v="2025-03-04T14:35:25"/>
    <m/>
    <m/>
    <x v="1"/>
    <n v="85"/>
    <s v="Jay-R Lizardo"/>
    <m/>
  </r>
  <r>
    <x v="104"/>
    <x v="0"/>
    <x v="2"/>
    <s v="CSCALA_1042$PMIT"/>
    <s v="G000000277"/>
    <s v="G000000277"/>
    <s v="Non-LFF"/>
    <s v=""/>
    <m/>
    <b v="1"/>
    <x v="0"/>
    <x v="1"/>
    <d v="2025-03-04T14:35:25"/>
    <m/>
    <m/>
    <x v="1"/>
    <n v="85"/>
    <s v="Jay-R Lizardo"/>
    <m/>
  </r>
  <r>
    <x v="104"/>
    <x v="0"/>
    <x v="2"/>
    <s v="CTEMPEU_1000FR40708101"/>
    <s v="G000001240"/>
    <s v="G000001240"/>
    <s v="Non-LFF"/>
    <s v=""/>
    <m/>
    <b v="1"/>
    <x v="0"/>
    <x v="1"/>
    <d v="2025-03-04T14:35:25"/>
    <m/>
    <m/>
    <x v="1"/>
    <n v="85"/>
    <s v="Jay-R Lizardo"/>
    <m/>
  </r>
  <r>
    <x v="104"/>
    <x v="0"/>
    <x v="2"/>
    <s v="CTEMPEU_1000GB10005697"/>
    <s v="G000001356"/>
    <s v="G000001356"/>
    <s v="Non-LFF"/>
    <s v=""/>
    <m/>
    <b v="1"/>
    <x v="0"/>
    <x v="1"/>
    <d v="2025-03-04T14:35:25"/>
    <m/>
    <m/>
    <x v="1"/>
    <n v="85"/>
    <s v="Jay-R Lizardo"/>
    <m/>
  </r>
  <r>
    <x v="105"/>
    <x v="0"/>
    <x v="2"/>
    <s v="CLFF_1000$$$DE10622600"/>
    <s v="G000000392"/>
    <s v="G000000392"/>
    <s v="LFF (MDG-F)"/>
    <s v="DE10622600"/>
    <m/>
    <b v="1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356"/>
    <s v="Non-LFF"/>
    <s v=""/>
    <m/>
    <b v="1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356"/>
    <s v="LFF (MDG-F)"/>
    <s v="2123GIT130"/>
    <m/>
    <b v="1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s v="G000000145"/>
    <s v="LFF (MDG-F)"/>
    <s v="NO50GIN000"/>
    <m/>
    <b v="1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L000009204"/>
    <s v="Non-LFF"/>
    <s v=""/>
    <s v="Already mapped"/>
    <b v="1"/>
    <x v="2"/>
    <x v="1"/>
    <d v="2025-03-06T16:05:55"/>
    <m/>
    <d v="2025-03-10T00:00:00"/>
    <x v="0"/>
    <n v="2"/>
    <s v="Joan Rose Pena"/>
    <m/>
  </r>
  <r>
    <x v="108"/>
    <x v="0"/>
    <x v="2"/>
    <s v="ITEMPEU_003200001401 "/>
    <s v="L000009407"/>
    <s v="L000009407"/>
    <s v="Non-LFF"/>
    <s v=""/>
    <m/>
    <b v="1"/>
    <x v="2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s v="H000000865"/>
    <s v="LFF (MDG-F)"/>
    <s v="CH65R00044"/>
    <m/>
    <b v="1"/>
    <x v="1"/>
    <x v="1"/>
    <d v="2025-03-10T18:14:29"/>
    <m/>
    <m/>
    <x v="1"/>
    <n v="81"/>
    <s v="Luigia Bocola"/>
    <m/>
  </r>
  <r>
    <x v="109"/>
    <x v="0"/>
    <x v="2"/>
    <s v="CLFF_1000$$$CH65R00045"/>
    <s v="H000000864"/>
    <s v="H000000864"/>
    <s v="LFF (MDG-F)"/>
    <s v="CH65R00045"/>
    <m/>
    <b v="1"/>
    <x v="1"/>
    <x v="1"/>
    <d v="2025-03-10T18:14:29"/>
    <m/>
    <m/>
    <x v="1"/>
    <n v="81"/>
    <s v="Luigia Bocola"/>
    <m/>
  </r>
  <r>
    <x v="109"/>
    <x v="0"/>
    <x v="2"/>
    <s v="CLFF_1000$$$CH65R00046"/>
    <s v="H000000861"/>
    <s v="H000000861"/>
    <s v="LFF (MDG-F)"/>
    <s v="CH65R00046"/>
    <m/>
    <b v="1"/>
    <x v="1"/>
    <x v="1"/>
    <d v="2025-03-10T18:14:29"/>
    <m/>
    <m/>
    <x v="1"/>
    <n v="81"/>
    <s v="Luigia Bocola"/>
    <m/>
  </r>
  <r>
    <x v="109"/>
    <x v="0"/>
    <x v="2"/>
    <s v="CLFF_1000$$$CH65R00054"/>
    <s v="H000000907"/>
    <s v="H000000907"/>
    <s v="LFF (MDG-F)"/>
    <s v="CH65R00054"/>
    <m/>
    <b v="1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4380"/>
    <s v="LFF (MDG-F)"/>
    <s v="CH50R01012"/>
    <m/>
    <b v="1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3118"/>
    <s v="LFF (MDG-F)"/>
    <s v="2013OFIBM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813"/>
    <s v="Non-LFF"/>
    <s v="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1139"/>
    <s v="LFF (MDG-F)"/>
    <s v="2123C0000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7"/>
    <s v="LFF (MDG-F)"/>
    <s v="2128TMCZ95"/>
    <m/>
    <b v="1"/>
    <x v="2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0635"/>
    <s v="Non-LFF"/>
    <s v=""/>
    <m/>
    <b v="1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229"/>
    <s v="LFF (MDG-F)"/>
    <s v="DE10300049"/>
    <m/>
    <b v="1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P000001019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P000001018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4215"/>
    <s v="Non-LFF"/>
    <s v=""/>
    <m/>
    <b v="1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76"/>
    <s v="Jojeff Tagnong"/>
    <m/>
  </r>
  <r>
    <x v="117"/>
    <x v="0"/>
    <x v="2"/>
    <s v="CEMERAL_70007001581190 MESI REG PS-BIORELIANCE"/>
    <s v="L000013412"/>
    <s v="L000013412"/>
    <s v="Non-LFF"/>
    <s v=""/>
    <m/>
    <b v="1"/>
    <x v="2"/>
    <x v="1"/>
    <d v="2025-03-18T05:32:52"/>
    <m/>
    <m/>
    <x v="1"/>
    <n v="75"/>
    <s v="Rachel Liu"/>
    <m/>
  </r>
  <r>
    <x v="118"/>
    <x v="0"/>
    <x v="0"/>
    <s v="CLFF_7210$$$2148TASA01 Production 1-Equipment"/>
    <s v="L000013816"/>
    <s v="L000013816"/>
    <s v="LFF (MDG-F)"/>
    <s v="2148TASA01"/>
    <s v="Requested to be mapped on April 2025 instead."/>
    <b v="1"/>
    <x v="2"/>
    <x v="1"/>
    <d v="2025-03-18T18:14:29"/>
    <m/>
    <m/>
    <x v="1"/>
    <n v="75"/>
    <s v="Jayson Martinez"/>
    <m/>
  </r>
  <r>
    <x v="118"/>
    <x v="0"/>
    <x v="0"/>
    <s v="CLFF_7210$$$2148TASA99 Production 1-Direct Labor"/>
    <s v="L000013816"/>
    <s v="L000013816"/>
    <s v="LFF (MDG-F)"/>
    <s v="2148TASA99"/>
    <s v="Requested to be mapped on April 2025 instead."/>
    <b v="1"/>
    <x v="2"/>
    <x v="1"/>
    <d v="2025-03-18T18:14:29"/>
    <m/>
    <m/>
    <x v="1"/>
    <n v="75"/>
    <s v="Jayson Martinez"/>
    <m/>
  </r>
  <r>
    <x v="118"/>
    <x v="0"/>
    <x v="0"/>
    <s v="CLFF_7210$$$2148TASB00 Production 2-Main"/>
    <s v="L000013816"/>
    <s v="L000013816"/>
    <s v="LFF (MDG-F)"/>
    <s v="2148TASB00"/>
    <s v="Requested to be mapped on April 2025 instead."/>
    <b v="1"/>
    <x v="2"/>
    <x v="1"/>
    <d v="2025-03-18T18:14:29"/>
    <m/>
    <m/>
    <x v="1"/>
    <n v="75"/>
    <s v="Jayson Martinez"/>
    <m/>
  </r>
  <r>
    <x v="118"/>
    <x v="0"/>
    <x v="0"/>
    <s v="CLFF_7210$$$2148TASB01 Production 2-Equipment"/>
    <s v="L000013816"/>
    <s v="L000013816"/>
    <s v="LFF (MDG-F)"/>
    <s v="2148TASB01"/>
    <s v="Requested to be mapped on April 2025 instead."/>
    <b v="1"/>
    <x v="2"/>
    <x v="1"/>
    <d v="2025-03-18T18:14:29"/>
    <m/>
    <m/>
    <x v="1"/>
    <n v="75"/>
    <s v="Jayson Martinez"/>
    <m/>
  </r>
  <r>
    <x v="118"/>
    <x v="0"/>
    <x v="0"/>
    <s v="CLFF_7210$$$2148TASB99 Production -Direct Labor"/>
    <s v="L000013816"/>
    <s v="L000013816"/>
    <s v="LFF (MDG-F)"/>
    <s v="2148TASB99"/>
    <s v="Requested to be mapped on April 2025 instead."/>
    <b v="1"/>
    <x v="2"/>
    <x v="1"/>
    <d v="2025-03-18T18:14:29"/>
    <m/>
    <m/>
    <x v="1"/>
    <n v="75"/>
    <s v="Jayson Martinez"/>
    <m/>
  </r>
  <r>
    <x v="118"/>
    <x v="0"/>
    <x v="0"/>
    <s v="CLFF_7210$$$2148TBSZ20 Quality Assurance"/>
    <s v="L000013816"/>
    <s v="L000013816"/>
    <s v="LFF (MDG-F)"/>
    <s v="2148TBSZ20"/>
    <s v="Requested to be mapped on April 2025 instead."/>
    <b v="1"/>
    <x v="2"/>
    <x v="1"/>
    <d v="2025-03-18T18:14:29"/>
    <m/>
    <m/>
    <x v="1"/>
    <n v="75"/>
    <s v="Jayson Martinez"/>
    <m/>
  </r>
  <r>
    <x v="118"/>
    <x v="0"/>
    <x v="0"/>
    <s v="CLFF_7210$$$2148TBSZ21 Quality Control"/>
    <s v="L000013816"/>
    <s v="L000013816"/>
    <s v="LFF (MDG-F)"/>
    <s v="2148TBSZ21"/>
    <s v="Requested to be mapped on April 2025 instead."/>
    <b v="1"/>
    <x v="2"/>
    <x v="1"/>
    <d v="2025-03-18T18:14:29"/>
    <m/>
    <m/>
    <x v="1"/>
    <n v="75"/>
    <s v="Jayson Martinez"/>
    <m/>
  </r>
  <r>
    <x v="118"/>
    <x v="0"/>
    <x v="0"/>
    <s v="CLFF_7210$$$2148TFSZ64 Local Supply Planning &amp; Purchasing"/>
    <s v="L000013816"/>
    <s v="L000013816"/>
    <s v="LFF (MDG-F)"/>
    <s v="2148TFSZ64"/>
    <s v="Requested to be mapped on April 2025 instead."/>
    <b v="1"/>
    <x v="2"/>
    <x v="1"/>
    <d v="2025-03-18T18:14:29"/>
    <m/>
    <m/>
    <x v="1"/>
    <n v="75"/>
    <s v="Jayson Martinez"/>
    <m/>
  </r>
  <r>
    <x v="118"/>
    <x v="0"/>
    <x v="0"/>
    <s v="CLFF_7210$$$2148TKSZ70 Overhead Surcharge collector - Cell Marq"/>
    <s v="L000013816"/>
    <s v="L000013816"/>
    <s v="LFF (MDG-F)"/>
    <s v="2148TKSZ70"/>
    <s v="Requested to be mapped on April 2025 instead."/>
    <b v="1"/>
    <x v="2"/>
    <x v="1"/>
    <d v="2025-03-18T18:14:29"/>
    <m/>
    <m/>
    <x v="1"/>
    <n v="75"/>
    <s v="Jayson Martinez"/>
    <m/>
  </r>
  <r>
    <x v="118"/>
    <x v="0"/>
    <x v="0"/>
    <s v="CLFF_7210$$$2148TQSZ91 Receiving &amp; Materials Management"/>
    <s v="L000013816"/>
    <s v="L000013816"/>
    <s v="LFF (MDG-F)"/>
    <s v="2148TQSZ91"/>
    <s v="Requested to be mapped on April 2025 instead."/>
    <b v="1"/>
    <x v="2"/>
    <x v="1"/>
    <d v="2025-03-18T18:14:29"/>
    <m/>
    <m/>
    <x v="1"/>
    <n v="75"/>
    <s v="Jayson Martinez"/>
    <m/>
  </r>
  <r>
    <x v="118"/>
    <x v="0"/>
    <x v="0"/>
    <s v="CLFF_7210$$$2148TQSZ92 Warehousing &amp; Distribution - Cell Marque"/>
    <s v="L000013816"/>
    <s v="L000013816"/>
    <s v="LFF (MDG-F)"/>
    <s v="2148TQSZ92"/>
    <s v="Requested to be mapped on April 2025 instead."/>
    <b v="1"/>
    <x v="2"/>
    <x v="1"/>
    <d v="2025-03-18T18:14:29"/>
    <m/>
    <m/>
    <x v="1"/>
    <n v="75"/>
    <s v="Jayson Martinez"/>
    <m/>
  </r>
  <r>
    <x v="119"/>
    <x v="0"/>
    <x v="2"/>
    <s v="PQUATRO_T000474DE0412000 "/>
    <s v="L000006429"/>
    <s v="L000006429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s v="L000013318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s v="G000001280"/>
    <s v="LFF (MDG-F)"/>
    <s v="DE10698316"/>
    <m/>
    <b v="1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s v="P000000540"/>
    <s v="Non-LFF"/>
    <s v=""/>
    <m/>
    <b v="1"/>
    <x v="0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P000000609"/>
    <s v="Non-LFF"/>
    <s v=""/>
    <m/>
    <b v="1"/>
    <x v="0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P000000758"/>
    <s v="Non-LFF"/>
    <s v=""/>
    <m/>
    <b v="1"/>
    <x v="0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656"/>
    <s v="LFF (MDG-F)"/>
    <s v="US01OF0102"/>
    <s v="On-going CR 25159233"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P000001201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3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1"/>
    <s v="LFF (MDG-F)"/>
    <s v="CN90GM1271"/>
    <m/>
    <b v="1"/>
    <x v="0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G000001158"/>
    <s v="LFF (MDG-F)"/>
    <s v="DE10GM2000"/>
    <m/>
    <b v="1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L000007449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L000009204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L000010132"/>
    <m/>
    <s v=""/>
    <m/>
    <b v="1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09691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09928"/>
    <s v="LFF (MDG-F)"/>
    <s v="1919TQSZ93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10248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13797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000"/>
    <s v="LFF (MDG-F)"/>
    <s v="IT50C0200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000"/>
    <s v="LFF (MDG-F)"/>
    <s v="IT50C02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000"/>
    <s v="LFF (MDG-F)"/>
    <s v="IT50C03005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000"/>
    <s v="LFF (MDG-F)"/>
    <s v="IT50C03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000"/>
    <s v="LFF (MDG-F)"/>
    <s v="IT50C02009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000"/>
    <s v="LFF (MDG-F)"/>
    <s v="IT50C0201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000"/>
    <s v="LFF (MDG-F)"/>
    <s v="IT50C03007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000"/>
    <s v="LFF (MDG-F)"/>
    <s v="IT50C02011"/>
    <m/>
    <b v="1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G000000630"/>
    <s v="LFF (MDG-F)"/>
    <s v="DZ50GM1100"/>
    <m/>
    <b v="1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G000000637"/>
    <s v="LFF (MDG-F)"/>
    <s v="2053OF0000"/>
    <m/>
    <b v="1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686"/>
    <s v="LFF (MDG-F)"/>
    <s v="DE20569502"/>
    <m/>
    <b v="1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637"/>
    <s v="LFF (MDG-F)"/>
    <s v="ZA50GM10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G000000637"/>
    <s v="LFF (MDG-F)"/>
    <s v="ZA50GIT10D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637"/>
    <s v="LFF (MDG-F)"/>
    <s v="ZA50GHR014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7"/>
    <s v="LFF (MDG-F)"/>
    <s v="KE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7"/>
    <s v="LFF (MDG-F)"/>
    <s v="CZ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7"/>
    <s v="LFF (MDG-F)"/>
    <s v="CZ50GM2101"/>
    <m/>
    <b v="1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L000011266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L000013392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L000013558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L000013689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L000013403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L00001342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630"/>
    <s v="LFF (MDG-F)"/>
    <s v="GB10GM4002"/>
    <m/>
    <b v="1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633"/>
    <s v="LFF (MDG-F)"/>
    <s v="US10GM4058"/>
    <s v="Changes were saved for change request 25192417"/>
    <b v="1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636"/>
    <s v="LFF (MDG-F)"/>
    <s v="CN95GM4000"/>
    <m/>
    <b v="1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636"/>
    <s v="LFF (MDG-F)"/>
    <s v="CN96GM4002"/>
    <m/>
    <b v="1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636"/>
    <s v="Non-LFF"/>
    <s v=""/>
    <m/>
    <b v="1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630"/>
    <s v="LFF (MDG-F)"/>
    <s v="CH50GM4010"/>
    <m/>
    <b v="1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630"/>
    <s v="Non-LFF"/>
    <s v=""/>
    <m/>
    <b v="1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630"/>
    <s v="Non-LFF"/>
    <s v=""/>
    <m/>
    <b v="1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0"/>
    <s v="LFF (MDG-F)"/>
    <s v="CH75GM8300"/>
    <m/>
    <b v="1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H000004174"/>
    <s v="LFF (MDG-F)"/>
    <s v="ES50GPO794"/>
    <m/>
    <b v="1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P000000573"/>
    <s v="Non-LFF"/>
    <s v=""/>
    <m/>
    <b v="1"/>
    <x v="0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H000000002"/>
    <s v="Non-LFF"/>
    <s v=""/>
    <m/>
    <b v="1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1121"/>
    <s v="LFF (MDG-F)"/>
    <s v="CH50GIT032"/>
    <s v="Changes were saved for change request 25192417"/>
    <b v="1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218"/>
    <s v="Non-LFF"/>
    <s v=""/>
    <m/>
    <b v="1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8"/>
    <s v="Non-LFF"/>
    <s v=""/>
    <m/>
    <b v="1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181"/>
    <s v="LFF (MDG-F)"/>
    <s v="IT50C0200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181"/>
    <s v="LFF (MDG-F)"/>
    <s v="IT50C02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181"/>
    <s v="LFF (MDG-F)"/>
    <s v="IT50C03005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181"/>
    <s v="LFF (MDG-F)"/>
    <s v="IT50C03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181"/>
    <s v="LFF (MDG-F)"/>
    <s v="IT50C02009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181"/>
    <s v="LFF (MDG-F)"/>
    <s v="IT50C0201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181"/>
    <s v="LFF (MDG-F)"/>
    <s v="IT50C03007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181"/>
    <s v="LFF (MDG-F)"/>
    <s v="IT50C02011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L000006425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L000006432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L000011687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13791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13793"/>
    <s v="LFF (MDG-F)"/>
    <s v="1937TNCZ90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13794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797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738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1379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0698"/>
    <s v="Non-LFF"/>
    <s v=""/>
    <m/>
    <b v="1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1166"/>
    <s v="Non-LFF"/>
    <s v=""/>
    <m/>
    <b v="1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279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0325"/>
    <s v="LFF (MDG-F)"/>
    <s v="DE10600470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1239"/>
    <s v="LFF (MDG-F)"/>
    <s v="DE10GIT705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8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1239"/>
    <s v="LFF (MDG-F)"/>
    <s v="2123GIT261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G000000189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G000000711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L000013188"/>
    <s v="Non-LFF"/>
    <s v=""/>
    <m/>
    <b v="1"/>
    <x v="2"/>
    <x v="2"/>
    <d v="2025-04-07T12:06:32"/>
    <d v="2025-04-10T00:00:00"/>
    <m/>
    <x v="1"/>
    <n v="61"/>
    <s v="Joan Rose Pena"/>
    <m/>
  </r>
  <r>
    <x v="155"/>
    <x v="0"/>
    <x v="2"/>
    <s v="CSCALA_1759$GRMI"/>
    <s v="L000008965"/>
    <s v="L000008965"/>
    <s v="Non-LFF"/>
    <s v=""/>
    <m/>
    <b v="1"/>
    <x v="2"/>
    <x v="2"/>
    <d v="2025-04-07T12:06:32"/>
    <d v="2025-04-10T00:00:00"/>
    <m/>
    <x v="1"/>
    <n v="61"/>
    <s v="Joan Rose Pena"/>
    <m/>
  </r>
  <r>
    <x v="156"/>
    <x v="0"/>
    <x v="2"/>
    <s v="CSCALA_1022$IEF IEF"/>
    <s v="G000000786"/>
    <s v="G000000786"/>
    <s v="Non-LFF"/>
    <s v=""/>
    <s v="move dad"/>
    <b v="1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G000000277"/>
    <s v="Non-LFF"/>
    <s v=""/>
    <m/>
    <b v="1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875"/>
    <s v="LFF (MDG-F)"/>
    <s v="DE10566400"/>
    <s v="Changes were saved for change request 25207845"/>
    <b v="1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875"/>
    <s v="LFF (MDG-F)"/>
    <s v="DE10566910"/>
    <s v="Changes were saved for change request 25207845"/>
    <b v="1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G000000637"/>
    <s v="Non-LFF"/>
    <s v=""/>
    <m/>
    <b v="1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s v="L000011444"/>
    <s v="Non-LFF"/>
    <s v=""/>
    <s v="Advise the requestor that we'll resolve the ticket for now and request again once the object has actuals in TM1."/>
    <b v="1"/>
    <x v="2"/>
    <x v="2"/>
    <d v="2025-04-08T12:39:28"/>
    <m/>
    <d v="2025-04-11T00:00:00"/>
    <x v="0"/>
    <n v="3"/>
    <s v="Pilar Laurido"/>
    <m/>
  </r>
  <r>
    <x v="160"/>
    <x v="0"/>
    <x v="2"/>
    <s v="CFLTFLE_23940000000410 "/>
    <s v="L000007871"/>
    <s v="L000007871"/>
    <s v="Non-LFF"/>
    <s v=""/>
    <m/>
    <b v="1"/>
    <x v="2"/>
    <x v="2"/>
    <d v="2025-04-08T12:39:28"/>
    <m/>
    <m/>
    <x v="1"/>
    <n v="60"/>
    <s v="Ruby Grace Garcia"/>
    <m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60"/>
    <s v="Ruby Grace Garcia"/>
    <m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60"/>
    <s v="Ruby Grace Garcia"/>
    <m/>
  </r>
  <r>
    <x v="161"/>
    <x v="0"/>
    <x v="2"/>
    <s v="CTEMPLA_1000PE10764100"/>
    <s v="G000001160"/>
    <s v="G000001160"/>
    <s v="Non-LFF"/>
    <s v=""/>
    <m/>
    <b v="1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s v="G000001160"/>
    <s v="Non-LFF"/>
    <s v=""/>
    <m/>
    <b v="1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s v="O000000005"/>
    <s v="LFF (MDG-F)"/>
    <s v="1919O05003"/>
    <m/>
    <b v="1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3521"/>
    <s v="LFF (MDG-F)"/>
    <s v="2029C01022"/>
    <s v="Changes were saved for change request 25215394"/>
    <b v="1"/>
    <x v="0"/>
    <x v="2"/>
    <d v="2025-04-09T22:59:51"/>
    <d v="2025-04-11T00:00:00"/>
    <d v="2025-04-11T00:00:00"/>
    <x v="0"/>
    <n v="2"/>
    <s v="Guillermo Goni"/>
    <m/>
  </r>
  <r>
    <x v="167"/>
    <x v="0"/>
    <x v="2"/>
    <s v="PLEAN_X310101CN5015526 ERB COM PROM OTH ONC ERB 百度药典"/>
    <s v="H000001421"/>
    <s v="H000001421"/>
    <s v="Non-LFF"/>
    <s v=""/>
    <m/>
    <b v="1"/>
    <x v="1"/>
    <x v="2"/>
    <d v="2025-04-11T08:56:52"/>
    <d v="2025-04-14T00:00:00"/>
    <d v="2025-04-14T00:00:00"/>
    <x v="0"/>
    <n v="1"/>
    <s v="Carlo Umali"/>
    <m/>
  </r>
  <r>
    <x v="168"/>
    <x v="0"/>
    <x v="2"/>
    <s v="CNOW_7210$$$0000056258 LSS Global Ops - CPM"/>
    <s v="L000013779"/>
    <s v="L000013779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8"/>
    <x v="0"/>
    <x v="2"/>
    <s v="CPHOENX_01010000681601 LSS Global Business Performance"/>
    <s v="L000013183"/>
    <s v="L000013183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9"/>
    <x v="0"/>
    <x v="2"/>
    <s v="CLFF_1000$$$DE10N12380"/>
    <s v="P000000196"/>
    <s v="P000000196"/>
    <s v="LFF (MDG-F)"/>
    <s v="DE10N123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40"/>
    <s v="P000000196"/>
    <s v="P000000196"/>
    <s v="LFF (MDG-F)"/>
    <s v="DE10N1234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70"/>
    <s v="P000000198"/>
    <s v="P000000198"/>
    <s v="LFF (MDG-F)"/>
    <s v="DE10N1117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5"/>
    <s v="P000000198"/>
    <s v="P000000198"/>
    <s v="LFF (MDG-F)"/>
    <s v="DE10N1111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1"/>
    <s v="P000000198"/>
    <s v="P000000198"/>
    <s v="LFF (MDG-F)"/>
    <s v="DE10N1118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60"/>
    <s v="P000000198"/>
    <s v="P000000198"/>
    <s v="LFF (MDG-F)"/>
    <s v="DE10N1116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0"/>
    <s v="P000000198"/>
    <s v="P000000198"/>
    <s v="LFF (MDG-F)"/>
    <s v="DE10N111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31"/>
    <s v="P000000198"/>
    <s v="P000000198"/>
    <s v="LFF (MDG-F)"/>
    <s v="DE10N1113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6"/>
    <s v="P000000198"/>
    <s v="P000000198"/>
    <s v="LFF (MDG-F)"/>
    <s v="DE10N11116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2"/>
    <s v="P000000198"/>
    <s v="P000000198"/>
    <s v="LFF (MDG-F)"/>
    <s v="DE10N12312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3"/>
    <s v="P000000198"/>
    <s v="P000000198"/>
    <s v="LFF (MDG-F)"/>
    <s v="DE10N1231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1"/>
    <s v="P000000197"/>
    <s v="P000000197"/>
    <s v="LFF (MDG-F)"/>
    <s v="DE10N1232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3"/>
    <s v="P000000197"/>
    <s v="P000000197"/>
    <s v="LFF (MDG-F)"/>
    <s v="DE10N1232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95"/>
    <s v="P000000197"/>
    <s v="P000000197"/>
    <s v="LFF (MDG-F)"/>
    <s v="DE10N123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95"/>
    <s v="P000000197"/>
    <s v="P000000197"/>
    <s v="LFF (MDG-F)"/>
    <s v="DE10N111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70"/>
    <x v="0"/>
    <x v="2"/>
    <s v="CEMERAL_64010010860845 PS/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64010010860852 GENM - CT &amp; VGT Sales Japa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9903EQ XXXE2E Marketing"/>
    <s v="L000006960"/>
    <s v="L000006960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MS1105 SAC MRNA Value Chain China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502961442 Sales Development - A&amp;F 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7001581179 MESI REG PS-FF SALES DEVT END TO END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FF11 FF - Bio Monitoring"/>
    <s v="L000005617"/>
    <s v="L000005617"/>
    <s v="LFF (MDG-F)"/>
    <s v="KE50C0FF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IM11 ISS - Bio Monitoring"/>
    <s v="L000005617"/>
    <s v="L000005617"/>
    <s v="LFF (MDG-F)"/>
    <s v="KE50C0IM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29C00004 Life Science Services Commercial Netherl"/>
    <s v="L000013183"/>
    <s v="L000013183"/>
    <s v="LFF (MDG-F)"/>
    <s v="2029C00004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1C00005 LSS Marketing Communications"/>
    <s v="L000013183"/>
    <s v="L000013183"/>
    <s v="LFF (MDG-F)"/>
    <s v="2031C00005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4C00012 LSS MarCom"/>
    <s v="L000013183"/>
    <s v="L000013183"/>
    <s v="LFF (MDG-F)"/>
    <s v="2034C00012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4 PRODUCT DEVELOPMENT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7 ENGINEE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10 EH&amp;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20 ANALYTICAL SERVIC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6 El Camino Utiliti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7 El Camino Building &amp; Depreciation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8 MANUFACTU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9 QUALITY CONTROL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0 QUALITY ASSURANCE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2 MATERIAL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3 Idle Capacity-ECR"/>
    <s v="L000009432"/>
    <s v="L000009432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5 Pre-project Costs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247 CDMO Acceleration Start Up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670 G&amp;A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20447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2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240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3QZ BL N3 Hardware -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4QZ BL N4 Instrument Services - 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21 LSS Marketing Communic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52 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963 LSS MarCom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IN BL N3 Hardware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LC BL N3 Hardware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IN BL N4 Instrument Services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LC BL N4 Instrument Services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63 LSS MarCom"/>
    <s v="L000011549"/>
    <s v="L00001154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71 LSS Commercial 1975"/>
    <s v="L000007073"/>
    <s v="L00000707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45151 LSS Marketing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99621 SAC MarCom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1 LSS CTS Sales Promotion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2 LSS BioVV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3 LSS SAC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6 PSMMOR1945.5078 5078 E2E Strategy &amp;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7 PSMMOR1945.5078 5078 E2E StrategySP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3_I 138 LS-PPN-ON Manufacturing-G (direct input)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5_I Carlsbad commercial expansion 145-G (direct input)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12811_I CDMO Acceleration Start-Up-G (direct input)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1"/>
    <x v="0"/>
    <x v="2"/>
    <s v="DP000004000000 CU4545TX for Intel Barrier CMP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5000000 DP1298 barrier slurry for Intel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7000000 DP1292 Cu bulk slurry for TSMC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8000000 DP1294 Cu bulk slurry for TSMC A14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4"/>
    <s v="DP000009000000 HPD8701/8720 for Intel Adv. Packaging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m/>
  </r>
  <r>
    <x v="171"/>
    <x v="0"/>
    <x v="4"/>
    <s v="DP000011000000 STI2305 CIP (STI3000) for Logic SoN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m/>
  </r>
  <r>
    <x v="171"/>
    <x v="0"/>
    <x v="4"/>
    <s v="DP000013000000 HPD8762 Oxidizer for Micron HBM CMP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m/>
  </r>
  <r>
    <x v="171"/>
    <x v="0"/>
    <x v="4"/>
    <s v="DP000016000000 DP1300 barrier slurry for TSMC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m/>
  </r>
  <r>
    <x v="172"/>
    <x v="0"/>
    <x v="2"/>
    <s v="CLFF_7210$$$2123OF0027 SBS PS Pricing operation"/>
    <s v="G000001338"/>
    <s v="G000001338"/>
    <s v="LFF (MDG-F)"/>
    <s v="2123OF0027"/>
    <s v="Requested last April 16. This request is still within the cut-off and prior K2 transition."/>
    <b v="1"/>
    <x v="0"/>
    <x v="2"/>
    <d v="2025-04-16T14:40:47"/>
    <d v="2025-04-23T00:00:00"/>
    <d v="2025-04-23T00:00:00"/>
    <x v="0"/>
    <n v="5"/>
    <s v="Jojeff Tagnong"/>
    <m/>
  </r>
  <r>
    <x v="173"/>
    <x v="0"/>
    <x v="2"/>
    <s v="CEMERAL_70006302C61901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3"/>
    <x v="0"/>
    <x v="2"/>
    <s v="CEMERAL_70006302C85405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4"/>
    <x v="0"/>
    <x v="2"/>
    <s v="CEMERAL_70006302991902 HR International"/>
    <s v="G000001164 "/>
    <s v="G000001164 "/>
    <s v="Non-LFF"/>
    <s v=""/>
    <m/>
    <b v="1"/>
    <x v="0"/>
    <x v="2"/>
    <d v="2025-04-15T18:20:43"/>
    <d v="2025-04-23T00:00:00"/>
    <d v="2025-04-23T00:00:00"/>
    <x v="1"/>
    <n v="6"/>
    <s v="Jojeff Tagnong"/>
    <m/>
  </r>
  <r>
    <x v="175"/>
    <x v="0"/>
    <x v="2"/>
    <s v="CSCALA_1025$GEHR"/>
    <s v="G000000199"/>
    <s v="G000000199"/>
    <s v="Non-LFF"/>
    <s v=""/>
    <m/>
    <b v="1"/>
    <x v="0"/>
    <x v="2"/>
    <d v="2025-04-15T14:58:41"/>
    <d v="2025-04-23T00:00:00"/>
    <d v="2025-04-23T00:00:00"/>
    <x v="1"/>
    <n v="6"/>
    <s v="Jojeff Tagnong"/>
    <m/>
  </r>
  <r>
    <x v="176"/>
    <x v="0"/>
    <x v="2"/>
    <s v="ITEMPEU_003300000069 "/>
    <s v="L000006425"/>
    <s v="L00000642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4"/>
    <s v="CLFF_7210$$$2102TPSZ93 "/>
    <s v="L000013788"/>
    <s v="L000013788"/>
    <s v="LFF (MDG-F)"/>
    <s v="2102TPSZ93"/>
    <s v="Not found in MDGF"/>
    <b v="1"/>
    <x v="2"/>
    <x v="2"/>
    <d v="2025-04-21T10:40:46"/>
    <m/>
    <d v="2025-04-23T00:00:00"/>
    <x v="0"/>
    <n v="2"/>
    <s v="Joan Rose Pena"/>
    <m/>
  </r>
  <r>
    <x v="176"/>
    <x v="0"/>
    <x v="2"/>
    <s v="IPHOENX_000002414801 "/>
    <s v="L000013065"/>
    <s v="L00001306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4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PHOENX_01010000876697 "/>
    <s v="L000013677"/>
    <s v="L000013677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044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108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LLCZX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D30012600000000 Advanced Filtration Technology 0.1um"/>
    <s v="L000006623"/>
    <s v="L000006623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7"/>
    <x v="0"/>
    <x v="2"/>
    <s v="CNOW_ROW$$$$0000008720"/>
    <s v="G000000635"/>
    <s v="G000000635"/>
    <s v="Non-LFF"/>
    <s v=""/>
    <m/>
    <b v="1"/>
    <x v="1"/>
    <x v="2"/>
    <d v="2025-04-22T07:24:24"/>
    <d v="2025-04-23T00:00:00"/>
    <d v="2025-04-23T00:00:00"/>
    <x v="0"/>
    <n v="1"/>
    <s v="Yusuke Hasegawa"/>
    <m/>
  </r>
  <r>
    <x v="178"/>
    <x v="0"/>
    <x v="2"/>
    <s v="CLFF_1000$$$AE50R0GR11"/>
    <s v="H000000774"/>
    <s v="H000000774"/>
    <s v="LFF (MDG-F)"/>
    <s v="AE50R0GR11"/>
    <s v="Changes were saved for change request 25256034 "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P93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H99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9"/>
    <x v="0"/>
    <x v="2"/>
    <s v="CSCALA_1025$GEHR"/>
    <s v="G000000199"/>
    <s v="G000000199"/>
    <s v="Non-LFF"/>
    <s v=""/>
    <s v="Already mapped"/>
    <b v="1"/>
    <x v="0"/>
    <x v="2"/>
    <d v="2025-04-22T15:19:09"/>
    <m/>
    <m/>
    <x v="1"/>
    <n v="50"/>
    <s v="Jojeff Tagnong"/>
    <m/>
  </r>
  <r>
    <x v="179"/>
    <x v="0"/>
    <x v="2"/>
    <s v="CSCALA_1248$GEFI"/>
    <s v="G000000189"/>
    <s v="G000000189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79"/>
    <x v="0"/>
    <x v="2"/>
    <s v="CSCALA_1248$GEPO"/>
    <s v="G000000711"/>
    <s v="G000000711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80"/>
    <x v="0"/>
    <x v="2"/>
    <s v="CPHOENX_01010000652050 LS-SC-DNDF Freight Services"/>
    <s v="L000013693"/>
    <s v="L000013693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1"/>
    <x v="0"/>
    <x v="2"/>
    <s v="CTEMPLA_1000EC10100145"/>
    <s v="G000000712"/>
    <s v="G000000712"/>
    <s v="Non-LFF"/>
    <s v=""/>
    <m/>
    <b v="1"/>
    <x v="0"/>
    <x v="2"/>
    <d v="2025-04-24T14:23:20"/>
    <d v="2025-04-28T00:00:00"/>
    <d v="2025-04-28T00:00:00"/>
    <x v="0"/>
    <n v="2"/>
    <s v="Jojeff Tagnong"/>
    <m/>
  </r>
  <r>
    <x v="182"/>
    <x v="0"/>
    <x v="2"/>
    <s v="CLFF_1000$$$CH65R00020"/>
    <s v="H000000878"/>
    <s v="H000000878"/>
    <s v="LFF (MDG-F)"/>
    <s v="CH65R0002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48"/>
    <s v="H000000878"/>
    <s v="H000000878"/>
    <s v="LFF (MDG-F)"/>
    <s v="CH65R00048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0"/>
    <s v="H000000878"/>
    <s v="H000000878"/>
    <s v="LFF (MDG-F)"/>
    <s v="CH65R0005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2"/>
    <s v="H000000878"/>
    <s v="H000000878"/>
    <s v="LFF (MDG-F)"/>
    <s v="CH65R00052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3"/>
    <x v="0"/>
    <x v="2"/>
    <s v="CSCALA_1248$GEHR"/>
    <s v="G000000199"/>
    <s v="G000000199"/>
    <s v="Non-LFF"/>
    <s v=""/>
    <m/>
    <b v="1"/>
    <x v="0"/>
    <x v="2"/>
    <d v="2025-04-23T16:00:24"/>
    <d v="2025-04-28T00:00:00"/>
    <d v="2025-04-28T00:00:00"/>
    <x v="0"/>
    <n v="3"/>
    <s v="Jojeff Tagnong"/>
    <m/>
  </r>
  <r>
    <x v="184"/>
    <x v="0"/>
    <x v="2"/>
    <s v="CORAERP_MMOR1945.5695"/>
    <s v="L000013779"/>
    <s v="L000013779"/>
    <s v="Non-LFF"/>
    <s v=""/>
    <m/>
    <b v="1"/>
    <x v="2"/>
    <x v="2"/>
    <d v="2025-04-28T16:39:14"/>
    <d v="2025-04-30T00:00:00"/>
    <d v="2025-04-30T00:00:00"/>
    <x v="0"/>
    <n v="2"/>
    <s v="Ruby Grace Garcia"/>
    <m/>
  </r>
  <r>
    <x v="185"/>
    <x v="0"/>
    <x v="2"/>
    <s v="CPRJ-952024016"/>
    <s v="L000011470"/>
    <s v="L00001147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52131 "/>
    <s v="L000013315"/>
    <s v="L000013315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AUS0$$$0000092060 "/>
    <s v="L000008350"/>
    <s v="L00000835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0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1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6"/>
    <x v="0"/>
    <x v="2"/>
    <s v="CLFF_1000$$$DE20675106"/>
    <s v="G000000874"/>
    <s v="G000000874"/>
    <s v="LFF (MDG-F)"/>
    <s v="DE20675106"/>
    <s v="Changes were saved for change request 25290612"/>
    <b v="1"/>
    <x v="0"/>
    <x v="2"/>
    <d v="2025-04-29T11:12:40"/>
    <d v="2025-05-02T00:00:00"/>
    <d v="2025-05-02T00:00:00"/>
    <x v="0"/>
    <n v="3"/>
    <s v="Francesco Ricioppo"/>
    <m/>
  </r>
  <r>
    <x v="187"/>
    <x v="0"/>
    <x v="2"/>
    <s v="CSCALA_1042$PMAD SPICE Set up of NewCos"/>
    <s v="P000001201"/>
    <s v="P000001201"/>
    <s v="Non-LFF"/>
    <s v=""/>
    <m/>
    <b v="1"/>
    <x v="0"/>
    <x v="2"/>
    <d v="2025-04-30T08:25:33"/>
    <d v="2025-05-02T00:00:00"/>
    <d v="2025-05-02T00:00:00"/>
    <x v="0"/>
    <n v="2"/>
    <s v="Eivy Denine Cruz"/>
    <m/>
  </r>
  <r>
    <x v="188"/>
    <x v="0"/>
    <x v="2"/>
    <s v="CLFF_1000$$$CN50R03152"/>
    <s v="H000004391"/>
    <s v="H000004391"/>
    <s v="LFF (MDG-F)"/>
    <s v="CN50R03152"/>
    <s v="Changes were saved for change request 25304523"/>
    <b v="1"/>
    <x v="1"/>
    <x v="2"/>
    <d v="2025-05-02T08:57:03"/>
    <d v="2025-05-07T00:00:00"/>
    <d v="2025-05-07T00:00:00"/>
    <x v="0"/>
    <n v="3"/>
    <s v="Carlo Umali"/>
    <m/>
  </r>
  <r>
    <x v="189"/>
    <x v="0"/>
    <x v="0"/>
    <s v="X.310282.CN50.23.303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m/>
  </r>
  <r>
    <x v="189"/>
    <x v="0"/>
    <x v="0"/>
    <s v="X.310282.CN50.23.304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m/>
  </r>
  <r>
    <x v="189"/>
    <x v="0"/>
    <x v="0"/>
    <s v="X.310282.CN50.20.305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m/>
  </r>
  <r>
    <x v="189"/>
    <x v="0"/>
    <x v="0"/>
    <s v="X.310282.CN50.22.306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m/>
  </r>
  <r>
    <x v="189"/>
    <x v="0"/>
    <x v="0"/>
    <s v="X.310303.CN50.42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m/>
  </r>
  <r>
    <x v="189"/>
    <x v="0"/>
    <x v="0"/>
    <s v="X.310323.CN50.43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m/>
  </r>
  <r>
    <x v="189"/>
    <x v="0"/>
    <x v="0"/>
    <s v="X.310283.CN50.43.302  "/>
    <s v="H000004393"/>
    <s v="H000004393"/>
    <s v="Non-LFF"/>
    <s v=""/>
    <s v="Objects are new and no figures yet in TM1."/>
    <b v="1"/>
    <x v="1"/>
    <x v="2"/>
    <d v="2025-05-02T08:54:11"/>
    <m/>
    <d v="2025-05-07T00:00:00"/>
    <x v="0"/>
    <n v="3"/>
    <s v="Carlo Umali"/>
    <m/>
  </r>
  <r>
    <x v="189"/>
    <x v="0"/>
    <x v="0"/>
    <s v="X.310332.CN50.20.301  "/>
    <s v="H000001505"/>
    <s v="H000001505"/>
    <s v="Non-LFF"/>
    <s v=""/>
    <s v="Objects are new and no figures yet in TM1."/>
    <b v="1"/>
    <x v="1"/>
    <x v="2"/>
    <d v="2025-05-02T08:54:11"/>
    <m/>
    <d v="2025-05-07T00:00:00"/>
    <x v="0"/>
    <n v="3"/>
    <s v="Carlo Umali"/>
    <m/>
  </r>
  <r>
    <x v="190"/>
    <x v="0"/>
    <x v="2"/>
    <s v="CSCALA_1042$RSCE"/>
    <s v="L000008473"/>
    <s v="L000008473"/>
    <s v="Non-LFF"/>
    <s v=""/>
    <m/>
    <b v="1"/>
    <x v="2"/>
    <x v="2"/>
    <d v="2025-05-02T12:11:12"/>
    <d v="2025-05-13T00:00:00"/>
    <d v="2025-05-13T00:00:00"/>
    <x v="1"/>
    <n v="7"/>
    <s v="Noor Jahan Shahin"/>
    <m/>
  </r>
  <r>
    <x v="191"/>
    <x v="0"/>
    <x v="2"/>
    <s v="CTEMPLA_1000UY10120012"/>
    <s v="G000000339"/>
    <s v="G000000339"/>
    <s v="Non-LFF"/>
    <s v=""/>
    <m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2F"/>
    <s v="G000000339"/>
    <s v="G000000339"/>
    <s v="LFF (MDG-F)"/>
    <s v="2123GIT02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1F"/>
    <s v="G000000339"/>
    <s v="G000000339"/>
    <s v="LFF (MDG-F)"/>
    <s v="2123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VMCA$$$US10GIT01F"/>
    <s v="G000000339"/>
    <s v="G000000339"/>
    <s v="LFF (MDG-F)"/>
    <s v="US10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2"/>
    <x v="0"/>
    <x v="2"/>
    <s v="CNOW_7210$$$0000058205 MY RE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2"/>
    <x v="0"/>
    <x v="2"/>
    <s v="CNOW_7210$$$0000058208 MY SAFC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3"/>
    <x v="0"/>
    <x v="2"/>
    <s v="CPHOENX_01010000652050 LS-SC-DNDF Freight Services"/>
    <s v="L000009975"/>
    <s v="L000009975"/>
    <s v="Non-LFF"/>
    <s v=""/>
    <m/>
    <b v="1"/>
    <x v="2"/>
    <x v="2"/>
    <d v="2025-05-05T10:56:12"/>
    <d v="2025-05-13T00:00:00"/>
    <d v="2025-05-13T00:00:00"/>
    <x v="1"/>
    <n v="6"/>
    <s v="Ruby Grace Garcia"/>
    <m/>
  </r>
  <r>
    <x v="194"/>
    <x v="0"/>
    <x v="2"/>
    <s v="PLEAN_X310512SE5020201 Mavenclad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2201 Mavenclad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3201 Mavenclad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SE5015201 Erbitux Commercial SE50 Other Promo an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0201 Erbitux Medical Non R&amp;D SE50 Medical Edu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2201 Erbitux Medical Non R&amp;D SE50 Medical Con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0201 Fertility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2201 Fertility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3201 Fertility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FI5030201 Cardio Commercial FI50 Other M&amp;S Registr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1201 Mavenclad Medical Non R&amp;D FI50 Medical 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2201 Mavenclad Medical Non R&amp;D FI50 Medical 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3201 Mavenclad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0201 Erbitux Commercial FI50 Promo Material G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1201 Erbitux Commercial FI50 Advertising Gen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3201 Erbitux Commercial FI50 Congress &amp; Even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5201 Erbitux Commercial FI50 Other Promo an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30201 Erbitux Commercial FI50 Other M&amp;S Regis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0201 Erbitux Medical Non R&amp;D FI50 Medical Edu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3201 Erbitux Medical Non R&amp;D FI50 Other Medi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0201 Fertility Medical Non R&amp;D FI50 Medical 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3201 Fertility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DK5020201 Mavenclad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0201 Erbitux Commercial DK50 Promo Material G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3201 Erbitux Commercial DK50 Congress &amp; Event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0201 Fertility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3201 Fertility Medical Non R&amp;D DK50 Other Med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0201 Mavenclad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2201 Mavenclad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3201 Mavenclad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ITEMPEU_009000002325 FR40IC1786SE3110250000 FR40399017 NORWAY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NO5023201 Erbitux Medical Non R&amp;D NO50 Other Medi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0201 Fertility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2201 Fertility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3201 Fertility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0201 Mavenclad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2201 Mavenclad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0201 Fertility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2201 Fertility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3201 Fertility Medical Non R&amp;D EE50 Other Med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T5020201 Mavenclad Medical Non R&amp;D LT50 Medical E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T5022201 Fertility Medical Non R&amp;D LT50 Medical C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LV5013201 Cardio Commercial LV50 Congress &amp; Events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V5022201 Mavenclad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0201 Fertility Medical Non R&amp;D LV50 Medical E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2201 Fertility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3200 Tepmetko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5200 Tepmetko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1200 Cardio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3200 Cardio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5200 Cardio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AT5023200 Mavenclad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3200 Erbitux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5200 Erbitux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0 Erbitux Medical activiti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1 Erbitux Medical congress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AT5023200 Fertility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0200 Cardio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2200 Cardio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3200 Cardio Other medical activities (non-R&amp;D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3200 Thyroids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5200 Thyroids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0200 Thyroids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2200 Thyroids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3200 Thyroids Other medical activities (non-R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0201 Cardio Commercial CZ50 Promo Material G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1201 Cardio Commercial CZ50 Advertising Gene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1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2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5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1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5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30201 Cardio Commercial CZ50 Other M&amp;S Regist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2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3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1201 Mavenclad Medical Non R&amp;D CZ50 Medical 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2201 Mavenclad Medical Non R&amp;D CZ50 Medical 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0201 Erbitux Commercial CZ50 Promo Material G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2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3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4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5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1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5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30201 Erbitux Commercial CZ50 Other M&amp;S Regis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1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2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3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6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2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6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CZ5020205 Cardio Medical Non R&amp;D CZ50 Medical Edu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1201 Thyro Commercial CZ50 Advertising Gene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1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2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5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1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5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30201 Thyro Commercial CZ50 Other M&amp;S Regist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1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5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5"/>
    <x v="0"/>
    <x v="2"/>
    <s v="CNOW_7210$$$0000051664 "/>
    <s v="G000000145 "/>
    <s v="G000000145 "/>
    <s v="Non-LFF"/>
    <s v=""/>
    <m/>
    <b v="1"/>
    <x v="0"/>
    <x v="2"/>
    <d v="2025-05-06T12:35:04"/>
    <d v="2025-05-13T00:00:00"/>
    <d v="2025-05-13T00:00:00"/>
    <x v="0"/>
    <n v="5"/>
    <s v="Jojeff Tagnong"/>
    <m/>
  </r>
  <r>
    <x v="196"/>
    <x v="0"/>
    <x v="2"/>
    <s v="CFLTFLE_11030000000420 Nymphaea"/>
    <s v="P000000658"/>
    <s v="P000000658"/>
    <s v="Non-LFF"/>
    <s v=""/>
    <m/>
    <b v="1"/>
    <x v="0"/>
    <x v="2"/>
    <d v="2025-05-08T16:53:17"/>
    <d v="2025-05-13T00:00:00"/>
    <d v="2025-05-13T00:00:00"/>
    <x v="0"/>
    <n v="3"/>
    <s v="Eivy Denine Cruz"/>
    <m/>
  </r>
  <r>
    <x v="196"/>
    <x v="0"/>
    <x v="4"/>
    <s v="CLFF_VMCA$$$US20Z01000 Automatic Account Assignment OKB9"/>
    <s v="P000001045"/>
    <s v="P000001045"/>
    <s v="LFF (MDG-F)"/>
    <s v="US20Z01000"/>
    <s v="Not found in MDGF"/>
    <b v="1"/>
    <x v="0"/>
    <x v="2"/>
    <d v="2025-05-08T16:53:17"/>
    <m/>
    <d v="2025-05-13T00:00:00"/>
    <x v="0"/>
    <n v="3"/>
    <s v="Eivy Denine Cruz"/>
    <m/>
  </r>
  <r>
    <x v="197"/>
    <x v="0"/>
    <x v="2"/>
    <s v="CFLTFLE_1054ITIP1054 IT GOVERNANCE"/>
    <s v="G000000894"/>
    <s v="G000000894"/>
    <s v="Non-LFF"/>
    <s v=""/>
    <m/>
    <b v="1"/>
    <x v="0"/>
    <x v="2"/>
    <d v="2025-05-08T15:41:19"/>
    <d v="2025-05-13T00:00:00"/>
    <d v="2025-05-13T00:00:00"/>
    <x v="0"/>
    <n v="3"/>
    <s v="Jay-R Lizardo"/>
    <m/>
  </r>
  <r>
    <x v="198"/>
    <x v="0"/>
    <x v="2"/>
    <s v="CNOW_7210$$$0000056667"/>
    <s v="G000000631"/>
    <s v="G000000631"/>
    <s v="Non-LFF"/>
    <s v=""/>
    <m/>
    <b v="1"/>
    <x v="0"/>
    <x v="2"/>
    <d v="2025-05-08T14:21:51"/>
    <d v="2025-05-13T00:00:00"/>
    <d v="2025-05-13T00:00:00"/>
    <x v="0"/>
    <n v="3"/>
    <s v="Jojeff Tagnong"/>
    <m/>
  </r>
  <r>
    <x v="199"/>
    <x v="0"/>
    <x v="2"/>
    <s v="PNEXT_CPRJ-138705 GY3 3 Year ICH Stability Study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6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7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8 GY3 (ONCT-534) 3KG GMP Batch &amp; Testing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ON_00011716TTO ER6 Stability Testing Batch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6 ER6 cGMP Manufacture 140G Batch 1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7 ER6 cGMP Manufacture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8 ER6 Campaign Summary Report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0 ER6 Stability Initiation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2 ER6 cGMP Mfg 140G Batch 3(rebill)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3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4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5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6 Reference standard characterization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4 ER6 Analytical Testing PO 4300025737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5 ER6 Delivery of Revised CoA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1 Analytical Summary Qual an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2 Outsource Testing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7 cGMP Manufacture of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8 cGMP Manufacture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9 Campaign Summary Repor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0 Stability Testing batch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3 HPLC Method Purity Development- Cpd 7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4 GC Method Purity Development-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5 Supplemental Metho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7 Short term storage of Alisertib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8 FMEA/DoE Gap Assesmen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4 SSP-014 Stability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9 SSP-020 (2024 Batch #1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0 SSP-021 (2024 Batch #2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1 SSP-022 (2024 Batch #3) and Repor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5 SSP-018 (Phase 4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6 SSP-019 (Phase 5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1 Dedicated general Lab GlasswareEquipmen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5 SSP-024 (Replacement batch for SSP-015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0 SSP Reference Standard Qualification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200"/>
    <x v="0"/>
    <x v="2"/>
    <s v="ITEMPEU_003300000473 CH71 ACA_ALC-0315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4 CH71 MBH DOTMA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5 CH71 MBC DOPE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189 CH71 MBQ Nacalai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1 CH71 ENA 89Bi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6 CH71 CVA Cureva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7 CH71 MBM Fu Fang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4 CH71  ASM Aerosol-Service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6 CH71 DSA Daiichi Sanky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7 CH71 OBB Orbital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8 CH71 OBA Orbital Tx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9 CH71 MDL Merck_Darmstadt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4 CH71  UHA_University_of_Hokkaid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5 CH71  PIA_Prime_Medicine_In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7 CH71 _UAA_University_Health_Networ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8 CH71 _ACD_Acuitas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9 CH71 _ACC Petheon Alc-0366 S Bul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1"/>
    <x v="0"/>
    <x v="2"/>
    <s v="CSCALA_1042$RSCE"/>
    <s v="L000008473"/>
    <s v="L000008473"/>
    <s v="Non-LFF"/>
    <s v=""/>
    <m/>
    <b v="1"/>
    <x v="2"/>
    <x v="2"/>
    <d v="2025-05-13T03:01:34"/>
    <d v="2025-05-13T00:00:00"/>
    <d v="2025-05-13T00:00:00"/>
    <x v="0"/>
    <n v="0"/>
    <s v="Ruby Grace Garcia"/>
    <m/>
  </r>
  <r>
    <x v="202"/>
    <x v="0"/>
    <x v="2"/>
    <s v="CEMERAL_70006101MS3119 Communications 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MS3216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STOMKT STO - Strategic market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203991365 LS Business Services India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0KAIST KAIST - CTO"/>
    <s v="L000013813"/>
    <s v="L000013813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993C17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7001581230 MESI REG LS Co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1000$$$DE10OF0003 Tail Spend Management"/>
    <s v="L000011150"/>
    <s v="L000011150"/>
    <s v="LFF (MDG-F)"/>
    <s v="DE10OF0003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1 Social Media &amp; Digital Communications"/>
    <s v="L000012434"/>
    <s v="L000012434"/>
    <s v="LFF (MDG-F)"/>
    <s v="1756OF000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6 Communications Executive Projects"/>
    <s v="L000011146"/>
    <s v="L000011146"/>
    <s v="LFF (MDG-F)"/>
    <s v="1756OF0006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61 UK WIL Exec Proj"/>
    <s v="L000011148"/>
    <s v="L000011148"/>
    <s v="LFF (MDG-F)"/>
    <s v="1756OF70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94 LS Business Svcs UK"/>
    <s v="L000012995"/>
    <s v="L000012995"/>
    <s v="LFF (MDG-F)"/>
    <s v="1756OF7094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2148OF0261 LS Creative Svcs CM"/>
    <s v="L000011124"/>
    <s v="L000011124"/>
    <s v="LFF (MDG-F)"/>
    <s v="2148OF02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00658 sustainabili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131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335 LS Global Portfolio Brand Sigma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0 LS US Executive Projects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2 US WIL HR 2098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45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53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79 Exec Projects Other Admin STL HUB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356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414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1415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2408 BD BP SLS"/>
    <s v="L000013736"/>
    <s v="L0000137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175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467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6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7 LS Business Services Milwaukee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57094 LS Business Services UK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264020 US WIL HR 5410 BioR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AUS0$$$0000092047 LS TRO - Competitive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11 LS Brand team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2 Creative Services Depreciat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042 Business &amp; Competitive Information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726 Exec Projects R&amp;D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79 LS Global Portfolio Brand US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1 US Burlington HQ CEO Office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9 US WIL HR Exec Proj 1975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17 Employee Engagement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0 Executive Projects other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3 C-virus activiti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6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9 Pharma Value Chai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79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3 PVC - AI Enabled Drug Discovery"/>
    <s v="L000012431"/>
    <s v="L000012431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4 PVC - Advanced Cell Culture"/>
    <s v="L000012432"/>
    <s v="L0000124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5 PVC - Exploratio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871 LS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1 LS Lab hub Interim solution A60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2 LS interim solution R&amp;D growth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0700 LS Global Portfolio Brand - Germany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00 LS Brand Team - Germany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10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61600 Life Science C4 Exp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83000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00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50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650 LS Strategic Initiativ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760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40 HR Execuitive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60 LS R&amp;D Executive Projects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80 LS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EU_1000TR10ADK7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LA_1000BR101100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4"/>
    <s v="FL000011147_IO Executive Projects Comm-G (IO)"/>
    <s v="L000011146"/>
    <s v="L000011146"/>
    <s v="Non-LFF"/>
    <s v=""/>
    <m/>
    <b v="1"/>
    <x v="2"/>
    <x v="2"/>
    <d v="2025-05-13T03:27:57"/>
    <m/>
    <d v="2025-05-14T00:00:00"/>
    <x v="0"/>
    <n v="1"/>
    <s v="Ruby Grace Garcia"/>
    <m/>
  </r>
  <r>
    <x v="203"/>
    <x v="0"/>
    <x v="2"/>
    <s v="CLFF_7210$$$2123GM1021 "/>
    <s v="G000001374"/>
    <s v="G000001374"/>
    <s v="LFF (MDG-F)"/>
    <s v="2123GM1021"/>
    <s v="Already mapped"/>
    <b v="1"/>
    <x v="0"/>
    <x v="2"/>
    <d v="2025-05-13T08:39:52"/>
    <d v="2025-05-13T00:00:00"/>
    <d v="2025-05-14T00:00:00"/>
    <x v="0"/>
    <n v="1"/>
    <s v="Jojeff Tagnong"/>
    <m/>
  </r>
  <r>
    <x v="203"/>
    <x v="0"/>
    <x v="2"/>
    <s v="CLFF_7210$$$2123GMB010 "/>
    <s v="G000001183"/>
    <s v="G000001183"/>
    <s v="LFF (MDG-F)"/>
    <s v="2123GMB010"/>
    <s v="Changes were saved for change request 25330845"/>
    <b v="1"/>
    <x v="0"/>
    <x v="2"/>
    <d v="2025-05-13T08:39:52"/>
    <d v="2025-05-14T00:00:00"/>
    <d v="2025-05-14T00:00:00"/>
    <x v="0"/>
    <n v="1"/>
    <s v="Jojeff Tagnong"/>
    <m/>
  </r>
  <r>
    <x v="204"/>
    <x v="0"/>
    <x v="2"/>
    <s v="CLFF_1000$$$KE50C0FF10 FF - Science &amp; Lab Solutions"/>
    <s v="L000008834"/>
    <s v="L000008834"/>
    <s v="LFF (MDG-F)"/>
    <s v="KE50C0FF10"/>
    <s v="Changes were saved for change request 25331260"/>
    <b v="1"/>
    <x v="2"/>
    <x v="2"/>
    <d v="2025-05-13T10:11:48"/>
    <d v="2025-05-14T00:00:00"/>
    <d v="2025-05-14T00:00:00"/>
    <x v="0"/>
    <n v="1"/>
    <s v="Ruby Grace Garcia"/>
    <m/>
  </r>
  <r>
    <x v="205"/>
    <x v="0"/>
    <x v="2"/>
    <s v="CLFF_7210$$$2148TASA01 Production 1-Equipment"/>
    <s v="L000013816"/>
    <s v="L000013816"/>
    <s v="LFF (MDG-F)"/>
    <s v="2148TASA01"/>
    <m/>
    <b v="1"/>
    <x v="2"/>
    <x v="2"/>
    <d v="2025-05-13T10:11:48"/>
    <m/>
    <m/>
    <x v="1"/>
    <n v="35"/>
    <s v="Ruby Grace Garcia"/>
    <m/>
  </r>
  <r>
    <x v="205"/>
    <x v="0"/>
    <x v="2"/>
    <s v="CLFF_7210$$$2148TASA99 Production 1-Direct Labor"/>
    <s v="L000013816"/>
    <s v="L000013816"/>
    <s v="LFF (MDG-F)"/>
    <s v="2148TASA99"/>
    <m/>
    <b v="1"/>
    <x v="2"/>
    <x v="2"/>
    <d v="2025-05-13T10:11:48"/>
    <m/>
    <m/>
    <x v="1"/>
    <n v="35"/>
    <s v="Ruby Grace Garcia"/>
    <m/>
  </r>
  <r>
    <x v="205"/>
    <x v="0"/>
    <x v="2"/>
    <s v="CLFF_7210$$$2148TASB00 Production 2-Main"/>
    <s v="L000013816"/>
    <s v="L000013816"/>
    <s v="LFF (MDG-F)"/>
    <s v="2148TASB00"/>
    <m/>
    <b v="1"/>
    <x v="2"/>
    <x v="2"/>
    <d v="2025-05-13T10:11:48"/>
    <m/>
    <m/>
    <x v="1"/>
    <n v="35"/>
    <s v="Ruby Grace Garcia"/>
    <m/>
  </r>
  <r>
    <x v="205"/>
    <x v="0"/>
    <x v="2"/>
    <s v="CLFF_7210$$$2148TASB01 Production 2-Equipment"/>
    <s v="L000013816"/>
    <s v="L000013816"/>
    <s v="LFF (MDG-F)"/>
    <s v="2148TASB01"/>
    <m/>
    <b v="1"/>
    <x v="2"/>
    <x v="2"/>
    <d v="2025-05-13T10:11:48"/>
    <m/>
    <m/>
    <x v="1"/>
    <n v="35"/>
    <s v="Ruby Grace Garcia"/>
    <m/>
  </r>
  <r>
    <x v="205"/>
    <x v="0"/>
    <x v="2"/>
    <s v="CLFF_7210$$$2148TASB99 Production -Direct Labor"/>
    <s v="L000013816"/>
    <s v="L000013816"/>
    <s v="LFF (MDG-F)"/>
    <s v="2148TASB99"/>
    <m/>
    <b v="1"/>
    <x v="2"/>
    <x v="2"/>
    <d v="2025-05-13T10:11:48"/>
    <m/>
    <m/>
    <x v="1"/>
    <n v="35"/>
    <s v="Ruby Grace Garcia"/>
    <m/>
  </r>
  <r>
    <x v="205"/>
    <x v="0"/>
    <x v="2"/>
    <s v="CLFF_7210$$$2148TBSZ20 Quality Assurance"/>
    <s v="L000013816"/>
    <s v="L000013816"/>
    <s v="LFF (MDG-F)"/>
    <s v="2148TBSZ20"/>
    <m/>
    <b v="1"/>
    <x v="2"/>
    <x v="2"/>
    <d v="2025-05-13T10:11:48"/>
    <m/>
    <m/>
    <x v="1"/>
    <n v="35"/>
    <s v="Ruby Grace Garcia"/>
    <m/>
  </r>
  <r>
    <x v="205"/>
    <x v="0"/>
    <x v="2"/>
    <s v="CLFF_7210$$$2148TBSZ21 Quality Control"/>
    <s v="L000013816"/>
    <s v="L000013816"/>
    <s v="LFF (MDG-F)"/>
    <s v="2148TBSZ21"/>
    <m/>
    <b v="1"/>
    <x v="2"/>
    <x v="2"/>
    <d v="2025-05-13T10:11:48"/>
    <m/>
    <m/>
    <x v="1"/>
    <n v="35"/>
    <s v="Ruby Grace Garcia"/>
    <m/>
  </r>
  <r>
    <x v="205"/>
    <x v="0"/>
    <x v="2"/>
    <s v="CLFF_7210$$$2148TFSZ64 Local Supply Planning &amp; Purchasing"/>
    <s v="L000013816"/>
    <s v="L000013816"/>
    <s v="LFF (MDG-F)"/>
    <s v="2148TFSZ64"/>
    <m/>
    <b v="1"/>
    <x v="2"/>
    <x v="2"/>
    <d v="2025-05-13T10:11:48"/>
    <m/>
    <m/>
    <x v="1"/>
    <n v="35"/>
    <s v="Ruby Grace Garcia"/>
    <m/>
  </r>
  <r>
    <x v="205"/>
    <x v="0"/>
    <x v="2"/>
    <s v="CLFF_7210$$$2148TKSZ70 Overhead Surcharge collector - Cell Marq"/>
    <s v="L000013816"/>
    <s v="L000013816"/>
    <s v="LFF (MDG-F)"/>
    <s v="2148TKSZ70"/>
    <m/>
    <b v="1"/>
    <x v="2"/>
    <x v="2"/>
    <d v="2025-05-13T10:11:48"/>
    <m/>
    <m/>
    <x v="1"/>
    <n v="35"/>
    <s v="Ruby Grace Garcia"/>
    <m/>
  </r>
  <r>
    <x v="205"/>
    <x v="0"/>
    <x v="2"/>
    <s v="CLFF_7210$$$2148TQSZ91 Receiving &amp; Materials Management"/>
    <s v="L000013816"/>
    <s v="L000013816"/>
    <s v="LFF (MDG-F)"/>
    <s v="2148TQSZ91"/>
    <m/>
    <b v="1"/>
    <x v="2"/>
    <x v="2"/>
    <d v="2025-05-13T10:11:48"/>
    <m/>
    <m/>
    <x v="1"/>
    <n v="35"/>
    <s v="Ruby Grace Garcia"/>
    <m/>
  </r>
  <r>
    <x v="205"/>
    <x v="0"/>
    <x v="2"/>
    <s v="CLFF_7210$$$2148TQSZ92 Warehousing &amp; Distribution - Cell Marque"/>
    <s v="L000013816"/>
    <s v="L000013816"/>
    <s v="LFF (MDG-F)"/>
    <s v="2148TQSZ92"/>
    <m/>
    <b v="1"/>
    <x v="2"/>
    <x v="2"/>
    <d v="2025-05-13T10:11:48"/>
    <m/>
    <m/>
    <x v="1"/>
    <n v="35"/>
    <s v="Ruby Grace Garcia"/>
    <m/>
  </r>
  <r>
    <x v="205"/>
    <x v="0"/>
    <x v="2"/>
    <s v="CLFF_7210$$$2148TCSZ30 Maintenance &amp; Engineering"/>
    <s v="L000013816"/>
    <s v="L000013816"/>
    <s v="LFF (MDG-F)"/>
    <s v="2148TCSZ30"/>
    <m/>
    <b v="1"/>
    <x v="2"/>
    <x v="2"/>
    <d v="2025-05-13T10:11:48"/>
    <m/>
    <m/>
    <x v="1"/>
    <n v="35"/>
    <s v="Ruby Grace Garcia"/>
    <m/>
  </r>
  <r>
    <x v="205"/>
    <x v="0"/>
    <x v="2"/>
    <s v="CLFF_7210$$$2148TFSZ60 Production Infrastructure"/>
    <s v="L000013816"/>
    <s v="L000013816"/>
    <s v="LFF (MDG-F)"/>
    <s v="2148TFSZ60"/>
    <m/>
    <b v="1"/>
    <x v="2"/>
    <x v="2"/>
    <d v="2025-05-13T10:11:48"/>
    <m/>
    <m/>
    <x v="1"/>
    <n v="35"/>
    <s v="Ruby Grace Garcia"/>
    <m/>
  </r>
  <r>
    <x v="205"/>
    <x v="0"/>
    <x v="2"/>
    <s v="CLFF_7210$$$2148TFSZ61 Production Infrastrcuture (EHS)"/>
    <s v="L000013816"/>
    <s v="L000013816"/>
    <s v="LFF (MDG-F)"/>
    <s v="2148TFSZ61"/>
    <m/>
    <b v="1"/>
    <x v="2"/>
    <x v="2"/>
    <d v="2025-05-13T10:11:48"/>
    <m/>
    <m/>
    <x v="1"/>
    <n v="35"/>
    <s v="Ruby Grace Garcia"/>
    <m/>
  </r>
  <r>
    <x v="205"/>
    <x v="0"/>
    <x v="2"/>
    <s v="CLFF_7210$$$2148TFSZ62 IVDR Costs Allocated Out"/>
    <s v="L000013816"/>
    <s v="L000013816"/>
    <s v="LFF (MDG-F)"/>
    <s v="2148TFSZ62"/>
    <m/>
    <b v="1"/>
    <x v="2"/>
    <x v="2"/>
    <d v="2025-05-13T10:11:48"/>
    <m/>
    <m/>
    <x v="1"/>
    <n v="35"/>
    <s v="Ruby Grace Garcia"/>
    <m/>
  </r>
  <r>
    <x v="205"/>
    <x v="0"/>
    <x v="2"/>
    <s v="CLFF_7210$$$2148TFSZ63 Site Costs"/>
    <s v="L000013816"/>
    <s v="L000013816"/>
    <s v="LFF (MDG-F)"/>
    <s v="2148TFSZ63"/>
    <m/>
    <b v="1"/>
    <x v="2"/>
    <x v="2"/>
    <d v="2025-05-13T10:11:48"/>
    <m/>
    <m/>
    <x v="1"/>
    <n v="35"/>
    <s v="Ruby Grace Garcia"/>
    <m/>
  </r>
  <r>
    <x v="205"/>
    <x v="0"/>
    <x v="2"/>
    <s v="CLFF_7210$$$2148TASA00"/>
    <s v="L000013816"/>
    <s v="L000013816"/>
    <s v="LFF (MDG-F)"/>
    <s v="2148TASA00"/>
    <m/>
    <b v="1"/>
    <x v="2"/>
    <x v="2"/>
    <d v="2025-05-13T10:11:48"/>
    <m/>
    <m/>
    <x v="1"/>
    <n v="35"/>
    <s v="Ruby Grace Garcia"/>
    <m/>
  </r>
  <r>
    <x v="205"/>
    <x v="0"/>
    <x v="2"/>
    <s v="CLFF_7210$$$2148TASA00 Production 1-Main"/>
    <s v="L000013816"/>
    <s v="L000013816"/>
    <s v="LFF (MDG-F)"/>
    <s v="2148TASA00"/>
    <m/>
    <b v="1"/>
    <x v="2"/>
    <x v="2"/>
    <d v="2025-05-13T10:11:48"/>
    <m/>
    <m/>
    <x v="1"/>
    <n v="35"/>
    <s v="Ruby Grace Garcia"/>
    <m/>
  </r>
  <r>
    <x v="205"/>
    <x v="0"/>
    <x v="2"/>
    <s v="FLFF_7210$$$2148TASA00_IO Production 1-Main (IO)"/>
    <s v="L000013816"/>
    <s v="L000013816"/>
    <s v="LFF (MDG-F)"/>
    <s v="2148TASA00"/>
    <m/>
    <b v="1"/>
    <x v="2"/>
    <x v="2"/>
    <d v="2025-05-13T10:11:48"/>
    <m/>
    <m/>
    <x v="1"/>
    <n v="35"/>
    <s v="Ruby Grace Garcia"/>
    <m/>
  </r>
  <r>
    <x v="205"/>
    <x v="0"/>
    <x v="2"/>
    <s v="CLFF_7210$$$2148TASA00_IO"/>
    <s v="L000013816"/>
    <s v="L000013816"/>
    <s v="LFF (MDG-F)"/>
    <s v="2148TASA00"/>
    <m/>
    <b v="1"/>
    <x v="2"/>
    <x v="2"/>
    <d v="2025-05-13T10:11:48"/>
    <m/>
    <m/>
    <x v="1"/>
    <n v="35"/>
    <s v="Ruby Grace Garcia"/>
    <m/>
  </r>
  <r>
    <x v="206"/>
    <x v="0"/>
    <x v="2"/>
    <s v="CLFF_1000$$$DE04G0IT99 Spice non-transferring assets IT"/>
    <s v="P000001273"/>
    <s v="P000001273"/>
    <s v="LFF (MDG-F)"/>
    <s v="DE04G0IT99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1 SPICE non-transferring assets F129"/>
    <s v="P000001273"/>
    <s v="P000001273"/>
    <s v="LFF (MDG-F)"/>
    <s v="DE04O010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2 SPICE non-transferring assets misc"/>
    <s v="P000001273"/>
    <s v="P000001273"/>
    <s v="LFF (MDG-F)"/>
    <s v="DE04O010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10 SPICE Rebranding"/>
    <s v="P000001268"/>
    <s v="P000001268"/>
    <s v="LFF (MDG-F)"/>
    <s v="DE04Z03110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EMERAL_70007001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FLTFLE_1044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CN01Z03105 SPICE HR"/>
    <s v="P000001271"/>
    <s v="P000001271"/>
    <s v="LFF (MDG-F)"/>
    <s v="CN01Z03105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08 SPICE HR"/>
    <s v="P000001271"/>
    <s v="P000001271"/>
    <s v="LFF (MDG-F)"/>
    <s v="DE04Z03108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10Z03113 SPICE HR"/>
    <s v="P000001271"/>
    <s v="P000001271"/>
    <s v="LFF (MDG-F)"/>
    <s v="DE10Z0311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IN01Z03101 SPICE HR"/>
    <s v="P000001271"/>
    <s v="P000001271"/>
    <s v="LFF (MDG-F)"/>
    <s v="IN01Z031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JP01Z03103 SPICE HR"/>
    <s v="P000001271"/>
    <s v="P000001271"/>
    <s v="LFF (MDG-F)"/>
    <s v="JP01Z0310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US01Z03107 SPICE HR"/>
    <s v="P000001271"/>
    <s v="P000001271"/>
    <s v="LFF (MDG-F)"/>
    <s v="US01Z03107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KR00$$$KR03Z03104 SPICE HR"/>
    <s v="P000001271"/>
    <s v="P000001271"/>
    <s v="LFF (MDG-F)"/>
    <s v="KR03Z03104"/>
    <s v="Changes were saved for change request 25339737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VMCA$$$US10Z03102 SPICE HR"/>
    <s v="P000001271"/>
    <s v="P000001271"/>
    <s v="LFF (MDG-F)"/>
    <s v="US10Z031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PHOENX_010191820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SCALA_1042$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BE40Z03001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ES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F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NL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PL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B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MX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7"/>
    <x v="0"/>
    <x v="2"/>
    <s v="CLFF_1000$$$AE50GCO220 Lumina Plan &amp; Report"/>
    <s v="G000001361"/>
    <s v="G000001361"/>
    <s v="LFF (MDG-F)"/>
    <s v="AE50GCO22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CN90GMK003 Lumina  RGP Processes"/>
    <s v="G000001362"/>
    <s v="G000001362"/>
    <s v="LFF (MDG-F)"/>
    <s v="CN9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5 LEAP"/>
    <s v="G000001366"/>
    <s v="G000001366"/>
    <s v="LFF (MDG-F)"/>
    <s v="DE10624905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6 LEAP IT projects"/>
    <s v="G000001366"/>
    <s v="G000001366"/>
    <s v="LFF (MDG-F)"/>
    <s v="DE10624906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1057 Lumina  RGP Processes"/>
    <s v="G000001362"/>
    <s v="G000001362"/>
    <s v="LFF (MDG-F)"/>
    <s v="DE10GM105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3 Lumina Regulatory Compl."/>
    <s v="G000001364"/>
    <s v="G000001364"/>
    <s v="LFF (MDG-F)"/>
    <s v="DE1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4 Lumina Process Excellence"/>
    <s v="G000001365"/>
    <s v="G000001365"/>
    <s v="LFF (MDG-F)"/>
    <s v="DE10GMK0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7 Lumina FTO &amp; FTOM"/>
    <s v="G000001360"/>
    <s v="G000001360"/>
    <s v="LFF (MDG-F)"/>
    <s v="DE10Z0310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8 Lumina  RGP Processes"/>
    <s v="G000001362"/>
    <s v="G000001362"/>
    <s v="LFF (MDG-F)"/>
    <s v="DE10Z03108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9 Lumina Plan &amp; Report"/>
    <s v="G000001361"/>
    <s v="G000001361"/>
    <s v="LFF (MDG-F)"/>
    <s v="DE10Z03109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10 Lumina RDF and Tech&amp;Data"/>
    <s v="G000001363"/>
    <s v="G000001363"/>
    <s v="LFF (MDG-F)"/>
    <s v="DE10Z0311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1937GMK003 Lumina FTO &amp; FTOM"/>
    <s v="G000001360"/>
    <s v="G000001360"/>
    <s v="LFF (MDG-F)"/>
    <s v="1937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025GMK003 Project Lumina Plan &amp; Report"/>
    <s v="G000001361"/>
    <s v="G000001361"/>
    <s v="LFF (MDG-F)"/>
    <s v="2025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123Z03104 Lumina  RGP Processes"/>
    <s v="G000001362"/>
    <s v="G000001362"/>
    <s v="LFF (MDG-F)"/>
    <s v="2123Z031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ORAERP_MMOR1975.9682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4 Lumina Process Excellence"/>
    <s v="G000001365"/>
    <s v="G000001365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BTL53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8"/>
    <x v="0"/>
    <x v="2"/>
    <s v="CTEMPNA_1000PH80GFO023"/>
    <s v="G000001373"/>
    <s v="G000001373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8"/>
    <x v="0"/>
    <x v="2"/>
    <s v="CTEMPLA_1000UY10100106"/>
    <s v="G000001359"/>
    <s v="G000001359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9"/>
    <x v="0"/>
    <x v="2"/>
    <s v="CNOW_7210$$$PC00000000"/>
    <s v="L000012168"/>
    <s v="L000012168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091"/>
    <s v="L000012167"/>
    <s v="L000012167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809"/>
    <s v="L000012165"/>
    <s v="L000012165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10"/>
    <x v="0"/>
    <x v="2"/>
    <s v="PLEAN_X310201CH6843049 ESHRE local costs-1028 Chile LRD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2 ISS - Marketing Ferti / End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BB1E33 XXXCMC - Sales Promo CM Care Local-Cilos"/>
    <s v="H000000346"/>
    <s v="H00000034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CW1E33 XXXCMC - Sales Promo CM Care Local-Cilos"/>
    <s v="H000000353"/>
    <s v="H000000353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1 ISS - Marketing Cardio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2 ISS - Marketing Tiroides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2 ISS - Marketing tiroides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1 ISS - Marketing Neurology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CL10788702 Destruction expenses TSM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1"/>
    <x v="0"/>
    <x v="2"/>
    <s v="CNOW_7210$$$0000015235"/>
    <s v="L000013203"/>
    <s v="L000013203"/>
    <s v="Non-LFF"/>
    <s v=""/>
    <m/>
    <b v="1"/>
    <x v="2"/>
    <x v="2"/>
    <d v="2025-05-15T14:29:43"/>
    <d v="2025-05-19T00:00:00"/>
    <d v="2025-05-19T00:00:00"/>
    <x v="0"/>
    <n v="2"/>
    <s v="Florian Sonntag"/>
    <m/>
  </r>
  <r>
    <x v="212"/>
    <x v="0"/>
    <x v="2"/>
    <s v="CLFF_1000$$$DZ50GM1100"/>
    <s v="G000000637"/>
    <s v="G000000637"/>
    <s v="LFF (MDG-F)"/>
    <s v="DZ50GM1100"/>
    <s v="Changes were saved for change request 25454879"/>
    <b v="1"/>
    <x v="0"/>
    <x v="2"/>
    <d v="2025-05-16T08:45:44"/>
    <m/>
    <m/>
    <x v="1"/>
    <n v="32"/>
    <s v="Jojeff Tagnong"/>
    <m/>
  </r>
  <r>
    <x v="212"/>
    <x v="0"/>
    <x v="2"/>
    <s v="CLFF_1000$$$ZA50GM2100"/>
    <s v="G000000637"/>
    <s v="G000000637"/>
    <s v="LFF (MDG-F)"/>
    <s v="ZA50GM2100"/>
    <s v="Changes were saved for change request 25454879"/>
    <b v="1"/>
    <x v="0"/>
    <x v="2"/>
    <d v="2025-05-16T08:45:44"/>
    <m/>
    <m/>
    <x v="1"/>
    <n v="32"/>
    <s v="Jojeff Tagnong"/>
    <m/>
  </r>
  <r>
    <x v="212"/>
    <x v="0"/>
    <x v="2"/>
    <s v="CLFF_7210$$$2053OF0000"/>
    <s v="G000000630"/>
    <s v="G000000630"/>
    <s v="LFF (MDG-F)"/>
    <s v="2053OF0000"/>
    <s v="Changes were saved for change request 25454879"/>
    <b v="1"/>
    <x v="0"/>
    <x v="2"/>
    <d v="2025-05-16T08:45:44"/>
    <d v="2025-06-17T00:00:00"/>
    <d v="2025-06-17T00:00:00"/>
    <x v="1"/>
    <n v="22"/>
    <s v="Jojeff Tagnong"/>
    <m/>
  </r>
  <r>
    <x v="212"/>
    <x v="0"/>
    <x v="2"/>
    <s v="CORAERP_MMOR1975.2454"/>
    <s v="G000000633"/>
    <s v="G000000633"/>
    <s v="Non-LFF"/>
    <s v=""/>
    <s v="Object was under in checking sheet."/>
    <b v="1"/>
    <x v="0"/>
    <x v="2"/>
    <d v="2025-05-16T08:45:44"/>
    <d v="2025-06-17T00:00:00"/>
    <d v="2025-06-17T00:00:00"/>
    <x v="1"/>
    <n v="22"/>
    <s v="Jojeff Tagnong"/>
    <m/>
  </r>
  <r>
    <x v="213"/>
    <x v="0"/>
    <x v="2"/>
    <s v="CNOW_7210$$$0000021406"/>
    <s v="L000007892"/>
    <s v="L000007892"/>
    <s v="Non-LFF"/>
    <s v=""/>
    <m/>
    <b v="1"/>
    <x v="2"/>
    <x v="2"/>
    <d v="2025-05-16T21:38:01"/>
    <m/>
    <m/>
    <x v="1"/>
    <n v="32"/>
    <s v="Florian Sonntag"/>
    <m/>
  </r>
  <r>
    <x v="214"/>
    <x v="0"/>
    <x v="2"/>
    <s v="CLFF_7210$$$2137C00001"/>
    <s v="L000013113"/>
    <s v="L000013113"/>
    <s v="LFF (MDG-F)"/>
    <s v="2137C00001"/>
    <s v="Changes were saved for change request 25352858"/>
    <b v="1"/>
    <x v="2"/>
    <x v="2"/>
    <d v="2025-05-16T21:38:22"/>
    <m/>
    <m/>
    <x v="1"/>
    <n v="32"/>
    <s v="Florian Sonntag"/>
    <m/>
  </r>
  <r>
    <x v="215"/>
    <x v="0"/>
    <x v="2"/>
    <s v="CSCALA_1042$BISS_S22"/>
    <s v="H000000423"/>
    <s v="H000000423"/>
    <s v="Non-LFF"/>
    <s v=""/>
    <m/>
    <b v="1"/>
    <x v="1"/>
    <x v="2"/>
    <d v="2025-05-19T09:26:03"/>
    <m/>
    <m/>
    <x v="1"/>
    <n v="31"/>
    <s v="Carlo Umali"/>
    <m/>
  </r>
  <r>
    <x v="215"/>
    <x v="0"/>
    <x v="2"/>
    <s v="CSCALA_1042$FEPM_F77"/>
    <s v="H000000423"/>
    <s v="H000000423"/>
    <s v="Non-LFF"/>
    <s v=""/>
    <m/>
    <b v="1"/>
    <x v="1"/>
    <x v="2"/>
    <d v="2025-05-19T09:26:03"/>
    <m/>
    <m/>
    <x v="1"/>
    <n v="31"/>
    <s v="Carlo Umali"/>
    <m/>
  </r>
  <r>
    <x v="215"/>
    <x v="0"/>
    <x v="2"/>
    <s v="CSCALA_1042$MSMS_D17"/>
    <s v="H000000423"/>
    <s v="H000000423"/>
    <s v="Non-LFF"/>
    <s v=""/>
    <m/>
    <b v="1"/>
    <x v="1"/>
    <x v="2"/>
    <d v="2025-05-19T09:26:03"/>
    <m/>
    <m/>
    <x v="1"/>
    <n v="31"/>
    <s v="Carlo Umali"/>
    <m/>
  </r>
  <r>
    <x v="215"/>
    <x v="0"/>
    <x v="2"/>
    <s v="CSCALA_1042$MSMS_D20"/>
    <s v="H000000423"/>
    <s v="H000000423"/>
    <s v="Non-LFF"/>
    <s v=""/>
    <m/>
    <b v="1"/>
    <x v="1"/>
    <x v="2"/>
    <d v="2025-05-19T09:26:03"/>
    <m/>
    <m/>
    <x v="1"/>
    <n v="31"/>
    <s v="Carlo Umali"/>
    <m/>
  </r>
  <r>
    <x v="215"/>
    <x v="0"/>
    <x v="2"/>
    <s v="CSCALA_1042$MSMS_E12"/>
    <s v="H000000423"/>
    <s v="H000000423"/>
    <s v="Non-LFF"/>
    <s v=""/>
    <m/>
    <b v="1"/>
    <x v="1"/>
    <x v="2"/>
    <d v="2025-05-19T09:26:03"/>
    <m/>
    <m/>
    <x v="1"/>
    <n v="31"/>
    <s v="Carlo Umali"/>
    <m/>
  </r>
  <r>
    <x v="215"/>
    <x v="0"/>
    <x v="2"/>
    <s v="CSCALA_1042$MSMS_F09"/>
    <s v="H000000423"/>
    <s v="H000000423"/>
    <s v="Non-LFF"/>
    <s v=""/>
    <m/>
    <b v="1"/>
    <x v="1"/>
    <x v="2"/>
    <d v="2025-05-19T09:26:03"/>
    <m/>
    <m/>
    <x v="1"/>
    <n v="31"/>
    <s v="Carlo Umali"/>
    <m/>
  </r>
  <r>
    <x v="215"/>
    <x v="0"/>
    <x v="2"/>
    <s v="CSCALA_1042$MSMS_F10"/>
    <s v="H000000423"/>
    <s v="H000000423"/>
    <s v="Non-LFF"/>
    <s v=""/>
    <m/>
    <b v="1"/>
    <x v="1"/>
    <x v="2"/>
    <d v="2025-05-19T09:26:03"/>
    <m/>
    <m/>
    <x v="1"/>
    <n v="31"/>
    <s v="Carlo Umali"/>
    <m/>
  </r>
  <r>
    <x v="215"/>
    <x v="0"/>
    <x v="2"/>
    <s v="CSCALA_1042$MSMS_O15"/>
    <s v="H000000423"/>
    <s v="H000000423"/>
    <s v="Non-LFF"/>
    <s v=""/>
    <m/>
    <b v="1"/>
    <x v="1"/>
    <x v="2"/>
    <d v="2025-05-19T09:26:03"/>
    <m/>
    <m/>
    <x v="1"/>
    <n v="31"/>
    <s v="Carlo Umali"/>
    <m/>
  </r>
  <r>
    <x v="215"/>
    <x v="0"/>
    <x v="2"/>
    <s v="CSCALA_1042$MSMS_TT6"/>
    <s v="H000000423"/>
    <s v="H000000423"/>
    <s v="Non-LFF"/>
    <s v=""/>
    <m/>
    <b v="1"/>
    <x v="1"/>
    <x v="2"/>
    <d v="2025-05-19T09:26:03"/>
    <m/>
    <m/>
    <x v="1"/>
    <n v="31"/>
    <s v="Carlo Umali"/>
    <m/>
  </r>
  <r>
    <x v="215"/>
    <x v="0"/>
    <x v="2"/>
    <s v="CSCALA_1042$MSMS_W13"/>
    <s v="H000000423"/>
    <s v="H000000423"/>
    <s v="Non-LFF"/>
    <s v=""/>
    <m/>
    <b v="1"/>
    <x v="1"/>
    <x v="2"/>
    <d v="2025-05-19T09:26:03"/>
    <m/>
    <m/>
    <x v="1"/>
    <n v="31"/>
    <s v="Carlo Umali"/>
    <m/>
  </r>
  <r>
    <x v="215"/>
    <x v="0"/>
    <x v="2"/>
    <s v="CSCALA_1042$MSMS_X04"/>
    <s v="H000000423"/>
    <s v="H000000423"/>
    <s v="Non-LFF"/>
    <s v=""/>
    <m/>
    <b v="1"/>
    <x v="1"/>
    <x v="2"/>
    <d v="2025-05-19T09:26:03"/>
    <m/>
    <m/>
    <x v="1"/>
    <n v="31"/>
    <s v="Carlo Umali"/>
    <m/>
  </r>
  <r>
    <x v="215"/>
    <x v="0"/>
    <x v="2"/>
    <s v="CSCALA_1042$MSMS_X06"/>
    <s v="H000000423"/>
    <s v="H000000423"/>
    <s v="Non-LFF"/>
    <s v=""/>
    <m/>
    <b v="1"/>
    <x v="1"/>
    <x v="2"/>
    <d v="2025-05-19T09:26:03"/>
    <m/>
    <m/>
    <x v="1"/>
    <n v="31"/>
    <s v="Carlo Umali"/>
    <m/>
  </r>
  <r>
    <x v="215"/>
    <x v="0"/>
    <x v="2"/>
    <s v="CSCALA_1042$MSPM_C53"/>
    <s v="H000000423"/>
    <s v="H000000423"/>
    <s v="Non-LFF"/>
    <s v=""/>
    <m/>
    <b v="1"/>
    <x v="1"/>
    <x v="2"/>
    <d v="2025-05-19T09:26:03"/>
    <m/>
    <m/>
    <x v="1"/>
    <n v="31"/>
    <s v="Carlo Umali"/>
    <m/>
  </r>
  <r>
    <x v="215"/>
    <x v="0"/>
    <x v="2"/>
    <s v="CSCALA_1042$MSPM_C57"/>
    <s v="H000000423"/>
    <s v="H000000423"/>
    <s v="Non-LFF"/>
    <s v=""/>
    <m/>
    <b v="1"/>
    <x v="1"/>
    <x v="2"/>
    <d v="2025-05-19T09:26:03"/>
    <m/>
    <m/>
    <x v="1"/>
    <n v="31"/>
    <s v="Carlo Umali"/>
    <m/>
  </r>
  <r>
    <x v="215"/>
    <x v="0"/>
    <x v="2"/>
    <s v="CSCALA_1042$MSPM_D93"/>
    <s v="H000000423"/>
    <s v="H000000423"/>
    <s v="Non-LFF"/>
    <s v=""/>
    <m/>
    <b v="1"/>
    <x v="1"/>
    <x v="2"/>
    <d v="2025-05-19T09:26:03"/>
    <m/>
    <m/>
    <x v="1"/>
    <n v="31"/>
    <s v="Carlo Umali"/>
    <m/>
  </r>
  <r>
    <x v="215"/>
    <x v="0"/>
    <x v="2"/>
    <s v="CSCALA_1042$MSPM_D94"/>
    <s v="H000000423"/>
    <s v="H000000423"/>
    <s v="Non-LFF"/>
    <s v=""/>
    <m/>
    <b v="1"/>
    <x v="1"/>
    <x v="2"/>
    <d v="2025-05-19T09:26:03"/>
    <m/>
    <m/>
    <x v="1"/>
    <n v="31"/>
    <s v="Carlo Umali"/>
    <m/>
  </r>
  <r>
    <x v="215"/>
    <x v="0"/>
    <x v="2"/>
    <s v="CSCALA_1042$MSPM_E83"/>
    <s v="H000000423"/>
    <s v="H000000423"/>
    <s v="Non-LFF"/>
    <s v=""/>
    <m/>
    <b v="1"/>
    <x v="1"/>
    <x v="2"/>
    <d v="2025-05-19T09:26:03"/>
    <m/>
    <m/>
    <x v="1"/>
    <n v="31"/>
    <s v="Carlo Umali"/>
    <m/>
  </r>
  <r>
    <x v="215"/>
    <x v="0"/>
    <x v="2"/>
    <s v="CSCALA_1042$MSPM_T52"/>
    <s v="H000000423"/>
    <s v="H000000423"/>
    <s v="Non-LFF"/>
    <s v=""/>
    <m/>
    <b v="1"/>
    <x v="1"/>
    <x v="2"/>
    <d v="2025-05-19T09:26:03"/>
    <m/>
    <m/>
    <x v="1"/>
    <n v="31"/>
    <s v="Carlo Umali"/>
    <m/>
  </r>
  <r>
    <x v="215"/>
    <x v="0"/>
    <x v="2"/>
    <s v="CSCALA_1042$MSPM_T97"/>
    <s v="H000000423"/>
    <s v="H000000423"/>
    <s v="Non-LFF"/>
    <s v=""/>
    <m/>
    <b v="1"/>
    <x v="1"/>
    <x v="2"/>
    <d v="2025-05-19T09:26:03"/>
    <m/>
    <m/>
    <x v="1"/>
    <n v="31"/>
    <s v="Carlo Umali"/>
    <m/>
  </r>
  <r>
    <x v="215"/>
    <x v="0"/>
    <x v="2"/>
    <s v="CSCALA_1042$ONPM_W98"/>
    <s v="H000000423"/>
    <s v="H000000423"/>
    <s v="Non-LFF"/>
    <s v=""/>
    <m/>
    <b v="1"/>
    <x v="1"/>
    <x v="2"/>
    <d v="2025-05-19T09:26:03"/>
    <m/>
    <m/>
    <x v="1"/>
    <n v="31"/>
    <s v="Carlo Umali"/>
    <m/>
  </r>
  <r>
    <x v="215"/>
    <x v="0"/>
    <x v="2"/>
    <s v="CSCALA_1042$ONPM_X53"/>
    <s v="H000000423"/>
    <s v="H000000423"/>
    <s v="Non-LFF"/>
    <s v=""/>
    <m/>
    <b v="1"/>
    <x v="1"/>
    <x v="2"/>
    <d v="2025-05-19T09:26:03"/>
    <m/>
    <m/>
    <x v="1"/>
    <n v="31"/>
    <s v="Carlo Umali"/>
    <m/>
  </r>
  <r>
    <x v="215"/>
    <x v="0"/>
    <x v="2"/>
    <s v="PSCALA_C53 Hiaman Noah"/>
    <s v="H000000423"/>
    <s v="H000000423"/>
    <s v="Non-LFF"/>
    <s v=""/>
    <m/>
    <b v="1"/>
    <x v="1"/>
    <x v="2"/>
    <d v="2025-05-19T09:26:03"/>
    <m/>
    <m/>
    <x v="1"/>
    <n v="31"/>
    <s v="Carlo Umali"/>
    <m/>
  </r>
  <r>
    <x v="215"/>
    <x v="0"/>
    <x v="2"/>
    <s v="PSCALA_F09 Aspire 2025"/>
    <s v="H000000423"/>
    <s v="H000000423"/>
    <s v="Non-LFF"/>
    <s v=""/>
    <m/>
    <b v="1"/>
    <x v="1"/>
    <x v="2"/>
    <d v="2025-05-19T09:26:03"/>
    <m/>
    <m/>
    <x v="1"/>
    <n v="31"/>
    <s v="Carlo Umali"/>
    <m/>
  </r>
  <r>
    <x v="215"/>
    <x v="0"/>
    <x v="2"/>
    <s v="PSCALA_F68 MSART Congress"/>
    <s v="H000000423"/>
    <s v="H000000423"/>
    <s v="Non-LFF"/>
    <s v=""/>
    <m/>
    <b v="1"/>
    <x v="1"/>
    <x v="2"/>
    <d v="2025-05-19T09:26:03"/>
    <m/>
    <m/>
    <x v="1"/>
    <n v="31"/>
    <s v="Carlo Umali"/>
    <m/>
  </r>
  <r>
    <x v="215"/>
    <x v="0"/>
    <x v="2"/>
    <s v="PSCALA_F79 Key Account territory event"/>
    <s v="H000000423"/>
    <s v="H000000423"/>
    <s v="Non-LFF"/>
    <s v=""/>
    <m/>
    <b v="1"/>
    <x v="1"/>
    <x v="2"/>
    <d v="2025-05-19T09:26:03"/>
    <m/>
    <m/>
    <x v="1"/>
    <n v="31"/>
    <s v="Carlo Umali"/>
    <m/>
  </r>
  <r>
    <x v="215"/>
    <x v="0"/>
    <x v="2"/>
    <s v="PSCALA_F99 Unplanned expense"/>
    <s v="H000000423"/>
    <s v="H000000423"/>
    <s v="Non-LFF"/>
    <s v=""/>
    <m/>
    <b v="1"/>
    <x v="1"/>
    <x v="2"/>
    <d v="2025-05-19T09:26:03"/>
    <m/>
    <m/>
    <x v="1"/>
    <n v="31"/>
    <s v="Carlo Umali"/>
    <m/>
  </r>
  <r>
    <x v="215"/>
    <x v="0"/>
    <x v="2"/>
    <s v="PSCALA_O07 ASCOMOS 2024"/>
    <s v="H000000423"/>
    <s v="H000000423"/>
    <s v="Non-LFF"/>
    <s v=""/>
    <m/>
    <b v="1"/>
    <x v="1"/>
    <x v="2"/>
    <d v="2025-05-19T09:26:03"/>
    <m/>
    <m/>
    <x v="1"/>
    <n v="31"/>
    <s v="Carlo Umali"/>
    <m/>
  </r>
  <r>
    <x v="215"/>
    <x v="0"/>
    <x v="2"/>
    <s v="PSCALA_T97 Thyroid Area's Event/ Conferences 2025"/>
    <s v="H000000423"/>
    <s v="H000000423"/>
    <s v="Non-LFF"/>
    <s v=""/>
    <m/>
    <b v="1"/>
    <x v="1"/>
    <x v="2"/>
    <d v="2025-05-19T09:26:03"/>
    <m/>
    <m/>
    <x v="1"/>
    <n v="31"/>
    <s v="Carlo Umali"/>
    <m/>
  </r>
  <r>
    <x v="216"/>
    <x v="0"/>
    <x v="2"/>
    <s v="IEMERAL_000009101206 7001IC2156SI3110250000"/>
    <s v="H000000434"/>
    <s v="H000000434"/>
    <s v="Non-LFF"/>
    <s v=""/>
    <m/>
    <b v="1"/>
    <x v="1"/>
    <x v="2"/>
    <d v="2025-05-19T09:29:25"/>
    <m/>
    <m/>
    <x v="1"/>
    <n v="31"/>
    <s v="Carlo Umali"/>
    <m/>
  </r>
  <r>
    <x v="217"/>
    <x v="0"/>
    <x v="2"/>
    <s v="CTEMPLA_1000PA10PA1E25 Medical non R&amp;D Cardiovascular"/>
    <s v="H000000369"/>
    <s v="H000000369"/>
    <s v="Non-LFF"/>
    <s v=""/>
    <m/>
    <b v="1"/>
    <x v="1"/>
    <x v="2"/>
    <d v="2025-05-19T18:16:18"/>
    <m/>
    <m/>
    <x v="1"/>
    <n v="31"/>
    <s v="Dan John Magada"/>
    <m/>
  </r>
  <r>
    <x v="218"/>
    <x v="0"/>
    <x v="2"/>
    <s v="CFLTFLE_23940000000110 "/>
    <s v="L000007871"/>
    <s v="L000007871"/>
    <s v="Non-LFF"/>
    <s v=""/>
    <m/>
    <b v="1"/>
    <x v="2"/>
    <x v="2"/>
    <d v="2025-05-20T03:40:20"/>
    <m/>
    <m/>
    <x v="1"/>
    <n v="30"/>
    <s v="Joan Rose Pena"/>
    <m/>
  </r>
  <r>
    <x v="218"/>
    <x v="0"/>
    <x v="2"/>
    <s v="CFLTFLE_23940000000130 "/>
    <s v="L000007871"/>
    <s v="L000007871"/>
    <s v="Non-LFF"/>
    <s v=""/>
    <m/>
    <b v="1"/>
    <x v="2"/>
    <x v="2"/>
    <d v="2025-05-20T03:40:20"/>
    <m/>
    <m/>
    <x v="1"/>
    <n v="30"/>
    <s v="Joan Rose Pena"/>
    <m/>
  </r>
  <r>
    <x v="218"/>
    <x v="0"/>
    <x v="2"/>
    <s v="CFLTFLE_23940000000150 "/>
    <s v="L000007871"/>
    <s v="L000007871"/>
    <s v="Non-LFF"/>
    <s v=""/>
    <m/>
    <b v="1"/>
    <x v="2"/>
    <x v="2"/>
    <d v="2025-05-20T03:40:20"/>
    <m/>
    <m/>
    <x v="1"/>
    <n v="30"/>
    <s v="Joan Rose Pena"/>
    <m/>
  </r>
  <r>
    <x v="218"/>
    <x v="0"/>
    <x v="2"/>
    <s v="CFLTFLE_23940000000171 "/>
    <s v="L000007871"/>
    <s v="L000007871"/>
    <s v="Non-LFF"/>
    <s v=""/>
    <m/>
    <b v="1"/>
    <x v="2"/>
    <x v="2"/>
    <d v="2025-05-20T03:40:20"/>
    <m/>
    <m/>
    <x v="1"/>
    <n v="30"/>
    <s v="Joan Rose Pena"/>
    <m/>
  </r>
  <r>
    <x v="218"/>
    <x v="0"/>
    <x v="2"/>
    <s v="CFLTFLE_23940000000230 "/>
    <s v="L000007871"/>
    <s v="L000007871"/>
    <s v="Non-LFF"/>
    <s v=""/>
    <m/>
    <b v="1"/>
    <x v="2"/>
    <x v="2"/>
    <d v="2025-05-20T03:40:20"/>
    <m/>
    <m/>
    <x v="1"/>
    <n v="30"/>
    <s v="Joan Rose Pena"/>
    <m/>
  </r>
  <r>
    <x v="218"/>
    <x v="0"/>
    <x v="2"/>
    <s v="CFLTFLE_23940000000430 "/>
    <s v="L000007871"/>
    <s v="L000007871"/>
    <s v="Non-LFF"/>
    <s v=""/>
    <m/>
    <b v="1"/>
    <x v="2"/>
    <x v="2"/>
    <d v="2025-05-20T03:40:20"/>
    <m/>
    <m/>
    <x v="1"/>
    <n v="30"/>
    <s v="Joan Rose Pena"/>
    <m/>
  </r>
  <r>
    <x v="218"/>
    <x v="0"/>
    <x v="2"/>
    <s v="CFLTFLE_22760000891084 "/>
    <s v="L000013197"/>
    <s v="L000013197"/>
    <s v="Non-LFF"/>
    <s v=""/>
    <m/>
    <b v="1"/>
    <x v="2"/>
    <x v="2"/>
    <d v="2025-05-20T03:40:20"/>
    <m/>
    <m/>
    <x v="1"/>
    <n v="30"/>
    <s v="Joan Rose Pena"/>
    <m/>
  </r>
  <r>
    <x v="218"/>
    <x v="0"/>
    <x v="2"/>
    <s v="CFLTFLE_2373TTR "/>
    <s v="L000013154"/>
    <s v="L000013154"/>
    <s v="Non-LFF"/>
    <s v=""/>
    <m/>
    <b v="1"/>
    <x v="2"/>
    <x v="2"/>
    <d v="2025-05-20T03:40:20"/>
    <m/>
    <m/>
    <x v="1"/>
    <n v="30"/>
    <s v="Joan Rose Pena"/>
    <m/>
  </r>
  <r>
    <x v="218"/>
    <x v="0"/>
    <x v="2"/>
    <s v="CORAERP_MMOR1975.LLZRX "/>
    <s v="L000009206"/>
    <s v="L000009206"/>
    <s v="Non-LFF"/>
    <s v=""/>
    <m/>
    <b v="1"/>
    <x v="2"/>
    <x v="2"/>
    <d v="2025-05-20T03:40:20"/>
    <m/>
    <m/>
    <x v="1"/>
    <n v="30"/>
    <s v="Joan Rose Pena"/>
    <m/>
  </r>
  <r>
    <x v="218"/>
    <x v="0"/>
    <x v="2"/>
    <s v="ITEMPEU_003300000049 CH71 C_L_MBD "/>
    <s v="L000006428"/>
    <s v="L000006428"/>
    <s v="Non-LFF"/>
    <s v=""/>
    <m/>
    <b v="1"/>
    <x v="2"/>
    <x v="2"/>
    <d v="2025-05-20T03:40:20"/>
    <m/>
    <m/>
    <x v="1"/>
    <n v="30"/>
    <s v="Joan Rose Pena"/>
    <m/>
  </r>
  <r>
    <x v="219"/>
    <x v="0"/>
    <x v="2"/>
    <s v="IPHOENX_000400763895"/>
    <s v="L000010101"/>
    <s v="L000010101"/>
    <s v="Non-LFF"/>
    <s v=""/>
    <m/>
    <b v="1"/>
    <x v="2"/>
    <x v="2"/>
    <d v="2025-05-20T03:40:20"/>
    <m/>
    <m/>
    <x v="1"/>
    <n v="30"/>
    <s v="Marcus Avemarie"/>
    <m/>
  </r>
  <r>
    <x v="219"/>
    <x v="0"/>
    <x v="2"/>
    <s v="IPHOENX_000400764088"/>
    <s v="L000010101"/>
    <s v="L000010101"/>
    <s v="Non-LFF"/>
    <s v=""/>
    <m/>
    <b v="1"/>
    <x v="2"/>
    <x v="2"/>
    <d v="2025-05-20T03:40:20"/>
    <m/>
    <m/>
    <x v="1"/>
    <n v="30"/>
    <s v="Marcus Avemarie"/>
    <m/>
  </r>
  <r>
    <x v="219"/>
    <x v="0"/>
    <x v="2"/>
    <s v="IPHOENX_000400764092"/>
    <s v="L000010101"/>
    <s v="L000010101"/>
    <s v="Non-LFF"/>
    <s v=""/>
    <m/>
    <b v="1"/>
    <x v="2"/>
    <x v="2"/>
    <d v="2025-05-20T03:40:20"/>
    <m/>
    <m/>
    <x v="1"/>
    <n v="30"/>
    <s v="Marcus Avemarie"/>
    <m/>
  </r>
  <r>
    <x v="220"/>
    <x v="0"/>
    <x v="2"/>
    <s v="CTEMPEU_1000PL80GHR223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PH80GFO122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DE10GMW030"/>
    <s v="G000001173"/>
    <s v="G000001173"/>
    <s v="LFF (MDG-F)"/>
    <s v="DE10GMW03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ORAERP_MMOR1975.9007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US20GM1000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CN90GHR110"/>
    <s v="G000001173"/>
    <s v="G000001173"/>
    <s v="LFF (MDG-F)"/>
    <s v="CN90GHR11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1"/>
    <x v="0"/>
    <x v="2"/>
    <s v="IPHOENX_000400764173"/>
    <s v="L000012885"/>
    <s v="L000012885"/>
    <s v="Non-LFF"/>
    <s v=""/>
    <m/>
    <b v="1"/>
    <x v="2"/>
    <x v="2"/>
    <d v="2025-05-20T03:40:20"/>
    <m/>
    <m/>
    <x v="1"/>
    <n v="30"/>
    <s v="Marcus Avemarie"/>
    <m/>
  </r>
  <r>
    <x v="222"/>
    <x v="0"/>
    <x v="2"/>
    <s v="IPHOENX_000400764086"/>
    <s v="L000010089"/>
    <s v="L000010089"/>
    <s v="Non-LFF"/>
    <s v=""/>
    <m/>
    <b v="1"/>
    <x v="2"/>
    <x v="2"/>
    <d v="2025-05-20T03:40:20"/>
    <m/>
    <m/>
    <x v="1"/>
    <n v="30"/>
    <s v="Marcus Avemarie"/>
    <m/>
  </r>
  <r>
    <x v="222"/>
    <x v="0"/>
    <x v="2"/>
    <s v="IPHOENX_000400764097"/>
    <s v="L000010089"/>
    <s v="L000010089"/>
    <s v="Non-LFF"/>
    <s v=""/>
    <m/>
    <b v="1"/>
    <x v="2"/>
    <x v="2"/>
    <d v="2025-05-20T03:40:20"/>
    <m/>
    <m/>
    <x v="1"/>
    <n v="30"/>
    <s v="Marcus Avemarie"/>
    <m/>
  </r>
  <r>
    <x v="222"/>
    <x v="0"/>
    <x v="2"/>
    <s v="IPHOENX_000400764098"/>
    <s v="L000010089"/>
    <s v="L000010089"/>
    <s v="Non-LFF"/>
    <s v=""/>
    <m/>
    <b v="1"/>
    <x v="2"/>
    <x v="2"/>
    <d v="2025-05-20T03:40:20"/>
    <m/>
    <m/>
    <x v="1"/>
    <n v="30"/>
    <s v="Marcus Avemarie"/>
    <m/>
  </r>
  <r>
    <x v="222"/>
    <x v="0"/>
    <x v="2"/>
    <s v="IPHOENX_000400764095"/>
    <s v="L000010089"/>
    <s v="L000010089"/>
    <s v="Non-LFF"/>
    <s v=""/>
    <m/>
    <b v="1"/>
    <x v="2"/>
    <x v="2"/>
    <d v="2025-05-20T03:40:20"/>
    <m/>
    <m/>
    <x v="1"/>
    <n v="30"/>
    <s v="Marcus Avemarie"/>
    <m/>
  </r>
  <r>
    <x v="223"/>
    <x v="0"/>
    <x v="2"/>
    <s v="CNOW_7210$$$0000056336 "/>
    <s v="G000001194"/>
    <s v="G000001194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3"/>
    <x v="0"/>
    <x v="2"/>
    <s v="CTEMPNA_1000PH80GFO047"/>
    <s v="G000001161"/>
    <s v="G000001161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4"/>
    <x v="0"/>
    <x v="2"/>
    <s v="CFLTFLE_23960000000450"/>
    <s v="L000007703"/>
    <s v="L000007703"/>
    <s v="Non-LFF"/>
    <s v=""/>
    <m/>
    <b v="1"/>
    <x v="2"/>
    <x v="2"/>
    <d v="2025-05-21T14:15:15"/>
    <d v="2025-05-27T00:00:00"/>
    <d v="2025-05-27T00:00:00"/>
    <x v="0"/>
    <n v="4"/>
    <s v="Joan Rose Pena"/>
    <m/>
  </r>
  <r>
    <x v="225"/>
    <x v="0"/>
    <x v="2"/>
    <s v="EMERAL_70006202991013"/>
    <s v="H000000940"/>
    <s v="H000000940"/>
    <s v="Non-LFF"/>
    <s v=""/>
    <m/>
    <b v="1"/>
    <x v="1"/>
    <x v="2"/>
    <d v="2025-05-23T10:01:07"/>
    <d v="2025-05-29T00:00:00"/>
    <d v="2025-05-29T00:00:00"/>
    <x v="0"/>
    <n v="4"/>
    <s v="Henry Ifurung Jr."/>
    <m/>
  </r>
  <r>
    <x v="226"/>
    <x v="0"/>
    <x v="2"/>
    <s v="CLFF_1000$$$DE20538638"/>
    <s v="G000000686"/>
    <s v="G000000686"/>
    <s v="LFF (MDG-F)"/>
    <s v="DE2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6"/>
    <x v="0"/>
    <x v="2"/>
    <s v="CLFF_1000$$$DE10538638"/>
    <s v="G000000686"/>
    <s v="G000000686"/>
    <s v="LFF (MDG-F)"/>
    <s v="DE1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7"/>
    <x v="0"/>
    <x v="2"/>
    <s v="CEMERAL_70006202991013 Learning &amp; Development Administrator"/>
    <s v="H000000945"/>
    <s v="H000000945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ITEMPEU_009000002323 PL10IC1261IS3110350000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CEMERAL_70007001433297 MESI REG BP Regional Business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7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8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9 SIT COM PROM OTH GCE-Omnichannel Insigh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0 SIT COM PROM OTH GCE-Global Conventions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1 SIT COM PROM OTH GCE-FFE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2 SIT COM PROM OTH GCE-Omnichannel Excell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8"/>
    <x v="0"/>
    <x v="2"/>
    <s v="PLEAN_X310131AT5013200 Tepmetko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31AT5015200 Tepmetko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1200 Cardio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3200 Cardio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5200 Cardio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AT5023200 Mavenclad Other medical activities (non-"/>
    <s v="H000003625"/>
    <s v="H000003625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3200 Erbitux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5200 Erbitux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0 Erbitux Medical activiti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1 Erbitux Medical congress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AT5023200 Fertility Other medical activities (non-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0200 Cardio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2200 Cardio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3200 Cardio Other medical activities (non-R&amp;D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3200 Thyroids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5200 Thyroids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0200 Thyroids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2200 Thyroids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3200 Thyroids Other medical activities (non-R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0201 Cardio Commercial CZ50 Promo Material G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1201 Cardio Commercial CZ50 Advertising Gene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1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2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5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1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5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30201 Cardio Commercial CZ50 Other M&amp;S Regist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2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3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1201 Mavenclad Medical Non R&amp;D CZ50 Medical 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2201 Mavenclad Medical Non R&amp;D CZ50 Medical 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0201 Erbitux Commercial CZ50 Promo Material G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2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3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4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5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1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5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30201 Erbitux Commercial CZ50 Other M&amp;S Regis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1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2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3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6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2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6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CZ5020205 Cardio Medical Non R&amp;D CZ50 Medical Edu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1201 Thyro Commercial CZ50 Advertising Gene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1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2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5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1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5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30201 Thyro Commercial CZ50 Other M&amp;S Regist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1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5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9"/>
    <x v="0"/>
    <x v="2"/>
    <s v="CTEMPLA_1000UY10100011 "/>
    <s v="G000001175"/>
    <s v="G000001175"/>
    <s v="Non-LFF"/>
    <s v=""/>
    <m/>
    <b v="1"/>
    <x v="0"/>
    <x v="2"/>
    <d v="2025-05-23T12:03:05"/>
    <d v="2025-05-27T00:00:00"/>
    <d v="2025-05-27T00:00:00"/>
    <x v="0"/>
    <n v="2"/>
    <s v="Jojeff Tagnong"/>
    <m/>
  </r>
  <r>
    <x v="230"/>
    <x v="0"/>
    <x v="2"/>
    <s v="CEMERAL_64010010860940 BioP Portfolio Management Headcount"/>
    <s v="L000013858"/>
    <s v="L000013858"/>
    <s v="Non-LFF"/>
    <s v=""/>
    <m/>
    <b v="1"/>
    <x v="2"/>
    <x v="2"/>
    <d v="2025-05-24T06:19:42"/>
    <m/>
    <m/>
    <x v="1"/>
    <n v="26"/>
    <s v="Ruby Grace Garcia"/>
    <m/>
  </r>
  <r>
    <x v="230"/>
    <x v="0"/>
    <x v="2"/>
    <s v="CEMERAL_64010010990901"/>
    <s v="L000013862"/>
    <s v="L000013862"/>
    <s v="Non-LFF"/>
    <s v=""/>
    <m/>
    <b v="1"/>
    <x v="2"/>
    <x v="2"/>
    <d v="2025-05-24T06:19:42"/>
    <m/>
    <m/>
    <x v="1"/>
    <n v="26"/>
    <s v="Ruby Grace Garcia"/>
    <m/>
  </r>
  <r>
    <x v="230"/>
    <x v="0"/>
    <x v="2"/>
    <s v="CEMERAL_70006101992001"/>
    <s v="L000013862"/>
    <s v="L000013862"/>
    <s v="Non-LFF"/>
    <s v=""/>
    <m/>
    <b v="1"/>
    <x v="2"/>
    <x v="2"/>
    <d v="2025-05-24T06:19:42"/>
    <m/>
    <m/>
    <x v="1"/>
    <n v="26"/>
    <s v="Ruby Grace Garcia"/>
    <m/>
  </r>
  <r>
    <x v="230"/>
    <x v="0"/>
    <x v="2"/>
    <s v="CEMERAL_70006101MS1314 LS-PS-FS Focused Modalities &amp; New Segmen"/>
    <s v="L000013855"/>
    <s v="L000013855"/>
    <s v="Non-LFF"/>
    <s v=""/>
    <m/>
    <b v="1"/>
    <x v="2"/>
    <x v="2"/>
    <d v="2025-05-24T06:19:42"/>
    <m/>
    <m/>
    <x v="1"/>
    <n v="26"/>
    <s v="Ruby Grace Garcia"/>
    <m/>
  </r>
  <r>
    <x v="230"/>
    <x v="0"/>
    <x v="2"/>
    <s v="CEMERAL_70006101MS3114 Nantong/Wuxi MO"/>
    <s v="L000013143"/>
    <s v="L000013143"/>
    <s v="Non-LFF"/>
    <s v=""/>
    <m/>
    <b v="1"/>
    <x v="2"/>
    <x v="2"/>
    <d v="2025-05-24T06:19:42"/>
    <m/>
    <m/>
    <x v="1"/>
    <n v="26"/>
    <s v="Ruby Grace Garcia"/>
    <m/>
  </r>
  <r>
    <x v="230"/>
    <x v="0"/>
    <x v="2"/>
    <s v="CEMERAL_70006101MS3203 Building up a Marketing team in Shanghai"/>
    <s v="L000013143"/>
    <s v="L000013143"/>
    <s v="Non-LFF"/>
    <s v=""/>
    <m/>
    <b v="1"/>
    <x v="2"/>
    <x v="2"/>
    <d v="2025-05-24T06:19:42"/>
    <m/>
    <m/>
    <x v="1"/>
    <n v="26"/>
    <s v="Ruby Grace Garcia"/>
    <m/>
  </r>
  <r>
    <x v="230"/>
    <x v="0"/>
    <x v="2"/>
    <s v="CEMERAL_70006101RD3110 Product Management Nantong/Wuxi MO"/>
    <s v="L000013143"/>
    <s v="L000013143"/>
    <s v="Non-LFF"/>
    <s v=""/>
    <m/>
    <b v="1"/>
    <x v="2"/>
    <x v="2"/>
    <d v="2025-05-24T06:19:42"/>
    <m/>
    <m/>
    <x v="1"/>
    <n v="26"/>
    <s v="Ruby Grace Garcia"/>
    <m/>
  </r>
  <r>
    <x v="230"/>
    <x v="0"/>
    <x v="2"/>
    <s v="CEMERAL_70006101T2A040"/>
    <s v="L000011361"/>
    <s v="L000011361"/>
    <s v="Non-LFF"/>
    <s v=""/>
    <m/>
    <b v="1"/>
    <x v="2"/>
    <x v="2"/>
    <d v="2025-05-24T06:19:42"/>
    <m/>
    <m/>
    <x v="1"/>
    <n v="26"/>
    <s v="Ruby Grace Garcia"/>
    <m/>
  </r>
  <r>
    <x v="230"/>
    <x v="0"/>
    <x v="2"/>
    <s v="CEMERAL_70006112ADA403"/>
    <s v="L000013862"/>
    <s v="L000013862"/>
    <s v="Non-LFF"/>
    <s v=""/>
    <m/>
    <b v="1"/>
    <x v="2"/>
    <x v="2"/>
    <d v="2025-05-24T06:19:42"/>
    <m/>
    <m/>
    <x v="1"/>
    <n v="26"/>
    <s v="Ruby Grace Garcia"/>
    <m/>
  </r>
  <r>
    <x v="230"/>
    <x v="0"/>
    <x v="2"/>
    <s v="CEMERAL_70006203100501"/>
    <s v="L000011394"/>
    <s v="L000011394"/>
    <s v="Non-LFF"/>
    <s v=""/>
    <m/>
    <b v="1"/>
    <x v="2"/>
    <x v="2"/>
    <d v="2025-05-24T06:19:42"/>
    <m/>
    <m/>
    <x v="1"/>
    <n v="26"/>
    <s v="Ruby Grace Garcia"/>
    <m/>
  </r>
  <r>
    <x v="230"/>
    <x v="0"/>
    <x v="2"/>
    <s v="CEMERAL_70006203121212"/>
    <s v="L000013863"/>
    <s v="L000013863"/>
    <s v="Non-LFF"/>
    <s v=""/>
    <m/>
    <b v="1"/>
    <x v="2"/>
    <x v="2"/>
    <d v="2025-05-24T06:19:42"/>
    <m/>
    <m/>
    <x v="1"/>
    <n v="26"/>
    <s v="Ruby Grace Garcia"/>
    <m/>
  </r>
  <r>
    <x v="230"/>
    <x v="0"/>
    <x v="2"/>
    <s v="CEMERAL_70006203131313"/>
    <s v="L000013863"/>
    <s v="L000013863"/>
    <s v="Non-LFF"/>
    <s v=""/>
    <m/>
    <b v="1"/>
    <x v="2"/>
    <x v="2"/>
    <d v="2025-05-24T06:19:42"/>
    <m/>
    <m/>
    <x v="1"/>
    <n v="26"/>
    <s v="Ruby Grace Garcia"/>
    <m/>
  </r>
  <r>
    <x v="230"/>
    <x v="0"/>
    <x v="2"/>
    <s v="CEMERAL_70006203600902 A&amp;F Segment Mrktg (IN)"/>
    <s v="L000013859"/>
    <s v="L000013859"/>
    <s v="Non-LFF"/>
    <s v=""/>
    <m/>
    <b v="1"/>
    <x v="2"/>
    <x v="2"/>
    <d v="2025-05-24T06:19:42"/>
    <m/>
    <m/>
    <x v="1"/>
    <n v="26"/>
    <s v="Ruby Grace Garcia"/>
    <m/>
  </r>
  <r>
    <x v="230"/>
    <x v="0"/>
    <x v="2"/>
    <s v="CEMERAL_700063029905RA"/>
    <s v="L000013862"/>
    <s v="L000013862"/>
    <s v="Non-LFF"/>
    <s v=""/>
    <m/>
    <b v="1"/>
    <x v="2"/>
    <x v="2"/>
    <d v="2025-05-24T06:19:42"/>
    <m/>
    <m/>
    <x v="1"/>
    <n v="26"/>
    <s v="Ruby Grace Garcia"/>
    <m/>
  </r>
  <r>
    <x v="230"/>
    <x v="0"/>
    <x v="2"/>
    <s v="CEMERAL_70006502000001 GTM Mod Focus Korea"/>
    <s v="L000012407"/>
    <s v="L000012407"/>
    <s v="Non-LFF"/>
    <s v=""/>
    <m/>
    <b v="1"/>
    <x v="2"/>
    <x v="2"/>
    <d v="2025-05-24T06:19:42"/>
    <m/>
    <m/>
    <x v="1"/>
    <n v="26"/>
    <s v="Ruby Grace Garcia"/>
    <m/>
  </r>
  <r>
    <x v="230"/>
    <x v="0"/>
    <x v="2"/>
    <s v="CEMERAL_70006502991734"/>
    <s v="L000013862"/>
    <s v="L000013862"/>
    <s v="Non-LFF"/>
    <s v=""/>
    <m/>
    <b v="1"/>
    <x v="2"/>
    <x v="2"/>
    <d v="2025-05-24T06:19:42"/>
    <m/>
    <m/>
    <x v="1"/>
    <n v="26"/>
    <s v="Ruby Grace Garcia"/>
    <m/>
  </r>
  <r>
    <x v="230"/>
    <x v="0"/>
    <x v="2"/>
    <s v="CEMERAL_70007001580588"/>
    <s v="L000013862"/>
    <s v="L000013862"/>
    <s v="Non-LFF"/>
    <s v=""/>
    <m/>
    <b v="1"/>
    <x v="2"/>
    <x v="2"/>
    <d v="2025-05-24T06:19:42"/>
    <m/>
    <m/>
    <x v="1"/>
    <n v="26"/>
    <s v="Ruby Grace Garcia"/>
    <m/>
  </r>
  <r>
    <x v="230"/>
    <x v="0"/>
    <x v="2"/>
    <s v="CEMERAL_70007102171417 Bioprocessing segments"/>
    <s v="L000013851"/>
    <s v="L000013851"/>
    <s v="Non-LFF"/>
    <s v=""/>
    <m/>
    <b v="1"/>
    <x v="2"/>
    <x v="2"/>
    <d v="2025-05-24T06:19:42"/>
    <m/>
    <m/>
    <x v="1"/>
    <n v="26"/>
    <s v="Ruby Grace Garcia"/>
    <m/>
  </r>
  <r>
    <x v="230"/>
    <x v="0"/>
    <x v="2"/>
    <s v="CEMERAL_70007102171431 BioP APAC Product Management"/>
    <s v="L000013226"/>
    <s v="L000013226"/>
    <s v="Non-LFF"/>
    <s v=""/>
    <m/>
    <b v="1"/>
    <x v="2"/>
    <x v="2"/>
    <d v="2025-05-24T06:19:42"/>
    <m/>
    <m/>
    <x v="1"/>
    <n v="26"/>
    <s v="Ruby Grace Garcia"/>
    <m/>
  </r>
  <r>
    <x v="230"/>
    <x v="0"/>
    <x v="2"/>
    <s v="CEMERAL_70007102171811"/>
    <s v="L000013862"/>
    <s v="L000013862"/>
    <s v="Non-LFF"/>
    <s v=""/>
    <m/>
    <b v="1"/>
    <x v="2"/>
    <x v="2"/>
    <d v="2025-05-24T06:19:42"/>
    <m/>
    <m/>
    <x v="1"/>
    <n v="26"/>
    <s v="Ruby Grace Garcia"/>
    <m/>
  </r>
  <r>
    <x v="230"/>
    <x v="0"/>
    <x v="2"/>
    <s v="CFLTFLE_1044LSTC"/>
    <s v="L000013862"/>
    <s v="L000013862"/>
    <s v="Non-LFF"/>
    <s v=""/>
    <m/>
    <b v="1"/>
    <x v="2"/>
    <x v="2"/>
    <d v="2025-05-24T06:19:42"/>
    <m/>
    <m/>
    <x v="1"/>
    <n v="26"/>
    <s v="Ruby Grace Garcia"/>
    <m/>
  </r>
  <r>
    <x v="230"/>
    <x v="0"/>
    <x v="2"/>
    <s v="CFLTFLE_10548-151-RMTC"/>
    <s v="L000013862"/>
    <s v="L000013862"/>
    <s v="Non-LFF"/>
    <s v=""/>
    <m/>
    <b v="1"/>
    <x v="2"/>
    <x v="2"/>
    <d v="2025-05-24T06:19:42"/>
    <m/>
    <m/>
    <x v="1"/>
    <n v="26"/>
    <s v="Ruby Grace Garcia"/>
    <m/>
  </r>
  <r>
    <x v="230"/>
    <x v="0"/>
    <x v="2"/>
    <s v="CFLTFLE_1106T95000 Marketing"/>
    <s v="L000013840"/>
    <s v="L000013840"/>
    <s v="Non-LFF"/>
    <s v=""/>
    <m/>
    <b v="1"/>
    <x v="2"/>
    <x v="2"/>
    <d v="2025-05-24T06:19:42"/>
    <m/>
    <m/>
    <x v="1"/>
    <n v="26"/>
    <s v="Ruby Grace Garcia"/>
    <m/>
  </r>
  <r>
    <x v="230"/>
    <x v="0"/>
    <x v="2"/>
    <s v="CFLTFLE_1798C15"/>
    <s v="L000013862"/>
    <s v="L000013862"/>
    <s v="Non-LFF"/>
    <s v=""/>
    <m/>
    <b v="1"/>
    <x v="2"/>
    <x v="2"/>
    <d v="2025-05-24T06:19:42"/>
    <m/>
    <m/>
    <x v="1"/>
    <n v="26"/>
    <s v="Ruby Grace Garcia"/>
    <m/>
  </r>
  <r>
    <x v="230"/>
    <x v="0"/>
    <x v="2"/>
    <s v="CFLTFLE_22450000002762"/>
    <s v="L000013861"/>
    <s v="L000013861"/>
    <s v="Non-LFF"/>
    <s v=""/>
    <m/>
    <b v="1"/>
    <x v="2"/>
    <x v="2"/>
    <d v="2025-05-24T06:19:42"/>
    <m/>
    <m/>
    <x v="1"/>
    <n v="26"/>
    <s v="Ruby Grace Garcia"/>
    <m/>
  </r>
  <r>
    <x v="230"/>
    <x v="0"/>
    <x v="2"/>
    <s v="CLFF_1000$$$KE50C0FF10 FF - Science &amp; Lab Solutions"/>
    <s v="L000008834"/>
    <s v="L000008834"/>
    <s v="LFF (MDG-F)"/>
    <s v="KE50C0FF10"/>
    <s v="Already mapped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00005 BioC Innovation Mgmt Mkt UK"/>
    <s v="L000013555"/>
    <s v="L000013555"/>
    <s v="LFF (MDG-F)"/>
    <s v="1756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063 Segment Mkt (U&amp;S)"/>
    <s v="L000013840"/>
    <s v="L000013840"/>
    <s v="LFF (MDG-F)"/>
    <s v="1756CS706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346 PSC - TM EMEA"/>
    <s v="L000013850"/>
    <s v="L000013850"/>
    <s v="LFF (MDG-F)"/>
    <s v="1756CS734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OF0007"/>
    <s v="L000011362"/>
    <s v="L000011362"/>
    <s v="LFF (MDG-F)"/>
    <s v="1756OF0007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937L52686"/>
    <s v="L000011397"/>
    <s v="L000011397"/>
    <s v="LFF (MDG-F)"/>
    <s v="1937L5268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25C01122 A&amp;F Segment Marketing Italy"/>
    <s v="L000013855"/>
    <s v="L000013855"/>
    <s v="LFF (MDG-F)"/>
    <s v="2025C0112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5891 Strategy Integration"/>
    <s v="L000013554"/>
    <s v="L000013554"/>
    <s v="LFF (MDG-F)"/>
    <s v="2063C0589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6245 UPSTREAM CANADA"/>
    <s v="L000013841"/>
    <s v="L000013841"/>
    <s v="LFF (MDG-F)"/>
    <s v="2063C0624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C00662 Regional Sales support USA PSC Upstream"/>
    <s v="L000006593"/>
    <s v="L000006593"/>
    <s v="LFF (MDG-F)"/>
    <s v="2088C0066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L50001"/>
    <s v="L000013861"/>
    <s v="L000013861"/>
    <s v="LFF (MDG-F)"/>
    <s v="2088L5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020 SFRVN cell bank cost"/>
    <s v="L000013841"/>
    <s v="L000013841"/>
    <s v="LFF (MDG-F)"/>
    <s v="2102CS00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713 GENM - Producer Cell Lines Inventory"/>
    <s v="L000013841"/>
    <s v="L000013841"/>
    <s v="LFF (MDG-F)"/>
    <s v="2102CS07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OF0002"/>
    <s v="L000013861"/>
    <s v="L000013861"/>
    <s v="LFF (MDG-F)"/>
    <s v="2102OF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TESZ81 Cell bank cost STL"/>
    <s v="L000013841"/>
    <s v="L000013841"/>
    <s v="LFF (MDG-F)"/>
    <s v="2102TESZ8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3OF0001"/>
    <s v="L000011362"/>
    <s v="L000011362"/>
    <s v="LFF (MDG-F)"/>
    <s v="2103OF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00049 Biocontinuum Marketing"/>
    <s v="L000013850"/>
    <s v="L000013850"/>
    <s v="LFF (MDG-F)"/>
    <s v="2123C0004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S0002 eCommerce business development India"/>
    <s v="L000013532"/>
    <s v="L000013532"/>
    <s v="LFF (MDG-F)"/>
    <s v="2123CS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L50008"/>
    <s v="L000011394"/>
    <s v="L000011394"/>
    <s v="LFF (MDG-F)"/>
    <s v="2123L50008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5C00005"/>
    <s v="L000011363"/>
    <s v="L000011363"/>
    <s v="LFF (MDG-F)"/>
    <s v="2125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8C00002 REG PS-FF UPS&amp;CHROM"/>
    <s v="L000013855"/>
    <s v="L000013855"/>
    <s v="LFF (MDG-F)"/>
    <s v="2128C0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3 Supply Chain 3813"/>
    <s v="L000010057"/>
    <s v="L000010057"/>
    <s v="LFF (MDG-F)"/>
    <s v="2137TPM8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9 Planning 3819"/>
    <s v="L000010057"/>
    <s v="L000010057"/>
    <s v="LFF (MDG-F)"/>
    <s v="2137TPM81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48L50220"/>
    <s v="L000011397"/>
    <s v="L000011397"/>
    <s v="LFF (MDG-F)"/>
    <s v="2148L502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NOW_7210$$$0000010152"/>
    <s v="L000011362"/>
    <s v="L000011362"/>
    <s v="Non-LFF"/>
    <s v=""/>
    <m/>
    <b v="1"/>
    <x v="2"/>
    <x v="2"/>
    <d v="2025-05-24T06:19:42"/>
    <m/>
    <m/>
    <x v="1"/>
    <n v="26"/>
    <s v="Ruby Grace Garcia"/>
    <m/>
  </r>
  <r>
    <x v="230"/>
    <x v="0"/>
    <x v="2"/>
    <s v="CNOW_7210$$$0000015019 PSC - Central EU (GESA)"/>
    <s v="L000013143"/>
    <s v="L000013143"/>
    <s v="Non-LFF"/>
    <s v=""/>
    <m/>
    <b v="1"/>
    <x v="2"/>
    <x v="2"/>
    <d v="2025-05-24T06:19:42"/>
    <m/>
    <m/>
    <x v="1"/>
    <n v="26"/>
    <s v="Ruby Grace Garcia"/>
    <m/>
  </r>
  <r>
    <x v="230"/>
    <x v="0"/>
    <x v="2"/>
    <s v="CNOW_7210$$$0000021383 Segment Marketing A&amp;F (US)"/>
    <s v="L000013855"/>
    <s v="L000013855"/>
    <s v="Non-LFF"/>
    <s v=""/>
    <m/>
    <b v="1"/>
    <x v="2"/>
    <x v="2"/>
    <d v="2025-05-24T06:19:42"/>
    <m/>
    <m/>
    <x v="1"/>
    <n v="26"/>
    <s v="Ruby Grace Garcia"/>
    <m/>
  </r>
  <r>
    <x v="230"/>
    <x v="0"/>
    <x v="2"/>
    <s v="CNOW_7210$$$0000025463 Marketing Ops (Upstream &amp; Systems)"/>
    <s v="L000013858"/>
    <s v="L000013858"/>
    <s v="Non-LFF"/>
    <s v=""/>
    <m/>
    <b v="1"/>
    <x v="2"/>
    <x v="2"/>
    <d v="2025-05-24T06:19:42"/>
    <m/>
    <m/>
    <x v="1"/>
    <n v="26"/>
    <s v="Ruby Grace Garcia"/>
    <m/>
  </r>
  <r>
    <x v="230"/>
    <x v="0"/>
    <x v="2"/>
    <s v="CNOW_7210$$$0000025467 Cell Culture Media Marketing"/>
    <s v="L000013841"/>
    <s v="L000013841"/>
    <s v="Non-LFF"/>
    <s v=""/>
    <m/>
    <b v="1"/>
    <x v="2"/>
    <x v="2"/>
    <d v="2025-05-24T06:19:42"/>
    <m/>
    <m/>
    <x v="1"/>
    <n v="26"/>
    <s v="Ruby Grace Garcia"/>
    <m/>
  </r>
  <r>
    <x v="230"/>
    <x v="0"/>
    <x v="2"/>
    <s v="CNOW_7210$$$0000040106 Pre-engineering &amp; design support LEAD_PS"/>
    <s v="L000013841"/>
    <s v="L000013841"/>
    <s v="Non-LFF"/>
    <s v=""/>
    <m/>
    <b v="1"/>
    <x v="2"/>
    <x v="2"/>
    <d v="2025-05-24T06:19:42"/>
    <m/>
    <m/>
    <x v="1"/>
    <n v="26"/>
    <s v="Ruby Grace Garcia"/>
    <m/>
  </r>
  <r>
    <x v="230"/>
    <x v="0"/>
    <x v="2"/>
    <s v="CNOW_7210$$$0000040459"/>
    <s v="L000011363"/>
    <s v="L000011363"/>
    <s v="Non-LFF"/>
    <s v=""/>
    <m/>
    <b v="1"/>
    <x v="2"/>
    <x v="2"/>
    <d v="2025-05-24T06:19:42"/>
    <m/>
    <m/>
    <x v="1"/>
    <n v="26"/>
    <s v="Ruby Grace Garcia"/>
    <m/>
  </r>
  <r>
    <x v="230"/>
    <x v="0"/>
    <x v="2"/>
    <s v="CNOW_7210$$$0000052155 CL - Commercial"/>
    <s v="L000013855"/>
    <s v="L000013855"/>
    <s v="Non-LFF"/>
    <s v=""/>
    <m/>
    <b v="1"/>
    <x v="2"/>
    <x v="2"/>
    <d v="2025-05-24T06:19:42"/>
    <m/>
    <m/>
    <x v="1"/>
    <n v="26"/>
    <s v="Ruby Grace Garcia"/>
    <m/>
  </r>
  <r>
    <x v="230"/>
    <x v="0"/>
    <x v="2"/>
    <s v="CNOW_7210$$$0000056127 PS Downstream Portfolio Operations"/>
    <s v="L000013858"/>
    <s v="L000013858"/>
    <s v="Non-LFF"/>
    <s v=""/>
    <m/>
    <b v="1"/>
    <x v="2"/>
    <x v="2"/>
    <d v="2025-05-24T06:19:42"/>
    <m/>
    <m/>
    <x v="1"/>
    <n v="26"/>
    <s v="Ruby Grace Garcia"/>
    <m/>
  </r>
  <r>
    <x v="230"/>
    <x v="0"/>
    <x v="2"/>
    <s v="CNOW_7210$$$0000057491"/>
    <s v="L000011393"/>
    <s v="L000011393"/>
    <s v="Non-LFF"/>
    <s v=""/>
    <m/>
    <b v="1"/>
    <x v="2"/>
    <x v="2"/>
    <d v="2025-05-24T06:19:42"/>
    <m/>
    <m/>
    <x v="1"/>
    <n v="26"/>
    <s v="Ruby Grace Garcia"/>
    <m/>
  </r>
  <r>
    <x v="230"/>
    <x v="0"/>
    <x v="2"/>
    <s v="CNOW_7210$$$0000058232"/>
    <s v="L000013862"/>
    <s v="L000013862"/>
    <s v="Non-LFF"/>
    <s v=""/>
    <m/>
    <b v="1"/>
    <x v="2"/>
    <x v="2"/>
    <d v="2025-05-24T06:19:42"/>
    <m/>
    <m/>
    <x v="1"/>
    <n v="26"/>
    <s v="Ruby Grace Garcia"/>
    <m/>
  </r>
  <r>
    <x v="230"/>
    <x v="0"/>
    <x v="2"/>
    <s v="CNOW_AUS0$$$0000091710"/>
    <s v="L000013862"/>
    <s v="L000013862"/>
    <s v="Non-LFF"/>
    <s v=""/>
    <m/>
    <b v="1"/>
    <x v="2"/>
    <x v="2"/>
    <d v="2025-05-24T06:19:42"/>
    <m/>
    <m/>
    <x v="1"/>
    <n v="26"/>
    <s v="Ruby Grace Garcia"/>
    <m/>
  </r>
  <r>
    <x v="230"/>
    <x v="0"/>
    <x v="2"/>
    <s v="CNOW_ROW$$$$0000005301"/>
    <s v="L000013862"/>
    <s v="L000013862"/>
    <s v="Non-LFF"/>
    <s v=""/>
    <m/>
    <b v="1"/>
    <x v="2"/>
    <x v="2"/>
    <d v="2025-05-24T06:19:42"/>
    <m/>
    <m/>
    <x v="1"/>
    <n v="26"/>
    <s v="Ruby Grace Garcia"/>
    <m/>
  </r>
  <r>
    <x v="230"/>
    <x v="0"/>
    <x v="2"/>
    <s v="CORAERP_MMOR1917.2686"/>
    <s v="L000011397"/>
    <s v="L000011397"/>
    <s v="Non-LFF"/>
    <s v=""/>
    <m/>
    <b v="1"/>
    <x v="2"/>
    <x v="2"/>
    <d v="2025-05-24T06:19:42"/>
    <m/>
    <m/>
    <x v="1"/>
    <n v="26"/>
    <s v="Ruby Grace Garcia"/>
    <m/>
  </r>
  <r>
    <x v="230"/>
    <x v="0"/>
    <x v="2"/>
    <s v="CORAERP_MMOR1917.9076"/>
    <s v="L000011363"/>
    <s v="L000011363"/>
    <s v="Non-LFF"/>
    <s v=""/>
    <m/>
    <b v="1"/>
    <x v="2"/>
    <x v="2"/>
    <d v="2025-05-24T06:19:42"/>
    <m/>
    <m/>
    <x v="1"/>
    <n v="26"/>
    <s v="Ruby Grace Garcia"/>
    <m/>
  </r>
  <r>
    <x v="230"/>
    <x v="0"/>
    <x v="2"/>
    <s v="CORAERP_MMOR1945.5002 BioProcessing Upstream"/>
    <s v="L000013841"/>
    <s v="L000013841"/>
    <s v="Non-LFF"/>
    <s v=""/>
    <m/>
    <b v="1"/>
    <x v="2"/>
    <x v="2"/>
    <d v="2025-05-24T06:19:42"/>
    <m/>
    <m/>
    <x v="1"/>
    <n v="26"/>
    <s v="Ruby Grace Garcia"/>
    <m/>
  </r>
  <r>
    <x v="230"/>
    <x v="0"/>
    <x v="2"/>
    <s v="CORAERP_MMOR1945.5069 Market, Competitive &amp; Sales Intel / Analytics"/>
    <s v="L000012348"/>
    <s v="L000012348"/>
    <s v="Non-LFF"/>
    <s v=""/>
    <m/>
    <b v="1"/>
    <x v="2"/>
    <x v="2"/>
    <d v="2025-05-24T06:19:42"/>
    <m/>
    <m/>
    <x v="1"/>
    <n v="26"/>
    <s v="Ruby Grace Garcia"/>
    <m/>
  </r>
  <r>
    <x v="230"/>
    <x v="0"/>
    <x v="2"/>
    <s v="CORAERP_MMOR1945.5070 BioC Marketing"/>
    <s v="L000013850"/>
    <s v="L000013850"/>
    <s v="Non-LFF"/>
    <s v=""/>
    <m/>
    <b v="1"/>
    <x v="2"/>
    <x v="2"/>
    <d v="2025-05-24T06:19:42"/>
    <m/>
    <m/>
    <x v="1"/>
    <n v="26"/>
    <s v="Ruby Grace Garcia"/>
    <m/>
  </r>
  <r>
    <x v="230"/>
    <x v="0"/>
    <x v="2"/>
    <s v="CORAERP_MMOR1945.5077 PS GSA"/>
    <s v="L000013220"/>
    <s v="L000013220"/>
    <s v="Non-LFF"/>
    <s v=""/>
    <m/>
    <b v="1"/>
    <x v="2"/>
    <x v="2"/>
    <d v="2025-05-24T06:19:42"/>
    <m/>
    <m/>
    <x v="1"/>
    <n v="26"/>
    <s v="Ruby Grace Garcia"/>
    <m/>
  </r>
  <r>
    <x v="230"/>
    <x v="0"/>
    <x v="2"/>
    <s v="CORAERP_MMOR1945.5106 Sales SG - BioP SP"/>
    <s v="L000012394"/>
    <s v="L000012394"/>
    <s v="Non-LFF"/>
    <s v=""/>
    <m/>
    <b v="1"/>
    <x v="2"/>
    <x v="2"/>
    <d v="2025-05-24T06:19:42"/>
    <m/>
    <m/>
    <x v="1"/>
    <n v="26"/>
    <s v="Ruby Grace Garcia"/>
    <m/>
  </r>
  <r>
    <x v="230"/>
    <x v="0"/>
    <x v="2"/>
    <s v="CORAERP_MMOR1945.5124 BioP Process &amp; Governance"/>
    <s v="L000013858"/>
    <s v="L000013858"/>
    <s v="Non-LFF"/>
    <s v=""/>
    <m/>
    <b v="1"/>
    <x v="2"/>
    <x v="2"/>
    <d v="2025-05-24T06:19:42"/>
    <m/>
    <m/>
    <x v="1"/>
    <n v="26"/>
    <s v="Ruby Grace Garcia"/>
    <m/>
  </r>
  <r>
    <x v="230"/>
    <x v="0"/>
    <x v="2"/>
    <s v="CORAERP_MMOR1945.5148 Sales KR - BioP SP"/>
    <s v="L000012392"/>
    <s v="L000012392"/>
    <s v="Non-LFF"/>
    <s v=""/>
    <m/>
    <b v="1"/>
    <x v="2"/>
    <x v="2"/>
    <d v="2025-05-24T06:19:42"/>
    <m/>
    <m/>
    <x v="1"/>
    <n v="26"/>
    <s v="Ruby Grace Garcia"/>
    <m/>
  </r>
  <r>
    <x v="230"/>
    <x v="0"/>
    <x v="2"/>
    <s v="CORAERP_MMOR1945.5246"/>
    <s v="L000013863"/>
    <s v="L000013863"/>
    <s v="Non-LFF"/>
    <s v=""/>
    <m/>
    <b v="1"/>
    <x v="2"/>
    <x v="2"/>
    <d v="2025-05-24T06:19:42"/>
    <m/>
    <m/>
    <x v="1"/>
    <n v="26"/>
    <s v="Ruby Grace Garcia"/>
    <m/>
  </r>
  <r>
    <x v="230"/>
    <x v="0"/>
    <x v="2"/>
    <s v="CORAERP_MMOR1945.5292 Marketing - Single Use"/>
    <s v="L000013850"/>
    <s v="L000013850"/>
    <s v="Non-LFF"/>
    <s v=""/>
    <m/>
    <b v="1"/>
    <x v="2"/>
    <x v="2"/>
    <d v="2025-05-24T06:19:42"/>
    <m/>
    <m/>
    <x v="1"/>
    <n v="26"/>
    <s v="Ruby Grace Garcia"/>
    <m/>
  </r>
  <r>
    <x v="230"/>
    <x v="0"/>
    <x v="2"/>
    <s v="CORAERP_MMOR1945.5299 Marketing - Hardware &amp; Systems"/>
    <s v="L000013850"/>
    <s v="L000013850"/>
    <s v="Non-LFF"/>
    <s v=""/>
    <m/>
    <b v="1"/>
    <x v="2"/>
    <x v="2"/>
    <d v="2025-05-24T06:19:42"/>
    <m/>
    <m/>
    <x v="1"/>
    <n v="26"/>
    <s v="Ruby Grace Garcia"/>
    <m/>
  </r>
  <r>
    <x v="230"/>
    <x v="0"/>
    <x v="2"/>
    <s v="CORAERP_MMOR1945.5514 Global PSC Tech Management"/>
    <s v="L000013855"/>
    <s v="L000013855"/>
    <s v="Non-LFF"/>
    <s v=""/>
    <m/>
    <b v="1"/>
    <x v="2"/>
    <x v="2"/>
    <d v="2025-05-24T06:19:42"/>
    <m/>
    <m/>
    <x v="1"/>
    <n v="26"/>
    <s v="Ruby Grace Garcia"/>
    <m/>
  </r>
  <r>
    <x v="230"/>
    <x v="0"/>
    <x v="2"/>
    <s v="CORAERP_MMOR1945.5891 Segment Marketing"/>
    <s v="L000013855"/>
    <s v="L000013855"/>
    <s v="Non-LFF"/>
    <s v=""/>
    <m/>
    <b v="1"/>
    <x v="2"/>
    <x v="2"/>
    <d v="2025-05-24T06:19:42"/>
    <m/>
    <m/>
    <x v="1"/>
    <n v="26"/>
    <s v="Ruby Grace Garcia"/>
    <m/>
  </r>
  <r>
    <x v="230"/>
    <x v="0"/>
    <x v="2"/>
    <s v="CORAERP_MMOR1945.5894 Strategy Operationalization"/>
    <s v="L000013851"/>
    <s v="L000013851"/>
    <s v="Non-LFF"/>
    <s v=""/>
    <m/>
    <b v="1"/>
    <x v="2"/>
    <x v="2"/>
    <d v="2025-05-24T06:19:42"/>
    <m/>
    <m/>
    <x v="1"/>
    <n v="26"/>
    <s v="Ruby Grace Garcia"/>
    <m/>
  </r>
  <r>
    <x v="230"/>
    <x v="0"/>
    <x v="2"/>
    <s v="CORAERP_MMOR1945.6520"/>
    <s v="L000011393"/>
    <s v="L000011393"/>
    <s v="Non-LFF"/>
    <s v=""/>
    <m/>
    <b v="1"/>
    <x v="2"/>
    <x v="2"/>
    <d v="2025-05-24T06:19:42"/>
    <m/>
    <m/>
    <x v="1"/>
    <n v="26"/>
    <s v="Ruby Grace Garcia"/>
    <m/>
  </r>
  <r>
    <x v="230"/>
    <x v="0"/>
    <x v="2"/>
    <s v="CORAERP_MMOR1945.9729 Resolution Spectra OOEI"/>
    <s v="L000013554"/>
    <s v="L000013554"/>
    <s v="Non-LFF"/>
    <s v=""/>
    <m/>
    <b v="1"/>
    <x v="2"/>
    <x v="2"/>
    <d v="2025-05-24T06:19:42"/>
    <m/>
    <m/>
    <x v="1"/>
    <n v="26"/>
    <s v="Ruby Grace Garcia"/>
    <m/>
  </r>
  <r>
    <x v="230"/>
    <x v="0"/>
    <x v="2"/>
    <s v="CORAERP_MMOR1945.L8ZU XXXBL L8 BioPharma Materials - MM - ZU"/>
    <s v="L000013226"/>
    <s v="L000013226"/>
    <s v="Non-LFF"/>
    <s v=""/>
    <m/>
    <b v="1"/>
    <x v="2"/>
    <x v="2"/>
    <d v="2025-05-24T06:19:42"/>
    <m/>
    <m/>
    <x v="1"/>
    <n v="26"/>
    <s v="Ruby Grace Garcia"/>
    <m/>
  </r>
  <r>
    <x v="230"/>
    <x v="0"/>
    <x v="2"/>
    <s v="CORAERP_MMOR1945.LR41 PS N9 Single-Use Royalty Expenses"/>
    <s v="L000013554"/>
    <s v="L000013554"/>
    <s v="Non-LFF"/>
    <s v=""/>
    <m/>
    <b v="1"/>
    <x v="2"/>
    <x v="2"/>
    <d v="2025-05-24T06:19:42"/>
    <m/>
    <m/>
    <x v="1"/>
    <n v="26"/>
    <s v="Ruby Grace Garcia"/>
    <m/>
  </r>
  <r>
    <x v="230"/>
    <x v="0"/>
    <x v="2"/>
    <s v="CORAERP_MMOR1975.5069 Market, Competitive &amp; Sales Intel / Analytics"/>
    <s v="L000012348"/>
    <s v="L000012348"/>
    <s v="Non-LFF"/>
    <s v=""/>
    <m/>
    <b v="1"/>
    <x v="2"/>
    <x v="2"/>
    <d v="2025-05-24T06:19:42"/>
    <m/>
    <m/>
    <x v="1"/>
    <n v="26"/>
    <s v="Ruby Grace Garcia"/>
    <m/>
  </r>
  <r>
    <x v="230"/>
    <x v="0"/>
    <x v="2"/>
    <s v="CORAERP_MMOR1975.5070 BioC Marketing"/>
    <s v="L000013850"/>
    <s v="L000013850"/>
    <s v="Non-LFF"/>
    <s v=""/>
    <m/>
    <b v="1"/>
    <x v="2"/>
    <x v="2"/>
    <d v="2025-05-24T06:19:42"/>
    <m/>
    <m/>
    <x v="1"/>
    <n v="26"/>
    <s v="Ruby Grace Garcia"/>
    <m/>
  </r>
  <r>
    <x v="230"/>
    <x v="0"/>
    <x v="2"/>
    <s v="CORAERP_MMOR1975.5074 BioP Upstream Business Line Headcount"/>
    <s v="L000011442"/>
    <s v="L000011442"/>
    <s v="Non-LFF"/>
    <s v=""/>
    <m/>
    <b v="1"/>
    <x v="2"/>
    <x v="2"/>
    <d v="2025-05-24T06:19:42"/>
    <m/>
    <m/>
    <x v="1"/>
    <n v="26"/>
    <s v="Ruby Grace Garcia"/>
    <m/>
  </r>
  <r>
    <x v="230"/>
    <x v="0"/>
    <x v="2"/>
    <s v="CORAERP_MMOR1975.5095 PFM Marketing GoGlobal exit"/>
    <s v="L000013226"/>
    <s v="L000013226"/>
    <s v="Non-LFF"/>
    <s v=""/>
    <m/>
    <b v="1"/>
    <x v="2"/>
    <x v="2"/>
    <d v="2025-05-24T06:19:42"/>
    <m/>
    <m/>
    <x v="1"/>
    <n v="26"/>
    <s v="Ruby Grace Garcia"/>
    <m/>
  </r>
  <r>
    <x v="230"/>
    <x v="0"/>
    <x v="2"/>
    <s v="CORAERP_MMOR1975.5140 Artemis expenses"/>
    <s v="L000013858"/>
    <s v="L000013858"/>
    <s v="Non-LFF"/>
    <s v=""/>
    <m/>
    <b v="1"/>
    <x v="2"/>
    <x v="2"/>
    <d v="2025-05-24T06:19:42"/>
    <m/>
    <m/>
    <x v="1"/>
    <n v="26"/>
    <s v="Ruby Grace Garcia"/>
    <m/>
  </r>
  <r>
    <x v="230"/>
    <x v="0"/>
    <x v="2"/>
    <s v="CORAERP_MMOR1975.5155 PS Digital Experience Management"/>
    <s v="L000013855"/>
    <s v="L000013855"/>
    <s v="Non-LFF"/>
    <s v=""/>
    <m/>
    <b v="1"/>
    <x v="2"/>
    <x v="2"/>
    <d v="2025-05-24T06:19:42"/>
    <m/>
    <m/>
    <x v="1"/>
    <n v="26"/>
    <s v="Ruby Grace Garcia"/>
    <m/>
  </r>
  <r>
    <x v="230"/>
    <x v="0"/>
    <x v="2"/>
    <s v="CORAERP_MMOR1975.5202 GENM - Cell &amp; Gene Therapy Franchise"/>
    <s v="L000013554"/>
    <s v="L000013554"/>
    <s v="Non-LFF"/>
    <s v=""/>
    <m/>
    <b v="1"/>
    <x v="2"/>
    <x v="2"/>
    <d v="2025-05-24T06:19:42"/>
    <m/>
    <m/>
    <x v="1"/>
    <n v="26"/>
    <s v="Ruby Grace Garcia"/>
    <m/>
  </r>
  <r>
    <x v="230"/>
    <x v="0"/>
    <x v="2"/>
    <s v="CORAERP_MMOR1975.5292 Marketing - Single Use"/>
    <s v="L000013851"/>
    <s v="L000013851"/>
    <s v="Non-LFF"/>
    <s v=""/>
    <m/>
    <b v="1"/>
    <x v="2"/>
    <x v="2"/>
    <d v="2025-05-24T06:19:42"/>
    <m/>
    <m/>
    <x v="1"/>
    <n v="26"/>
    <s v="Ruby Grace Garcia"/>
    <m/>
  </r>
  <r>
    <x v="230"/>
    <x v="0"/>
    <x v="2"/>
    <s v="CORAERP_MMOR1975.5299 Marketing - Hardware &amp; Systems"/>
    <s v="L000013850"/>
    <s v="L000013850"/>
    <s v="Non-LFF"/>
    <s v=""/>
    <m/>
    <b v="1"/>
    <x v="2"/>
    <x v="2"/>
    <d v="2025-05-24T06:19:42"/>
    <m/>
    <m/>
    <x v="1"/>
    <n v="26"/>
    <s v="Ruby Grace Garcia"/>
    <m/>
  </r>
  <r>
    <x v="230"/>
    <x v="0"/>
    <x v="2"/>
    <s v="CORAERP_MMOR1975.5514 Global PSC Tech Management"/>
    <s v="L000013855"/>
    <s v="L000013855"/>
    <s v="Non-LFF"/>
    <s v=""/>
    <m/>
    <b v="1"/>
    <x v="2"/>
    <x v="2"/>
    <d v="2025-05-24T06:19:42"/>
    <m/>
    <m/>
    <x v="1"/>
    <n v="26"/>
    <s v="Ruby Grace Garcia"/>
    <m/>
  </r>
  <r>
    <x v="230"/>
    <x v="0"/>
    <x v="2"/>
    <s v="CORAERP_MMOR1975.5540 PS Marketing Center Management"/>
    <s v="L000013854"/>
    <s v="L000013854"/>
    <s v="Non-LFF"/>
    <s v=""/>
    <m/>
    <b v="1"/>
    <x v="2"/>
    <x v="2"/>
    <d v="2025-05-24T06:19:42"/>
    <m/>
    <m/>
    <x v="1"/>
    <n v="26"/>
    <s v="Ruby Grace Garcia"/>
    <m/>
  </r>
  <r>
    <x v="230"/>
    <x v="0"/>
    <x v="2"/>
    <s v="CORAERP_MMOR1975.5598 Marketing - Hardware &amp; Systems"/>
    <s v="L000013858"/>
    <s v="L000013858"/>
    <s v="Non-LFF"/>
    <s v=""/>
    <m/>
    <b v="1"/>
    <x v="2"/>
    <x v="2"/>
    <d v="2025-05-24T06:19:42"/>
    <m/>
    <m/>
    <x v="1"/>
    <n v="26"/>
    <s v="Ruby Grace Garcia"/>
    <m/>
  </r>
  <r>
    <x v="230"/>
    <x v="0"/>
    <x v="2"/>
    <s v="CORAERP_MMOR1975.5891 Segment Marketing"/>
    <s v="L000013855"/>
    <s v="L000013855"/>
    <s v="Non-LFF"/>
    <s v=""/>
    <m/>
    <b v="1"/>
    <x v="2"/>
    <x v="2"/>
    <d v="2025-05-24T06:19:42"/>
    <m/>
    <m/>
    <x v="1"/>
    <n v="26"/>
    <s v="Ruby Grace Garcia"/>
    <m/>
  </r>
  <r>
    <x v="230"/>
    <x v="0"/>
    <x v="2"/>
    <s v="CORAERP_MMOR1975.5894 Strategy Operationalization"/>
    <s v="L000013851"/>
    <s v="L000013851"/>
    <s v="Non-LFF"/>
    <s v=""/>
    <m/>
    <b v="1"/>
    <x v="2"/>
    <x v="2"/>
    <d v="2025-05-24T06:19:42"/>
    <m/>
    <m/>
    <x v="1"/>
    <n v="26"/>
    <s v="Ruby Grace Garcia"/>
    <m/>
  </r>
  <r>
    <x v="230"/>
    <x v="0"/>
    <x v="2"/>
    <s v="CPHOENX_01010000102020 UPM Strategy and Execution"/>
    <s v="L000013842"/>
    <s v="L000013842"/>
    <s v="Non-LFF"/>
    <s v=""/>
    <m/>
    <b v="1"/>
    <x v="2"/>
    <x v="2"/>
    <d v="2025-05-24T06:19:42"/>
    <m/>
    <m/>
    <x v="1"/>
    <n v="26"/>
    <s v="Ruby Grace Garcia"/>
    <m/>
  </r>
  <r>
    <x v="230"/>
    <x v="0"/>
    <x v="2"/>
    <s v="CPHOENX_01010000650001 PS UPM Process Liquids &amp; Buffers"/>
    <s v="L000013840"/>
    <s v="L000013840"/>
    <s v="Non-LFF"/>
    <s v=""/>
    <m/>
    <b v="1"/>
    <x v="2"/>
    <x v="2"/>
    <d v="2025-05-24T06:19:42"/>
    <m/>
    <m/>
    <x v="1"/>
    <n v="26"/>
    <s v="Ruby Grace Garcia"/>
    <m/>
  </r>
  <r>
    <x v="230"/>
    <x v="0"/>
    <x v="2"/>
    <s v="CPHOENX_01010000681200 MM-PP Marketing Upstream"/>
    <s v="L000013841"/>
    <s v="L000013841"/>
    <s v="Non-LFF"/>
    <s v=""/>
    <m/>
    <b v="1"/>
    <x v="2"/>
    <x v="2"/>
    <d v="2025-05-24T06:19:42"/>
    <m/>
    <m/>
    <x v="1"/>
    <n v="26"/>
    <s v="Ruby Grace Garcia"/>
    <m/>
  </r>
  <r>
    <x v="230"/>
    <x v="0"/>
    <x v="2"/>
    <s v="CPHOENX_01010000687201 Bioprocessing - Marketing Operations"/>
    <s v="L000013143"/>
    <s v="L000013143"/>
    <s v="Non-LFF"/>
    <s v=""/>
    <m/>
    <b v="1"/>
    <x v="2"/>
    <x v="2"/>
    <d v="2025-05-24T06:19:42"/>
    <m/>
    <m/>
    <x v="1"/>
    <n v="26"/>
    <s v="Ruby Grace Garcia"/>
    <m/>
  </r>
  <r>
    <x v="230"/>
    <x v="0"/>
    <x v="2"/>
    <s v="CPHOENX_01010000689700 NEO-HR HO Operations - Inactive"/>
    <s v="L000013850"/>
    <s v="L000013850"/>
    <s v="Non-LFF"/>
    <s v=""/>
    <m/>
    <b v="1"/>
    <x v="2"/>
    <x v="2"/>
    <d v="2025-05-24T06:19:42"/>
    <m/>
    <m/>
    <x v="1"/>
    <n v="26"/>
    <s v="Ruby Grace Garcia"/>
    <m/>
  </r>
  <r>
    <x v="230"/>
    <x v="0"/>
    <x v="2"/>
    <s v="CPHOENX_01010000689970 Franchise 2 SU, Systems &amp; Services"/>
    <s v="L000013847"/>
    <s v="L000013847"/>
    <s v="Non-LFF"/>
    <s v=""/>
    <m/>
    <b v="1"/>
    <x v="2"/>
    <x v="2"/>
    <d v="2025-05-24T06:19:42"/>
    <m/>
    <m/>
    <x v="1"/>
    <n v="26"/>
    <s v="Ruby Grace Garcia"/>
    <m/>
  </r>
  <r>
    <x v="230"/>
    <x v="0"/>
    <x v="2"/>
    <s v="CPHOENX_01010000691801 BioProcessing Marketing Excellence"/>
    <s v="L000013858"/>
    <s v="L000013858"/>
    <s v="Non-LFF"/>
    <s v=""/>
    <m/>
    <b v="1"/>
    <x v="2"/>
    <x v="2"/>
    <d v="2025-05-24T06:19:42"/>
    <m/>
    <m/>
    <x v="1"/>
    <n v="26"/>
    <s v="Ruby Grace Garcia"/>
    <m/>
  </r>
  <r>
    <x v="230"/>
    <x v="0"/>
    <x v="2"/>
    <s v="CPHOENX_01010000699615 P&amp;FM Tech Comm."/>
    <s v="L000013558"/>
    <s v="L000013558"/>
    <s v="Non-LFF"/>
    <s v=""/>
    <m/>
    <b v="1"/>
    <x v="2"/>
    <x v="2"/>
    <d v="2025-05-24T06:19:42"/>
    <m/>
    <m/>
    <x v="1"/>
    <n v="26"/>
    <s v="Ruby Grace Garcia"/>
    <m/>
  </r>
  <r>
    <x v="230"/>
    <x v="0"/>
    <x v="2"/>
    <s v="CPHOENX_01010000699618 PFM Management"/>
    <s v="L000013857"/>
    <s v="L000013857"/>
    <s v="Non-LFF"/>
    <s v=""/>
    <m/>
    <b v="1"/>
    <x v="2"/>
    <x v="2"/>
    <d v="2025-05-24T06:19:42"/>
    <m/>
    <m/>
    <x v="1"/>
    <n v="26"/>
    <s v="Ruby Grace Garcia"/>
    <m/>
  </r>
  <r>
    <x v="230"/>
    <x v="0"/>
    <x v="2"/>
    <s v="CPHOENX_01010000699999 UPM Strategy &amp; Execution"/>
    <s v="L000013842"/>
    <s v="L000013842"/>
    <s v="Non-LFF"/>
    <s v=""/>
    <m/>
    <b v="1"/>
    <x v="2"/>
    <x v="2"/>
    <d v="2025-05-24T06:19:42"/>
    <m/>
    <m/>
    <x v="1"/>
    <n v="26"/>
    <s v="Ruby Grace Garcia"/>
    <m/>
  </r>
  <r>
    <x v="230"/>
    <x v="0"/>
    <x v="2"/>
    <s v="CSCALA_1042$LSRG"/>
    <s v="L000013862"/>
    <s v="L000013862"/>
    <s v="Non-LFF"/>
    <s v=""/>
    <m/>
    <b v="1"/>
    <x v="2"/>
    <x v="2"/>
    <d v="2025-05-24T06:19:42"/>
    <m/>
    <m/>
    <x v="1"/>
    <n v="26"/>
    <s v="Ruby Grace Garcia"/>
    <m/>
  </r>
  <r>
    <x v="230"/>
    <x v="0"/>
    <x v="2"/>
    <s v="CTEMPEU_1000AT40MS9999 BioProcessing Marketing Segments"/>
    <s v="L000013555"/>
    <s v="L000013555"/>
    <s v="Non-LFF"/>
    <s v=""/>
    <m/>
    <b v="1"/>
    <x v="2"/>
    <x v="2"/>
    <d v="2025-05-24T06:19:42"/>
    <m/>
    <m/>
    <x v="1"/>
    <n v="26"/>
    <s v="Ruby Grace Garcia"/>
    <m/>
  </r>
  <r>
    <x v="230"/>
    <x v="0"/>
    <x v="2"/>
    <s v="CTEMPEU_1000CH70MS1105 Marketing SH"/>
    <s v="L000011442"/>
    <s v="L000011442"/>
    <s v="Non-LFF"/>
    <s v=""/>
    <m/>
    <b v="1"/>
    <x v="2"/>
    <x v="2"/>
    <d v="2025-05-24T06:19:42"/>
    <m/>
    <m/>
    <x v="1"/>
    <n v="26"/>
    <s v="Ruby Grace Garcia"/>
    <m/>
  </r>
  <r>
    <x v="230"/>
    <x v="0"/>
    <x v="2"/>
    <s v="CTEMPEU_1000CH70MS4004 Franchise 4 BioContinuum"/>
    <s v="L000013851"/>
    <s v="L000013851"/>
    <s v="Non-LFF"/>
    <s v=""/>
    <m/>
    <b v="1"/>
    <x v="2"/>
    <x v="2"/>
    <d v="2025-05-24T06:19:42"/>
    <m/>
    <m/>
    <x v="1"/>
    <n v="26"/>
    <s v="Ruby Grace Garcia"/>
    <m/>
  </r>
  <r>
    <x v="230"/>
    <x v="0"/>
    <x v="2"/>
    <s v="CTEMPEU_1000FR60101010"/>
    <s v="L000013861"/>
    <s v="L000013861"/>
    <s v="Non-LFF"/>
    <s v=""/>
    <m/>
    <b v="1"/>
    <x v="2"/>
    <x v="2"/>
    <d v="2025-05-24T06:19:42"/>
    <m/>
    <m/>
    <x v="1"/>
    <n v="26"/>
    <s v="Ruby Grace Garcia"/>
    <m/>
  </r>
  <r>
    <x v="230"/>
    <x v="0"/>
    <x v="2"/>
    <s v="CTEMPEU_1000NL40001310 SU Business Planning &amp; Implementation"/>
    <s v="L000013852"/>
    <s v="L000013852"/>
    <s v="Non-LFF"/>
    <s v=""/>
    <m/>
    <b v="1"/>
    <x v="2"/>
    <x v="2"/>
    <d v="2025-05-24T06:19:42"/>
    <m/>
    <m/>
    <x v="1"/>
    <n v="26"/>
    <s v="Ruby Grace Garcia"/>
    <m/>
  </r>
  <r>
    <x v="230"/>
    <x v="0"/>
    <x v="2"/>
    <s v="CTEMPLA_1000MX10555555"/>
    <s v="L000011363"/>
    <s v="L000011363"/>
    <s v="Non-LFF"/>
    <s v=""/>
    <m/>
    <b v="1"/>
    <x v="2"/>
    <x v="2"/>
    <d v="2025-05-24T06:19:42"/>
    <m/>
    <m/>
    <x v="1"/>
    <n v="26"/>
    <s v="Ruby Grace Garcia"/>
    <m/>
  </r>
  <r>
    <x v="231"/>
    <x v="0"/>
    <x v="2"/>
    <s v="CLFF_1000$$$DE10639300 ONE LS ERP - EPP Services"/>
    <s v="L000013810"/>
    <s v="L000013810"/>
    <s v="LFF (MDG-F)"/>
    <s v="DE106393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650100 GER NEXT ERP IT Trav 1500"/>
    <s v="L000013831"/>
    <s v="L000013831"/>
    <s v="LFF (MDG-F)"/>
    <s v="DE106501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OF0005 T&amp;E - ONE LS ERP"/>
    <s v="L000013831"/>
    <s v="L000013831"/>
    <s v="LFF (MDG-F)"/>
    <s v="DE10OF0005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NOW_7210$$$0000010222 US NEXT ERP IT Travel 2098"/>
    <s v="L000013831"/>
    <s v="L000013831"/>
    <s v="Non-LFF"/>
    <s v=""/>
    <m/>
    <b v="1"/>
    <x v="2"/>
    <x v="2"/>
    <d v="2025-05-24T06:47:49"/>
    <m/>
    <m/>
    <x v="1"/>
    <n v="26"/>
    <s v="Ruby Grace Garcia"/>
    <m/>
  </r>
  <r>
    <x v="231"/>
    <x v="0"/>
    <x v="2"/>
    <s v="CORAERP_MMOR1975.9770 US NX ERP IT Trav 1975"/>
    <s v="L000013831"/>
    <s v="L000013831"/>
    <s v="Non-LFF"/>
    <s v=""/>
    <m/>
    <b v="1"/>
    <x v="2"/>
    <x v="2"/>
    <d v="2025-05-24T06:47:49"/>
    <m/>
    <m/>
    <x v="1"/>
    <n v="26"/>
    <s v="Ruby Grace Garcia"/>
    <m/>
  </r>
  <r>
    <x v="231"/>
    <x v="0"/>
    <x v="2"/>
    <s v="CPHOENX_01010000639300 NEXT - IT Personnel"/>
    <s v="L000013810"/>
    <s v="L000013810"/>
    <s v="Non-LFF"/>
    <s v=""/>
    <m/>
    <b v="1"/>
    <x v="2"/>
    <x v="2"/>
    <d v="2025-05-24T06:47:49"/>
    <m/>
    <m/>
    <x v="1"/>
    <n v="26"/>
    <s v="Ruby Grace Garcia"/>
    <m/>
  </r>
  <r>
    <x v="231"/>
    <x v="0"/>
    <x v="2"/>
    <s v="CPHOENX_01010000699620 SAC Business Implementation"/>
    <s v="L000013789"/>
    <s v="L000013789"/>
    <s v="Non-LFF"/>
    <s v=""/>
    <m/>
    <b v="1"/>
    <x v="2"/>
    <x v="2"/>
    <d v="2025-05-24T06:47:49"/>
    <m/>
    <m/>
    <x v="1"/>
    <n v="26"/>
    <s v="Ruby Grace Garcia"/>
    <m/>
  </r>
  <r>
    <x v="232"/>
    <x v="0"/>
    <x v="2"/>
    <s v="CSCALA_1042$GSD Global Service Desk MBS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E55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O61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6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7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W10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PM_C54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PSCALA_F13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3"/>
    <x v="0"/>
    <x v="2"/>
    <s v="CLFF_7210$$$2102TMCZ91 LSS Global Ops Engineering"/>
    <s v="L000013864"/>
    <s v="L000013864"/>
    <s v="LFF (MDG-F)"/>
    <s v="2102TMCZ91"/>
    <s v="Changes were saved for change request 25389013"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00268118 LSS Global Engineering - Rockville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24068118 LSS Global Engineering UK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ORAERP_MMOR1975.2696 Engineering - LSS Global Ops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TEMPEU_1000FR60638000 LSS Global Ops Engineering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4"/>
    <x v="0"/>
    <x v="2"/>
    <s v="D00108800000000 AUO-OLED-Automotive"/>
    <s v="P000001227"/>
    <s v="P000001227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4900000000 LCOS"/>
    <s v="P000001252"/>
    <s v="P00000125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5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6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7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8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9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0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500000000 SHTM-OLED-mobile-U11"/>
    <s v="P000001231"/>
    <s v="P000001231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700000000 LGD-OLED-TV-WBK"/>
    <s v="P000001232"/>
    <s v="P00000123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900000000 EML Application DE"/>
    <s v="P000001126"/>
    <s v="P000001126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6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1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5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5"/>
    <x v="0"/>
    <x v="2"/>
    <s v="CTEMPEU_1000TR10MS3210 MS - ISS - Oncology II"/>
    <s v="H000003497"/>
    <s v="H000003497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9 MS - ISS - Neurology &amp; PK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8 MS - ISS - Fertility &amp; En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6"/>
    <x v="0"/>
    <x v="2"/>
    <s v="CSCALA_1820$A060_A19"/>
    <s v="H000000393"/>
    <s v="H000000393"/>
    <s v="Non-LFF"/>
    <s v=""/>
    <m/>
    <b v="1"/>
    <x v="1"/>
    <x v="3"/>
    <d v="2025-05-29T10:21:30"/>
    <d v="2025-06-02T00:00:00"/>
    <d v="2025-06-02T00:00:00"/>
    <x v="0"/>
    <n v="2"/>
    <s v="Carlo Umali"/>
    <m/>
  </r>
  <r>
    <x v="236"/>
    <x v="0"/>
    <x v="2"/>
    <s v="CSCALA_1820$A103_AM5"/>
    <s v="H000000393"/>
    <s v="H000000393"/>
    <s v="Non-LFF"/>
    <s v=""/>
    <m/>
    <b v="1"/>
    <x v="1"/>
    <x v="3"/>
    <d v="2025-05-29T10:21:30"/>
    <d v="2025-06-02T00:00:00"/>
    <d v="2025-06-02T00:00:00"/>
    <x v="0"/>
    <n v="2"/>
    <s v="Carlo Umali"/>
    <m/>
  </r>
  <r>
    <x v="236"/>
    <x v="0"/>
    <x v="2"/>
    <s v="CSCALA_1820$A805_AC7"/>
    <s v="H000000393"/>
    <s v="H000000393"/>
    <s v="Non-LFF"/>
    <s v=""/>
    <m/>
    <b v="1"/>
    <x v="1"/>
    <x v="3"/>
    <d v="2025-05-29T10:21:30"/>
    <d v="2025-06-02T00:00:00"/>
    <d v="2025-06-02T00:00:00"/>
    <x v="0"/>
    <n v="2"/>
    <s v="Carlo Umali"/>
    <m/>
  </r>
  <r>
    <x v="236"/>
    <x v="0"/>
    <x v="2"/>
    <s v="CSCALA_1820$A805_H99"/>
    <s v="H000000393"/>
    <s v="H000000393"/>
    <s v="Non-LFF"/>
    <s v=""/>
    <m/>
    <b v="1"/>
    <x v="1"/>
    <x v="3"/>
    <d v="2025-05-29T10:21:30"/>
    <d v="2025-06-02T00:00:00"/>
    <d v="2025-06-02T00:00:00"/>
    <x v="0"/>
    <n v="2"/>
    <s v="Carlo Umali"/>
    <m/>
  </r>
  <r>
    <x v="236"/>
    <x v="0"/>
    <x v="2"/>
    <s v="CSCALA_1820$A870 A870 ANZ Entities Cross Charge"/>
    <s v="H000000393"/>
    <s v="H000000393"/>
    <s v="Non-LFF"/>
    <s v=""/>
    <m/>
    <b v="1"/>
    <x v="1"/>
    <x v="3"/>
    <d v="2025-05-29T10:21:30"/>
    <d v="2025-06-02T00:00:00"/>
    <d v="2025-06-02T00:00:00"/>
    <x v="0"/>
    <n v="2"/>
    <s v="Carlo Umali"/>
    <m/>
  </r>
  <r>
    <x v="236"/>
    <x v="0"/>
    <x v="2"/>
    <s v="CSCALA_1820$Q300_E65"/>
    <s v="H000000393"/>
    <s v="H000000393"/>
    <s v="Non-LFF"/>
    <s v=""/>
    <m/>
    <b v="1"/>
    <x v="1"/>
    <x v="3"/>
    <d v="2025-05-29T10:21:30"/>
    <d v="2025-06-02T00:00:00"/>
    <d v="2025-06-02T00:00:00"/>
    <x v="0"/>
    <n v="2"/>
    <s v="Carlo Umali"/>
    <m/>
  </r>
  <r>
    <x v="237"/>
    <x v="0"/>
    <x v="2"/>
    <s v="CNOW_7210$$$0000010311 "/>
    <s v="L000013262"/>
    <s v="L000013262"/>
    <s v="Non-LFF"/>
    <s v=""/>
    <m/>
    <b v="1"/>
    <x v="2"/>
    <x v="3"/>
    <d v="2025-05-29T10:41:08"/>
    <d v="2025-06-02T00:00:00"/>
    <d v="2025-06-02T00:00:00"/>
    <x v="0"/>
    <n v="2"/>
    <s v="Joan Rose Pena"/>
    <m/>
  </r>
  <r>
    <x v="237"/>
    <x v="0"/>
    <x v="2"/>
    <s v="CNOW_7210$$$0000057266 "/>
    <s v="L000009969"/>
    <s v="L000009969"/>
    <s v="Non-LFF"/>
    <s v=""/>
    <m/>
    <b v="1"/>
    <x v="2"/>
    <x v="3"/>
    <d v="2025-05-29T10:41:08"/>
    <d v="2025-06-02T00:00:00"/>
    <d v="2025-06-02T00:00:00"/>
    <x v="0"/>
    <n v="2"/>
    <s v="Joan Rose Pena"/>
    <m/>
  </r>
  <r>
    <x v="237"/>
    <x v="0"/>
    <x v="2"/>
    <s v="CNOW_7210$$$0000010312 "/>
    <s v="L000008362"/>
    <s v="L000008362"/>
    <s v="Non-LFF"/>
    <s v=""/>
    <m/>
    <b v="1"/>
    <x v="2"/>
    <x v="3"/>
    <d v="2025-05-29T10:41:08"/>
    <d v="2025-06-02T00:00:00"/>
    <d v="2025-06-02T00:00:00"/>
    <x v="0"/>
    <n v="2"/>
    <s v="Joan Rose Pena"/>
    <m/>
  </r>
  <r>
    <x v="237"/>
    <x v="0"/>
    <x v="2"/>
    <s v="CNOW_7210$$$0000015221 "/>
    <s v="L000010037"/>
    <s v="L000010037"/>
    <s v="Non-LFF"/>
    <s v=""/>
    <m/>
    <b v="1"/>
    <x v="2"/>
    <x v="3"/>
    <d v="2025-05-29T10:41:08"/>
    <d v="2025-06-02T00:00:00"/>
    <d v="2025-06-02T00:00:00"/>
    <x v="0"/>
    <n v="2"/>
    <s v="Joan Rose Pena"/>
    <m/>
  </r>
  <r>
    <x v="237"/>
    <x v="0"/>
    <x v="2"/>
    <s v="CNOW_7210$$$0000040962 "/>
    <s v="L000009797"/>
    <s v="L000009797"/>
    <s v="Non-LFF"/>
    <s v=""/>
    <m/>
    <b v="1"/>
    <x v="2"/>
    <x v="3"/>
    <d v="2025-05-29T10:41:08"/>
    <d v="2025-06-02T00:00:00"/>
    <d v="2025-06-02T00:00:00"/>
    <x v="0"/>
    <n v="2"/>
    <s v="Joan Rose Pena"/>
    <m/>
  </r>
  <r>
    <x v="238"/>
    <x v="0"/>
    <x v="2"/>
    <s v="CLFF_1000$$$DE10B45000"/>
    <s v="L000006438"/>
    <s v="L000006438"/>
    <s v="LFF (MDG-F)"/>
    <s v="DE10B45000"/>
    <s v="Changes were saved for change request 25400280"/>
    <b v="1"/>
    <x v="2"/>
    <x v="3"/>
    <d v="2025-05-29T16:16:50"/>
    <d v="2025-06-02T00:00:00"/>
    <d v="2025-06-02T00:00:00"/>
    <x v="0"/>
    <n v="2"/>
    <s v="Ruby Grace Garcia"/>
    <m/>
  </r>
  <r>
    <x v="239"/>
    <x v="0"/>
    <x v="2"/>
    <s v="CEMERAL_64016401108608 M Lab project cost collection"/>
    <s v="L000012393"/>
    <s v="L000012393"/>
    <s v="Non-LFF"/>
    <s v=""/>
    <m/>
    <b v="1"/>
    <x v="2"/>
    <x v="3"/>
    <d v="2025-05-28T11:53:42"/>
    <d v="2025-06-02T00:00:00"/>
    <d v="2025-06-02T00:00:00"/>
    <x v="0"/>
    <n v="3"/>
    <s v="Lakshmi Shree"/>
    <m/>
  </r>
  <r>
    <x v="240"/>
    <x v="0"/>
    <x v="2"/>
    <s v="CEMERAL_7000640399NP99"/>
    <s v="H000000447"/>
    <s v="H000000447"/>
    <s v="Non-LFF"/>
    <s v=""/>
    <m/>
    <b v="1"/>
    <x v="1"/>
    <x v="3"/>
    <d v="2025-05-29T16:16:50"/>
    <d v="2025-06-02T00:00:00"/>
    <d v="2025-06-02T00:00:00"/>
    <x v="0"/>
    <n v="2"/>
    <s v="Carlo Umali"/>
    <m/>
  </r>
  <r>
    <x v="241"/>
    <x v="0"/>
    <x v="2"/>
    <s v="PLEAN_X310101CN5013350"/>
    <s v="H000001419"/>
    <s v="H000001419"/>
    <s v="Non-LFF"/>
    <s v=""/>
    <m/>
    <b v="1"/>
    <x v="1"/>
    <x v="3"/>
    <d v="2025-05-30T16:16:50"/>
    <d v="2025-06-02T00:00:00"/>
    <d v="2025-06-02T00:00:00"/>
    <x v="0"/>
    <n v="1"/>
    <s v="John Poulie Borromeo"/>
    <m/>
  </r>
  <r>
    <x v="241"/>
    <x v="0"/>
    <x v="2"/>
    <s v="PLEAN_X310001CN5015349"/>
    <s v="H000001589"/>
    <s v="H000001589"/>
    <s v="Non-LFF"/>
    <s v=""/>
    <m/>
    <b v="1"/>
    <x v="1"/>
    <x v="3"/>
    <d v="2025-05-30T16:16:50"/>
    <d v="2025-06-02T00:00:00"/>
    <d v="2025-06-02T00:00:00"/>
    <x v="0"/>
    <n v="1"/>
    <s v="John Poulie Borromeo"/>
    <m/>
  </r>
  <r>
    <x v="241"/>
    <x v="0"/>
    <x v="2"/>
    <s v="PLEAN_X310001CN5015350"/>
    <s v="H000001589"/>
    <s v="H000001589"/>
    <s v="Non-LFF"/>
    <s v=""/>
    <m/>
    <b v="1"/>
    <x v="1"/>
    <x v="3"/>
    <d v="2025-05-30T16:16:50"/>
    <d v="2025-06-02T00:00:00"/>
    <d v="2025-06-02T00:00:00"/>
    <x v="0"/>
    <n v="1"/>
    <s v="John Poulie Borromeo"/>
    <m/>
  </r>
  <r>
    <x v="241"/>
    <x v="0"/>
    <x v="2"/>
    <s v="PLEAN_X310001CN5015351"/>
    <s v="H000001589"/>
    <s v="H000001589"/>
    <s v="Non-LFF"/>
    <s v=""/>
    <m/>
    <b v="1"/>
    <x v="1"/>
    <x v="3"/>
    <d v="2025-05-30T16:16:50"/>
    <d v="2025-06-02T00:00:00"/>
    <d v="2025-06-02T00:00:00"/>
    <x v="0"/>
    <n v="1"/>
    <s v="John Poulie Borromeo"/>
    <m/>
  </r>
  <r>
    <x v="241"/>
    <x v="0"/>
    <x v="2"/>
    <s v="PLEAN_X310941CN5013012"/>
    <s v="H000004119"/>
    <s v="H000004119"/>
    <s v="Non-LFF"/>
    <s v=""/>
    <m/>
    <b v="1"/>
    <x v="1"/>
    <x v="3"/>
    <d v="2025-05-30T16:16:50"/>
    <d v="2025-06-02T00:00:00"/>
    <d v="2025-06-02T00:00:00"/>
    <x v="0"/>
    <n v="1"/>
    <s v="John Poulie Borromeo"/>
    <m/>
  </r>
  <r>
    <x v="241"/>
    <x v="0"/>
    <x v="2"/>
    <s v="PLEAN_X310331CN5015202"/>
    <s v="H000001383"/>
    <s v="H000001383"/>
    <s v="Non-LFF"/>
    <s v=""/>
    <m/>
    <b v="1"/>
    <x v="1"/>
    <x v="3"/>
    <d v="2025-05-30T16:16:50"/>
    <d v="2025-06-02T00:00:00"/>
    <d v="2025-06-02T00:00:00"/>
    <x v="0"/>
    <n v="1"/>
    <s v="John Poulie Borromeo"/>
    <m/>
  </r>
  <r>
    <x v="242"/>
    <x v="0"/>
    <x v="2"/>
    <s v="PTEMPNA_US201PIOSCCRAPR98"/>
    <s v="H000003677"/>
    <s v="H000003677"/>
    <s v="Non-LFF"/>
    <s v=""/>
    <m/>
    <b v="1"/>
    <x v="1"/>
    <x v="3"/>
    <d v="2025-05-30T16:16:50"/>
    <d v="2025-06-02T00:00:00"/>
    <d v="2025-06-02T00:00:00"/>
    <x v="0"/>
    <n v="1"/>
    <s v="Rizza Tolentino"/>
    <m/>
  </r>
  <r>
    <x v="243"/>
    <x v="0"/>
    <x v="2"/>
    <s v="CTEMPEU_1000GB10005454 Oncology Erbitux"/>
    <s v="H000000203"/>
    <s v="H00000020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12_999"/>
    <s v="H000000219"/>
    <s v="H000000219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4012_114"/>
    <s v="H000000219"/>
    <s v="H000000219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4012_303"/>
    <s v="H000000219"/>
    <s v="H000000219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4901_303"/>
    <s v="H000000219"/>
    <s v="H000000219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10_503"/>
    <s v="H000000219"/>
    <s v="H000000219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4901_214"/>
    <s v="H000000219"/>
    <s v="H000000219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4012_301"/>
    <s v="H000000219"/>
    <s v="H000000219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4012_314"/>
    <s v="H000000219"/>
    <s v="H000000219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0000004008"/>
    <s v="H000000219"/>
    <s v="H000000219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872$70_C68"/>
    <s v="H000000224"/>
    <s v="H000000224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203$2004_HP1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785$100_310"/>
    <s v="H000000218"/>
    <s v="H000000218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4901_116"/>
    <s v="H000000219"/>
    <s v="H000000219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0000000021 Evija Buksa"/>
    <s v="H000000219"/>
    <s v="H000000219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785$610_110"/>
    <s v="H000000218"/>
    <s v="H000000218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DK5013201 Bavencio Commercial DK50 Congress &amp; Even"/>
    <s v="H000000218"/>
    <s v="H000000218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FI5013201 Bavencio Commercial FI50 Congress &amp; Even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FI5015201 Bavencio Commercial FI50 Other Promo and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FI5030201 Bavencio Commercial FI50 Other M&amp;S Regis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NO5011201 Bavencio Commercial NO50 Advertising Gen"/>
    <s v="H000000233"/>
    <s v="H00000023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NO5013201 Bavencio Commercial NO50 Congress &amp; Even"/>
    <s v="H000000233"/>
    <s v="H00000023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NO5030201 Bavencio Commercial NO50 Other M&amp;S Regis"/>
    <s v="H000000233"/>
    <s v="H00000023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2DK5020201 Bavencio Medical Non R&amp;D DK50 Medical Ed"/>
    <s v="H000000218"/>
    <s v="H000000218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941FI5011201 Tepmetko Commercial FI50 Advertising Gen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941FI5030201 Tepmetko Commercial FI50 Other M&amp;S Regis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942FI5023201 Tepmetko Medical Non R&amp;D FI50 Other Medi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872$70_C40"/>
    <s v="H000000224"/>
    <s v="H000000224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FI5011201 Fertility Commercial FI50 Advertising Ge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FI5015201 Fertility Commercial FI50 Other Promo an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FI5030201 Fertility Commercial FI50 Other M&amp;S Regi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NO5013201 Fertility Commercial NO50 Congress &amp; Eve"/>
    <s v="H000000233"/>
    <s v="H00000023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NO5015201 Fertility Commercial NO50 Other Promo an"/>
    <s v="H000000233"/>
    <s v="H00000023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NO5030201 Fertility Commercial NO50 Other M&amp;S Regi"/>
    <s v="H000000233"/>
    <s v="H00000023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301FI5030201 Gluco Commercial FI50 Other M&amp;S Registra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FI5011201 Saizen Commercial FI50 Advertising Gener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FI5013201 Saizen Commercial FI50 Congress &amp; Events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FI5015201 Saizen Commercial FI50 Other Promo and A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FI5030201 Saizen Commercial FI50 Other M&amp;S Registr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DK5013201 Mavenclad Commercial DK50 Congress &amp; Eve"/>
    <s v="H000000218"/>
    <s v="H000000218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FI5010201 Mavenclad Commercial FI50 Promo Material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FI5011201 Mavenclad Commercial FI50 Advertising Ge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FI5013201 Mavenclad Commercial FI50 Congress &amp; Eve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FI5015201 Mavenclad Commercial FI50 Other Promo an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FI5030201 Mavenclad Commercial FI50 Other M&amp;S Regi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NO5013201 Mavenclad Commercial NO50 Congress &amp; Eve"/>
    <s v="H000000233"/>
    <s v="H00000023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NO5015201 Mavenclad Commercial NO50 Other Promo an"/>
    <s v="H000000233"/>
    <s v="H00000023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NO5030201 Mavenclad Commercial NO50 Other M&amp;S Regi"/>
    <s v="H000000233"/>
    <s v="H00000023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3FI5023201 Mavenclad Local R&amp;D FI50 Clinical Study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872$100_C20"/>
    <s v="H000000224"/>
    <s v="H000000224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CH7630200 Local R&amp;D Regulatory Bavencio"/>
    <s v="H000001986"/>
    <s v="H000001986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H7610200 END COM Promo (Prints, Mailings, Ads)"/>
    <s v="H000001997"/>
    <s v="H000001997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22$521_SPC"/>
    <s v="H000002150"/>
    <s v="H00000215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32CH7630203 Local R&amp;D Regulatory Tepmetko"/>
    <s v="H000001986"/>
    <s v="H000001986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CH6843343 Fertility Award 2024 CH"/>
    <s v="H000001997"/>
    <s v="H000001997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H7613200 END COM Sponsorings &amp; Events (inkl. WB)"/>
    <s v="H000001997"/>
    <s v="H000001997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61CH7630200 BAV COM MAP activities"/>
    <s v="H000001985"/>
    <s v="H000001985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22$ONB_SER"/>
    <s v="H000002150"/>
    <s v="H00000215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22$FST_PRM"/>
    <s v="H000002151"/>
    <s v="H00000215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CH7613201 FER Family Forward"/>
    <s v="H000001997"/>
    <s v="H000001997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4"/>
    <s v="PLEAN_X310513CH7643201 Medical Research Grant 1300003225"/>
    <s v="H000002010"/>
    <s v="H000002010"/>
    <s v="Non-LFF"/>
    <s v=""/>
    <s v="PROBLEM NODE WAS DELETED; FR6291121"/>
    <b v="1"/>
    <x v="1"/>
    <x v="3"/>
    <d v="2025-05-30T16:16:50"/>
    <m/>
    <d v="2025-06-02T00:00:00"/>
    <x v="0"/>
    <n v="1"/>
    <s v="Rayneil Reas"/>
    <m/>
  </r>
  <r>
    <x v="243"/>
    <x v="0"/>
    <x v="2"/>
    <s v="PLEAN_X310181CZ5010201 Bavencio Commercial CZ50 Promo Material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CZ5013203 Bavencio Commercial CZ50 Congress &amp; Even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CZ5013205 Bavencio Commercial CZ50 Congress &amp; Even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CZ5015201 Bavencio Commercial CZ50 Other Promo and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CZ5030201 Bavencio Commercial CZ50 Other M&amp;S Regis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2CZ5020202 Bavencio Medical Non R&amp;D CZ50 Medical Ed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2CZ5020203 Bavencio Medical Non R&amp;D CZ50 Medical Ed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2CZ5020206 Bavencio Medical Non R&amp;D CZ50 Medical Ed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2CZ5022201 Bavencio Medical Non R&amp;D CZ50 Medical Co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361CZ5030201 GM Sante Commercial CZ50 Other M&amp;S Regis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941CZ5010201 Tepmetko Commercial CZ50 Promo Material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942CZ5020203 Tepmetko Medical Non R&amp;D CZ50 Medical Ed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942CZ5023201 Tepmetko Medical Non R&amp;D CZ50 Other Medi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CZ5010201 Fertility Commercial CZ50 Promo Material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CZ5013204 Fertility Commercial CZ50 Congress &amp; Eve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CZ5015201 Fertility Commercial CZ50 Other Promo an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CZ5030201 Fertility Commercial CZ50 Other M&amp;S Regi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301CZ5010201 Gluco Commercial CZ50 Promo Material Gen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301CZ5013204 Gluco Commercial CZ50 Congress &amp; Events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301CZ5013205 Gluco Commercial CZ50 Congress &amp; Events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301CZ5015205 Gluco Commercial CZ50 Other Promo and Ad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301CZ5030201 Gluco Commercial CZ50 Other M&amp;S Registra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351CZ5030201 GM KGAA Commercial CZ50 Other M&amp;S Regist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Z5010201 Saizen Commercial CZ50 Promo Material Ge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Z5011201 Saizen Commercial CZ50 Advertising Gener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Z5013202 Saizen Commercial CZ50 Congress &amp; Events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Z5013204 Saizen Commercial CZ50 Congress &amp; Events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Z5015201 Saizen Commercial CZ50 Other Promo and A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Z5030201 Saizen Commercial CZ50 Other M&amp;S Registr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CZ5011201 Mavenclad Commercial CZ50 Advertising Ge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CZ5013201 Mavenclad Commercial CZ50 Congress &amp; Eve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CZ5013202 Mavenclad Commercial CZ50 Congress &amp; Eve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CZ5013203 Mavenclad Commercial CZ50 Congress &amp; Eve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CZ5013205 Mavenclad Commercial CZ50 Congress &amp; Eve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CZ5015201 Mavenclad Commercial CZ50 Other Promo an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CZ5030201 Mavenclad Commercial CZ50 Other M&amp;S Regi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942CZ5020206 Tepmetko Medical Non R&amp;D CZ50 Medical Ed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4"/>
    <s v="PSCALA_.205 Printed Matter"/>
    <s v="H000002302"/>
    <s v="H000002302"/>
    <s v="Non-LFF"/>
    <s v=""/>
    <s v="Object's under Trash"/>
    <b v="1"/>
    <x v="1"/>
    <x v="3"/>
    <d v="2025-05-30T16:16:50"/>
    <m/>
    <d v="2025-06-02T00:00:00"/>
    <x v="0"/>
    <n v="1"/>
    <s v="Rayneil Reas"/>
    <m/>
  </r>
  <r>
    <x v="244"/>
    <x v="0"/>
    <x v="2"/>
    <s v="CSCALA_1086$4901_504"/>
    <s v="H000002337"/>
    <s v="H000002337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27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4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4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4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67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45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51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88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20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22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65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PSCALA_205 ASCO/ESMO evening meeting, NorNe Ea"/>
    <s v="H000002302"/>
    <s v="H000002302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86$4901_516"/>
    <s v="H000002337"/>
    <s v="H000002337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6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53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27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2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2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2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2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2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2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20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20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N31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N32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5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5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5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5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6114_Y04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8114_Y04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AMI4_Y04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ACCR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1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1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1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51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6112_Y04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46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52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20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5111_E82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6113_Y04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N25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N9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6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6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6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6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6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6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PSCALA_E80 MYSG Growth Speaker Tour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5111_E84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EVL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TUST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20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20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G20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M00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6113_V40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G57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04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8111_V40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8111_Y04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COMP_Y04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MAPP"/>
    <s v="H000003615"/>
    <s v="H000003615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6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6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9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02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90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90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90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90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90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5111_E85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ALIS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N00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N22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01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6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9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9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9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9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10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G59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68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8112_E21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0"/>
    <x v="0"/>
    <x v="2"/>
    <s v="CEMERAL_7000640399NP99 NPP Japan APAC cross charge"/>
    <s v="H000000447"/>
    <s v="H000000447"/>
    <s v="Non-LFF"/>
    <s v=""/>
    <m/>
    <b v="1"/>
    <x v="1"/>
    <x v="3"/>
    <d v="2025-05-29T10:35:38"/>
    <d v="2025-06-02T00:00:00"/>
    <d v="2025-06-02T00:00:00"/>
    <x v="0"/>
    <n v="2"/>
    <s v="Carlo Umali"/>
    <m/>
  </r>
  <r>
    <x v="245"/>
    <x v="0"/>
    <x v="2"/>
    <s v="CORAERP_MMOR1975.4169 LSS Operations (Global)"/>
    <s v="L000013151"/>
    <s v="L000013151"/>
    <s v="Non-LFF"/>
    <s v=""/>
    <m/>
    <b v="1"/>
    <x v="2"/>
    <x v="3"/>
    <d v="2025-06-02T03:16:47"/>
    <d v="2025-06-03T00:00:00"/>
    <d v="2025-06-03T00:00:00"/>
    <x v="0"/>
    <n v="1"/>
    <s v="Ruby Grace Garcia"/>
    <m/>
  </r>
  <r>
    <x v="246"/>
    <x v="0"/>
    <x v="2"/>
    <s v="CLFF_1000$$$CZ50GIT01D"/>
    <s v="G000000637"/>
    <s v="G000000637"/>
    <s v="LFF (MDG-F)"/>
    <s v="CZ50GIT01D"/>
    <s v="Changes were saved for change request 25408363"/>
    <b v="1"/>
    <x v="0"/>
    <x v="3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3"/>
    <d v="2025-06-02T09:37:40"/>
    <d v="2025-06-03T00:00:00"/>
    <d v="2025-06-03T00:00:00"/>
    <x v="0"/>
    <n v="1"/>
    <s v="Jojeff Tagnong"/>
    <m/>
  </r>
  <r>
    <x v="246"/>
    <x v="0"/>
    <x v="2"/>
    <s v="CLFF_1000$$$CZ50GIT01M"/>
    <s v="G000000637"/>
    <s v="G000000637"/>
    <s v="LFF (MDG-F)"/>
    <s v="CZ50GIT01M"/>
    <s v="Changes were saved for change request 25408363"/>
    <b v="1"/>
    <x v="0"/>
    <x v="3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3"/>
    <d v="2025-06-02T09:37:40"/>
    <d v="2025-06-03T00:00:00"/>
    <d v="2025-06-03T00:00:00"/>
    <x v="0"/>
    <n v="1"/>
    <s v="Jojeff Tagnong"/>
    <m/>
  </r>
  <r>
    <x v="246"/>
    <x v="0"/>
    <x v="2"/>
    <s v="CLFF_1000$$$CZ50OF0007"/>
    <s v="G000000637"/>
    <s v="G000000637"/>
    <s v="LFF (MDG-F)"/>
    <s v="CZ50OF0007"/>
    <s v="Changes were saved for change request 25408363"/>
    <b v="1"/>
    <x v="0"/>
    <x v="3"/>
    <d v="2025-06-02T09:37:40"/>
    <d v="2025-06-03T00:00:00"/>
    <d v="2025-06-03T00:00:00"/>
    <x v="0"/>
    <n v="1"/>
    <s v="Jojeff Tagnong"/>
    <m/>
  </r>
  <r>
    <x v="247"/>
    <x v="0"/>
    <x v="2"/>
    <s v="CITR_1000$$$1022ITE"/>
    <s v="G000001235"/>
    <s v="G000001235"/>
    <s v="Non-LFF"/>
    <s v=""/>
    <m/>
    <b v="1"/>
    <x v="0"/>
    <x v="3"/>
    <d v="2025-06-02T12:34:38"/>
    <d v="2025-06-03T00:00:00"/>
    <d v="2025-06-03T00:00:00"/>
    <x v="0"/>
    <n v="1"/>
    <s v="Jay-R Lizardo"/>
    <m/>
  </r>
  <r>
    <x v="247"/>
    <x v="0"/>
    <x v="2"/>
    <s v="CLFF_1000$$$CH75GIT060"/>
    <s v="G000000339"/>
    <s v="G000000339"/>
    <s v="LFF (MDG-F)"/>
    <s v="CH75GIT060"/>
    <s v="Changes were saved for change request 25408693"/>
    <b v="1"/>
    <x v="0"/>
    <x v="3"/>
    <d v="2025-06-02T12:34:38"/>
    <d v="2025-06-03T00:00:00"/>
    <d v="2025-06-03T00:00:00"/>
    <x v="0"/>
    <n v="1"/>
    <s v="Jay-R Lizardo"/>
    <m/>
  </r>
  <r>
    <x v="247"/>
    <x v="0"/>
    <x v="2"/>
    <s v="CLFF_1000$$$DE10653700"/>
    <s v="G000001123"/>
    <s v="G000001123"/>
    <s v="LFF (MDG-F)"/>
    <s v="DE10653700"/>
    <s v="Changes were saved for change request 25408693"/>
    <b v="1"/>
    <x v="0"/>
    <x v="3"/>
    <d v="2025-06-02T12:34:38"/>
    <d v="2025-06-03T00:00:00"/>
    <d v="2025-06-03T00:00:00"/>
    <x v="0"/>
    <n v="1"/>
    <s v="Jay-R Lizardo"/>
    <m/>
  </r>
  <r>
    <x v="247"/>
    <x v="0"/>
    <x v="2"/>
    <s v="CNOW_7210$$$0000015456"/>
    <s v="G000001240"/>
    <s v="G000001240"/>
    <s v="Non-LFF"/>
    <s v=""/>
    <m/>
    <b v="1"/>
    <x v="0"/>
    <x v="3"/>
    <d v="2025-06-02T12:34:38"/>
    <d v="2025-06-03T00:00:00"/>
    <d v="2025-06-03T00:00:00"/>
    <x v="0"/>
    <n v="1"/>
    <s v="Jay-R Lizardo"/>
    <m/>
  </r>
  <r>
    <x v="247"/>
    <x v="0"/>
    <x v="2"/>
    <s v="CNOW_7210$$$0000010273"/>
    <s v="G000001240"/>
    <s v="G000001240"/>
    <s v="Non-LFF"/>
    <s v=""/>
    <m/>
    <b v="1"/>
    <x v="0"/>
    <x v="3"/>
    <d v="2025-06-02T12:34:38"/>
    <d v="2025-06-03T00:00:00"/>
    <d v="2025-06-03T00:00:00"/>
    <x v="0"/>
    <n v="1"/>
    <s v="Jay-R Lizardo"/>
    <m/>
  </r>
  <r>
    <x v="247"/>
    <x v="0"/>
    <x v="2"/>
    <s v="CNOW_7210$$$0000031701"/>
    <s v="G000001240"/>
    <s v="G000001240"/>
    <s v="Non-LFF"/>
    <s v=""/>
    <m/>
    <b v="1"/>
    <x v="0"/>
    <x v="3"/>
    <d v="2025-06-02T12:34:38"/>
    <d v="2025-06-03T00:00:00"/>
    <d v="2025-06-03T00:00:00"/>
    <x v="0"/>
    <n v="1"/>
    <s v="Jay-R Lizardo"/>
    <m/>
  </r>
  <r>
    <x v="247"/>
    <x v="0"/>
    <x v="2"/>
    <s v="CNOW_7210$$$0000059608"/>
    <s v="G000000895"/>
    <s v="G000000895"/>
    <s v="Non-LFF"/>
    <s v=""/>
    <m/>
    <b v="1"/>
    <x v="0"/>
    <x v="3"/>
    <d v="2025-06-02T12:34:38"/>
    <d v="2025-06-03T00:00:00"/>
    <d v="2025-06-03T00:00:00"/>
    <x v="0"/>
    <n v="1"/>
    <s v="Jay-R Lizardo"/>
    <m/>
  </r>
  <r>
    <x v="248"/>
    <x v="0"/>
    <x v="2"/>
    <s v="CSCALA_1826 0000000340"/>
    <s v="H000000868"/>
    <s v="H000000868"/>
    <s v="Non-LFF"/>
    <s v=""/>
    <m/>
    <b v="1"/>
    <x v="1"/>
    <x v="3"/>
    <d v="2025-06-03T11:02:55"/>
    <m/>
    <m/>
    <x v="1"/>
    <n v="20"/>
    <s v="Gay Geanuza del Mundo"/>
    <m/>
  </r>
  <r>
    <x v="249"/>
    <x v="0"/>
    <x v="2"/>
    <s v="CSCALA_1042$EDP_P52"/>
    <s v="G000000635 "/>
    <s v="G000000635 "/>
    <s v="Non-LFF"/>
    <s v=""/>
    <m/>
    <b v="1"/>
    <x v="0"/>
    <x v="3"/>
    <d v="2025-06-03T11:02:55"/>
    <m/>
    <m/>
    <x v="1"/>
    <n v="20"/>
    <s v="Jojeff Tagnong"/>
    <m/>
  </r>
  <r>
    <x v="250"/>
    <x v="0"/>
    <x v="2"/>
    <s v="PNEXT_D300119210201000000"/>
    <s v="L000011451"/>
    <s v="L000011451"/>
    <s v="Non-LFF"/>
    <s v=""/>
    <m/>
    <b v="1"/>
    <x v="2"/>
    <x v="3"/>
    <d v="2025-06-03T11:02:55"/>
    <d v="2025-06-11T00:00:00"/>
    <d v="2025-06-11T00:00:00"/>
    <x v="1"/>
    <n v="6"/>
    <s v="Ruby Grace Garcia"/>
    <m/>
  </r>
  <r>
    <x v="251"/>
    <x v="0"/>
    <x v="2"/>
    <s v="CNOW_7210$$$0000023169"/>
    <s v="L000013530"/>
    <s v="L000013530"/>
    <s v="Non-LFF"/>
    <s v=""/>
    <m/>
    <b v="1"/>
    <x v="2"/>
    <x v="3"/>
    <d v="2025-06-03T11:02:55"/>
    <d v="2025-06-11T00:00:00"/>
    <d v="2025-06-11T00:00:00"/>
    <x v="1"/>
    <n v="6"/>
    <s v="Ruby Grace Garcia"/>
    <m/>
  </r>
  <r>
    <x v="251"/>
    <x v="0"/>
    <x v="4"/>
    <s v="L000011147_IO Executive Projects Comm-G (IO)"/>
    <s v="L000011146 Exec Proj Communications -G"/>
    <s v="L000011146 Exec Proj Communications -G"/>
    <s v="Non-LFF"/>
    <s v=""/>
    <m/>
    <b v="1"/>
    <x v="2"/>
    <x v="3"/>
    <d v="2025-06-03T11:02:55"/>
    <m/>
    <d v="2025-06-11T00:00:00"/>
    <x v="1"/>
    <n v="6"/>
    <s v="Ruby Grace Garcia"/>
    <m/>
  </r>
  <r>
    <x v="252"/>
    <x v="0"/>
    <x v="2"/>
    <s v="CLFF_1000$$$DE20538353"/>
    <s v="G000000994"/>
    <s v="G000000994"/>
    <s v="LFF (MDG-F)"/>
    <s v="DE20538353"/>
    <s v="Changes were saved for change request 25432822"/>
    <b v="1"/>
    <x v="0"/>
    <x v="3"/>
    <d v="2025-06-06T08:51:25"/>
    <d v="2025-06-11T00:00:00"/>
    <d v="2025-06-11T00:00:00"/>
    <x v="0"/>
    <n v="3"/>
    <s v="Nadine Anic"/>
    <m/>
  </r>
  <r>
    <x v="252"/>
    <x v="0"/>
    <x v="2"/>
    <s v="CLFF_1000$$$DE10538353"/>
    <s v="G000001084"/>
    <s v="G000001084"/>
    <s v="LFF (MDG-F)"/>
    <s v="DE10538353"/>
    <s v="Changes were saved for change request 25432822"/>
    <b v="1"/>
    <x v="0"/>
    <x v="3"/>
    <d v="2025-06-06T08:51:25"/>
    <d v="2025-06-11T00:00:00"/>
    <d v="2025-06-11T00:00:00"/>
    <x v="0"/>
    <n v="3"/>
    <s v="Nadine Anic"/>
    <m/>
  </r>
  <r>
    <x v="252"/>
    <x v="0"/>
    <x v="2"/>
    <s v="CLFF_1000$$$DE10538602"/>
    <s v="G000001017"/>
    <s v="G000001017"/>
    <s v="LFF (MDG-F)"/>
    <s v="DE10538602"/>
    <s v="Changes were saved for change request 25432822"/>
    <b v="1"/>
    <x v="0"/>
    <x v="3"/>
    <d v="2025-06-06T08:51:25"/>
    <d v="2025-06-11T00:00:00"/>
    <d v="2025-06-11T00:00:00"/>
    <x v="0"/>
    <n v="3"/>
    <s v="Nadine Anic"/>
    <m/>
  </r>
  <r>
    <x v="252"/>
    <x v="0"/>
    <x v="2"/>
    <s v="CLFF_1000$$$DE10538603"/>
    <s v="G000001017"/>
    <s v="G000001017"/>
    <s v="LFF (MDG-F)"/>
    <s v="DE10538603"/>
    <s v="Changes were saved for change request 25432822"/>
    <b v="1"/>
    <x v="0"/>
    <x v="3"/>
    <d v="2025-06-06T08:51:25"/>
    <d v="2025-06-11T00:00:00"/>
    <d v="2025-06-11T00:00:00"/>
    <x v="0"/>
    <n v="3"/>
    <s v="Nadine Anic"/>
    <m/>
  </r>
  <r>
    <x v="252"/>
    <x v="0"/>
    <x v="2"/>
    <s v="CLFF_1000$$$DE10538604"/>
    <s v="G000001017"/>
    <s v="G000001017"/>
    <s v="LFF (MDG-F)"/>
    <s v="DE10538604"/>
    <s v="Changes were saved for change request 25432822"/>
    <b v="1"/>
    <x v="0"/>
    <x v="3"/>
    <d v="2025-06-06T08:51:25"/>
    <d v="2025-06-11T00:00:00"/>
    <d v="2025-06-11T00:00:00"/>
    <x v="0"/>
    <n v="3"/>
    <s v="Nadine Anic"/>
    <m/>
  </r>
  <r>
    <x v="252"/>
    <x v="0"/>
    <x v="2"/>
    <s v="CLFF_1000$$$DE20538602"/>
    <s v="G000000943"/>
    <s v="G000000943"/>
    <s v="LFF (MDG-F)"/>
    <s v="DE20538602"/>
    <s v="Changes were saved for change request 25432822"/>
    <b v="1"/>
    <x v="0"/>
    <x v="3"/>
    <d v="2025-06-06T08:51:25"/>
    <d v="2025-06-11T00:00:00"/>
    <d v="2025-06-11T00:00:00"/>
    <x v="0"/>
    <n v="3"/>
    <s v="Nadine Anic"/>
    <m/>
  </r>
  <r>
    <x v="252"/>
    <x v="0"/>
    <x v="2"/>
    <s v="CLFF_1000$$$DE20538603"/>
    <s v="G000000943"/>
    <s v="G000000943"/>
    <s v="LFF (MDG-F)"/>
    <s v="DE20538603"/>
    <s v="Changes were saved for change request 25432822"/>
    <b v="1"/>
    <x v="0"/>
    <x v="3"/>
    <d v="2025-06-06T08:51:25"/>
    <d v="2025-06-11T00:00:00"/>
    <d v="2025-06-11T00:00:00"/>
    <x v="0"/>
    <n v="3"/>
    <s v="Nadine Anic"/>
    <m/>
  </r>
  <r>
    <x v="252"/>
    <x v="0"/>
    <x v="2"/>
    <s v="CLFF_1000$$$DE20538604"/>
    <s v="G000000943"/>
    <s v="G000000943"/>
    <s v="LFF (MDG-F)"/>
    <s v="DE20538604"/>
    <s v="Changes were saved for change request 25432822"/>
    <b v="1"/>
    <x v="0"/>
    <x v="3"/>
    <d v="2025-06-06T08:51:25"/>
    <d v="2025-06-11T00:00:00"/>
    <d v="2025-06-11T00:00:00"/>
    <x v="0"/>
    <n v="3"/>
    <s v="Nadine Anic"/>
    <m/>
  </r>
  <r>
    <x v="253"/>
    <x v="0"/>
    <x v="2"/>
    <s v="D30011900000000"/>
    <s v="L000011451"/>
    <s v="L000011451"/>
    <s v="Non-LFF"/>
    <s v=""/>
    <m/>
    <b v="1"/>
    <x v="2"/>
    <x v="3"/>
    <d v="2025-06-10T08:51:25"/>
    <d v="2025-06-11T00:00:00"/>
    <d v="2025-06-11T00:00:00"/>
    <x v="0"/>
    <n v="1"/>
    <s v="Ruby Grace Garcia"/>
    <m/>
  </r>
  <r>
    <x v="254"/>
    <x v="0"/>
    <x v="2"/>
    <s v="CLFF_1000$$$DE10594600"/>
    <s v="G000000763"/>
    <s v="G000000763"/>
    <s v="LFF (MDG-F)"/>
    <s v="DE10594600"/>
    <m/>
    <b v="1"/>
    <x v="0"/>
    <x v="2"/>
    <d v="2025-06-10T08:51:25"/>
    <m/>
    <m/>
    <x v="1"/>
    <n v="15"/>
    <s v="Jojeff Tagnong"/>
    <m/>
  </r>
  <r>
    <x v="254"/>
    <x v="0"/>
    <x v="2"/>
    <s v="CLFF_1000$$$DE10629410"/>
    <s v="G000001281"/>
    <s v="G000001281"/>
    <s v="LFF (MDG-F)"/>
    <s v="DE10629410"/>
    <m/>
    <b v="1"/>
    <x v="0"/>
    <x v="2"/>
    <d v="2025-06-10T08:51:25"/>
    <m/>
    <m/>
    <x v="1"/>
    <n v="15"/>
    <s v="Jojeff Tagnong"/>
    <m/>
  </r>
  <r>
    <x v="255"/>
    <x v="0"/>
    <x v="2"/>
    <s v="CNOW_7210$$$PC00011060"/>
    <s v="L000012168"/>
    <s v="L000012168"/>
    <s v="Non-LFF"/>
    <s v=""/>
    <m/>
    <b v="1"/>
    <x v="2"/>
    <x v="3"/>
    <d v="2025-06-10T08:51:25"/>
    <d v="2025-06-11T00:00:00"/>
    <d v="2025-06-11T00:00:00"/>
    <x v="0"/>
    <n v="1"/>
    <s v="Ruby Grace Garcia"/>
    <m/>
  </r>
  <r>
    <x v="256"/>
    <x v="0"/>
    <x v="2"/>
    <s v="D00128400000000 OLED R&amp;D Transformation"/>
    <s v="P000001239"/>
    <s v="P000001239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14300000000 LGD-OLED-Automotive-RDF DE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300000000 LGD-OLED-IT-RDH 2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700000000 GVO-OLED-mobile-VM11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800000000 GVO-OLED-mobile-VM11 DE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900000000 BOE-OLED-mobile-L12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9000000000 BOE-OLED-mobile-L12 DE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7"/>
    <x v="0"/>
    <x v="2"/>
    <s v="CTEMPEU_1000FR40587001 Cial&amp;RegistStandaMey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4 FR90IC140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5 FR90IC1403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8 FR90IC185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0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2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FLTFLE_1075SIIF-EI Healthcare Slovenia Income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003 GB10_Capit.Loss/Ass. Imp."/>
    <s v="H000000007"/>
    <s v="H000000007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112 Asset retirement Gains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PHOENX_000400757258 1500 KGaA-1401 Santè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810 Ireland IE10 - 3122113000 Transfer remai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8 Xcharges to Trading Partner 191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9 Xcharges to Trading Partner 192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91 Xcharges to Trading Partner 130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7 Xcharge to BioReliance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8 Xcharge to SAFC Biosciences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9 Xcharge to Sigma-Aldrich Company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0 Xcharge to  SAFC Hitech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1 Xcharge to Sigma-Aldrich Irelan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2 Xcharge to Merck Performance Materials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3 Xcharge to Merck Life Science Lt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89 Marketing and Selling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0 GlobaltechOPS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1 Logistic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17 PE10 - ITF postings - GL 17950000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0 GT10 - Sales of Fixed Assets (Incom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2 GT1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289 CO10 - I/O for  99 Dummy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42 PA2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74 CH70 Remaining oth inc IC 312220500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80 CH70 RemOther Exp 3122112000 3rd P AL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1569 FR40IC1814OX3122112000 FR40884702 JPAN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TEMPEU_1000FR40884103 Manufact Litigation"/>
    <s v="H000000970"/>
    <s v="H000000970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LFF_1000$$$TN50Z01000"/>
    <s v="H000001095"/>
    <s v="H000001095"/>
    <s v="LFF (MDG-F)"/>
    <s v="TN50Z01000"/>
    <m/>
    <b v="1"/>
    <x v="1"/>
    <x v="2"/>
    <d v="2025-06-17T11:32:35"/>
    <m/>
    <m/>
    <x v="1"/>
    <n v="10"/>
    <s v="Henry Ifurung Jr."/>
    <m/>
  </r>
  <r>
    <x v="257"/>
    <x v="0"/>
    <x v="2"/>
    <s v="CLFF_1000$$$TN60Z01000"/>
    <s v="H000001095"/>
    <s v="H000001095"/>
    <s v="LFF (MDG-F)"/>
    <s v="TN60Z01000"/>
    <m/>
    <b v="1"/>
    <x v="1"/>
    <x v="2"/>
    <d v="2025-06-17T11:32:35"/>
    <m/>
    <m/>
    <x v="1"/>
    <n v="10"/>
    <s v="Henry Ifurung Jr."/>
    <m/>
  </r>
  <r>
    <x v="258"/>
    <x v="0"/>
    <x v="2"/>
    <s v="CNOW_ROW$$$$0000008723"/>
    <s v="G000000560"/>
    <s v="G000000560"/>
    <s v="Non-LFF"/>
    <s v=""/>
    <m/>
    <b v="1"/>
    <x v="1"/>
    <x v="2"/>
    <d v="2025-06-17T03:33:06"/>
    <m/>
    <m/>
    <x v="1"/>
    <n v="10"/>
    <s v="Yusuke Hasegawa"/>
    <m/>
  </r>
  <r>
    <x v="259"/>
    <x v="0"/>
    <x v="2"/>
    <s v="CFLTFLE_23940000000450"/>
    <s v="L000007703"/>
    <s v="L000007703"/>
    <s v="Non-LFF"/>
    <s v=""/>
    <m/>
    <b v="1"/>
    <x v="2"/>
    <x v="2"/>
    <d v="2025-06-17T09:04:52"/>
    <m/>
    <m/>
    <x v="1"/>
    <n v="10"/>
    <s v="Joan Rose Pena"/>
    <m/>
  </r>
  <r>
    <x v="259"/>
    <x v="0"/>
    <x v="2"/>
    <s v="CFLTFLE_23940000000420"/>
    <s v="L000007871"/>
    <s v="L000007871"/>
    <s v="Non-LFF"/>
    <s v=""/>
    <m/>
    <b v="1"/>
    <x v="2"/>
    <x v="2"/>
    <d v="2025-06-17T09:04:52"/>
    <m/>
    <m/>
    <x v="1"/>
    <n v="10"/>
    <s v="Joan Rose Pena"/>
    <m/>
  </r>
  <r>
    <x v="259"/>
    <x v="0"/>
    <x v="2"/>
    <s v="CFLTFLE_23950000000450"/>
    <s v="L000007703"/>
    <s v="L000007703"/>
    <s v="Non-LFF"/>
    <s v=""/>
    <m/>
    <b v="1"/>
    <x v="2"/>
    <x v="2"/>
    <d v="2025-06-17T09:04:52"/>
    <m/>
    <m/>
    <x v="1"/>
    <n v="10"/>
    <s v="Joan Rose Pena"/>
    <m/>
  </r>
  <r>
    <x v="259"/>
    <x v="0"/>
    <x v="2"/>
    <s v="CFLTFLE_23960000000210"/>
    <s v="L000007871"/>
    <s v="L000007871"/>
    <s v="Non-LFF"/>
    <s v=""/>
    <m/>
    <b v="1"/>
    <x v="2"/>
    <x v="2"/>
    <d v="2025-06-17T09:04:52"/>
    <m/>
    <m/>
    <x v="1"/>
    <n v="10"/>
    <s v="Joan Rose Pena"/>
    <m/>
  </r>
  <r>
    <x v="259"/>
    <x v="0"/>
    <x v="2"/>
    <s v="CORAERP_MMOR1968.9751"/>
    <s v="L000011242"/>
    <s v="L000011242"/>
    <s v="Non-LFF"/>
    <s v=""/>
    <m/>
    <b v="1"/>
    <x v="2"/>
    <x v="2"/>
    <d v="2025-06-17T09:04:52"/>
    <m/>
    <m/>
    <x v="1"/>
    <n v="10"/>
    <s v="Joan Rose Pena"/>
    <m/>
  </r>
  <r>
    <x v="260"/>
    <x v="0"/>
    <x v="2"/>
    <s v="CPHOENX_01010000611714"/>
    <s v="L000013834"/>
    <s v="L000013834"/>
    <s v="Non-LFF"/>
    <s v=""/>
    <m/>
    <b v="1"/>
    <x v="3"/>
    <x v="2"/>
    <d v="2025-06-17T11:26:25"/>
    <m/>
    <m/>
    <x v="1"/>
    <n v="10"/>
    <s v="Roselle Delos Angeles"/>
    <m/>
  </r>
  <r>
    <x v="260"/>
    <x v="0"/>
    <x v="2"/>
    <s v="CPHOENX_01010000611716"/>
    <s v="L000013834"/>
    <s v="L000013834"/>
    <s v="Non-LFF"/>
    <s v=""/>
    <m/>
    <b v="1"/>
    <x v="3"/>
    <x v="2"/>
    <d v="2025-06-17T11:26:25"/>
    <m/>
    <m/>
    <x v="1"/>
    <n v="10"/>
    <s v="Roselle Delos Angeles"/>
    <m/>
  </r>
  <r>
    <x v="260"/>
    <x v="0"/>
    <x v="2"/>
    <s v="CPHOENX_01010000611720"/>
    <s v="L000013834"/>
    <s v="L000013834"/>
    <s v="Non-LFF"/>
    <s v=""/>
    <m/>
    <b v="1"/>
    <x v="3"/>
    <x v="2"/>
    <d v="2025-06-17T11:26:25"/>
    <m/>
    <m/>
    <x v="1"/>
    <n v="10"/>
    <s v="Roselle Delos Angeles"/>
    <m/>
  </r>
  <r>
    <x v="260"/>
    <x v="0"/>
    <x v="2"/>
    <s v="CPHOENX_01010000611722"/>
    <s v="L000013834"/>
    <s v="L000013834"/>
    <s v="Non-LFF"/>
    <s v=""/>
    <m/>
    <b v="1"/>
    <x v="3"/>
    <x v="2"/>
    <d v="2025-06-17T11:26:25"/>
    <m/>
    <m/>
    <x v="1"/>
    <n v="10"/>
    <s v="Roselle Delos Angeles"/>
    <m/>
  </r>
  <r>
    <x v="260"/>
    <x v="0"/>
    <x v="2"/>
    <s v="CPHOENX_01010000611740"/>
    <s v="L000013834"/>
    <s v="L000013834"/>
    <s v="Non-LFF"/>
    <s v=""/>
    <m/>
    <b v="1"/>
    <x v="3"/>
    <x v="2"/>
    <d v="2025-06-17T11:26:25"/>
    <m/>
    <m/>
    <x v="1"/>
    <n v="10"/>
    <s v="Roselle Delos Angeles"/>
    <m/>
  </r>
  <r>
    <x v="260"/>
    <x v="0"/>
    <x v="2"/>
    <s v="CPHOENX_01010000611750"/>
    <s v="L000013834"/>
    <s v="L000013834"/>
    <s v="Non-LFF"/>
    <s v=""/>
    <m/>
    <b v="1"/>
    <x v="3"/>
    <x v="2"/>
    <d v="2025-06-17T11:26:25"/>
    <m/>
    <m/>
    <x v="1"/>
    <n v="10"/>
    <s v="Roselle Delos Angeles"/>
    <m/>
  </r>
  <r>
    <x v="260"/>
    <x v="0"/>
    <x v="2"/>
    <s v="CPHOENX_01010000611780"/>
    <s v="L000013834"/>
    <s v="L000013834"/>
    <s v="Non-LFF"/>
    <s v=""/>
    <m/>
    <b v="1"/>
    <x v="3"/>
    <x v="2"/>
    <d v="2025-06-17T11:26:25"/>
    <m/>
    <m/>
    <x v="1"/>
    <n v="10"/>
    <s v="Roselle Delos Angeles"/>
    <m/>
  </r>
  <r>
    <x v="260"/>
    <x v="0"/>
    <x v="2"/>
    <s v="CPHOENX_01010000611800"/>
    <s v="L000013835"/>
    <s v="L000013835"/>
    <s v="Non-LFF"/>
    <s v=""/>
    <m/>
    <b v="1"/>
    <x v="3"/>
    <x v="2"/>
    <d v="2025-06-17T11:26:25"/>
    <m/>
    <m/>
    <x v="1"/>
    <n v="10"/>
    <s v="Roselle Delos Angeles"/>
    <m/>
  </r>
  <r>
    <x v="260"/>
    <x v="0"/>
    <x v="2"/>
    <s v="CPHOENX_01010000611812"/>
    <s v="L000013835"/>
    <s v="L000013835"/>
    <s v="Non-LFF"/>
    <s v=""/>
    <m/>
    <b v="1"/>
    <x v="3"/>
    <x v="2"/>
    <d v="2025-06-17T11:26:25"/>
    <m/>
    <m/>
    <x v="1"/>
    <n v="10"/>
    <s v="Roselle Delos Angeles"/>
    <m/>
  </r>
  <r>
    <x v="260"/>
    <x v="0"/>
    <x v="2"/>
    <s v="CPHOENX_01010000611813"/>
    <s v="L000013835"/>
    <s v="L000013835"/>
    <s v="Non-LFF"/>
    <s v=""/>
    <m/>
    <b v="1"/>
    <x v="3"/>
    <x v="2"/>
    <d v="2025-06-17T11:26:25"/>
    <m/>
    <m/>
    <x v="1"/>
    <n v="10"/>
    <s v="Roselle Delos Angeles"/>
    <m/>
  </r>
  <r>
    <x v="260"/>
    <x v="0"/>
    <x v="2"/>
    <s v="CPHOENX_01010000611814"/>
    <s v="L000013835"/>
    <s v="L000013835"/>
    <s v="Non-LFF"/>
    <s v=""/>
    <m/>
    <b v="1"/>
    <x v="3"/>
    <x v="2"/>
    <d v="2025-06-17T11:26:25"/>
    <m/>
    <m/>
    <x v="1"/>
    <n v="10"/>
    <s v="Roselle Delos Angeles"/>
    <m/>
  </r>
  <r>
    <x v="260"/>
    <x v="0"/>
    <x v="2"/>
    <s v="CPHOENX_01010000611816"/>
    <s v="L000013835"/>
    <s v="L000013835"/>
    <s v="Non-LFF"/>
    <s v=""/>
    <m/>
    <b v="1"/>
    <x v="3"/>
    <x v="2"/>
    <d v="2025-06-17T11:26:25"/>
    <m/>
    <m/>
    <x v="1"/>
    <n v="10"/>
    <s v="Roselle Delos Angeles"/>
    <m/>
  </r>
  <r>
    <x v="260"/>
    <x v="0"/>
    <x v="2"/>
    <s v="CPHOENX_01010000611818"/>
    <s v="L000013835"/>
    <s v="L000013835"/>
    <s v="Non-LFF"/>
    <s v=""/>
    <m/>
    <b v="1"/>
    <x v="3"/>
    <x v="2"/>
    <d v="2025-06-17T11:26:25"/>
    <m/>
    <m/>
    <x v="1"/>
    <n v="10"/>
    <s v="Roselle Delos Angeles"/>
    <m/>
  </r>
  <r>
    <x v="260"/>
    <x v="0"/>
    <x v="2"/>
    <s v="CPHOENX_01010000611820"/>
    <s v="L000013835"/>
    <s v="L000013835"/>
    <s v="Non-LFF"/>
    <s v=""/>
    <m/>
    <b v="1"/>
    <x v="3"/>
    <x v="2"/>
    <d v="2025-06-17T11:26:25"/>
    <m/>
    <m/>
    <x v="1"/>
    <n v="10"/>
    <s v="Roselle Delos Angeles"/>
    <m/>
  </r>
  <r>
    <x v="260"/>
    <x v="0"/>
    <x v="2"/>
    <s v="CPHOENX_01010000611826"/>
    <s v="L000013835"/>
    <s v="L000013835"/>
    <s v="Non-LFF"/>
    <s v=""/>
    <m/>
    <b v="1"/>
    <x v="3"/>
    <x v="2"/>
    <d v="2025-06-17T11:26:25"/>
    <m/>
    <m/>
    <x v="1"/>
    <n v="10"/>
    <s v="Roselle Delos Angeles"/>
    <m/>
  </r>
  <r>
    <x v="260"/>
    <x v="0"/>
    <x v="2"/>
    <s v="CPHOENX_01010000611830"/>
    <s v="L000013835"/>
    <s v="L000013835"/>
    <s v="Non-LFF"/>
    <s v=""/>
    <m/>
    <b v="1"/>
    <x v="3"/>
    <x v="2"/>
    <d v="2025-06-17T11:26:25"/>
    <m/>
    <m/>
    <x v="1"/>
    <n v="10"/>
    <s v="Roselle Delos Angeles"/>
    <m/>
  </r>
  <r>
    <x v="260"/>
    <x v="0"/>
    <x v="2"/>
    <s v="CPHOENX_01010000611840"/>
    <s v="L000013835"/>
    <s v="L000013835"/>
    <s v="Non-LFF"/>
    <s v=""/>
    <m/>
    <b v="1"/>
    <x v="3"/>
    <x v="2"/>
    <d v="2025-06-17T11:26:25"/>
    <m/>
    <m/>
    <x v="1"/>
    <n v="10"/>
    <s v="Roselle Delos Angeles"/>
    <m/>
  </r>
  <r>
    <x v="260"/>
    <x v="0"/>
    <x v="2"/>
    <s v="CPHOENX_01010000611850"/>
    <s v="L000013835"/>
    <s v="L000013835"/>
    <s v="Non-LFF"/>
    <s v=""/>
    <m/>
    <b v="1"/>
    <x v="3"/>
    <x v="2"/>
    <d v="2025-06-17T11:26:25"/>
    <m/>
    <m/>
    <x v="1"/>
    <n v="10"/>
    <s v="Roselle Delos Angeles"/>
    <m/>
  </r>
  <r>
    <x v="260"/>
    <x v="0"/>
    <x v="2"/>
    <s v="CPHOENX_01010000611855"/>
    <s v="L000013835"/>
    <s v="L000013835"/>
    <s v="Non-LFF"/>
    <s v=""/>
    <m/>
    <b v="1"/>
    <x v="3"/>
    <x v="2"/>
    <d v="2025-06-17T11:26:25"/>
    <m/>
    <m/>
    <x v="1"/>
    <n v="10"/>
    <s v="Roselle Delos Angeles"/>
    <m/>
  </r>
  <r>
    <x v="260"/>
    <x v="0"/>
    <x v="2"/>
    <s v="CPHOENX_01010000611860"/>
    <s v="L000013835"/>
    <s v="L000013835"/>
    <s v="Non-LFF"/>
    <s v=""/>
    <m/>
    <b v="1"/>
    <x v="3"/>
    <x v="2"/>
    <d v="2025-06-17T11:26:25"/>
    <m/>
    <m/>
    <x v="1"/>
    <n v="10"/>
    <s v="Roselle Delos Angeles"/>
    <m/>
  </r>
  <r>
    <x v="260"/>
    <x v="0"/>
    <x v="2"/>
    <s v="CPHOENX_01010000611863"/>
    <s v="L000013835"/>
    <s v="L000013835"/>
    <s v="Non-LFF"/>
    <s v=""/>
    <m/>
    <b v="1"/>
    <x v="3"/>
    <x v="2"/>
    <d v="2025-06-17T11:26:25"/>
    <m/>
    <m/>
    <x v="1"/>
    <n v="10"/>
    <s v="Roselle Delos Angeles"/>
    <m/>
  </r>
  <r>
    <x v="260"/>
    <x v="0"/>
    <x v="2"/>
    <s v="CPHOENX_01010000611864"/>
    <s v="L000013835"/>
    <s v="L000013835"/>
    <s v="Non-LFF"/>
    <s v=""/>
    <m/>
    <b v="1"/>
    <x v="3"/>
    <x v="2"/>
    <d v="2025-06-17T11:26:25"/>
    <m/>
    <m/>
    <x v="1"/>
    <n v="10"/>
    <s v="Roselle Delos Angeles"/>
    <m/>
  </r>
  <r>
    <x v="260"/>
    <x v="0"/>
    <x v="2"/>
    <s v="CPHOENX_01010000611870"/>
    <s v="L000013835"/>
    <s v="L000013835"/>
    <s v="Non-LFF"/>
    <s v=""/>
    <m/>
    <b v="1"/>
    <x v="3"/>
    <x v="2"/>
    <d v="2025-06-17T11:26:25"/>
    <m/>
    <m/>
    <x v="1"/>
    <n v="10"/>
    <s v="Roselle Delos Angeles"/>
    <m/>
  </r>
  <r>
    <x v="260"/>
    <x v="0"/>
    <x v="2"/>
    <s v="CPHOENX_01010000611880"/>
    <s v="L000013835"/>
    <s v="L000013835"/>
    <s v="Non-LFF"/>
    <s v=""/>
    <m/>
    <b v="1"/>
    <x v="3"/>
    <x v="2"/>
    <d v="2025-06-17T11:26:25"/>
    <m/>
    <m/>
    <x v="1"/>
    <n v="10"/>
    <s v="Roselle Delos Angeles"/>
    <m/>
  </r>
  <r>
    <x v="260"/>
    <x v="0"/>
    <x v="2"/>
    <s v="CPHOENX_01010000611881"/>
    <s v="L000013835"/>
    <s v="L000013835"/>
    <s v="Non-LFF"/>
    <s v=""/>
    <m/>
    <b v="1"/>
    <x v="3"/>
    <x v="2"/>
    <d v="2025-06-17T11:26:25"/>
    <m/>
    <m/>
    <x v="1"/>
    <n v="10"/>
    <s v="Roselle Delos Angeles"/>
    <m/>
  </r>
  <r>
    <x v="260"/>
    <x v="0"/>
    <x v="2"/>
    <s v="CPHOENX_01019182611700"/>
    <s v="L000013834"/>
    <s v="L000013834"/>
    <s v="Non-LFF"/>
    <s v=""/>
    <m/>
    <b v="1"/>
    <x v="3"/>
    <x v="2"/>
    <d v="2025-06-17T11:26:25"/>
    <m/>
    <m/>
    <x v="1"/>
    <n v="10"/>
    <s v="Roselle Delos Angeles"/>
    <m/>
  </r>
  <r>
    <x v="260"/>
    <x v="0"/>
    <x v="2"/>
    <s v="CPHOENX_01019182611714"/>
    <s v="L000013834"/>
    <s v="L000013834"/>
    <s v="Non-LFF"/>
    <s v=""/>
    <m/>
    <b v="1"/>
    <x v="3"/>
    <x v="2"/>
    <d v="2025-06-17T11:26:25"/>
    <m/>
    <m/>
    <x v="1"/>
    <n v="10"/>
    <s v="Roselle Delos Angeles"/>
    <m/>
  </r>
  <r>
    <x v="260"/>
    <x v="0"/>
    <x v="2"/>
    <s v="CPHOENX_01019182611716"/>
    <s v="L000013834"/>
    <s v="L000013834"/>
    <s v="Non-LFF"/>
    <s v=""/>
    <m/>
    <b v="1"/>
    <x v="3"/>
    <x v="2"/>
    <d v="2025-06-17T11:26:25"/>
    <m/>
    <m/>
    <x v="1"/>
    <n v="10"/>
    <s v="Roselle Delos Angeles"/>
    <m/>
  </r>
  <r>
    <x v="260"/>
    <x v="0"/>
    <x v="2"/>
    <s v="CPHOENX_01019182611720"/>
    <s v="L000013834"/>
    <s v="L000013834"/>
    <s v="Non-LFF"/>
    <s v=""/>
    <m/>
    <b v="1"/>
    <x v="3"/>
    <x v="2"/>
    <d v="2025-06-17T11:26:25"/>
    <m/>
    <m/>
    <x v="1"/>
    <n v="10"/>
    <s v="Roselle Delos Angeles"/>
    <m/>
  </r>
  <r>
    <x v="260"/>
    <x v="0"/>
    <x v="2"/>
    <s v="CPHOENX_01019182611722"/>
    <s v="L000013834"/>
    <s v="L000013834"/>
    <s v="Non-LFF"/>
    <s v=""/>
    <m/>
    <b v="1"/>
    <x v="3"/>
    <x v="2"/>
    <d v="2025-06-17T11:26:25"/>
    <m/>
    <m/>
    <x v="1"/>
    <n v="10"/>
    <s v="Roselle Delos Angeles"/>
    <m/>
  </r>
  <r>
    <x v="260"/>
    <x v="0"/>
    <x v="2"/>
    <s v="CPHOENX_01019182611740"/>
    <s v="L000013834"/>
    <s v="L000013834"/>
    <s v="Non-LFF"/>
    <s v=""/>
    <m/>
    <b v="1"/>
    <x v="3"/>
    <x v="2"/>
    <d v="2025-06-17T11:26:25"/>
    <m/>
    <m/>
    <x v="1"/>
    <n v="10"/>
    <s v="Roselle Delos Angeles"/>
    <m/>
  </r>
  <r>
    <x v="260"/>
    <x v="0"/>
    <x v="2"/>
    <s v="CPHOENX_01019182611750"/>
    <s v="L000013834"/>
    <s v="L000013834"/>
    <s v="Non-LFF"/>
    <s v=""/>
    <m/>
    <b v="1"/>
    <x v="3"/>
    <x v="2"/>
    <d v="2025-06-17T11:26:25"/>
    <m/>
    <m/>
    <x v="1"/>
    <n v="10"/>
    <s v="Roselle Delos Angeles"/>
    <m/>
  </r>
  <r>
    <x v="260"/>
    <x v="0"/>
    <x v="2"/>
    <s v="CPHOENX_01019182611780"/>
    <s v="L000013834"/>
    <s v="L000013834"/>
    <s v="Non-LFF"/>
    <s v=""/>
    <m/>
    <b v="1"/>
    <x v="3"/>
    <x v="2"/>
    <d v="2025-06-17T11:26:25"/>
    <m/>
    <m/>
    <x v="1"/>
    <n v="10"/>
    <s v="Roselle Delos Angeles"/>
    <m/>
  </r>
  <r>
    <x v="260"/>
    <x v="0"/>
    <x v="2"/>
    <s v="CPHOENX_01019182611800"/>
    <s v="L000013835"/>
    <s v="L000013835"/>
    <s v="Non-LFF"/>
    <s v=""/>
    <m/>
    <b v="1"/>
    <x v="3"/>
    <x v="2"/>
    <d v="2025-06-17T11:26:25"/>
    <m/>
    <m/>
    <x v="1"/>
    <n v="10"/>
    <s v="Roselle Delos Angeles"/>
    <m/>
  </r>
  <r>
    <x v="260"/>
    <x v="0"/>
    <x v="2"/>
    <s v="CPHOENX_01019182611812"/>
    <s v="L000013835"/>
    <s v="L000013835"/>
    <s v="Non-LFF"/>
    <s v=""/>
    <m/>
    <b v="1"/>
    <x v="3"/>
    <x v="2"/>
    <d v="2025-06-17T11:26:25"/>
    <m/>
    <m/>
    <x v="1"/>
    <n v="10"/>
    <s v="Roselle Delos Angeles"/>
    <m/>
  </r>
  <r>
    <x v="260"/>
    <x v="0"/>
    <x v="2"/>
    <s v="CPHOENX_01019182611813"/>
    <s v="L000013835"/>
    <s v="L000013835"/>
    <s v="Non-LFF"/>
    <s v=""/>
    <m/>
    <b v="1"/>
    <x v="3"/>
    <x v="2"/>
    <d v="2025-06-17T11:26:25"/>
    <m/>
    <m/>
    <x v="1"/>
    <n v="10"/>
    <s v="Roselle Delos Angeles"/>
    <m/>
  </r>
  <r>
    <x v="260"/>
    <x v="0"/>
    <x v="2"/>
    <s v="CPHOENX_01019182611814"/>
    <s v="L000013835"/>
    <s v="L000013835"/>
    <s v="Non-LFF"/>
    <s v=""/>
    <m/>
    <b v="1"/>
    <x v="3"/>
    <x v="2"/>
    <d v="2025-06-17T11:26:25"/>
    <m/>
    <m/>
    <x v="1"/>
    <n v="10"/>
    <s v="Roselle Delos Angeles"/>
    <m/>
  </r>
  <r>
    <x v="260"/>
    <x v="0"/>
    <x v="2"/>
    <s v="CPHOENX_01019182611816"/>
    <s v="L000013835"/>
    <s v="L000013835"/>
    <s v="Non-LFF"/>
    <s v=""/>
    <m/>
    <b v="1"/>
    <x v="3"/>
    <x v="2"/>
    <d v="2025-06-17T11:26:25"/>
    <m/>
    <m/>
    <x v="1"/>
    <n v="10"/>
    <s v="Roselle Delos Angeles"/>
    <m/>
  </r>
  <r>
    <x v="260"/>
    <x v="0"/>
    <x v="2"/>
    <s v="CPHOENX_01019182611818"/>
    <s v="L000013835"/>
    <s v="L000013835"/>
    <s v="Non-LFF"/>
    <s v=""/>
    <m/>
    <b v="1"/>
    <x v="3"/>
    <x v="2"/>
    <d v="2025-06-17T11:26:25"/>
    <m/>
    <m/>
    <x v="1"/>
    <n v="10"/>
    <s v="Roselle Delos Angeles"/>
    <m/>
  </r>
  <r>
    <x v="260"/>
    <x v="0"/>
    <x v="2"/>
    <s v="CPHOENX_01019182611820"/>
    <s v="L000013835"/>
    <s v="L000013835"/>
    <s v="Non-LFF"/>
    <s v=""/>
    <m/>
    <b v="1"/>
    <x v="3"/>
    <x v="2"/>
    <d v="2025-06-17T11:26:25"/>
    <m/>
    <m/>
    <x v="1"/>
    <n v="10"/>
    <s v="Roselle Delos Angeles"/>
    <m/>
  </r>
  <r>
    <x v="260"/>
    <x v="0"/>
    <x v="2"/>
    <s v="CPHOENX_01019182611826"/>
    <s v="L000013835"/>
    <s v="L000013835"/>
    <s v="Non-LFF"/>
    <s v=""/>
    <m/>
    <b v="1"/>
    <x v="3"/>
    <x v="2"/>
    <d v="2025-06-17T11:26:25"/>
    <m/>
    <m/>
    <x v="1"/>
    <n v="10"/>
    <s v="Roselle Delos Angeles"/>
    <m/>
  </r>
  <r>
    <x v="260"/>
    <x v="0"/>
    <x v="2"/>
    <s v="CPHOENX_01019182611830"/>
    <s v="L000013835"/>
    <s v="L000013835"/>
    <s v="Non-LFF"/>
    <s v=""/>
    <m/>
    <b v="1"/>
    <x v="3"/>
    <x v="2"/>
    <d v="2025-06-17T11:26:25"/>
    <m/>
    <m/>
    <x v="1"/>
    <n v="10"/>
    <s v="Roselle Delos Angeles"/>
    <m/>
  </r>
  <r>
    <x v="260"/>
    <x v="0"/>
    <x v="2"/>
    <s v="CPHOENX_01019182611840"/>
    <s v="L000013835"/>
    <s v="L000013835"/>
    <s v="Non-LFF"/>
    <s v=""/>
    <m/>
    <b v="1"/>
    <x v="3"/>
    <x v="2"/>
    <d v="2025-06-17T11:26:25"/>
    <m/>
    <m/>
    <x v="1"/>
    <n v="10"/>
    <s v="Roselle Delos Angeles"/>
    <m/>
  </r>
  <r>
    <x v="260"/>
    <x v="0"/>
    <x v="2"/>
    <s v="CPHOENX_01019182611850"/>
    <s v="L000013835"/>
    <s v="L000013835"/>
    <s v="Non-LFF"/>
    <s v=""/>
    <m/>
    <b v="1"/>
    <x v="3"/>
    <x v="2"/>
    <d v="2025-06-17T11:26:25"/>
    <m/>
    <m/>
    <x v="1"/>
    <n v="10"/>
    <s v="Roselle Delos Angeles"/>
    <m/>
  </r>
  <r>
    <x v="260"/>
    <x v="0"/>
    <x v="2"/>
    <s v="CPHOENX_01019182611855"/>
    <s v="L000013835"/>
    <s v="L000013835"/>
    <s v="Non-LFF"/>
    <s v=""/>
    <m/>
    <b v="1"/>
    <x v="3"/>
    <x v="2"/>
    <d v="2025-06-17T11:26:25"/>
    <m/>
    <m/>
    <x v="1"/>
    <n v="10"/>
    <s v="Roselle Delos Angeles"/>
    <m/>
  </r>
  <r>
    <x v="260"/>
    <x v="0"/>
    <x v="2"/>
    <s v="CPHOENX_01019182611860"/>
    <s v="L000013835"/>
    <s v="L000013835"/>
    <s v="Non-LFF"/>
    <s v=""/>
    <m/>
    <b v="1"/>
    <x v="3"/>
    <x v="2"/>
    <d v="2025-06-17T11:26:25"/>
    <m/>
    <m/>
    <x v="1"/>
    <n v="10"/>
    <s v="Roselle Delos Angeles"/>
    <m/>
  </r>
  <r>
    <x v="260"/>
    <x v="0"/>
    <x v="2"/>
    <s v="CPHOENX_01019182611863"/>
    <s v="L000013835"/>
    <s v="L000013835"/>
    <s v="Non-LFF"/>
    <s v=""/>
    <m/>
    <b v="1"/>
    <x v="3"/>
    <x v="2"/>
    <d v="2025-06-17T11:26:25"/>
    <m/>
    <m/>
    <x v="1"/>
    <n v="10"/>
    <s v="Roselle Delos Angeles"/>
    <m/>
  </r>
  <r>
    <x v="260"/>
    <x v="0"/>
    <x v="2"/>
    <s v="CPHOENX_01019182611864"/>
    <s v="L000013835"/>
    <s v="L000013835"/>
    <s v="Non-LFF"/>
    <s v=""/>
    <m/>
    <b v="1"/>
    <x v="3"/>
    <x v="2"/>
    <d v="2025-06-17T11:26:25"/>
    <m/>
    <m/>
    <x v="1"/>
    <n v="10"/>
    <s v="Roselle Delos Angeles"/>
    <m/>
  </r>
  <r>
    <x v="260"/>
    <x v="0"/>
    <x v="2"/>
    <s v="CPHOENX_01019182611870"/>
    <s v="L000013835"/>
    <s v="L000013835"/>
    <s v="Non-LFF"/>
    <s v=""/>
    <m/>
    <b v="1"/>
    <x v="3"/>
    <x v="2"/>
    <d v="2025-06-17T11:26:25"/>
    <m/>
    <m/>
    <x v="1"/>
    <n v="10"/>
    <s v="Roselle Delos Angeles"/>
    <m/>
  </r>
  <r>
    <x v="260"/>
    <x v="0"/>
    <x v="2"/>
    <s v="CPHOENX_01019182611880"/>
    <s v="L000013835"/>
    <s v="L000013835"/>
    <s v="Non-LFF"/>
    <s v=""/>
    <m/>
    <b v="1"/>
    <x v="3"/>
    <x v="2"/>
    <d v="2025-06-17T11:26:25"/>
    <m/>
    <m/>
    <x v="1"/>
    <n v="10"/>
    <s v="Roselle Delos Angeles"/>
    <m/>
  </r>
  <r>
    <x v="260"/>
    <x v="0"/>
    <x v="2"/>
    <s v="CPHOENX_01019182611881"/>
    <s v="L000013835"/>
    <s v="L000013835"/>
    <s v="Non-LFF"/>
    <s v=""/>
    <m/>
    <b v="1"/>
    <x v="3"/>
    <x v="2"/>
    <d v="2025-06-17T11:26:25"/>
    <m/>
    <m/>
    <x v="1"/>
    <n v="10"/>
    <s v="Roselle Delos Angeles"/>
    <m/>
  </r>
  <r>
    <x v="260"/>
    <x v="0"/>
    <x v="2"/>
    <s v="IPHOENX_000400762834"/>
    <s v="L000013835"/>
    <s v="L000013835"/>
    <s v="Non-LFF"/>
    <s v=""/>
    <m/>
    <b v="1"/>
    <x v="3"/>
    <x v="2"/>
    <d v="2025-06-17T11:26:25"/>
    <m/>
    <m/>
    <x v="1"/>
    <n v="10"/>
    <s v="Roselle Delos Angeles"/>
    <m/>
  </r>
  <r>
    <x v="260"/>
    <x v="0"/>
    <x v="2"/>
    <s v="IPHOENX_000400762835"/>
    <s v="L000013835"/>
    <s v="L000013835"/>
    <s v="Non-LFF"/>
    <s v=""/>
    <m/>
    <b v="1"/>
    <x v="3"/>
    <x v="2"/>
    <d v="2025-06-17T11:26:25"/>
    <m/>
    <m/>
    <x v="1"/>
    <n v="10"/>
    <s v="Roselle Delos Angeles"/>
    <m/>
  </r>
  <r>
    <x v="260"/>
    <x v="0"/>
    <x v="2"/>
    <s v="IPHOENX_000400763392"/>
    <s v="L000013835"/>
    <s v="L000013835"/>
    <s v="Non-LFF"/>
    <s v=""/>
    <m/>
    <b v="1"/>
    <x v="3"/>
    <x v="2"/>
    <d v="2025-06-17T11:26:25"/>
    <m/>
    <m/>
    <x v="1"/>
    <n v="10"/>
    <s v="Roselle Delos Angeles"/>
    <m/>
  </r>
  <r>
    <x v="260"/>
    <x v="0"/>
    <x v="2"/>
    <s v="IPHOENX_000400763916"/>
    <s v="L000013834"/>
    <s v="L000013834"/>
    <s v="Non-LFF"/>
    <s v=""/>
    <m/>
    <b v="1"/>
    <x v="3"/>
    <x v="2"/>
    <d v="2025-06-17T11:26:25"/>
    <m/>
    <m/>
    <x v="1"/>
    <n v="10"/>
    <s v="Roselle Delos Angeles"/>
    <m/>
  </r>
  <r>
    <x v="260"/>
    <x v="0"/>
    <x v="2"/>
    <s v="IPHOENX_000400764132"/>
    <s v="L000013835"/>
    <s v="L000013835"/>
    <s v="Non-LFF"/>
    <s v=""/>
    <m/>
    <b v="1"/>
    <x v="3"/>
    <x v="2"/>
    <d v="2025-06-17T11:26:25"/>
    <m/>
    <m/>
    <x v="1"/>
    <n v="10"/>
    <s v="Roselle Delos Angeles"/>
    <m/>
  </r>
  <r>
    <x v="260"/>
    <x v="0"/>
    <x v="2"/>
    <s v="CLFF_1000$$$DE10N11700"/>
    <s v="L000013834"/>
    <s v="L000013834"/>
    <s v="LFF (MDG-F)"/>
    <s v="DE10N11700"/>
    <s v="Changes were saved for change request 25470855"/>
    <b v="1"/>
    <x v="3"/>
    <x v="2"/>
    <d v="2025-06-17T11:26:25"/>
    <m/>
    <m/>
    <x v="1"/>
    <n v="10"/>
    <s v="Roselle Delos Angeles"/>
    <m/>
  </r>
  <r>
    <x v="260"/>
    <x v="0"/>
    <x v="2"/>
    <s v="CLFF_1000$$$DE10N11714"/>
    <s v="L000013834"/>
    <s v="L000013834"/>
    <s v="LFF (MDG-F)"/>
    <s v="DE10N11714"/>
    <s v="Changes were saved for change request 25470855"/>
    <b v="1"/>
    <x v="3"/>
    <x v="2"/>
    <d v="2025-06-17T11:26:25"/>
    <m/>
    <m/>
    <x v="1"/>
    <n v="10"/>
    <s v="Roselle Delos Angeles"/>
    <m/>
  </r>
  <r>
    <x v="260"/>
    <x v="0"/>
    <x v="2"/>
    <s v="CLFF_1000$$$DE10N11716"/>
    <s v="L000013834"/>
    <s v="L000013834"/>
    <s v="LFF (MDG-F)"/>
    <s v="DE10N11716"/>
    <s v="Changes were saved for change request 25470855"/>
    <b v="1"/>
    <x v="3"/>
    <x v="2"/>
    <d v="2025-06-17T11:26:25"/>
    <m/>
    <m/>
    <x v="1"/>
    <n v="10"/>
    <s v="Roselle Delos Angeles"/>
    <m/>
  </r>
  <r>
    <x v="260"/>
    <x v="0"/>
    <x v="2"/>
    <s v="CLFF_1000$$$DE10N11720"/>
    <s v="L000013834"/>
    <s v="L000013834"/>
    <s v="LFF (MDG-F)"/>
    <s v="DE10N11720"/>
    <s v="Changes were saved for change request 25470855"/>
    <b v="1"/>
    <x v="3"/>
    <x v="2"/>
    <d v="2025-06-17T11:26:25"/>
    <m/>
    <m/>
    <x v="1"/>
    <n v="10"/>
    <s v="Roselle Delos Angeles"/>
    <m/>
  </r>
  <r>
    <x v="260"/>
    <x v="0"/>
    <x v="2"/>
    <s v="CLFF_1000$$$DE10N11722"/>
    <s v="L000013834"/>
    <s v="L000013834"/>
    <s v="LFF (MDG-F)"/>
    <s v="DE10N11722"/>
    <s v="Changes were saved for change request 25470855"/>
    <b v="1"/>
    <x v="3"/>
    <x v="2"/>
    <d v="2025-06-17T11:26:25"/>
    <m/>
    <m/>
    <x v="1"/>
    <n v="10"/>
    <s v="Roselle Delos Angeles"/>
    <m/>
  </r>
  <r>
    <x v="260"/>
    <x v="0"/>
    <x v="2"/>
    <s v="CLFF_1000$$$DE10N11740"/>
    <s v="L000013834"/>
    <s v="L000013834"/>
    <s v="LFF (MDG-F)"/>
    <s v="DE10N11740"/>
    <s v="Changes were saved for change request 25470855"/>
    <b v="1"/>
    <x v="3"/>
    <x v="2"/>
    <d v="2025-06-17T11:26:25"/>
    <m/>
    <m/>
    <x v="1"/>
    <n v="10"/>
    <s v="Roselle Delos Angeles"/>
    <m/>
  </r>
  <r>
    <x v="260"/>
    <x v="0"/>
    <x v="2"/>
    <s v="CLFF_1000$$$DE10N11750"/>
    <s v="L000013834"/>
    <s v="L000013834"/>
    <s v="LFF (MDG-F)"/>
    <s v="DE10N11750"/>
    <s v="Changes were saved for change request 25470855"/>
    <b v="1"/>
    <x v="3"/>
    <x v="2"/>
    <d v="2025-06-17T11:26:25"/>
    <m/>
    <m/>
    <x v="1"/>
    <n v="10"/>
    <s v="Roselle Delos Angeles"/>
    <m/>
  </r>
  <r>
    <x v="260"/>
    <x v="0"/>
    <x v="2"/>
    <s v="CLFF_1000$$$DE10N11780"/>
    <s v="L000013834"/>
    <s v="L000013834"/>
    <s v="LFF (MDG-F)"/>
    <s v="DE10N11780"/>
    <s v="Changes were saved for change request 25470855"/>
    <b v="1"/>
    <x v="3"/>
    <x v="2"/>
    <d v="2025-06-17T11:26:25"/>
    <m/>
    <m/>
    <x v="1"/>
    <n v="10"/>
    <s v="Roselle Delos Angeles"/>
    <m/>
  </r>
  <r>
    <x v="260"/>
    <x v="0"/>
    <x v="2"/>
    <s v="CLFF_1000$$$DE10N11800"/>
    <s v="L000013835"/>
    <s v="L000013835"/>
    <s v="LFF (MDG-F)"/>
    <s v="DE10N11800"/>
    <s v="Changes were saved for change request 25470855"/>
    <b v="1"/>
    <x v="3"/>
    <x v="2"/>
    <d v="2025-06-17T11:26:25"/>
    <m/>
    <m/>
    <x v="1"/>
    <n v="10"/>
    <s v="Roselle Delos Angeles"/>
    <m/>
  </r>
  <r>
    <x v="260"/>
    <x v="0"/>
    <x v="2"/>
    <s v="CLFF_1000$$$DE10N11812"/>
    <s v="L000013835"/>
    <s v="L000013835"/>
    <s v="LFF (MDG-F)"/>
    <s v="DE10N11812"/>
    <s v="Changes were saved for change request 25470855"/>
    <b v="1"/>
    <x v="3"/>
    <x v="2"/>
    <d v="2025-06-17T11:26:25"/>
    <m/>
    <m/>
    <x v="1"/>
    <n v="10"/>
    <s v="Roselle Delos Angeles"/>
    <m/>
  </r>
  <r>
    <x v="260"/>
    <x v="0"/>
    <x v="2"/>
    <s v="CLFF_1000$$$DE10N11813"/>
    <s v="L000013835"/>
    <s v="L000013835"/>
    <s v="LFF (MDG-F)"/>
    <s v="DE10N11813"/>
    <s v="Changes were saved for change request 25470855"/>
    <b v="1"/>
    <x v="3"/>
    <x v="2"/>
    <d v="2025-06-17T11:26:25"/>
    <m/>
    <m/>
    <x v="1"/>
    <n v="10"/>
    <s v="Roselle Delos Angeles"/>
    <m/>
  </r>
  <r>
    <x v="260"/>
    <x v="0"/>
    <x v="2"/>
    <s v="CLFF_1000$$$DE10N11814"/>
    <s v="L000013835"/>
    <s v="L000013835"/>
    <s v="LFF (MDG-F)"/>
    <s v="DE10N11814"/>
    <s v="Changes were saved for change request 25470855"/>
    <b v="1"/>
    <x v="3"/>
    <x v="2"/>
    <d v="2025-06-17T11:26:25"/>
    <m/>
    <m/>
    <x v="1"/>
    <n v="10"/>
    <s v="Roselle Delos Angeles"/>
    <m/>
  </r>
  <r>
    <x v="260"/>
    <x v="0"/>
    <x v="2"/>
    <s v="CLFF_1000$$$DE10N11816"/>
    <s v="L000013835"/>
    <s v="L000013835"/>
    <s v="LFF (MDG-F)"/>
    <s v="DE10N11816"/>
    <s v="Changes were saved for change request 25470855"/>
    <b v="1"/>
    <x v="3"/>
    <x v="2"/>
    <d v="2025-06-17T11:26:25"/>
    <m/>
    <m/>
    <x v="1"/>
    <n v="10"/>
    <s v="Roselle Delos Angeles"/>
    <m/>
  </r>
  <r>
    <x v="260"/>
    <x v="0"/>
    <x v="2"/>
    <s v="CLFF_1000$$$DE10N11818"/>
    <s v="L000013835"/>
    <s v="L000013835"/>
    <s v="LFF (MDG-F)"/>
    <s v="DE10N11818"/>
    <s v="Changes were saved for change request 25470855"/>
    <b v="1"/>
    <x v="3"/>
    <x v="2"/>
    <d v="2025-06-17T11:26:25"/>
    <m/>
    <m/>
    <x v="1"/>
    <n v="10"/>
    <s v="Roselle Delos Angeles"/>
    <m/>
  </r>
  <r>
    <x v="260"/>
    <x v="0"/>
    <x v="2"/>
    <s v="CLFF_1000$$$DE10N11820"/>
    <s v="L000013835"/>
    <s v="L000013835"/>
    <s v="LFF (MDG-F)"/>
    <s v="DE10N11820"/>
    <s v="Changes were saved for change request 25470855"/>
    <b v="1"/>
    <x v="3"/>
    <x v="2"/>
    <d v="2025-06-17T11:26:25"/>
    <m/>
    <m/>
    <x v="1"/>
    <n v="10"/>
    <s v="Roselle Delos Angeles"/>
    <m/>
  </r>
  <r>
    <x v="260"/>
    <x v="0"/>
    <x v="2"/>
    <s v="CLFF_1000$$$DE10N11826"/>
    <s v="L000013835"/>
    <s v="L000013835"/>
    <s v="LFF (MDG-F)"/>
    <s v="DE10N11826"/>
    <s v="Changes were saved for change request 25470855"/>
    <b v="1"/>
    <x v="3"/>
    <x v="2"/>
    <d v="2025-06-17T11:26:25"/>
    <m/>
    <m/>
    <x v="1"/>
    <n v="10"/>
    <s v="Roselle Delos Angeles"/>
    <m/>
  </r>
  <r>
    <x v="260"/>
    <x v="0"/>
    <x v="2"/>
    <s v="CLFF_1000$$$DE10N11830"/>
    <s v="L000013835"/>
    <s v="L000013835"/>
    <s v="LFF (MDG-F)"/>
    <s v="DE10N11830"/>
    <s v="Changes were saved for change request 25470855"/>
    <b v="1"/>
    <x v="3"/>
    <x v="2"/>
    <d v="2025-06-17T11:26:25"/>
    <m/>
    <m/>
    <x v="1"/>
    <n v="10"/>
    <s v="Roselle Delos Angeles"/>
    <m/>
  </r>
  <r>
    <x v="260"/>
    <x v="0"/>
    <x v="2"/>
    <s v="CLFF_1000$$$DE10N11840"/>
    <s v="L000013835"/>
    <s v="L000013835"/>
    <s v="LFF (MDG-F)"/>
    <s v="DE10N11840"/>
    <s v="Changes were saved for change request 25470855"/>
    <b v="1"/>
    <x v="3"/>
    <x v="2"/>
    <d v="2025-06-17T11:26:25"/>
    <m/>
    <m/>
    <x v="1"/>
    <n v="10"/>
    <s v="Roselle Delos Angeles"/>
    <m/>
  </r>
  <r>
    <x v="260"/>
    <x v="0"/>
    <x v="2"/>
    <s v="CLFF_1000$$$DE10N11850"/>
    <s v="L000013835"/>
    <s v="L000013835"/>
    <s v="LFF (MDG-F)"/>
    <s v="DE10N11850"/>
    <s v="Changes were saved for change request 25470855"/>
    <b v="1"/>
    <x v="3"/>
    <x v="2"/>
    <d v="2025-06-17T11:26:25"/>
    <m/>
    <m/>
    <x v="1"/>
    <n v="10"/>
    <s v="Roselle Delos Angeles"/>
    <m/>
  </r>
  <r>
    <x v="260"/>
    <x v="0"/>
    <x v="2"/>
    <s v="CLFF_1000$$$DE10N11855"/>
    <s v="L000013835"/>
    <s v="L000013835"/>
    <s v="LFF (MDG-F)"/>
    <s v="DE10N11855"/>
    <s v="Changes were saved for change request 25470855"/>
    <b v="1"/>
    <x v="3"/>
    <x v="2"/>
    <d v="2025-06-17T11:26:25"/>
    <m/>
    <m/>
    <x v="1"/>
    <n v="10"/>
    <s v="Roselle Delos Angeles"/>
    <m/>
  </r>
  <r>
    <x v="260"/>
    <x v="0"/>
    <x v="2"/>
    <s v="CLFF_1000$$$DE10N11860"/>
    <s v="L000013835"/>
    <s v="L000013835"/>
    <s v="LFF (MDG-F)"/>
    <s v="DE10N11860"/>
    <s v="Changes were saved for change request 25470855"/>
    <b v="1"/>
    <x v="3"/>
    <x v="2"/>
    <d v="2025-06-17T11:26:25"/>
    <m/>
    <m/>
    <x v="1"/>
    <n v="10"/>
    <s v="Roselle Delos Angeles"/>
    <m/>
  </r>
  <r>
    <x v="260"/>
    <x v="0"/>
    <x v="2"/>
    <s v="CLFF_1000$$$DE10N11863"/>
    <s v="L000013835"/>
    <s v="L000013835"/>
    <s v="LFF (MDG-F)"/>
    <s v="DE10N11863"/>
    <s v="Changes were saved for change request 25470855"/>
    <b v="1"/>
    <x v="3"/>
    <x v="2"/>
    <d v="2025-06-17T11:26:25"/>
    <m/>
    <m/>
    <x v="1"/>
    <n v="10"/>
    <s v="Roselle Delos Angeles"/>
    <m/>
  </r>
  <r>
    <x v="260"/>
    <x v="0"/>
    <x v="2"/>
    <s v="CLFF_1000$$$DE10N11864"/>
    <s v="L000013835"/>
    <s v="L000013835"/>
    <s v="LFF (MDG-F)"/>
    <s v="DE10N11864"/>
    <s v="Changes were saved for change request 25470855"/>
    <b v="1"/>
    <x v="3"/>
    <x v="2"/>
    <d v="2025-06-17T11:26:25"/>
    <m/>
    <m/>
    <x v="1"/>
    <n v="10"/>
    <s v="Roselle Delos Angeles"/>
    <m/>
  </r>
  <r>
    <x v="260"/>
    <x v="0"/>
    <x v="2"/>
    <s v="CLFF_1000$$$DE10N11870"/>
    <s v="L000013835"/>
    <s v="L000013835"/>
    <s v="LFF (MDG-F)"/>
    <s v="DE10N11870"/>
    <s v="Changes were saved for change request 25470855"/>
    <b v="1"/>
    <x v="3"/>
    <x v="2"/>
    <d v="2025-06-17T11:26:25"/>
    <m/>
    <m/>
    <x v="1"/>
    <n v="10"/>
    <s v="Roselle Delos Angeles"/>
    <m/>
  </r>
  <r>
    <x v="260"/>
    <x v="0"/>
    <x v="2"/>
    <s v="CLFF_1000$$$DE10N11880"/>
    <s v="L000013835"/>
    <s v="L000013835"/>
    <s v="LFF (MDG-F)"/>
    <s v="DE10N11880"/>
    <s v="Changes were saved for change request 25470855"/>
    <b v="1"/>
    <x v="3"/>
    <x v="2"/>
    <d v="2025-06-17T11:26:25"/>
    <m/>
    <m/>
    <x v="1"/>
    <n v="10"/>
    <s v="Roselle Delos Angeles"/>
    <m/>
  </r>
  <r>
    <x v="260"/>
    <x v="0"/>
    <x v="2"/>
    <s v="CLFF_1000$$$DE10N11881"/>
    <s v="L000013835"/>
    <s v="L000013835"/>
    <s v="LFF (MDG-F)"/>
    <s v="DE10N11881"/>
    <s v="Changes were saved for change request 25470855"/>
    <b v="1"/>
    <x v="3"/>
    <x v="2"/>
    <d v="2025-06-17T11:26:25"/>
    <m/>
    <m/>
    <x v="1"/>
    <n v="10"/>
    <s v="Roselle Delos Angeles"/>
    <m/>
  </r>
  <r>
    <x v="261"/>
    <x v="0"/>
    <x v="2"/>
    <s v="PQUATRO_D001263DE0413000000 DSA rectification BCP"/>
    <s v="P000001013"/>
    <s v="P000001013"/>
    <s v="Non-LFF"/>
    <s v=""/>
    <m/>
    <b v="1"/>
    <x v="3"/>
    <x v="2"/>
    <d v="2025-06-17T12:12:54"/>
    <m/>
    <m/>
    <x v="1"/>
    <n v="10"/>
    <s v="Roselle Delos Angeles"/>
    <m/>
  </r>
  <r>
    <x v="261"/>
    <x v="0"/>
    <x v="2"/>
    <s v="PQUATRO_D001264DE0413000000 DSA rectification NUL"/>
    <s v="P000001013"/>
    <s v="P000001013"/>
    <s v="Non-LFF"/>
    <s v=""/>
    <m/>
    <b v="1"/>
    <x v="3"/>
    <x v="2"/>
    <d v="2025-06-17T12:12:54"/>
    <m/>
    <m/>
    <x v="1"/>
    <n v="10"/>
    <s v="Roselle Delos Angeles"/>
    <m/>
  </r>
  <r>
    <x v="261"/>
    <x v="0"/>
    <x v="2"/>
    <s v="PQUATRO_D001265DE0413000000 DSA rectification PIN"/>
    <s v="P000001013"/>
    <s v="P000001013"/>
    <s v="Non-LFF"/>
    <s v=""/>
    <m/>
    <b v="1"/>
    <x v="3"/>
    <x v="2"/>
    <d v="2025-06-17T12:12:54"/>
    <m/>
    <m/>
    <x v="1"/>
    <n v="10"/>
    <s v="Roselle Delos Angeles"/>
    <m/>
  </r>
  <r>
    <x v="261"/>
    <x v="0"/>
    <x v="2"/>
    <s v="PQUATRO_D001267DE0413000000 DSA C/H PIN and PSPT"/>
    <s v="P000001013"/>
    <s v="P000001013"/>
    <s v="Non-LFF"/>
    <s v=""/>
    <m/>
    <b v="1"/>
    <x v="3"/>
    <x v="2"/>
    <d v="2025-06-17T12:12:54"/>
    <m/>
    <m/>
    <x v="1"/>
    <n v="10"/>
    <s v="Roselle Delos Angeles"/>
    <m/>
  </r>
  <r>
    <x v="261"/>
    <x v="0"/>
    <x v="2"/>
    <s v="PQUATRO_D001268DE0413000000 DSA Advanced Tech Project"/>
    <s v="P000001013"/>
    <s v="P000001013"/>
    <s v="Non-LFF"/>
    <s v=""/>
    <m/>
    <b v="1"/>
    <x v="3"/>
    <x v="2"/>
    <d v="2025-06-17T12:12:54"/>
    <m/>
    <m/>
    <x v="1"/>
    <n v="10"/>
    <s v="Roselle Delos Angeles"/>
    <m/>
  </r>
  <r>
    <x v="261"/>
    <x v="0"/>
    <x v="2"/>
    <s v="PQUATRO_D001269DE0413000000 KrF resist 9300 series"/>
    <s v="P000001013"/>
    <s v="P000001013"/>
    <s v="Non-LFF"/>
    <s v=""/>
    <m/>
    <b v="1"/>
    <x v="3"/>
    <x v="2"/>
    <d v="2025-06-17T12:12:54"/>
    <m/>
    <m/>
    <x v="1"/>
    <n v="10"/>
    <s v="Roselle Delos Angeles"/>
    <m/>
  </r>
  <r>
    <x v="261"/>
    <x v="0"/>
    <x v="2"/>
    <s v="PQUATRO_D001270DE0413000000 KrF resist polymers"/>
    <s v="P000001013"/>
    <s v="P000001013"/>
    <s v="Non-LFF"/>
    <s v=""/>
    <m/>
    <b v="1"/>
    <x v="3"/>
    <x v="2"/>
    <d v="2025-06-17T12:12:54"/>
    <m/>
    <m/>
    <x v="1"/>
    <n v="10"/>
    <s v="Roselle Delos Angeles"/>
    <m/>
  </r>
  <r>
    <x v="261"/>
    <x v="0"/>
    <x v="2"/>
    <s v="PQUATRO_D001271DE0413000000 KrF Positiv Tone Patterning (China)"/>
    <s v="P000001013"/>
    <s v="P000001013"/>
    <s v="Non-LFF"/>
    <s v=""/>
    <m/>
    <b v="1"/>
    <x v="3"/>
    <x v="2"/>
    <d v="2025-06-17T12:12:54"/>
    <m/>
    <m/>
    <x v="1"/>
    <n v="10"/>
    <s v="Roselle Delos Angeles"/>
    <m/>
  </r>
  <r>
    <x v="261"/>
    <x v="0"/>
    <x v="2"/>
    <s v="PQUATRO_D001272DE0413000000 i-line resist polymers"/>
    <s v="P000001013"/>
    <s v="P000001013"/>
    <s v="Non-LFF"/>
    <s v=""/>
    <m/>
    <b v="1"/>
    <x v="3"/>
    <x v="2"/>
    <d v="2025-06-17T12:12:54"/>
    <m/>
    <m/>
    <x v="1"/>
    <n v="10"/>
    <s v="Roselle Delos Angeles"/>
    <m/>
  </r>
  <r>
    <x v="261"/>
    <x v="0"/>
    <x v="2"/>
    <s v="PQUATRO_D001262US0101000000 Spin-on Metal-containing TIM"/>
    <s v="P000001013"/>
    <s v="P000001013"/>
    <s v="Non-LFF"/>
    <s v=""/>
    <m/>
    <b v="1"/>
    <x v="3"/>
    <x v="2"/>
    <d v="2025-06-17T12:12:54"/>
    <m/>
    <m/>
    <x v="1"/>
    <n v="10"/>
    <s v="Roselle Delos Angeles"/>
    <m/>
  </r>
  <r>
    <x v="261"/>
    <x v="0"/>
    <x v="2"/>
    <s v="PQUATRO_D001273DE0413000000 DCSB Feasibility"/>
    <s v="P000001010"/>
    <s v="P000001010"/>
    <s v="Non-LFF"/>
    <s v=""/>
    <m/>
    <b v="1"/>
    <x v="3"/>
    <x v="2"/>
    <d v="2025-06-17T12:12:54"/>
    <m/>
    <m/>
    <x v="1"/>
    <n v="10"/>
    <s v="Roselle Delos Angeles"/>
    <m/>
  </r>
  <r>
    <x v="261"/>
    <x v="0"/>
    <x v="2"/>
    <s v="PQUATRO_D001274DE0413000000 SN-888 Supply"/>
    <s v="P000001010"/>
    <s v="P000001010"/>
    <s v="Non-LFF"/>
    <s v=""/>
    <m/>
    <b v="1"/>
    <x v="3"/>
    <x v="2"/>
    <d v="2025-06-17T12:12:54"/>
    <m/>
    <m/>
    <x v="1"/>
    <n v="10"/>
    <s v="Roselle Delos Angeles"/>
    <m/>
  </r>
  <r>
    <x v="261"/>
    <x v="0"/>
    <x v="2"/>
    <s v="PQUATRO_D001278DE0413000000 SN-909"/>
    <s v="P000001010"/>
    <s v="P000001010"/>
    <s v="Non-LFF"/>
    <s v=""/>
    <m/>
    <b v="1"/>
    <x v="3"/>
    <x v="2"/>
    <d v="2025-06-17T12:12:54"/>
    <m/>
    <m/>
    <x v="1"/>
    <n v="10"/>
    <s v="Roselle Delos Angeles"/>
    <m/>
  </r>
  <r>
    <x v="261"/>
    <x v="0"/>
    <x v="2"/>
    <s v="PQUATRO_D001293DE0413000000 Low Shrinkage PHPS Feasibility"/>
    <s v="P000001010"/>
    <s v="P000001010"/>
    <s v="Non-LFF"/>
    <s v=""/>
    <m/>
    <b v="1"/>
    <x v="3"/>
    <x v="2"/>
    <d v="2025-06-17T12:12:54"/>
    <m/>
    <m/>
    <x v="1"/>
    <n v="10"/>
    <s v="Roselle Delos Angeles"/>
    <m/>
  </r>
  <r>
    <x v="262"/>
    <x v="0"/>
    <x v="2"/>
    <s v="CLFF_1000$$$CH50L95008 Rebilling - USA"/>
    <s v="H000000002"/>
    <s v="H000000002"/>
    <s v="LFF (MDG-F)"/>
    <s v="CH50L95008"/>
    <m/>
    <b v="1"/>
    <x v="1"/>
    <x v="2"/>
    <d v="2025-06-17T12:12:54"/>
    <m/>
    <m/>
    <x v="1"/>
    <n v="10"/>
    <s v="Rizza Tolentino"/>
    <m/>
  </r>
  <r>
    <x v="263"/>
    <x v="0"/>
    <x v="4"/>
    <s v="PC00011842"/>
    <s v="L000013495"/>
    <n v="0"/>
    <s v="Non-LFF"/>
    <s v=""/>
    <m/>
    <b v="0"/>
    <x v="2"/>
    <x v="3"/>
    <d v="2025-06-20T12:12:54"/>
    <m/>
    <d v="2025-06-23T00:00:00"/>
    <x v="0"/>
    <n v="1"/>
    <s v="Joan Rose Pena"/>
    <m/>
  </r>
  <r>
    <x v="264"/>
    <x v="0"/>
    <x v="2"/>
    <s v="CFLTFLE_22450000002743"/>
    <s v="L000011444"/>
    <s v="DFLTPGCOH_SDV-LP5_002245"/>
    <s v="Non-LFF"/>
    <s v=""/>
    <m/>
    <b v="0"/>
    <x v="2"/>
    <x v="3"/>
    <d v="2025-06-20T12:12:54"/>
    <d v="2025-06-23T00:00:00"/>
    <d v="2025-06-23T00:00:00"/>
    <x v="0"/>
    <n v="1"/>
    <s v="Pilar Laurido"/>
    <m/>
  </r>
  <r>
    <x v="265"/>
    <x v="1"/>
    <x v="4"/>
    <s v="PEMERAL_6403H2018040201__1001 SI_Project Chronos/H.20180402.01.1001"/>
    <s v="H201804020"/>
    <m/>
    <s v="Non-LFF"/>
    <s v=""/>
    <s v="PCB doesn't recognize the object."/>
    <b v="0"/>
    <x v="1"/>
    <x v="3"/>
    <d v="2025-06-20T09:13:19"/>
    <m/>
    <m/>
    <x v="1"/>
    <n v="7"/>
    <s v="Erjo Miguel Tagle"/>
    <m/>
  </r>
  <r>
    <x v="265"/>
    <x v="1"/>
    <x v="2"/>
    <s v="ITEMPNA_009004000840 CA20IC1881SE3122112000"/>
    <s v="H000000974"/>
    <m/>
    <s v="Non-LFF"/>
    <s v=""/>
    <m/>
    <b v="0"/>
    <x v="1"/>
    <x v="3"/>
    <d v="2025-06-20T09:13:19"/>
    <m/>
    <m/>
    <x v="1"/>
    <n v="7"/>
    <s v="Erjo Miguel Tagle"/>
    <m/>
  </r>
  <r>
    <x v="265"/>
    <x v="1"/>
    <x v="2"/>
    <s v="ITEMPNA_009004001045 CA20IC1881SE3110250000A4"/>
    <s v="H000000974"/>
    <m/>
    <s v="Non-LFF"/>
    <s v=""/>
    <m/>
    <b v="0"/>
    <x v="1"/>
    <x v="3"/>
    <d v="2025-06-20T09:13:19"/>
    <m/>
    <m/>
    <x v="1"/>
    <n v="7"/>
    <s v="Erjo Miguel Tagle"/>
    <m/>
  </r>
  <r>
    <x v="265"/>
    <x v="1"/>
    <x v="5"/>
    <s v="ITEMPNA_001040000036"/>
    <s v="H000000974"/>
    <m/>
    <s v="Non-LFF"/>
    <s v=""/>
    <m/>
    <b v="0"/>
    <x v="1"/>
    <x v="3"/>
    <d v="2025-06-20T09:13:19"/>
    <m/>
    <m/>
    <x v="1"/>
    <n v="7"/>
    <s v="Erjo Miguel Tagle"/>
    <m/>
  </r>
  <r>
    <x v="263"/>
    <x v="0"/>
    <x v="2"/>
    <s v="CNOW_7210$$$PC00011842"/>
    <s v="L000013495"/>
    <m/>
    <s v="Non-LFF"/>
    <s v=""/>
    <m/>
    <b v="0"/>
    <x v="2"/>
    <x v="3"/>
    <d v="2025-06-19T09:13:19"/>
    <m/>
    <m/>
    <x v="1"/>
    <n v="8"/>
    <s v="Joan Rose Pena"/>
    <m/>
  </r>
  <r>
    <x v="266"/>
    <x v="0"/>
    <x v="2"/>
    <s v="CPHOENX_01010000538989"/>
    <s v="L000013259"/>
    <m/>
    <s v="Non-LFF"/>
    <s v=""/>
    <m/>
    <b v="0"/>
    <x v="2"/>
    <x v="3"/>
    <d v="2025-06-24T09:13:19"/>
    <d v="2025-07-01T00:00:00"/>
    <d v="2025-07-01T00:00:00"/>
    <x v="0"/>
    <n v="5"/>
    <s v="Joan Rose Pena"/>
    <m/>
  </r>
  <r>
    <x v="266"/>
    <x v="0"/>
    <x v="2"/>
    <s v="CLFF_1000$$$DE10B20210"/>
    <s v="L000013794"/>
    <m/>
    <s v="LFF (MDG-F)"/>
    <s v="DE10B20210"/>
    <m/>
    <b v="0"/>
    <x v="2"/>
    <x v="3"/>
    <d v="2025-06-24T09:13:19"/>
    <d v="2025-07-01T00:00:00"/>
    <d v="2025-07-01T00:00:00"/>
    <x v="0"/>
    <n v="5"/>
    <s v="Joan Rose Pena"/>
    <m/>
  </r>
  <r>
    <x v="267"/>
    <x v="1"/>
    <x v="6"/>
    <s v="CLFF_7210$$$2123OF0033 "/>
    <s v="G000001325"/>
    <s v="G000001290"/>
    <s v="LFF (MDG-F)"/>
    <s v="2123OF0033"/>
    <s v="Changes were saved for change request 25497069"/>
    <b v="0"/>
    <x v="0"/>
    <x v="3"/>
    <d v="2025-06-24T15:59:23"/>
    <m/>
    <m/>
    <x v="0"/>
    <n v="5"/>
    <s v="Jojeff Tagnong"/>
    <m/>
  </r>
  <r>
    <x v="267"/>
    <x v="1"/>
    <x v="6"/>
    <s v="CLFF_1000$$$CH75GM8300 "/>
    <s v="G000000218"/>
    <s v="G000000630"/>
    <s v="LFF (MDG-F)"/>
    <s v="CH75GM8300"/>
    <s v="Changes were saved for change request 25497069"/>
    <b v="0"/>
    <x v="0"/>
    <x v="3"/>
    <d v="2025-06-24T15:59:23"/>
    <m/>
    <m/>
    <x v="0"/>
    <n v="5"/>
    <s v="Jojeff Tagnong"/>
    <m/>
  </r>
  <r>
    <x v="268"/>
    <x v="0"/>
    <x v="2"/>
    <s v="CLFF_7210$$$2068TAUA00 Urbana Operations Main CC"/>
    <s v="L000013447"/>
    <s v="P000000179 EL-PS-OU Site Urbana, USA"/>
    <s v="LFF (MDG-F)"/>
    <s v="2068TAUA00"/>
    <s v="Changes were saved for change request 25506375"/>
    <b v="0"/>
    <x v="3"/>
    <x v="3"/>
    <d v="2025-06-27T14:36:58"/>
    <d v="2025-07-01T00:00:00"/>
    <d v="2025-07-01T00:00:00"/>
    <x v="0"/>
    <n v="2"/>
    <s v="Roselle Delos Angeles"/>
    <m/>
  </r>
  <r>
    <x v="268"/>
    <x v="0"/>
    <x v="2"/>
    <s v="CLFF_7210$$$2068TAUA99 Urbana Labor"/>
    <s v="L000013447"/>
    <s v="P000000179 EL-PS-OU Site Urbana, USA"/>
    <s v="LFF (MDG-F)"/>
    <s v="2068TAUA99"/>
    <s v="Changes were saved for change request 25506375"/>
    <b v="0"/>
    <x v="3"/>
    <x v="3"/>
    <d v="2025-06-27T14:36:58"/>
    <d v="2025-07-01T00:00:00"/>
    <d v="2025-07-01T00:00:00"/>
    <x v="0"/>
    <n v="2"/>
    <s v="Roselle Delos Angeles"/>
    <m/>
  </r>
  <r>
    <x v="268"/>
    <x v="0"/>
    <x v="2"/>
    <s v="CLFF_7210$$$2068TBUZ21 Urbana QC"/>
    <s v="L000013447"/>
    <s v="P000000179 EL-PS-OU Site Urbana, USA"/>
    <s v="LFF (MDG-F)"/>
    <s v="2068TBUZ21"/>
    <s v="Changes were saved for change request 25506375"/>
    <b v="0"/>
    <x v="3"/>
    <x v="3"/>
    <d v="2025-06-27T14:36:58"/>
    <d v="2025-07-01T00:00:00"/>
    <d v="2025-07-01T00:00:00"/>
    <x v="0"/>
    <n v="2"/>
    <s v="Roselle Delos Angeles"/>
    <m/>
  </r>
  <r>
    <x v="268"/>
    <x v="0"/>
    <x v="2"/>
    <s v="CLFF_7210$$$2068TFUZ61 Urbana Management"/>
    <s v="L000013447"/>
    <s v="P000000179 EL-PS-OU Site Urbana, USA"/>
    <s v="LFF (MDG-F)"/>
    <s v="2068TFUZ61"/>
    <s v="Changes were saved for change request 25506375"/>
    <b v="0"/>
    <x v="3"/>
    <x v="3"/>
    <d v="2025-06-27T14:36:58"/>
    <d v="2025-07-01T00:00:00"/>
    <d v="2025-07-01T00:00:00"/>
    <x v="0"/>
    <n v="2"/>
    <s v="Roselle Delos Angeles"/>
    <m/>
  </r>
  <r>
    <x v="268"/>
    <x v="0"/>
    <x v="2"/>
    <s v="CLFF_7210$$$2068TKUZ70 Urbana MAOH"/>
    <s v="L000013447"/>
    <s v="P000000179 EL-PS-OU Site Urbana, USA"/>
    <s v="LFF (MDG-F)"/>
    <s v="2068TKUZ70"/>
    <s v="Changes were saved for change request 25506375"/>
    <b v="0"/>
    <x v="3"/>
    <x v="3"/>
    <d v="2025-06-27T14:36:58"/>
    <d v="2025-07-01T00:00:00"/>
    <d v="2025-07-01T00:00:00"/>
    <x v="0"/>
    <n v="2"/>
    <s v="Roselle Delos Angeles"/>
    <m/>
  </r>
  <r>
    <x v="268"/>
    <x v="0"/>
    <x v="2"/>
    <s v="CLFF_7210$$$2068TQUZ90 Urbana Warehouse"/>
    <s v="L000013447"/>
    <s v="P000000179 EL-PS-OU Site Urbana, USA"/>
    <s v="LFF (MDG-F)"/>
    <s v="2068TQUZ90"/>
    <s v="Changes were saved for change request 25506375"/>
    <b v="0"/>
    <x v="3"/>
    <x v="3"/>
    <d v="2025-06-27T14:36:58"/>
    <d v="2025-07-01T00:00:00"/>
    <d v="2025-07-01T00:00:00"/>
    <x v="0"/>
    <n v="2"/>
    <s v="Roselle Delos Angeles"/>
    <m/>
  </r>
  <r>
    <x v="268"/>
    <x v="0"/>
    <x v="2"/>
    <s v="CLFF_7210$$$2068TAUA01"/>
    <s v="L000013447"/>
    <s v="P000000179 EL-PS-OU Site Urbana, USA"/>
    <s v="LFF (MDG-F)"/>
    <s v="2068TAUA01"/>
    <s v="Changes were saved for change request 25506375"/>
    <b v="0"/>
    <x v="3"/>
    <x v="3"/>
    <d v="2025-06-27T14:36:58"/>
    <d v="2025-07-01T00:00:00"/>
    <d v="2025-07-01T00:00:00"/>
    <x v="0"/>
    <n v="2"/>
    <s v="Roselle Delos Angeles"/>
    <m/>
  </r>
  <r>
    <x v="268"/>
    <x v="0"/>
    <x v="4"/>
    <s v="PL_E2_ES52 PL_E4_US44 ProcOrd_Urbana Production_US4"/>
    <s v="L000013447"/>
    <s v="P000000179 EL-PS-OU Site Urbana, USA"/>
    <s v="Non-LFF"/>
    <s v=""/>
    <s v="P&amp;L objects not for mapping."/>
    <b v="0"/>
    <x v="3"/>
    <x v="3"/>
    <d v="2025-06-27T14:36:58"/>
    <m/>
    <d v="2025-07-01T00:00:00"/>
    <x v="0"/>
    <n v="2"/>
    <s v="Roselle Delos Angeles"/>
    <m/>
  </r>
  <r>
    <x v="268"/>
    <x v="0"/>
    <x v="4"/>
    <s v="PL_E4_US44 ProcOrd_Urbana Production_US44"/>
    <s v="L000013447"/>
    <s v="P000000179 EL-PS-OU Site Urbana, USA"/>
    <s v="Non-LFF"/>
    <s v=""/>
    <s v="P&amp;L objects not for mapping."/>
    <b v="0"/>
    <x v="3"/>
    <x v="3"/>
    <d v="2025-06-27T14:36:58"/>
    <m/>
    <d v="2025-07-01T00:00:00"/>
    <x v="0"/>
    <n v="2"/>
    <s v="Roselle Delos Angeles"/>
    <m/>
  </r>
  <r>
    <x v="269"/>
    <x v="0"/>
    <x v="2"/>
    <s v="CFLTFLE_17710000514000"/>
    <s v="H000002268"/>
    <m/>
    <s v="Non-LFF"/>
    <s v=""/>
    <m/>
    <b v="0"/>
    <x v="0"/>
    <x v="3"/>
    <d v="2025-06-26T18:04:52"/>
    <d v="2025-07-01T00:00:00"/>
    <d v="2025-07-01T00:00:00"/>
    <x v="0"/>
    <n v="3"/>
    <s v="Yulia Glazyrina"/>
    <m/>
  </r>
  <r>
    <x v="269"/>
    <x v="0"/>
    <x v="2"/>
    <s v="CFLTFLE_17710000110200 "/>
    <s v="G000000233"/>
    <m/>
    <s v="Non-LFF"/>
    <s v=""/>
    <m/>
    <b v="0"/>
    <x v="0"/>
    <x v="3"/>
    <d v="2025-06-26T18:04:52"/>
    <d v="2025-07-01T00:00:00"/>
    <d v="2025-07-01T00:00:00"/>
    <x v="0"/>
    <n v="3"/>
    <s v="Yulia Glazyrina"/>
    <m/>
  </r>
  <r>
    <x v="270"/>
    <x v="1"/>
    <x v="5"/>
    <s v="ITEMPLA_001520001102 Manifesto - Sales Promo BR"/>
    <s v="H000002867"/>
    <s v="G000000634"/>
    <s v="Non-LFF"/>
    <s v=""/>
    <m/>
    <b v="0"/>
    <x v="1"/>
    <x v="3"/>
    <d v="2025-07-01T09:43:16"/>
    <m/>
    <m/>
    <x v="0"/>
    <n v="0"/>
    <s v="Henry Ifurung Jr."/>
    <m/>
  </r>
  <r>
    <x v="271"/>
    <x v="1"/>
    <x v="5"/>
    <s v="CFLTFLE_23940000000115"/>
    <s v="L000007871"/>
    <s v="DFLTPGCOH_002394 HUB Organoids Holding B.V., Netherlands"/>
    <s v="Non-LFF"/>
    <s v=""/>
    <m/>
    <b v="0"/>
    <x v="2"/>
    <x v="3"/>
    <d v="2025-06-30T12:35:21"/>
    <m/>
    <m/>
    <x v="0"/>
    <n v="1"/>
    <s v="Joan Rose Pena"/>
    <m/>
  </r>
  <r>
    <x v="271"/>
    <x v="1"/>
    <x v="5"/>
    <s v="CFLTFLE_23940000000120"/>
    <s v="L000007871"/>
    <s v="DFLTPGCOH_002394 HUB Organoids Holding B.V., Netherlands"/>
    <s v="Non-LFF"/>
    <s v=""/>
    <m/>
    <b v="0"/>
    <x v="2"/>
    <x v="3"/>
    <d v="2025-06-30T12:35:21"/>
    <m/>
    <m/>
    <x v="0"/>
    <n v="1"/>
    <s v="Joan Rose Pena"/>
    <m/>
  </r>
  <r>
    <x v="271"/>
    <x v="1"/>
    <x v="5"/>
    <s v="CFLTFLE_23940000000135"/>
    <s v="L000007871"/>
    <s v="DFLTPGCOH_002394 HUB Organoids Holding B.V., Netherlands"/>
    <s v="Non-LFF"/>
    <s v=""/>
    <m/>
    <b v="0"/>
    <x v="2"/>
    <x v="3"/>
    <d v="2025-06-30T12:35:21"/>
    <m/>
    <m/>
    <x v="0"/>
    <n v="1"/>
    <s v="Joan Rose Pena"/>
    <m/>
  </r>
  <r>
    <x v="271"/>
    <x v="1"/>
    <x v="5"/>
    <s v="CFLTFLE_23940000000140"/>
    <s v="L000007871"/>
    <s v="DFLTPGCOH_002394 HUB Organoids Holding B.V., Netherlands"/>
    <s v="Non-LFF"/>
    <s v=""/>
    <m/>
    <b v="0"/>
    <x v="2"/>
    <x v="3"/>
    <d v="2025-06-30T12:35:21"/>
    <m/>
    <m/>
    <x v="0"/>
    <n v="1"/>
    <s v="Joan Rose Pena"/>
    <m/>
  </r>
  <r>
    <x v="271"/>
    <x v="1"/>
    <x v="5"/>
    <s v="CFLTFLE_23940000000160"/>
    <s v="L000007871"/>
    <s v="DFLTPGCOH_002394 HUB Organoids Holding B.V., Netherlands"/>
    <s v="Non-LFF"/>
    <s v=""/>
    <m/>
    <b v="0"/>
    <x v="2"/>
    <x v="3"/>
    <d v="2025-06-30T12:35:21"/>
    <m/>
    <m/>
    <x v="0"/>
    <n v="1"/>
    <s v="Joan Rose Pena"/>
    <m/>
  </r>
  <r>
    <x v="271"/>
    <x v="1"/>
    <x v="5"/>
    <s v="CFLTFLE_23940000000170"/>
    <s v="L000007871"/>
    <s v="DFLTPGCOH_002394 HUB Organoids Holding B.V., Netherlands"/>
    <s v="Non-LFF"/>
    <s v=""/>
    <m/>
    <b v="0"/>
    <x v="2"/>
    <x v="3"/>
    <d v="2025-06-30T12:35:21"/>
    <m/>
    <m/>
    <x v="0"/>
    <n v="1"/>
    <s v="Joan Rose Pena"/>
    <m/>
  </r>
  <r>
    <x v="271"/>
    <x v="1"/>
    <x v="5"/>
    <s v="CFLTFLE_23940000000180"/>
    <s v="L000007871"/>
    <s v="DFLTPGCOH_002394 HUB Organoids Holding B.V., Netherlands"/>
    <s v="Non-LFF"/>
    <s v=""/>
    <m/>
    <b v="0"/>
    <x v="2"/>
    <x v="3"/>
    <d v="2025-06-30T12:35:21"/>
    <m/>
    <m/>
    <x v="0"/>
    <n v="1"/>
    <s v="Joan Rose Pena"/>
    <m/>
  </r>
  <r>
    <x v="271"/>
    <x v="1"/>
    <x v="5"/>
    <s v="CFLTFLE_23940000000220"/>
    <s v="L000007871"/>
    <s v="DFLTPGCOH_002394 HUB Organoids Holding B.V., Netherlands"/>
    <s v="Non-LFF"/>
    <s v=""/>
    <m/>
    <b v="0"/>
    <x v="2"/>
    <x v="3"/>
    <d v="2025-06-30T12:35:21"/>
    <m/>
    <m/>
    <x v="0"/>
    <n v="1"/>
    <s v="Joan Rose Pena"/>
    <m/>
  </r>
  <r>
    <x v="271"/>
    <x v="1"/>
    <x v="5"/>
    <s v="CFLTFLE_23940000000240"/>
    <s v="L000007871"/>
    <s v="DFLTPGCOH_002394 HUB Organoids Holding B.V., Netherlands"/>
    <s v="Non-LFF"/>
    <s v=""/>
    <m/>
    <b v="0"/>
    <x v="2"/>
    <x v="3"/>
    <d v="2025-06-30T12:35:21"/>
    <m/>
    <m/>
    <x v="0"/>
    <n v="1"/>
    <s v="Joan Rose Pena"/>
    <m/>
  </r>
  <r>
    <x v="271"/>
    <x v="1"/>
    <x v="5"/>
    <s v="CFLTFLE_23940000000250"/>
    <s v="L000007871"/>
    <s v="DFLTPGCOH_002394 HUB Organoids Holding B.V., Netherlands"/>
    <s v="Non-LFF"/>
    <s v=""/>
    <m/>
    <b v="0"/>
    <x v="2"/>
    <x v="3"/>
    <d v="2025-06-30T12:35:21"/>
    <m/>
    <m/>
    <x v="0"/>
    <n v="1"/>
    <s v="Joan Rose Pena"/>
    <m/>
  </r>
  <r>
    <x v="271"/>
    <x v="1"/>
    <x v="5"/>
    <s v="CFLTFLE_23940000000310"/>
    <s v="L000007871"/>
    <s v="DFLTPGCOH_002394 HUB Organoids Holding B.V., Netherlands"/>
    <s v="Non-LFF"/>
    <s v=""/>
    <m/>
    <b v="0"/>
    <x v="2"/>
    <x v="3"/>
    <d v="2025-06-30T12:35:21"/>
    <m/>
    <m/>
    <x v="0"/>
    <n v="1"/>
    <s v="Joan Rose Pena"/>
    <m/>
  </r>
  <r>
    <x v="271"/>
    <x v="1"/>
    <x v="5"/>
    <s v="CFLTFLE_23940000000320"/>
    <s v="L000007871"/>
    <s v="DFLTPGCOH_002394 HUB Organoids Holding B.V., Netherlands"/>
    <s v="Non-LFF"/>
    <s v=""/>
    <m/>
    <b v="0"/>
    <x v="2"/>
    <x v="3"/>
    <d v="2025-06-30T12:35:21"/>
    <m/>
    <m/>
    <x v="0"/>
    <n v="1"/>
    <s v="Joan Rose Pena"/>
    <m/>
  </r>
  <r>
    <x v="271"/>
    <x v="1"/>
    <x v="5"/>
    <s v="CFLTFLE_23940000000330"/>
    <s v="L000007871"/>
    <s v="DFLTPGCOH_002394 HUB Organoids Holding B.V., Netherlands"/>
    <s v="Non-LFF"/>
    <s v=""/>
    <m/>
    <b v="0"/>
    <x v="2"/>
    <x v="3"/>
    <d v="2025-06-30T12:35:21"/>
    <m/>
    <m/>
    <x v="0"/>
    <n v="1"/>
    <s v="Joan Rose Pena"/>
    <m/>
  </r>
  <r>
    <x v="271"/>
    <x v="1"/>
    <x v="5"/>
    <s v="CFLTFLE_23940000000340"/>
    <s v="L000007871"/>
    <s v="DFLTPGCOH_002394 HUB Organoids Holding B.V., Netherlands"/>
    <s v="Non-LFF"/>
    <s v=""/>
    <m/>
    <b v="0"/>
    <x v="2"/>
    <x v="3"/>
    <d v="2025-06-30T12:35:21"/>
    <m/>
    <m/>
    <x v="0"/>
    <n v="1"/>
    <s v="Joan Rose Pena"/>
    <m/>
  </r>
  <r>
    <x v="271"/>
    <x v="1"/>
    <x v="5"/>
    <s v="CFLTFLE_23940000000350"/>
    <s v="L000007871"/>
    <s v="DFLTPGCOH_002394 HUB Organoids Holding B.V., Netherlands"/>
    <s v="Non-LFF"/>
    <s v=""/>
    <m/>
    <b v="0"/>
    <x v="2"/>
    <x v="3"/>
    <d v="2025-06-30T12:35:21"/>
    <m/>
    <m/>
    <x v="0"/>
    <n v="1"/>
    <s v="Joan Rose Pena"/>
    <m/>
  </r>
  <r>
    <x v="271"/>
    <x v="1"/>
    <x v="5"/>
    <s v="CFLTFLE_23940000000360"/>
    <s v="L000007871"/>
    <s v="DFLTPGCOH_002394 HUB Organoids Holding B.V., Netherlands"/>
    <s v="Non-LFF"/>
    <s v=""/>
    <m/>
    <b v="0"/>
    <x v="2"/>
    <x v="3"/>
    <d v="2025-06-30T12:35:21"/>
    <m/>
    <m/>
    <x v="0"/>
    <n v="1"/>
    <s v="Joan Rose Pena"/>
    <m/>
  </r>
  <r>
    <x v="271"/>
    <x v="1"/>
    <x v="5"/>
    <s v="CFLTFLE_23940000000510"/>
    <s v="L000007871"/>
    <s v="DFLTPGCOH_002394 HUB Organoids Holding B.V., Netherlands"/>
    <s v="Non-LFF"/>
    <s v=""/>
    <m/>
    <b v="0"/>
    <x v="2"/>
    <x v="3"/>
    <d v="2025-06-30T12:35:21"/>
    <m/>
    <m/>
    <x v="0"/>
    <n v="1"/>
    <s v="Joan Rose Pena"/>
    <m/>
  </r>
  <r>
    <x v="271"/>
    <x v="1"/>
    <x v="5"/>
    <s v="CFLTFLE_23940000000530"/>
    <s v="L000007871"/>
    <s v="DFLTPGCOH_002394 HUB Organoids Holding B.V., Netherlands"/>
    <s v="Non-LFF"/>
    <s v=""/>
    <m/>
    <b v="0"/>
    <x v="2"/>
    <x v="3"/>
    <d v="2025-06-30T12:35:21"/>
    <m/>
    <m/>
    <x v="0"/>
    <n v="1"/>
    <s v="Joan Rose Pena"/>
    <m/>
  </r>
  <r>
    <x v="271"/>
    <x v="1"/>
    <x v="5"/>
    <s v="CFLTFLE_23950000000110"/>
    <s v="L000007871"/>
    <s v="DFLTPGCOH_002395 HUB Organoids IP B.V., Netherlands"/>
    <s v="Non-LFF"/>
    <s v=""/>
    <m/>
    <b v="0"/>
    <x v="2"/>
    <x v="3"/>
    <d v="2025-06-30T12:35:21"/>
    <m/>
    <m/>
    <x v="0"/>
    <n v="1"/>
    <s v="Joan Rose Pena"/>
    <m/>
  </r>
  <r>
    <x v="271"/>
    <x v="1"/>
    <x v="5"/>
    <s v="CFLTFLE_23950000000115"/>
    <s v="L000007871"/>
    <s v="DFLTPGCOH_002395 HUB Organoids IP B.V., Netherlands"/>
    <s v="Non-LFF"/>
    <s v=""/>
    <m/>
    <b v="0"/>
    <x v="2"/>
    <x v="3"/>
    <d v="2025-06-30T12:35:21"/>
    <m/>
    <m/>
    <x v="0"/>
    <n v="1"/>
    <s v="Joan Rose Pena"/>
    <m/>
  </r>
  <r>
    <x v="271"/>
    <x v="1"/>
    <x v="5"/>
    <s v="CFLTFLE_23950000000120"/>
    <s v="L000007871"/>
    <s v="DFLTPGCOH_002395 HUB Organoids IP B.V., Netherlands"/>
    <s v="Non-LFF"/>
    <s v=""/>
    <m/>
    <b v="0"/>
    <x v="2"/>
    <x v="3"/>
    <d v="2025-06-30T12:35:21"/>
    <m/>
    <m/>
    <x v="0"/>
    <n v="1"/>
    <s v="Joan Rose Pena"/>
    <m/>
  </r>
  <r>
    <x v="271"/>
    <x v="1"/>
    <x v="5"/>
    <s v="CFLTFLE_23950000000130"/>
    <s v="L000007871"/>
    <s v="DFLTPGCOH_002395 HUB Organoids IP B.V., Netherlands"/>
    <s v="Non-LFF"/>
    <s v=""/>
    <m/>
    <b v="0"/>
    <x v="2"/>
    <x v="3"/>
    <d v="2025-06-30T12:35:21"/>
    <m/>
    <m/>
    <x v="0"/>
    <n v="1"/>
    <s v="Joan Rose Pena"/>
    <m/>
  </r>
  <r>
    <x v="271"/>
    <x v="1"/>
    <x v="5"/>
    <s v="CFLTFLE_23950000000135"/>
    <s v="L000007871"/>
    <s v="DFLTPGCOH_002395 HUB Organoids IP B.V., Netherlands"/>
    <s v="Non-LFF"/>
    <s v=""/>
    <m/>
    <b v="0"/>
    <x v="2"/>
    <x v="3"/>
    <d v="2025-06-30T12:35:21"/>
    <m/>
    <m/>
    <x v="0"/>
    <n v="1"/>
    <s v="Joan Rose Pena"/>
    <m/>
  </r>
  <r>
    <x v="271"/>
    <x v="1"/>
    <x v="5"/>
    <s v="CFLTFLE_23950000000140"/>
    <s v="L000007871"/>
    <s v="DFLTPGCOH_002395 HUB Organoids IP B.V., Netherlands"/>
    <s v="Non-LFF"/>
    <s v=""/>
    <m/>
    <b v="0"/>
    <x v="2"/>
    <x v="3"/>
    <d v="2025-06-30T12:35:21"/>
    <m/>
    <m/>
    <x v="0"/>
    <n v="1"/>
    <s v="Joan Rose Pena"/>
    <m/>
  </r>
  <r>
    <x v="271"/>
    <x v="1"/>
    <x v="5"/>
    <s v="CFLTFLE_23950000000150"/>
    <s v="L000007871"/>
    <s v="DFLTPGCOH_002395 HUB Organoids IP B.V., Netherlands"/>
    <s v="Non-LFF"/>
    <s v=""/>
    <m/>
    <b v="0"/>
    <x v="2"/>
    <x v="3"/>
    <d v="2025-06-30T12:35:21"/>
    <m/>
    <m/>
    <x v="0"/>
    <n v="1"/>
    <s v="Joan Rose Pena"/>
    <m/>
  </r>
  <r>
    <x v="271"/>
    <x v="1"/>
    <x v="5"/>
    <s v="CFLTFLE_23950000000160"/>
    <s v="L000007871"/>
    <s v="DFLTPGCOH_002395 HUB Organoids IP B.V., Netherlands"/>
    <s v="Non-LFF"/>
    <s v=""/>
    <m/>
    <b v="0"/>
    <x v="2"/>
    <x v="3"/>
    <d v="2025-06-30T12:35:21"/>
    <m/>
    <m/>
    <x v="0"/>
    <n v="1"/>
    <s v="Joan Rose Pena"/>
    <m/>
  </r>
  <r>
    <x v="271"/>
    <x v="1"/>
    <x v="5"/>
    <s v="CFLTFLE_23950000000170"/>
    <s v="L000007871"/>
    <s v="DFLTPGCOH_002395 HUB Organoids IP B.V., Netherlands"/>
    <s v="Non-LFF"/>
    <s v=""/>
    <m/>
    <b v="0"/>
    <x v="2"/>
    <x v="3"/>
    <d v="2025-06-30T12:35:21"/>
    <m/>
    <m/>
    <x v="0"/>
    <n v="1"/>
    <s v="Joan Rose Pena"/>
    <m/>
  </r>
  <r>
    <x v="271"/>
    <x v="1"/>
    <x v="5"/>
    <s v="CFLTFLE_23950000000171"/>
    <s v="L000007871"/>
    <s v="DFLTPGCOH_002395 HUB Organoids IP B.V., Netherlands"/>
    <s v="Non-LFF"/>
    <s v=""/>
    <m/>
    <b v="0"/>
    <x v="2"/>
    <x v="3"/>
    <d v="2025-06-30T12:35:21"/>
    <m/>
    <m/>
    <x v="0"/>
    <n v="1"/>
    <s v="Joan Rose Pena"/>
    <m/>
  </r>
  <r>
    <x v="271"/>
    <x v="1"/>
    <x v="5"/>
    <s v="CFLTFLE_23950000000180"/>
    <s v="L000007871"/>
    <s v="DFLTPGCOH_002395 HUB Organoids IP B.V., Netherlands"/>
    <s v="Non-LFF"/>
    <s v=""/>
    <m/>
    <b v="0"/>
    <x v="2"/>
    <x v="3"/>
    <d v="2025-06-30T12:35:21"/>
    <m/>
    <m/>
    <x v="0"/>
    <n v="1"/>
    <s v="Joan Rose Pena"/>
    <m/>
  </r>
  <r>
    <x v="271"/>
    <x v="1"/>
    <x v="5"/>
    <s v="CFLTFLE_23950000000220"/>
    <s v="L000007871"/>
    <s v="DFLTPGCOH_002395 HUB Organoids IP B.V., Netherlands"/>
    <s v="Non-LFF"/>
    <s v=""/>
    <m/>
    <b v="0"/>
    <x v="2"/>
    <x v="3"/>
    <d v="2025-06-30T12:35:21"/>
    <m/>
    <m/>
    <x v="0"/>
    <n v="1"/>
    <s v="Joan Rose Pena"/>
    <m/>
  </r>
  <r>
    <x v="271"/>
    <x v="1"/>
    <x v="5"/>
    <s v="CFLTFLE_23950000000240"/>
    <s v="L000007871"/>
    <s v="DFLTPGCOH_002395 HUB Organoids IP B.V., Netherlands"/>
    <s v="Non-LFF"/>
    <s v=""/>
    <m/>
    <b v="0"/>
    <x v="2"/>
    <x v="3"/>
    <d v="2025-06-30T12:35:21"/>
    <m/>
    <m/>
    <x v="0"/>
    <n v="1"/>
    <s v="Joan Rose Pena"/>
    <m/>
  </r>
  <r>
    <x v="271"/>
    <x v="1"/>
    <x v="5"/>
    <s v="CFLTFLE_23950000000250"/>
    <s v="L000007871"/>
    <s v="DFLTPGCOH_002395 HUB Organoids IP B.V., Netherlands"/>
    <s v="Non-LFF"/>
    <s v=""/>
    <m/>
    <b v="0"/>
    <x v="2"/>
    <x v="3"/>
    <d v="2025-06-30T12:35:21"/>
    <m/>
    <m/>
    <x v="0"/>
    <n v="1"/>
    <s v="Joan Rose Pena"/>
    <m/>
  </r>
  <r>
    <x v="271"/>
    <x v="1"/>
    <x v="5"/>
    <s v="CFLTFLE_23950000000320"/>
    <s v="L000007871"/>
    <s v="DFLTPGCOH_002395 HUB Organoids IP B.V., Netherlands"/>
    <s v="Non-LFF"/>
    <s v=""/>
    <m/>
    <b v="0"/>
    <x v="2"/>
    <x v="3"/>
    <d v="2025-06-30T12:35:21"/>
    <m/>
    <m/>
    <x v="0"/>
    <n v="1"/>
    <s v="Joan Rose Pena"/>
    <m/>
  </r>
  <r>
    <x v="271"/>
    <x v="1"/>
    <x v="5"/>
    <s v="CFLTFLE_23950000000330"/>
    <s v="L000007871"/>
    <s v="DFLTPGCOH_002395 HUB Organoids IP B.V., Netherlands"/>
    <s v="Non-LFF"/>
    <s v=""/>
    <m/>
    <b v="0"/>
    <x v="2"/>
    <x v="3"/>
    <d v="2025-06-30T12:35:21"/>
    <m/>
    <m/>
    <x v="0"/>
    <n v="1"/>
    <s v="Joan Rose Pena"/>
    <m/>
  </r>
  <r>
    <x v="271"/>
    <x v="1"/>
    <x v="5"/>
    <s v="CFLTFLE_23950000000340"/>
    <s v="L000007871"/>
    <s v="DFLTPGCOH_002395 HUB Organoids IP B.V., Netherlands"/>
    <s v="Non-LFF"/>
    <s v=""/>
    <m/>
    <b v="0"/>
    <x v="2"/>
    <x v="3"/>
    <d v="2025-06-30T12:35:21"/>
    <m/>
    <m/>
    <x v="0"/>
    <n v="1"/>
    <s v="Joan Rose Pena"/>
    <m/>
  </r>
  <r>
    <x v="271"/>
    <x v="1"/>
    <x v="5"/>
    <s v="CFLTFLE_23950000000350"/>
    <s v="L000007871"/>
    <s v="DFLTPGCOH_002395 HUB Organoids IP B.V., Netherlands"/>
    <s v="Non-LFF"/>
    <s v=""/>
    <m/>
    <b v="0"/>
    <x v="2"/>
    <x v="3"/>
    <d v="2025-06-30T12:35:21"/>
    <m/>
    <m/>
    <x v="0"/>
    <n v="1"/>
    <s v="Joan Rose Pena"/>
    <m/>
  </r>
  <r>
    <x v="271"/>
    <x v="1"/>
    <x v="5"/>
    <s v="CFLTFLE_23950000000360"/>
    <s v="L000007871"/>
    <s v="DFLTPGCOH_002395 HUB Organoids IP B.V., Netherlands"/>
    <s v="Non-LFF"/>
    <s v=""/>
    <m/>
    <b v="0"/>
    <x v="2"/>
    <x v="3"/>
    <d v="2025-06-30T12:35:21"/>
    <m/>
    <m/>
    <x v="0"/>
    <n v="1"/>
    <s v="Joan Rose Pena"/>
    <m/>
  </r>
  <r>
    <x v="271"/>
    <x v="1"/>
    <x v="5"/>
    <s v="CFLTFLE_23950000000430"/>
    <s v="L000007871"/>
    <s v="DFLTPGCOH_002395 HUB Organoids IP B.V., Netherlands"/>
    <s v="Non-LFF"/>
    <s v=""/>
    <m/>
    <b v="0"/>
    <x v="2"/>
    <x v="3"/>
    <d v="2025-06-30T12:35:21"/>
    <m/>
    <m/>
    <x v="0"/>
    <n v="1"/>
    <s v="Joan Rose Pena"/>
    <m/>
  </r>
  <r>
    <x v="271"/>
    <x v="1"/>
    <x v="5"/>
    <s v="CFLTFLE_23960000000115"/>
    <s v="L000007871"/>
    <s v="DFLTPGCOH_002396 HUB Organoids B.V., Netherlands"/>
    <s v="Non-LFF"/>
    <s v=""/>
    <m/>
    <b v="0"/>
    <x v="2"/>
    <x v="3"/>
    <d v="2025-06-30T12:35:21"/>
    <m/>
    <m/>
    <x v="0"/>
    <n v="1"/>
    <s v="Joan Rose Pena"/>
    <m/>
  </r>
  <r>
    <x v="271"/>
    <x v="1"/>
    <x v="5"/>
    <s v="CFLTFLE_23960000000130"/>
    <s v="L000007871"/>
    <s v="DFLTPGCOH_002396 HUB Organoids B.V., Netherlands"/>
    <s v="Non-LFF"/>
    <s v=""/>
    <m/>
    <b v="0"/>
    <x v="2"/>
    <x v="3"/>
    <d v="2025-06-30T12:35:21"/>
    <m/>
    <m/>
    <x v="0"/>
    <n v="1"/>
    <s v="Joan Rose Pena"/>
    <m/>
  </r>
  <r>
    <x v="271"/>
    <x v="1"/>
    <x v="5"/>
    <s v="CFLTFLE_23960000000135"/>
    <s v="L000007871"/>
    <s v="DFLTPGCOH_002396 HUB Organoids B.V., Netherlands"/>
    <s v="Non-LFF"/>
    <s v=""/>
    <m/>
    <b v="0"/>
    <x v="2"/>
    <x v="3"/>
    <d v="2025-06-30T12:35:21"/>
    <m/>
    <m/>
    <x v="0"/>
    <n v="1"/>
    <s v="Joan Rose Pena"/>
    <m/>
  </r>
  <r>
    <x v="271"/>
    <x v="1"/>
    <x v="5"/>
    <s v="CFLTFLE_23960000000140"/>
    <s v="L000007871"/>
    <s v="DFLTPGCOH_002396 HUB Organoids B.V., Netherlands"/>
    <s v="Non-LFF"/>
    <s v=""/>
    <m/>
    <b v="0"/>
    <x v="2"/>
    <x v="3"/>
    <d v="2025-06-30T12:35:21"/>
    <m/>
    <m/>
    <x v="0"/>
    <n v="1"/>
    <s v="Joan Rose Pena"/>
    <m/>
  </r>
  <r>
    <x v="271"/>
    <x v="1"/>
    <x v="5"/>
    <s v="CFLTFLE_23960000000150"/>
    <s v="L000007871"/>
    <s v="DFLTPGCOH_002396 HUB Organoids B.V., Netherlands"/>
    <s v="Non-LFF"/>
    <s v=""/>
    <m/>
    <b v="0"/>
    <x v="2"/>
    <x v="3"/>
    <d v="2025-06-30T12:35:21"/>
    <m/>
    <m/>
    <x v="0"/>
    <n v="1"/>
    <s v="Joan Rose Pena"/>
    <m/>
  </r>
  <r>
    <x v="271"/>
    <x v="1"/>
    <x v="5"/>
    <s v="CFLTFLE_23960000000160"/>
    <s v="L000007871"/>
    <s v="DFLTPGCOH_002396 HUB Organoids B.V., Netherlands"/>
    <s v="Non-LFF"/>
    <s v=""/>
    <m/>
    <b v="0"/>
    <x v="2"/>
    <x v="3"/>
    <d v="2025-06-30T12:35:21"/>
    <m/>
    <m/>
    <x v="0"/>
    <n v="1"/>
    <s v="Joan Rose Pena"/>
    <m/>
  </r>
  <r>
    <x v="271"/>
    <x v="1"/>
    <x v="5"/>
    <s v="CFLTFLE_23960000000320"/>
    <s v="L000007871"/>
    <s v="DFLTPGCOH_002396 HUB Organoids B.V., Netherlands"/>
    <s v="Non-LFF"/>
    <s v=""/>
    <m/>
    <b v="0"/>
    <x v="2"/>
    <x v="3"/>
    <d v="2025-06-30T12:35:21"/>
    <m/>
    <m/>
    <x v="0"/>
    <n v="1"/>
    <s v="Joan Rose Pena"/>
    <m/>
  </r>
  <r>
    <x v="271"/>
    <x v="1"/>
    <x v="5"/>
    <s v="CFLTFLE_23960000000350"/>
    <s v="L000007871"/>
    <s v="DFLTPGCOH_002396 HUB Organoids B.V., Netherlands"/>
    <s v="Non-LFF"/>
    <s v=""/>
    <m/>
    <b v="0"/>
    <x v="2"/>
    <x v="3"/>
    <d v="2025-06-30T12:35:21"/>
    <m/>
    <m/>
    <x v="0"/>
    <n v="1"/>
    <s v="Joan Rose Pena"/>
    <m/>
  </r>
  <r>
    <x v="271"/>
    <x v="1"/>
    <x v="5"/>
    <s v="CFLTFLE_23960000000530"/>
    <s v="L000007871"/>
    <s v="DFLTPGCOH_002396 HUB Organoids B.V., Netherlands"/>
    <s v="Non-LFF"/>
    <s v=""/>
    <m/>
    <b v="0"/>
    <x v="2"/>
    <x v="3"/>
    <d v="2025-06-30T12:35:21"/>
    <m/>
    <m/>
    <x v="0"/>
    <n v="1"/>
    <s v="Joan Rose Pena"/>
    <m/>
  </r>
  <r>
    <x v="271"/>
    <x v="1"/>
    <x v="5"/>
    <s v="CNOW_7210$$$0000010318"/>
    <s v="L000013324"/>
    <s v="DFLTPGCOH_002098 Sigma-Aldrich Corporation, USA"/>
    <s v="Non-LFF"/>
    <s v=""/>
    <m/>
    <b v="0"/>
    <x v="2"/>
    <x v="3"/>
    <d v="2025-06-30T12:35:21"/>
    <m/>
    <m/>
    <x v="0"/>
    <n v="1"/>
    <s v="Joan Rose Pena"/>
    <m/>
  </r>
  <r>
    <x v="271"/>
    <x v="1"/>
    <x v="5"/>
    <s v="CNOW_7210$$$0000015207"/>
    <s v="L000010150"/>
    <s v="DFLTPGCOH_002004 Sigma-Aldrich Grundstücks GmbH &amp; Co. KG, Germany"/>
    <s v="Non-LFF"/>
    <s v=""/>
    <m/>
    <b v="0"/>
    <x v="2"/>
    <x v="3"/>
    <d v="2025-06-30T12:35:21"/>
    <m/>
    <m/>
    <x v="0"/>
    <n v="1"/>
    <s v="Joan Rose Pena"/>
    <m/>
  </r>
  <r>
    <x v="271"/>
    <x v="1"/>
    <x v="5"/>
    <s v="CNOW_7210$$$0000015561"/>
    <s v="L000007673"/>
    <s v="DFLTPGCOH_002002 Sigma-Aldrich Chemie GmbH, Germany"/>
    <s v="Non-LFF"/>
    <s v=""/>
    <m/>
    <b v="0"/>
    <x v="2"/>
    <x v="3"/>
    <d v="2025-06-30T12:35:21"/>
    <m/>
    <m/>
    <x v="0"/>
    <n v="1"/>
    <s v="Joan Rose Pena"/>
    <m/>
  </r>
  <r>
    <x v="271"/>
    <x v="1"/>
    <x v="5"/>
    <s v="CNOW_7210$$$0000020048"/>
    <s v="L000007835"/>
    <s v="DFLTPGCOH_002097 Sigma-Aldrich Co.LLC, USA"/>
    <s v="Non-LFF"/>
    <s v=""/>
    <m/>
    <b v="0"/>
    <x v="2"/>
    <x v="3"/>
    <d v="2025-06-30T12:35:21"/>
    <m/>
    <m/>
    <x v="0"/>
    <n v="1"/>
    <s v="Joan Rose Pena"/>
    <m/>
  </r>
  <r>
    <x v="271"/>
    <x v="1"/>
    <x v="5"/>
    <s v="CNOW_7210$$$0000040054"/>
    <s v="L000009807"/>
    <s v="DFLTPGCOH_002097 Sigma-Aldrich Co.LLC, USA"/>
    <s v="Non-LFF"/>
    <s v=""/>
    <m/>
    <b v="0"/>
    <x v="2"/>
    <x v="3"/>
    <d v="2025-06-30T12:35:21"/>
    <m/>
    <m/>
    <x v="0"/>
    <n v="1"/>
    <s v="Joan Rose Pena"/>
    <m/>
  </r>
  <r>
    <x v="271"/>
    <x v="1"/>
    <x v="5"/>
    <s v="CNOW_7210$$$0000052117"/>
    <s v="L000011157"/>
    <s v="DFLTPGCOH_002061 Sigma-Aldrich International GmbH, Switzerland"/>
    <s v="Non-LFF"/>
    <s v=""/>
    <m/>
    <b v="0"/>
    <x v="2"/>
    <x v="3"/>
    <d v="2025-06-30T12:35:21"/>
    <m/>
    <m/>
    <x v="0"/>
    <n v="1"/>
    <s v="Joan Rose Pena"/>
    <m/>
  </r>
  <r>
    <x v="271"/>
    <x v="1"/>
    <x v="5"/>
    <s v="CNOW_7210$$$0000052118"/>
    <s v="L000011157"/>
    <s v="DFLTPGCOH_002061 Sigma-Aldrich International GmbH, Switzerland"/>
    <s v="Non-LFF"/>
    <s v=""/>
    <m/>
    <b v="0"/>
    <x v="2"/>
    <x v="3"/>
    <d v="2025-06-30T12:35:21"/>
    <m/>
    <m/>
    <x v="0"/>
    <n v="1"/>
    <s v="Joan Rose Pena"/>
    <m/>
  </r>
  <r>
    <x v="271"/>
    <x v="1"/>
    <x v="5"/>
    <s v="CNOW_7210$$$0000052356"/>
    <s v="L000011665"/>
    <s v="DFLTPGCOH_002119 Sigma-Aldrich (Wuxi) Life Science &amp; Technology, China"/>
    <s v="Non-LFF"/>
    <s v=""/>
    <m/>
    <b v="0"/>
    <x v="2"/>
    <x v="3"/>
    <d v="2025-06-30T12:35:21"/>
    <m/>
    <m/>
    <x v="0"/>
    <n v="1"/>
    <s v="Joan Rose Pena"/>
    <m/>
  </r>
  <r>
    <x v="271"/>
    <x v="1"/>
    <x v="5"/>
    <s v="CNOW_7210$$$0000265236"/>
    <s v="L000011362"/>
    <s v="DFLTPGCOH_002072 BioReliance Corporation, USA"/>
    <s v="Non-LFF"/>
    <s v=""/>
    <m/>
    <b v="0"/>
    <x v="2"/>
    <x v="3"/>
    <d v="2025-06-30T12:35:21"/>
    <m/>
    <m/>
    <x v="0"/>
    <n v="1"/>
    <s v="Joan Rose Pena"/>
    <m/>
  </r>
  <r>
    <x v="271"/>
    <x v="1"/>
    <x v="5"/>
    <s v="CNOW_7210$$$0024065237"/>
    <s v="L000011362"/>
    <s v="DFLTPGCOH_002037 BioReliance Ltd., UK"/>
    <s v="Non-LFF"/>
    <s v=""/>
    <m/>
    <b v="0"/>
    <x v="2"/>
    <x v="3"/>
    <d v="2025-06-30T12:35:21"/>
    <m/>
    <m/>
    <x v="0"/>
    <n v="1"/>
    <s v="Joan Rose Pena"/>
    <m/>
  </r>
  <r>
    <x v="271"/>
    <x v="1"/>
    <x v="5"/>
    <s v="CNOW_7210$$$0024068113"/>
    <s v="L000007252"/>
    <s v="DFLTPGCOH_002037 BioReliance Ltd., UK"/>
    <s v="Non-LFF"/>
    <s v=""/>
    <m/>
    <b v="0"/>
    <x v="2"/>
    <x v="3"/>
    <d v="2025-06-30T12:35:21"/>
    <m/>
    <m/>
    <x v="0"/>
    <n v="1"/>
    <s v="Joan Rose Pena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39" applyNumberFormats="0" applyBorderFormats="0" applyFontFormats="0" applyPatternFormats="0" applyAlignmentFormats="0" applyWidthHeightFormats="1" dataCaption="Values" updatedVersion="8" minRefreshableVersion="3" useAutoFormatting="1" itemPrintTitles="1" createdVersion="7" indent="0" outline="1" outlineData="1" multipleFieldFilters="0">
  <location ref="A3:B27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0">
        <item sd="0" m="1" x="4"/>
        <item sd="0" m="1" x="5"/>
        <item sd="0" m="1" x="8"/>
        <item x="0"/>
        <item m="1" x="7"/>
        <item sd="0" m="1" x="6"/>
        <item x="2"/>
        <item x="1"/>
        <item x="3"/>
        <item t="default" sd="0"/>
      </items>
    </pivotField>
    <pivotField axis="axisPage" multipleItemSelectionAllowed="1" showAll="0">
      <items count="6">
        <item x="0"/>
        <item x="1"/>
        <item x="3"/>
        <item x="2"/>
        <item m="1" x="4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24">
    <i>
      <x v="3"/>
    </i>
    <i r="1">
      <x/>
    </i>
    <i r="1">
      <x v="1"/>
    </i>
    <i r="1">
      <x v="3"/>
    </i>
    <i r="1">
      <x v="5"/>
    </i>
    <i r="1">
      <x v="7"/>
    </i>
    <i r="1">
      <x v="10"/>
    </i>
    <i r="1">
      <x v="11"/>
    </i>
    <i r="1">
      <x v="12"/>
    </i>
    <i r="1">
      <x v="13"/>
    </i>
    <i>
      <x v="6"/>
    </i>
    <i r="1">
      <x/>
    </i>
    <i r="1">
      <x v="3"/>
    </i>
    <i r="1">
      <x v="7"/>
    </i>
    <i r="1">
      <x v="10"/>
    </i>
    <i>
      <x v="7"/>
    </i>
    <i r="1">
      <x/>
    </i>
    <i r="1">
      <x v="3"/>
    </i>
    <i r="1">
      <x v="7"/>
    </i>
    <i r="1">
      <x v="10"/>
    </i>
    <i>
      <x v="8"/>
    </i>
    <i r="1">
      <x/>
    </i>
    <i r="1">
      <x v="10"/>
    </i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39" applyNumberFormats="0" applyBorderFormats="0" applyFontFormats="0" applyPatternFormats="0" applyAlignmentFormats="0" applyWidthHeightFormats="1" dataCaption="Values" updatedVersion="8" minRefreshableVersion="3" useAutoFormatting="1" itemPrintTitles="1" createdVersion="7" indent="0" outline="1" outlineData="1" multipleFieldFilters="0">
  <location ref="A4:B17" firstHeaderRow="1" firstDataRow="1" firstDataCol="1" rowPageCount="1" colPageCount="1"/>
  <pivotFields count="19">
    <pivotField axis="axisRow" showAll="0" sortType="ascending">
      <items count="1454">
        <item sd="0" m="1" x="838"/>
        <item sd="0" x="0"/>
        <item sd="0" m="1" x="908"/>
        <item sd="0" m="1" x="1329"/>
        <item sd="0" m="1" x="491"/>
        <item sd="0" m="1" x="1346"/>
        <item sd="0" m="1" x="868"/>
        <item sd="0" m="1" x="958"/>
        <item sd="0" m="1" x="1379"/>
        <item sd="0" m="1" x="1173"/>
        <item sd="0" m="1" x="861"/>
        <item sd="0" m="1" x="1445"/>
        <item sd="0" m="1" x="1191"/>
        <item sd="0" m="1" x="1435"/>
        <item sd="0" m="1" x="809"/>
        <item sd="0" m="1" x="710"/>
        <item sd="0" m="1" x="414"/>
        <item sd="0" m="1" x="675"/>
        <item sd="0" m="1" x="1399"/>
        <item sd="0" m="1" x="467"/>
        <item sd="0" m="1" x="775"/>
        <item sd="0" m="1" x="1143"/>
        <item sd="0" m="1" x="858"/>
        <item sd="0" m="1" x="951"/>
        <item sd="0" m="1" x="1247"/>
        <item sd="0" m="1" x="1432"/>
        <item sd="0" m="1" x="893"/>
        <item sd="0" m="1" x="915"/>
        <item sd="0" m="1" x="680"/>
        <item sd="0" m="1" x="1081"/>
        <item sd="0" m="1" x="840"/>
        <item sd="0" m="1" x="1386"/>
        <item sd="0" m="1" x="1043"/>
        <item sd="0" m="1" x="476"/>
        <item sd="0" m="1" x="584"/>
        <item sd="0" m="1" x="1371"/>
        <item sd="0" m="1" x="1135"/>
        <item sd="0" m="1" x="389"/>
        <item sd="0" m="1" x="1221"/>
        <item sd="0" m="1" x="887"/>
        <item sd="0" m="1" x="1182"/>
        <item sd="0" m="1" x="768"/>
        <item sd="0" m="1" x="1120"/>
        <item sd="0" m="1" x="379"/>
        <item sd="0" m="1" x="409"/>
        <item sd="0" m="1" x="1448"/>
        <item sd="0" m="1" x="1127"/>
        <item sd="0" m="1" x="1195"/>
        <item sd="0" m="1" x="1302"/>
        <item sd="0" m="1" x="1071"/>
        <item sd="0" m="1" x="1169"/>
        <item sd="0" m="1" x="1008"/>
        <item sd="0" m="1" x="463"/>
        <item sd="0" m="1" x="654"/>
        <item sd="0" m="1" x="1430"/>
        <item sd="0" m="1" x="998"/>
        <item sd="0" m="1" x="1138"/>
        <item sd="0" m="1" x="666"/>
        <item sd="0" m="1" x="627"/>
        <item sd="0" m="1" x="919"/>
        <item sd="0" m="1" x="811"/>
        <item sd="0" m="1" x="844"/>
        <item sd="0" m="1" x="403"/>
        <item sd="0" m="1" x="542"/>
        <item sd="0" m="1" x="1204"/>
        <item sd="0" m="1" x="1421"/>
        <item sd="0" m="1" x="607"/>
        <item sd="0" m="1" x="1012"/>
        <item sd="0" m="1" x="1022"/>
        <item sd="0" m="1" x="1199"/>
        <item sd="0" m="1" x="1309"/>
        <item sd="0" m="1" x="1187"/>
        <item sd="0" m="1" x="482"/>
        <item sd="0" m="1" x="1330"/>
        <item sd="0" m="1" x="1060"/>
        <item sd="0" m="1" x="1047"/>
        <item sd="0" m="1" x="582"/>
        <item sd="0" m="1" x="935"/>
        <item sd="0" m="1" x="1282"/>
        <item sd="0" m="1" x="400"/>
        <item sd="0" m="1" x="979"/>
        <item sd="0" m="1" x="1332"/>
        <item sd="0" m="1" x="1170"/>
        <item sd="0" m="1" x="905"/>
        <item sd="0" m="1" x="947"/>
        <item sd="0" m="1" x="828"/>
        <item sd="0" m="1" x="1063"/>
        <item sd="0" m="1" x="875"/>
        <item sd="0" m="1" x="1107"/>
        <item sd="0" m="1" x="591"/>
        <item sd="0" m="1" x="1420"/>
        <item sd="0" m="1" x="945"/>
        <item sd="0" m="1" x="1231"/>
        <item sd="0" m="1" x="308"/>
        <item sd="0" m="1" x="1436"/>
        <item sd="0" m="1" x="972"/>
        <item sd="0" m="1" x="1261"/>
        <item sd="0" m="1" x="1174"/>
        <item sd="0" m="1" x="952"/>
        <item sd="0" m="1" x="462"/>
        <item sd="0" m="1" x="469"/>
        <item sd="0" m="1" x="509"/>
        <item sd="0" m="1" x="691"/>
        <item sd="0" m="1" x="1115"/>
        <item sd="0" m="1" x="876"/>
        <item sd="0" m="1" x="992"/>
        <item sd="0" m="1" x="1055"/>
        <item sd="0" m="1" x="1202"/>
        <item sd="0" m="1" x="1285"/>
        <item sd="0" m="1" x="847"/>
        <item sd="0" m="1" x="568"/>
        <item sd="0" m="1" x="411"/>
        <item sd="0" m="1" x="554"/>
        <item sd="0" m="1" x="1429"/>
        <item sd="0" m="1" x="586"/>
        <item sd="0" m="1" x="1267"/>
        <item sd="0" m="1" x="1196"/>
        <item sd="0" m="1" x="814"/>
        <item sd="0" m="1" x="886"/>
        <item sd="0" m="1" x="752"/>
        <item sd="0" m="1" x="1009"/>
        <item sd="0" m="1" x="1384"/>
        <item sd="0" m="1" x="560"/>
        <item sd="0" m="1" x="508"/>
        <item sd="0" m="1" x="443"/>
        <item sd="0" m="1" x="1109"/>
        <item sd="0" m="1" x="1369"/>
        <item sd="0" m="1" x="1297"/>
        <item sd="0" m="1" x="954"/>
        <item sd="0" m="1" x="478"/>
        <item sd="0" m="1" x="1203"/>
        <item sd="0" m="1" x="655"/>
        <item sd="0" m="1" x="909"/>
        <item sd="0" m="1" x="1084"/>
        <item sd="0" m="1" x="1192"/>
        <item sd="0" m="1" x="312"/>
        <item sd="0" m="1" x="1141"/>
        <item sd="0" m="1" x="1104"/>
        <item sd="0" m="1" x="545"/>
        <item sd="0" m="1" x="993"/>
        <item sd="0" m="1" x="881"/>
        <item sd="0" m="1" x="834"/>
        <item sd="0" m="1" x="567"/>
        <item sd="0" m="1" x="503"/>
        <item sd="0" m="1" x="743"/>
        <item sd="0" m="1" x="930"/>
        <item sd="0" m="1" x="337"/>
        <item sd="0" m="1" x="676"/>
        <item sd="0" m="1" x="535"/>
        <item sd="0" m="1" x="277"/>
        <item sd="0" m="1" x="787"/>
        <item sd="0" m="1" x="988"/>
        <item sd="0" m="1" x="870"/>
        <item sd="0" m="1" x="916"/>
        <item sd="0" m="1" x="1235"/>
        <item sd="0" m="1" x="817"/>
        <item sd="0" m="1" x="1343"/>
        <item sd="0" m="1" x="1067"/>
        <item sd="0" m="1" x="1006"/>
        <item sd="0" m="1" x="520"/>
        <item sd="0" m="1" x="1153"/>
        <item sd="0" m="1" x="1431"/>
        <item sd="0" m="1" x="1119"/>
        <item sd="0" m="1" x="1103"/>
        <item sd="0" m="1" x="390"/>
        <item sd="0" m="1" x="438"/>
        <item sd="0" m="1" x="973"/>
        <item sd="0" m="1" x="479"/>
        <item sd="0" m="1" x="1416"/>
        <item sd="0" m="1" x="1082"/>
        <item sd="0" m="1" x="1007"/>
        <item sd="0" m="1" x="959"/>
        <item sd="0" m="1" x="760"/>
        <item sd="0" m="1" x="388"/>
        <item sd="0" m="1" x="488"/>
        <item sd="0" m="1" x="594"/>
        <item sd="0" m="1" x="1327"/>
        <item sd="0" m="1" x="1359"/>
        <item sd="0" m="1" x="1058"/>
        <item sd="0" m="1" x="785"/>
        <item sd="0" m="1" x="873"/>
        <item sd="0" m="1" x="383"/>
        <item sd="0" m="1" x="423"/>
        <item sd="0" m="1" x="762"/>
        <item sd="0" m="1" x="987"/>
        <item sd="0" m="1" x="900"/>
        <item sd="0" m="1" x="558"/>
        <item sd="0" m="1" x="791"/>
        <item sd="0" m="1" x="505"/>
        <item sd="0" m="1" x="700"/>
        <item sd="0" m="1" x="622"/>
        <item sd="0" m="1" x="457"/>
        <item sd="0" m="1" x="593"/>
        <item sd="0" m="1" x="963"/>
        <item sd="0" m="1" x="373"/>
        <item sd="0" m="1" x="612"/>
        <item sd="0" m="1" x="404"/>
        <item sd="0" m="1" x="1097"/>
        <item sd="0" m="1" x="1286"/>
        <item sd="0" m="1" x="896"/>
        <item sd="0" m="1" x="540"/>
        <item sd="0" m="1" x="1190"/>
        <item sd="0" m="1" x="1035"/>
        <item sd="0" m="1" x="552"/>
        <item sd="0" m="1" x="553"/>
        <item sd="0" m="1" x="738"/>
        <item sd="0" m="1" x="428"/>
        <item sd="0" m="1" x="617"/>
        <item sd="0" m="1" x="412"/>
        <item sd="0" m="1" x="598"/>
        <item sd="0" m="1" x="1166"/>
        <item sd="0" m="1" x="677"/>
        <item sd="0" m="1" x="1044"/>
        <item sd="0" m="1" x="1094"/>
        <item sd="0" m="1" x="1228"/>
        <item sd="0" m="1" x="1232"/>
        <item sd="0" m="1" x="949"/>
        <item sd="0" m="1" x="790"/>
        <item sd="0" m="1" x="829"/>
        <item sd="0" m="1" x="1396"/>
        <item sd="0" m="1" x="689"/>
        <item sd="0" m="1" x="501"/>
        <item sd="0" m="1" x="879"/>
        <item sd="0" m="1" x="336"/>
        <item sd="0" m="1" x="1400"/>
        <item sd="0" m="1" x="863"/>
        <item sd="0" m="1" x="297"/>
        <item sd="0" m="1" x="1318"/>
        <item sd="0" m="1" x="1361"/>
        <item sd="0" m="1" x="1198"/>
        <item sd="0" m="1" x="575"/>
        <item sd="0" m="1" x="314"/>
        <item sd="0" m="1" x="1248"/>
        <item sd="0" m="1" x="639"/>
        <item sd="0" m="1" x="275"/>
        <item sd="0" m="1" x="1419"/>
        <item sd="0" m="1" x="663"/>
        <item sd="0" m="1" x="818"/>
        <item sd="0" m="1" x="1263"/>
        <item sd="0" m="1" x="350"/>
        <item sd="0" m="1" x="1175"/>
        <item sd="0" m="1" x="983"/>
        <item sd="0" m="1" x="848"/>
        <item sd="0" m="1" x="718"/>
        <item sd="0" m="1" x="465"/>
        <item sd="0" m="1" x="966"/>
        <item sd="0" m="1" x="668"/>
        <item sd="0" m="1" x="1206"/>
        <item sd="0" m="1" x="528"/>
        <item sd="0" m="1" x="1276"/>
        <item sd="0" m="1" x="1283"/>
        <item sd="0" m="1" x="967"/>
        <item sd="0" m="1" x="1157"/>
        <item sd="0" m="1" x="574"/>
        <item sd="0" m="1" x="871"/>
        <item sd="0" m="1" x="1160"/>
        <item sd="0" m="1" x="744"/>
        <item sd="0" m="1" x="1034"/>
        <item sd="0" m="1" x="673"/>
        <item sd="0" m="1" x="458"/>
        <item sd="0" m="1" x="662"/>
        <item sd="0" m="1" x="1428"/>
        <item sd="0" m="1" x="1370"/>
        <item sd="0" m="1" x="515"/>
        <item sd="0" m="1" x="1316"/>
        <item sd="0" m="1" x="322"/>
        <item sd="0" m="1" x="1338"/>
        <item sd="0" m="1" x="357"/>
        <item sd="0" m="1" x="659"/>
        <item sd="0" m="1" x="757"/>
        <item sd="0" m="1" x="704"/>
        <item sd="0" m="1" x="1311"/>
        <item sd="0" m="1" x="1214"/>
        <item sd="0" m="1" x="455"/>
        <item sd="0" m="1" x="1025"/>
        <item sd="0" m="1" x="1233"/>
        <item sd="0" m="1" x="1367"/>
        <item sd="0" m="1" x="1274"/>
        <item sd="0" m="1" x="360"/>
        <item sd="0" m="1" x="1440"/>
        <item sd="0" m="1" x="511"/>
        <item sd="0" m="1" x="792"/>
        <item sd="0" m="1" x="1236"/>
        <item sd="0" m="1" x="359"/>
        <item sd="0" m="1" x="1295"/>
        <item sd="0" m="1" x="524"/>
        <item sd="0" m="1" x="1168"/>
        <item sd="0" m="1" x="1032"/>
        <item sd="0" m="1" x="1010"/>
        <item sd="0" m="1" x="589"/>
        <item sd="0" m="1" x="551"/>
        <item sd="0" m="1" x="1363"/>
        <item sd="0" m="1" x="304"/>
        <item sd="0" m="1" x="486"/>
        <item sd="0" m="1" x="1145"/>
        <item sd="0" m="1" x="1256"/>
        <item sd="0" m="1" x="1183"/>
        <item sd="0" m="1" x="1387"/>
        <item sd="0" m="1" x="891"/>
        <item sd="0" m="1" x="518"/>
        <item sd="0" m="1" x="638"/>
        <item sd="0" m="1" x="957"/>
        <item sd="0" m="1" x="699"/>
        <item sd="0" m="1" x="1027"/>
        <item sd="0" m="1" x="640"/>
        <item sd="0" m="1" x="442"/>
        <item sd="0" m="1" x="1095"/>
        <item sd="0" m="1" x="497"/>
        <item sd="0" m="1" x="377"/>
        <item sd="0" m="1" x="1229"/>
        <item sd="0" m="1" x="1376"/>
        <item sd="0" m="1" x="1077"/>
        <item sd="0" m="1" x="342"/>
        <item sd="0" m="1" x="1268"/>
        <item sd="0" m="1" x="1066"/>
        <item sd="0" m="1" x="1176"/>
        <item sd="0" m="1" x="1315"/>
        <item sd="0" m="1" x="543"/>
        <item sd="0" m="1" x="735"/>
        <item sd="0" m="1" x="573"/>
        <item sd="0" m="1" x="841"/>
        <item sd="0" m="1" x="765"/>
        <item sd="0" m="1" x="795"/>
        <item sd="0" m="1" x="1331"/>
        <item sd="0" m="1" x="777"/>
        <item sd="0" m="1" x="980"/>
        <item sd="0" m="1" x="512"/>
        <item sd="0" m="1" x="711"/>
        <item sd="0" m="1" x="685"/>
        <item sd="0" m="1" x="1028"/>
        <item sd="0" m="1" x="931"/>
        <item sd="0" m="1" x="1159"/>
        <item sd="0" m="1" x="681"/>
        <item sd="0" m="1" x="1317"/>
        <item sd="0" m="1" x="519"/>
        <item sd="0" m="1" x="445"/>
        <item sd="0" m="1" x="701"/>
        <item sd="0" m="1" x="1242"/>
        <item sd="0" m="1" x="352"/>
        <item sd="0" m="1" x="353"/>
        <item sd="0" m="1" x="649"/>
        <item sd="0" m="1" x="1322"/>
        <item sd="0" m="1" x="716"/>
        <item sd="0" m="1" x="361"/>
        <item sd="0" m="1" x="521"/>
        <item sd="0" m="1" x="763"/>
        <item sd="0" m="1" x="1074"/>
        <item sd="0" m="1" x="1046"/>
        <item sd="0" m="1" x="717"/>
        <item sd="0" m="1" x="298"/>
        <item sd="0" m="1" x="436"/>
        <item sd="0" m="1" x="648"/>
        <item sd="0" m="1" x="536"/>
        <item sd="0" m="1" x="293"/>
        <item sd="0" m="1" x="1246"/>
        <item sd="0" m="1" x="1375"/>
        <item sd="0" m="1" x="845"/>
        <item sd="0" m="1" x="1275"/>
        <item sd="0" m="1" x="1335"/>
        <item sd="0" m="1" x="358"/>
        <item sd="0" m="1" x="1373"/>
        <item sd="0" m="1" x="1111"/>
        <item sd="0" m="1" x="534"/>
        <item sd="0" m="1" x="720"/>
        <item sd="0" m="1" x="624"/>
        <item sd="0" m="1" x="986"/>
        <item sd="0" m="1" x="557"/>
        <item sd="0" m="1" x="773"/>
        <item sd="0" m="1" x="1068"/>
        <item sd="0" m="1" x="1193"/>
        <item sd="0" m="1" x="696"/>
        <item sd="0" m="1" x="824"/>
        <item sd="0" m="1" x="636"/>
        <item sd="0" m="1" x="562"/>
        <item sd="0" m="1" x="1073"/>
        <item sd="0" m="1" x="1188"/>
        <item sd="0" m="1" x="1350"/>
        <item sd="0" m="1" x="392"/>
        <item sd="0" m="1" x="596"/>
        <item sd="0" m="1" x="1036"/>
        <item sd="0" m="1" x="437"/>
        <item sd="0" m="1" x="724"/>
        <item sd="0" m="1" x="1105"/>
        <item sd="0" m="1" x="370"/>
        <item sd="0" m="1" x="580"/>
        <item sd="0" m="1" x="690"/>
        <item sd="0" m="1" x="1296"/>
        <item sd="0" m="1" x="529"/>
        <item sd="0" m="1" x="799"/>
        <item sd="0" m="1" x="1352"/>
        <item sd="0" m="1" x="480"/>
        <item sd="0" m="1" x="669"/>
        <item sd="0" m="1" x="857"/>
        <item sd="0" m="1" x="1194"/>
        <item sd="0" m="1" x="492"/>
        <item sd="0" m="1" x="748"/>
        <item sd="0" m="1" x="590"/>
        <item sd="0" m="1" x="1086"/>
        <item sd="0" m="1" x="1272"/>
        <item sd="0" m="1" x="398"/>
        <item sd="0" m="1" x="618"/>
        <item sd="0" m="1" x="1354"/>
        <item sd="0" m="1" x="1319"/>
        <item sd="0" m="1" x="419"/>
        <item sd="0" m="1" x="736"/>
        <item sd="0" m="1" x="1260"/>
        <item sd="0" m="1" x="1391"/>
        <item sd="0" m="1" x="1262"/>
        <item sd="0" m="1" x="1237"/>
        <item sd="0" m="1" x="368"/>
        <item sd="0" m="1" x="544"/>
        <item sd="0" m="1" x="626"/>
        <item sd="0" m="1" x="615"/>
        <item sd="0" m="1" x="842"/>
        <item sd="0" m="1" x="330"/>
        <item sd="0" m="1" x="1029"/>
        <item sd="0" m="1" x="1100"/>
        <item sd="0" m="1" x="282"/>
        <item sd="0" m="1" x="1360"/>
        <item sd="0" m="1" x="1222"/>
        <item sd="0" m="1" x="1351"/>
        <item sd="0" m="1" x="1381"/>
        <item sd="0" m="1" x="1417"/>
        <item sd="0" m="1" x="1355"/>
        <item sd="0" m="1" x="719"/>
        <item sd="0" m="1" x="1079"/>
        <item sd="0" m="1" x="686"/>
        <item sd="0" m="1" x="1092"/>
        <item sd="0" m="1" x="1057"/>
        <item sd="0" m="1" x="495"/>
        <item sd="0" m="1" x="533"/>
        <item sd="0" m="1" x="671"/>
        <item sd="0" m="1" x="1136"/>
        <item sd="0" m="1" x="656"/>
        <item sd="0" m="1" x="402"/>
        <item sd="0" m="1" x="1401"/>
        <item sd="0" m="1" x="1151"/>
        <item sd="0" m="1" x="984"/>
        <item sd="0" m="1" x="1016"/>
        <item sd="0" m="1" x="1065"/>
        <item sd="0" m="1" x="490"/>
        <item sd="0" m="1" x="832"/>
        <item sd="0" m="1" x="1177"/>
        <item sd="0" m="1" x="328"/>
        <item sd="0" m="1" x="571"/>
        <item sd="0" m="1" x="471"/>
        <item sd="0" m="1" x="468"/>
        <item sd="0" m="1" x="472"/>
        <item sd="0" m="1" x="273"/>
        <item sd="0" m="1" x="494"/>
        <item sd="0" m="1" x="1291"/>
        <item sd="0" m="1" x="295"/>
        <item sd="0" m="1" x="941"/>
        <item sd="0" m="1" x="1378"/>
        <item sd="0" m="1" x="1189"/>
        <item sd="0" m="1" x="449"/>
        <item sd="0" m="1" x="1449"/>
        <item sd="0" m="1" x="378"/>
        <item sd="0" m="1" x="745"/>
        <item sd="0" m="1" x="968"/>
        <item sd="0" m="1" x="424"/>
        <item sd="0" m="1" x="877"/>
        <item sd="0" m="1" x="1037"/>
        <item sd="0" m="1" x="1305"/>
        <item sd="0" m="1" x="1207"/>
        <item sd="0" m="1" x="286"/>
        <item sd="0" m="1" x="969"/>
        <item sd="0" m="1" x="369"/>
        <item sd="0" m="1" x="605"/>
        <item sd="0" m="1" x="577"/>
        <item sd="0" m="1" x="339"/>
        <item sd="0" m="1" x="932"/>
        <item sd="0" m="1" x="939"/>
        <item sd="0" m="1" x="1039"/>
        <item sd="0" m="1" x="788"/>
        <item sd="0" m="1" x="1288"/>
        <item sd="0" m="1" x="697"/>
        <item sd="0" m="1" x="1407"/>
        <item sd="0" m="1" x="1042"/>
        <item sd="0" m="1" x="933"/>
        <item sd="0" m="1" x="597"/>
        <item sd="0" m="1" x="1005"/>
        <item sd="0" m="1" x="1303"/>
        <item sd="0" m="1" x="1368"/>
        <item sd="0" m="1" x="1347"/>
        <item sd="0" m="1" x="1277"/>
        <item sd="0" m="1" x="1026"/>
        <item sd="0" m="1" x="1139"/>
        <item sd="0" m="1" x="652"/>
        <item sd="0" m="1" x="1101"/>
        <item sd="0" m="1" x="926"/>
        <item sd="0" m="1" x="885"/>
        <item sd="0" m="1" x="883"/>
        <item sd="0" m="1" x="884"/>
        <item sd="0" m="1" x="581"/>
        <item sd="0" m="1" x="625"/>
        <item sd="0" m="1" x="1238"/>
        <item sd="0" m="1" x="803"/>
        <item sd="0" m="1" x="645"/>
        <item sd="0" m="1" x="687"/>
        <item sd="0" m="1" x="733"/>
        <item sd="0" m="1" x="985"/>
        <item sd="0" m="1" x="1323"/>
        <item sd="0" m="1" x="1412"/>
        <item sd="0" m="1" x="530"/>
        <item sd="0" m="1" x="481"/>
        <item sd="0" m="1" x="318"/>
        <item sd="0" m="1" x="340"/>
        <item sd="0" m="1" x="637"/>
        <item sd="0" m="1" x="425"/>
        <item sd="0" m="1" x="753"/>
        <item sd="0" m="1" x="1289"/>
        <item sd="0" m="1" x="630"/>
        <item sd="0" m="1" x="422"/>
        <item sd="0" m="1" x="1181"/>
        <item sd="0" m="1" x="299"/>
        <item sd="0" m="1" x="1307"/>
        <item sd="0" m="1" x="1382"/>
        <item sd="0" m="1" x="1446"/>
        <item sd="0" m="1" x="1321"/>
        <item sd="0" m="1" x="564"/>
        <item sd="0" m="1" x="341"/>
        <item sd="0" m="1" x="805"/>
        <item sd="0" m="1" x="889"/>
        <item sd="0" m="1" x="1085"/>
        <item sd="0" m="1" x="1053"/>
        <item sd="0" m="1" x="1089"/>
        <item sd="0" m="1" x="866"/>
        <item sd="0" m="1" x="904"/>
        <item sd="0" m="1" x="1345"/>
        <item sd="0" m="1" x="1108"/>
        <item sd="0" m="1" x="1078"/>
        <item sd="0" m="1" x="1017"/>
        <item sd="0" m="1" x="1090"/>
        <item sd="0" m="1" x="291"/>
        <item sd="0" m="1" x="296"/>
        <item sd="0" m="1" x="899"/>
        <item sd="0" m="1" x="1284"/>
        <item sd="0" m="1" x="854"/>
        <item sd="0" m="1" x="1424"/>
        <item sd="0" m="1" x="823"/>
        <item sd="0" m="1" x="999"/>
        <item sd="0" m="1" x="1070"/>
        <item sd="0" m="1" x="684"/>
        <item sd="0" m="1" x="516"/>
        <item sd="0" m="1" x="892"/>
        <item sd="0" m="1" x="578"/>
        <item sd="0" m="1" x="1433"/>
        <item sd="0" m="1" x="1348"/>
        <item sd="0" m="1" x="1161"/>
        <item sd="0" m="1" x="418"/>
        <item sd="0" m="1" x="345"/>
        <item sd="0" m="1" x="918"/>
        <item sd="0" m="1" x="1162"/>
        <item sd="0" m="1" x="1451"/>
        <item sd="0" m="1" x="797"/>
        <item sd="0" m="1" x="1398"/>
        <item sd="0" m="1" x="332"/>
        <item sd="0" m="1" x="446"/>
        <item sd="0" m="1" x="758"/>
        <item sd="0" m="1" x="849"/>
        <item sd="0" m="1" x="1278"/>
        <item sd="0" m="1" x="602"/>
        <item sd="0" m="1" x="1281"/>
        <item sd="0" m="1" x="698"/>
        <item sd="0" m="1" x="1270"/>
        <item sd="0" m="1" x="1434"/>
        <item sd="0" m="1" x="362"/>
        <item sd="0" m="1" x="1418"/>
        <item sd="0" m="1" x="309"/>
        <item sd="0" m="1" x="1171"/>
        <item sd="0" m="1" x="789"/>
        <item sd="0" m="1" x="620"/>
        <item sd="0" m="1" x="583"/>
        <item sd="0" m="1" x="727"/>
        <item sd="0" m="1" x="326"/>
        <item sd="0" m="1" x="1411"/>
        <item sd="0" m="1" x="410"/>
        <item sd="0" m="1" x="431"/>
        <item sd="0" m="1" x="1304"/>
        <item sd="0" m="1" x="1383"/>
        <item sd="0" m="1" x="897"/>
        <item sd="0" m="1" x="1038"/>
        <item sd="0" m="1" x="739"/>
        <item sd="0" m="1" x="852"/>
        <item sd="0" m="1" x="1001"/>
        <item sd="0" m="1" x="1118"/>
        <item sd="0" m="1" x="705"/>
        <item sd="0" m="1" x="981"/>
        <item sd="0" m="1" x="800"/>
        <item sd="0" m="1" x="1437"/>
        <item sd="0" m="1" x="290"/>
        <item sd="0" m="1" x="729"/>
        <item sd="0" m="1" x="670"/>
        <item sd="0" m="1" x="631"/>
        <item sd="0" m="1" x="1425"/>
        <item sd="0" m="1" x="1243"/>
        <item sd="0" m="1" x="1374"/>
        <item sd="0" m="1" x="387"/>
        <item sd="0" m="1" x="1385"/>
        <item sd="0" m="1" x="1372"/>
        <item sd="0" m="1" x="1249"/>
        <item sd="0" m="1" x="484"/>
        <item sd="0" m="1" x="853"/>
        <item sd="0" m="1" x="946"/>
        <item sd="0" m="1" x="692"/>
        <item sd="0" m="1" x="1290"/>
        <item sd="0" m="1" x="1076"/>
        <item sd="0" m="1" x="1096"/>
        <item sd="0" m="1" x="990"/>
        <item sd="0" m="1" x="333"/>
        <item sd="0" m="1" x="1163"/>
        <item sd="0" m="1" x="1325"/>
        <item sd="0" m="1" x="730"/>
        <item sd="0" m="1" x="1444"/>
        <item sd="0" m="1" x="938"/>
        <item sd="0" m="1" x="525"/>
        <item sd="0" m="1" x="658"/>
        <item sd="0" m="1" x="694"/>
        <item sd="0" m="1" x="1353"/>
        <item sd="0" m="1" x="1337"/>
        <item sd="0" m="1" x="397"/>
        <item sd="0" m="1" x="399"/>
        <item sd="0" m="1" x="313"/>
        <item sd="0" m="1" x="1273"/>
        <item sd="0" m="1" x="315"/>
        <item sd="0" m="1" x="732"/>
        <item sd="0" m="1" x="632"/>
        <item sd="0" m="1" x="1088"/>
        <item sd="0" m="1" x="1031"/>
        <item sd="0" m="1" x="1380"/>
        <item sd="0" m="1" x="1312"/>
        <item sd="0" m="1" x="804"/>
        <item sd="0" m="1" x="1018"/>
        <item sd="0" m="1" x="1253"/>
        <item sd="0" m="1" x="366"/>
        <item sd="0" m="1" x="798"/>
        <item sd="0" m="1" x="728"/>
        <item sd="0" m="1" x="1422"/>
        <item sd="0" m="1" x="1389"/>
        <item sd="0" m="1" x="820"/>
        <item sd="0" m="1" x="426"/>
        <item sd="0" m="1" x="721"/>
        <item sd="0" m="1" x="894"/>
        <item sd="0" m="1" x="348"/>
        <item sd="0" m="1" x="1184"/>
        <item sd="0" m="1" x="778"/>
        <item sd="0" m="1" x="588"/>
        <item sd="0" m="1" x="682"/>
        <item sd="0" m="1" x="1128"/>
        <item sd="0" m="1" x="1427"/>
        <item sd="0" m="1" x="506"/>
        <item sd="0" m="1" x="1279"/>
        <item sd="0" m="1" x="500"/>
        <item sd="0" m="1" x="1064"/>
        <item sd="0" m="1" x="836"/>
        <item sd="0" m="1" x="767"/>
        <item sd="0" m="1" x="489"/>
        <item sd="0" m="1" x="556"/>
        <item sd="0" m="1" x="344"/>
        <item sd="0" m="1" x="1144"/>
        <item sd="0" m="1" x="657"/>
        <item sd="0" m="1" x="381"/>
        <item sd="0" m="1" x="995"/>
        <item sd="0" m="1" x="1310"/>
        <item sd="0" m="1" x="850"/>
        <item sd="0" m="1" x="808"/>
        <item sd="0" m="1" x="279"/>
        <item sd="0" m="1" x="1415"/>
        <item sd="0" m="1" x="665"/>
        <item sd="0" m="1" x="725"/>
        <item sd="0" m="1" x="1132"/>
        <item sd="0" m="1" x="1409"/>
        <item sd="0" m="1" x="1334"/>
        <item sd="0" m="1" x="1185"/>
        <item sd="0" m="1" x="1300"/>
        <item sd="0" m="1" x="461"/>
        <item sd="0" m="1" x="660"/>
        <item sd="0" m="1" x="493"/>
        <item sd="0" m="1" x="285"/>
        <item sd="0" m="1" x="898"/>
        <item sd="0" m="1" x="347"/>
        <item sd="0" m="1" x="569"/>
        <item sd="0" m="1" x="513"/>
        <item sd="0" m="1" x="459"/>
        <item sd="0" m="1" x="1414"/>
        <item sd="0" m="1" x="510"/>
        <item sd="0" m="1" x="1112"/>
        <item sd="0" m="1" x="1324"/>
        <item sd="0" m="1" x="450"/>
        <item sd="0" m="1" x="354"/>
        <item sd="0" m="1" x="1147"/>
        <item sd="0" m="1" x="1123"/>
        <item sd="0" m="1" x="1164"/>
        <item sd="0" m="1" x="1083"/>
        <item sd="0" m="1" x="427"/>
        <item sd="0" m="1" x="783"/>
        <item sd="0" m="1" x="1051"/>
        <item sd="0" m="1" x="1301"/>
        <item sd="0" m="1" x="895"/>
        <item sd="0" m="1" x="1013"/>
        <item sd="0" m="1" x="1357"/>
        <item sd="0" m="1" x="769"/>
        <item sd="0" m="1" x="613"/>
        <item sd="0" m="1" x="846"/>
        <item sd="0" m="1" x="793"/>
        <item sd="0" m="1" x="723"/>
        <item sd="0" m="1" x="1240"/>
        <item sd="0" m="1" x="927"/>
        <item sd="0" m="1" x="1023"/>
        <item sd="0" m="1" x="274"/>
        <item sd="0" m="1" x="819"/>
        <item sd="0" m="1" x="421"/>
        <item sd="0" m="1" x="688"/>
        <item sd="0" m="1" x="826"/>
        <item sd="0" m="1" x="356"/>
        <item sd="0" m="1" x="473"/>
        <item sd="0" m="1" x="928"/>
        <item sd="0" m="1" x="1125"/>
        <item sd="0" m="1" x="1395"/>
        <item sd="0" m="1" x="1438"/>
        <item sd="0" m="1" x="1048"/>
        <item sd="0" m="1" x="396"/>
        <item sd="0" m="1" x="324"/>
        <item sd="0" m="1" x="910"/>
        <item sd="0" m="1" x="532"/>
        <item sd="0" m="1" x="806"/>
        <item sd="0" m="1" x="434"/>
        <item sd="0" m="1" x="537"/>
        <item sd="0" m="1" x="964"/>
        <item sd="0" m="1" x="1320"/>
        <item sd="0" m="1" x="1251"/>
        <item sd="0" m="1" x="667"/>
        <item sd="0" m="1" x="702"/>
        <item sd="0" m="1" x="978"/>
        <item sd="0" m="1" x="1408"/>
        <item sd="0" m="1" x="1134"/>
        <item sd="0" m="1" x="300"/>
        <item sd="0" m="1" x="1362"/>
        <item sd="0" m="1" x="408"/>
        <item sd="0" m="1" x="1054"/>
        <item sd="0" m="1" x="1099"/>
        <item sd="0" m="1" x="1102"/>
        <item sd="0" m="1" x="1442"/>
        <item sd="0" m="1" x="335"/>
        <item sd="0" m="1" x="1113"/>
        <item sd="0" m="1" x="1210"/>
        <item sd="0" m="1" x="982"/>
        <item sd="0" m="1" x="1152"/>
        <item sd="0" m="1" x="394"/>
        <item sd="0" m="1" x="786"/>
        <item sd="0" m="1" x="633"/>
        <item sd="0" m="1" x="1245"/>
        <item sd="0" m="1" x="1340"/>
        <item sd="0" m="1" x="869"/>
        <item sd="0" m="1" x="1308"/>
        <item sd="0" m="1" x="1356"/>
        <item sd="0" m="1" x="709"/>
        <item sd="0" m="1" x="1212"/>
        <item sd="0" m="1" x="1075"/>
        <item sd="0" m="1" x="1358"/>
        <item sd="0" m="1" x="1402"/>
        <item sd="0" m="1" x="1140"/>
        <item sd="0" m="1" x="750"/>
        <item sd="0" m="1" x="555"/>
        <item sd="0" m="1" x="1390"/>
        <item sd="0" m="1" x="937"/>
        <item sd="0" m="1" x="911"/>
        <item sd="0" m="1" x="920"/>
        <item sd="0" m="1" x="1441"/>
        <item sd="0" m="1" x="1165"/>
        <item sd="0" m="1" x="860"/>
        <item sd="0" m="1" x="1129"/>
        <item sd="0" m="1" x="1106"/>
        <item sd="0" m="1" x="722"/>
        <item sd="0" m="1" x="623"/>
        <item sd="0" m="1" x="1122"/>
        <item sd="0" m="1" x="517"/>
        <item sd="0" m="1" x="474"/>
        <item sd="0" m="1" x="416"/>
        <item sd="0" m="1" x="1403"/>
        <item sd="0" m="1" x="1019"/>
        <item sd="0" m="1" x="754"/>
        <item sd="0" m="1" x="835"/>
        <item sd="0" m="1" x="316"/>
        <item sd="0" m="1" x="1392"/>
        <item sd="0" m="1" x="943"/>
        <item sd="0" m="1" x="1091"/>
        <item sd="0" m="1" x="539"/>
        <item sd="0" m="1" x="1223"/>
        <item sd="0" m="1" x="726"/>
        <item sd="0" m="1" x="619"/>
        <item sd="0" m="1" x="1447"/>
        <item sd="0" m="1" x="749"/>
        <item sd="0" m="1" x="1388"/>
        <item sd="0" m="1" x="974"/>
        <item sd="0" m="1" x="650"/>
        <item sd="0" m="1" x="441"/>
        <item sd="0" m="1" x="384"/>
        <item sd="0" m="1" x="678"/>
        <item sd="0" m="1" x="375"/>
        <item sd="0" m="1" x="346"/>
        <item sd="0" m="1" x="363"/>
        <item sd="0" m="1" x="642"/>
        <item sd="0" m="1" x="487"/>
        <item sd="0" m="1" x="794"/>
        <item sd="0" m="1" x="851"/>
        <item sd="0" m="1" x="950"/>
        <item sd="0" m="1" x="821"/>
        <item sd="0" m="1" x="1154"/>
        <item sd="0" m="1" x="1218"/>
        <item sd="0" m="1" x="430"/>
        <item sd="0" m="1" x="440"/>
        <item sd="0" m="1" x="629"/>
        <item sd="0" m="1" x="771"/>
        <item sd="0" m="1" x="561"/>
        <item sd="0" m="1" x="1114"/>
        <item sd="0" m="1" x="864"/>
        <item sd="0" m="1" x="781"/>
        <item sd="0" m="1" x="914"/>
        <item sd="0" m="1" x="1220"/>
        <item sd="0" m="1" x="1158"/>
        <item sd="0" m="1" x="1244"/>
        <item sd="0" m="1" x="1000"/>
        <item sd="0" m="1" x="420"/>
        <item sd="0" m="1" x="1426"/>
        <item sd="0" m="1" x="839"/>
        <item sd="0" m="1" x="454"/>
        <item sd="0" m="1" x="278"/>
        <item sd="0" m="1" x="1423"/>
        <item sd="0" m="1" x="907"/>
        <item sd="0" m="1" x="874"/>
        <item sd="0" m="1" x="646"/>
        <item sd="0" m="1" x="526"/>
        <item sd="0" m="1" x="610"/>
        <item sd="0" m="1" x="764"/>
        <item sd="0" m="1" x="1339"/>
        <item sd="0" m="1" x="1258"/>
        <item sd="0" m="1" x="634"/>
        <item sd="0" m="1" x="707"/>
        <item sd="0" m="1" x="714"/>
        <item sd="0" m="1" x="1252"/>
        <item sd="0" m="1" x="855"/>
        <item sd="0" m="1" x="327"/>
        <item sd="0" m="1" x="888"/>
        <item sd="0" m="1" x="1167"/>
        <item sd="0" m="1" x="1293"/>
        <item sd="0" m="1" x="1186"/>
        <item sd="0" m="1" x="994"/>
        <item sd="0" m="1" x="1292"/>
        <item sd="0" m="1" x="306"/>
        <item sd="0" m="1" x="1209"/>
        <item sd="0" m="1" x="288"/>
        <item sd="0" m="1" x="628"/>
        <item sd="0" m="1" x="292"/>
        <item sd="0" m="1" x="451"/>
        <item sd="0" m="1" x="541"/>
        <item sd="0" m="1" x="547"/>
        <item sd="0" m="1" x="965"/>
        <item sd="0" m="1" x="1219"/>
        <item sd="0" m="1" x="746"/>
        <item sd="0" m="1" x="317"/>
        <item sd="0" m="1" x="523"/>
        <item sd="0" m="1" x="311"/>
        <item sd="0" m="1" x="1306"/>
        <item sd="0" m="1" x="531"/>
        <item sd="0" m="1" x="867"/>
        <item sd="0" m="1" x="1326"/>
        <item sd="0" m="1" x="653"/>
        <item sd="0" m="1" x="595"/>
        <item sd="0" m="1" x="991"/>
        <item sd="0" m="1" x="548"/>
        <item sd="0" m="1" x="856"/>
        <item sd="0" m="1" x="1150"/>
        <item sd="0" m="1" x="289"/>
        <item sd="0" m="1" x="802"/>
        <item sd="0" m="1" x="921"/>
        <item sd="0" m="1" x="413"/>
        <item sd="0" m="1" x="755"/>
        <item sd="0" m="1" x="890"/>
        <item sd="0" m="1" x="641"/>
        <item sd="0" m="1" x="679"/>
        <item sd="0" m="1" x="406"/>
        <item sd="0" m="1" x="812"/>
        <item sd="0" m="1" x="276"/>
        <item sd="0" m="1" x="948"/>
        <item sd="0" m="1" x="1341"/>
        <item sd="0" m="1" x="1062"/>
        <item sd="0" m="1" x="1056"/>
        <item sd="0" m="1" x="955"/>
        <item sd="0" m="1" x="281"/>
        <item sd="0" m="1" x="1087"/>
        <item sd="0" m="1" x="1130"/>
        <item sd="0" m="1" x="936"/>
        <item sd="0" m="1" x="280"/>
        <item sd="0" m="1" x="1287"/>
        <item sd="0" m="1" x="1254"/>
        <item sd="0" m="1" x="284"/>
        <item sd="0" m="1" x="563"/>
        <item sd="0" m="1" x="953"/>
        <item sd="0" m="1" x="1208"/>
        <item sd="0" m="1" x="405"/>
        <item sd="0" m="1" x="301"/>
        <item sd="0" m="1" x="460"/>
        <item sd="0" m="1" x="351"/>
        <item sd="0" m="1" x="759"/>
        <item sd="0" m="1" x="572"/>
        <item sd="0" m="1" x="570"/>
        <item sd="0" m="1" x="741"/>
        <item sd="0" m="1" x="843"/>
        <item sd="0" m="1" x="747"/>
        <item sd="0" m="1" x="944"/>
        <item sd="0" m="1" x="796"/>
        <item sd="0" m="1" x="661"/>
        <item sd="0" m="1" x="776"/>
        <item sd="0" m="1" x="1269"/>
        <item sd="0" m="1" x="1364"/>
        <item sd="0" m="1" x="621"/>
        <item sd="0" m="1" x="1344"/>
        <item sd="0" m="1" x="386"/>
        <item sd="0" m="1" x="1333"/>
        <item sd="0" m="1" x="1030"/>
        <item sd="0" m="1" x="1201"/>
        <item sd="0" m="1" x="1280"/>
        <item sd="0" m="1" x="960"/>
        <item sd="0" m="1" x="1172"/>
        <item sd="0" m="1" x="464"/>
        <item sd="0" m="1" x="447"/>
        <item sd="0" m="1" x="1069"/>
        <item sd="0" m="1" x="1041"/>
        <item sd="0" m="1" x="603"/>
        <item sd="0" m="1" x="1439"/>
        <item sd="0" m="1" x="1011"/>
        <item sd="0" m="1" x="751"/>
        <item sd="0" m="1" x="825"/>
        <item sd="0" m="1" x="784"/>
        <item sd="0" m="1" x="1294"/>
        <item sd="0" m="1" x="1298"/>
        <item sd="0" m="1" x="294"/>
        <item sd="0" m="1" x="1178"/>
        <item sd="0" m="1" x="1224"/>
        <item sd="0" m="1" x="343"/>
        <item sd="0" m="1" x="715"/>
        <item sd="0" m="1" x="706"/>
        <item sd="0" m="1" x="1213"/>
        <item sd="0" m="1" x="912"/>
        <item sd="0" m="1" x="1116"/>
        <item sd="0" m="1" x="782"/>
        <item sd="0" m="1" x="1133"/>
        <item sd="0" m="1" x="321"/>
        <item sd="0" m="1" x="444"/>
        <item sd="0" m="1" x="1413"/>
        <item sd="0" m="1" x="1033"/>
        <item sd="0" m="1" x="1405"/>
        <item sd="0" m="1" x="325"/>
        <item sd="0" m="1" x="585"/>
        <item sd="0" m="1" x="401"/>
        <item sd="0" m="1" x="334"/>
        <item sd="0" m="1" x="349"/>
        <item sd="0" m="1" x="901"/>
        <item sd="0" m="1" x="934"/>
        <item sd="0" m="1" x="606"/>
        <item sd="0" m="1" x="1024"/>
        <item sd="0" m="1" x="1342"/>
        <item sd="0" m="1" x="693"/>
        <item sd="0" m="1" x="772"/>
        <item sd="0" m="1" x="922"/>
        <item sd="0" m="1" x="1410"/>
        <item sd="0" m="1" x="587"/>
        <item sd="0" m="1" x="599"/>
        <item sd="0" m="1" x="609"/>
        <item sd="0" m="1" x="1230"/>
        <item sd="0" m="1" x="1366"/>
        <item sd="0" m="1" x="283"/>
        <item sd="0" m="1" x="1110"/>
        <item sd="0" m="1" x="1406"/>
        <item sd="0" m="1" x="507"/>
        <item sd="0" m="1" x="822"/>
        <item sd="0" m="1" x="1443"/>
        <item sd="0" m="1" x="1349"/>
        <item sd="0" m="1" x="496"/>
        <item sd="0" m="1" x="608"/>
        <item sd="0" m="1" x="695"/>
        <item sd="0" m="1" x="1020"/>
        <item sd="0" m="1" x="1217"/>
        <item sd="0" m="1" x="452"/>
        <item sd="0" m="1" x="923"/>
        <item sd="0" m="1" x="448"/>
        <item sd="0" m="1" x="417"/>
        <item sd="0" m="1" x="365"/>
        <item sd="0" m="1" x="1336"/>
        <item sd="0" m="1" x="929"/>
        <item sd="0" m="1" x="1377"/>
        <item sd="0" m="1" x="770"/>
        <item sd="0" m="1" x="1394"/>
        <item sd="0" m="1" x="1146"/>
        <item sd="0" m="1" x="435"/>
        <item sd="0" m="1" x="1250"/>
        <item sd="0" m="1" x="1264"/>
        <item sd="0" m="1" x="924"/>
        <item sd="0" m="1" x="1299"/>
        <item sd="0" m="1" x="1137"/>
        <item sd="0" m="1" x="1002"/>
        <item sd="0" m="1" x="319"/>
        <item sd="0" m="1" x="1148"/>
        <item sd="0" m="1" x="880"/>
        <item sd="0" m="1" x="813"/>
        <item sd="0" m="1" x="1156"/>
        <item sd="0" m="1" x="740"/>
        <item sd="0" m="1" x="374"/>
        <item sd="0" m="1" x="546"/>
        <item sd="0" m="1" x="323"/>
        <item sd="0" m="1" x="672"/>
        <item sd="0" m="1" x="1050"/>
        <item sd="0" m="1" x="635"/>
        <item sd="0" m="1" x="498"/>
        <item sd="0" m="1" x="713"/>
        <item sd="0" m="1" x="391"/>
        <item sd="0" m="1" x="643"/>
        <item sd="0" m="1" x="514"/>
        <item sd="0" m="1" x="865"/>
        <item sd="0" m="1" x="1452"/>
        <item sd="0" m="1" x="906"/>
        <item sd="0" m="1" x="502"/>
        <item sd="0" m="1" x="779"/>
        <item sd="0" m="1" x="485"/>
        <item sd="0" m="1" x="538"/>
        <item sd="0" m="1" x="830"/>
        <item sd="0" m="1" x="1098"/>
        <item sd="0" m="1" x="815"/>
        <item sd="0" m="1" x="1265"/>
        <item sd="0" m="1" x="827"/>
        <item sd="0" m="1" x="1061"/>
        <item sd="0" m="1" x="376"/>
        <item sd="0" m="1" x="859"/>
        <item sd="0" m="1" x="499"/>
        <item sd="0" m="1" x="429"/>
        <item sd="0" m="1" x="1155"/>
        <item sd="0" m="1" x="470"/>
        <item sd="0" m="1" x="1179"/>
        <item sd="0" m="1" x="371"/>
        <item sd="0" m="1" x="996"/>
        <item sd="0" m="1" x="1003"/>
        <item sd="0" m="1" x="407"/>
        <item sd="0" m="1" x="925"/>
        <item sd="0" m="1" x="303"/>
        <item sd="0" m="1" x="1126"/>
        <item sd="0" m="1" x="831"/>
        <item sd="0" m="1" x="1052"/>
        <item sd="0" m="1" x="1021"/>
        <item sd="0" m="1" x="1241"/>
        <item sd="0" m="1" x="1014"/>
        <item sd="0" m="1" x="592"/>
        <item sd="0" m="1" x="1093"/>
        <item sd="0" m="1" x="1227"/>
        <item sd="0" m="1" x="917"/>
        <item sd="0" m="1" x="1049"/>
        <item sd="0" m="1" x="382"/>
        <item sd="0" m="1" x="1215"/>
        <item sd="0" m="1" x="872"/>
        <item sd="0" m="1" x="737"/>
        <item sd="0" m="1" x="1121"/>
        <item sd="0" m="1" x="647"/>
        <item sd="0" m="1" x="970"/>
        <item sd="0" m="1" x="504"/>
        <item sd="0" m="1" x="600"/>
        <item sd="0" m="1" x="997"/>
        <item sd="0" m="1" x="766"/>
        <item sd="0" m="1" x="310"/>
        <item sd="0" m="1" x="644"/>
        <item sd="0" m="1" x="1124"/>
        <item sd="0" m="1" x="1226"/>
        <item sd="0" m="1" x="329"/>
        <item sd="0" m="1" x="614"/>
        <item sd="0" m="1" x="549"/>
        <item sd="0" m="1" x="882"/>
        <item sd="0" m="1" x="975"/>
        <item sd="0" m="1" x="415"/>
        <item sd="0" m="1" x="1397"/>
        <item sd="0" m="1" x="380"/>
        <item sd="0" m="1" x="453"/>
        <item sd="0" m="1" x="1234"/>
        <item sd="0" m="1" x="742"/>
        <item sd="0" m="1" x="756"/>
        <item sd="0" m="1" x="810"/>
        <item sd="0" m="1" x="385"/>
        <item sd="0" m="1" x="664"/>
        <item sd="0" m="1" x="1059"/>
        <item sd="0" m="1" x="971"/>
        <item sd="0" m="1" x="761"/>
        <item sd="0" m="1" x="708"/>
        <item sd="0" m="1" x="338"/>
        <item sd="0" m="1" x="576"/>
        <item sd="0" m="1" x="1040"/>
        <item sd="0" m="1" x="674"/>
        <item sd="0" m="1" x="837"/>
        <item sd="0" m="1" x="774"/>
        <item sd="0" m="1" x="956"/>
        <item sd="0" m="1" x="320"/>
        <item sd="0" m="1" x="801"/>
        <item sd="0" m="1" x="475"/>
        <item sd="0" m="1" x="878"/>
        <item sd="0" m="1" x="1004"/>
        <item sd="0" m="1" x="1080"/>
        <item sd="0" m="1" x="1015"/>
        <item sd="0" m="1" x="976"/>
        <item sd="0" m="1" x="902"/>
        <item sd="0" m="1" x="1313"/>
        <item sd="0" m="1" x="1205"/>
        <item sd="0" m="1" x="456"/>
        <item sd="0" m="1" x="1197"/>
        <item sd="0" m="1" x="651"/>
        <item sd="0" m="1" x="961"/>
        <item sd="0" m="1" x="367"/>
        <item sd="0" m="1" x="940"/>
        <item sd="0" m="1" x="807"/>
        <item sd="0" m="1" x="1239"/>
        <item sd="0" m="1" x="393"/>
        <item sd="0" m="1" x="1450"/>
        <item sd="0" m="1" x="432"/>
        <item sd="0" m="1" x="372"/>
        <item sd="0" m="1" x="942"/>
        <item sd="0" m="1" x="1142"/>
        <item sd="0" m="1" x="1045"/>
        <item sd="0" m="1" x="331"/>
        <item sd="0" m="1" x="483"/>
        <item sd="0" m="1" x="1271"/>
        <item sd="0" m="1" x="1211"/>
        <item sd="0" m="1" x="466"/>
        <item sd="0" m="1" x="439"/>
        <item sd="0" m="1" x="734"/>
        <item sd="0" m="1" x="355"/>
        <item sd="0" m="1" x="962"/>
        <item sd="0" m="1" x="395"/>
        <item sd="0" m="1" x="565"/>
        <item sd="0" m="1" x="862"/>
        <item sd="0" m="1" x="1393"/>
        <item sd="0" m="1" x="433"/>
        <item sd="0" m="1" x="703"/>
        <item sd="0" m="1" x="550"/>
        <item sd="0" m="1" x="712"/>
        <item sd="0" m="1" x="1266"/>
        <item sd="0" m="1" x="1149"/>
        <item sd="0" m="1" x="611"/>
        <item sd="0" m="1" x="364"/>
        <item sd="0" m="1" x="1314"/>
        <item sd="0" m="1" x="477"/>
        <item sd="0" m="1" x="1259"/>
        <item sd="0" m="1" x="816"/>
        <item sd="0" m="1" x="1200"/>
        <item sd="0" m="1" x="559"/>
        <item sd="0" m="1" x="731"/>
        <item sd="0" m="1" x="1216"/>
        <item sd="0" m="1" x="1404"/>
        <item sd="0" m="1" x="1180"/>
        <item sd="0" m="1" x="579"/>
        <item sd="0" m="1" x="522"/>
        <item sd="0" m="1" x="1225"/>
        <item sd="0" m="1" x="989"/>
        <item sd="0" m="1" x="833"/>
        <item sd="0" m="1" x="1257"/>
        <item sd="0" m="1" x="305"/>
        <item sd="0" m="1" x="302"/>
        <item sd="0" m="1" x="977"/>
        <item sd="0" m="1" x="1117"/>
        <item sd="0" m="1" x="1072"/>
        <item sd="0" m="1" x="1255"/>
        <item sd="0" m="1" x="780"/>
        <item sd="0" m="1" x="527"/>
        <item sd="0" m="1" x="601"/>
        <item sd="0" m="1" x="1131"/>
        <item sd="0" m="1" x="683"/>
        <item sd="0" m="1" x="913"/>
        <item sd="0" m="1" x="1328"/>
        <item sd="0" m="1" x="566"/>
        <item sd="0" m="1" x="903"/>
        <item sd="0" m="1" x="287"/>
        <item sd="0" m="1" x="616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9"/>
        <item sd="0" x="168"/>
        <item sd="0" x="167"/>
        <item sd="0" x="175"/>
        <item sd="0" x="174"/>
        <item sd="0" x="173"/>
        <item sd="0" x="172"/>
        <item sd="0" x="171"/>
        <item sd="0" x="170"/>
        <item sd="0" x="176"/>
        <item sd="0" x="177"/>
        <item sd="0" x="179"/>
        <item sd="0" x="178"/>
        <item sd="0" x="183"/>
        <item sd="0" x="182"/>
        <item sd="0" x="181"/>
        <item sd="0" x="180"/>
        <item sd="0" x="184"/>
        <item sd="0" x="185"/>
        <item sd="0" x="186"/>
        <item sd="0" x="187"/>
        <item sd="0" x="189"/>
        <item sd="0" x="188"/>
        <item sd="0" x="190"/>
        <item sd="0" x="191"/>
        <item sd="0" x="192"/>
        <item sd="0" x="193"/>
        <item sd="0" x="194"/>
        <item sd="0" x="195"/>
        <item sd="0" x="198"/>
        <item sd="0" x="197"/>
        <item sd="0" x="196"/>
        <item sd="0" x="220"/>
        <item sd="0" x="200"/>
        <item sd="0" x="199"/>
        <item sd="0" x="206"/>
        <item sd="0" x="201"/>
        <item sd="0" x="202"/>
        <item sd="0" x="203"/>
        <item sd="0" x="204"/>
        <item sd="0" x="205"/>
        <item sd="0" x="208"/>
        <item sd="0" x="207"/>
        <item sd="0" x="210"/>
        <item sd="0" x="209"/>
        <item sd="0" x="211"/>
        <item sd="0" x="212"/>
        <item sd="0" x="213"/>
        <item sd="0" x="214"/>
        <item sd="0" x="215"/>
        <item sd="0" x="216"/>
        <item sd="0" x="219"/>
        <item sd="0" x="221"/>
        <item sd="0" x="222"/>
        <item sd="0" x="217"/>
        <item sd="0" x="218"/>
        <item sd="0" x="223"/>
        <item sd="0" x="224"/>
        <item sd="0" x="226"/>
        <item sd="0" x="227"/>
        <item sd="0" x="225"/>
        <item sd="0" x="228"/>
        <item sd="0" x="229"/>
        <item sd="0" x="230"/>
        <item sd="0" x="231"/>
        <item sd="0" x="232"/>
        <item sd="0" x="233"/>
        <item sd="0" x="234"/>
        <item sd="0" x="239"/>
        <item sd="0" x="235"/>
        <item sd="0" x="236"/>
        <item sd="0" x="240"/>
        <item sd="0" x="237"/>
        <item sd="0" x="238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x="263"/>
        <item x="264"/>
        <item x="265"/>
        <item x="266"/>
        <item x="267"/>
        <item x="269"/>
        <item x="268"/>
        <item x="271"/>
        <item x="270"/>
        <item sd="0" m="1" x="604"/>
        <item sd="0" m="1" x="1365"/>
        <item sd="0" m="1" x="307"/>
        <item sd="0" m="1" x="272"/>
        <item t="default" sd="0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13">
    <i>
      <x/>
    </i>
    <i r="1">
      <x v="1444"/>
    </i>
    <i r="2">
      <x v="11"/>
    </i>
    <i r="1">
      <x v="1447"/>
    </i>
    <i r="2">
      <x v="8"/>
    </i>
    <i r="1">
      <x v="1448"/>
    </i>
    <i r="2">
      <x v="8"/>
    </i>
    <i>
      <x v="1"/>
    </i>
    <i r="1">
      <x v="1442"/>
    </i>
    <i r="2">
      <x v="3"/>
    </i>
    <i r="2">
      <x v="8"/>
    </i>
    <i r="2">
      <x v="10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36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35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34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33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192" totalsRowShown="0" totalsRowDxfId="32">
  <autoFilter ref="A1:C1192" xr:uid="{43456A03-EFD4-416A-B021-C441A7C21E4E}"/>
  <tableColumns count="3">
    <tableColumn id="1" xr3:uid="{96F9219D-1D74-4611-A7AA-8AB4E044352A}" name="Ticket" totalsRowDxfId="31"/>
    <tableColumn id="2" xr3:uid="{D6F02EDE-42BA-4EF9-A278-EA070340E315}" name="Number" totalsRowDxfId="30"/>
    <tableColumn id="3" xr3:uid="{F6A90E5F-0E5C-41D7-A40C-1CC9A86DC194}" name="Status" totalsRowDxfId="29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2487" totalsRowShown="0">
  <autoFilter ref="A1:S2487" xr:uid="{678037D6-A574-4B81-B392-ED766472D9FE}">
    <filterColumn colId="1">
      <filters>
        <filter val="open"/>
      </filters>
    </filterColumn>
    <filterColumn colId="2">
      <filters>
        <filter val="New"/>
        <filter val="Waiting for MDGF approval"/>
        <filter val="Waiting for Tm1 Replication"/>
      </filters>
    </filterColumn>
  </autoFilter>
  <tableColumns count="19">
    <tableColumn id="1" xr3:uid="{5BF112CC-BAD1-48FD-B930-E0EF8CA67570}" name="App"/>
    <tableColumn id="2" xr3:uid="{F44F7455-95E4-448C-84F7-0BD5E8515FF2}" name="Filter" dataDxfId="28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27"/>
    <tableColumn id="7" xr3:uid="{D69C8A00-2CB4-4F31-920A-C1D332375D40}" name="type"/>
    <tableColumn id="9" xr3:uid="{3D246B09-CC89-411A-9E7E-B79496797F29}" name="LFF_ID" dataDxfId="26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25">
      <calculatedColumnFormula>Proc[[#This Row],[Requested]]=Proc[[#This Row],[CurrentParent]]</calculatedColumnFormula>
    </tableColumn>
    <tableColumn id="24" xr3:uid="{9DAA192A-7AAB-4460-A9EA-787D5AF7E069}" name="Sector" dataDxfId="24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23"/>
    <tableColumn id="15" xr3:uid="{F0BFEDC5-AB85-4752-8DBE-1E2D2A86C38C}" name="DateOpened" dataDxfId="22"/>
    <tableColumn id="17" xr3:uid="{78B7D816-31FE-4F8F-8018-91CE8D5DE9A2}" name="DateMapped" dataDxfId="21"/>
    <tableColumn id="16" xr3:uid="{37F76675-DAA7-497A-B0C3-D5ADC87396FC}" name="DateClosed" dataDxfId="20"/>
    <tableColumn id="23" xr3:uid="{77371810-6F86-4EEF-85D0-5FCFC20B88DC}" name="Delayed?" dataDxfId="19">
      <calculatedColumnFormula>IF(Proc[[#This Row],[DaysAgeing]]&gt;5,"yep","on track")</calculatedColumnFormula>
    </tableColumn>
    <tableColumn id="18" xr3:uid="{6AC4A96E-CE6C-49CA-A4F1-794160BB5940}" name="DaysAgeing" dataDxfId="18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17"/>
    <tableColumn id="22" xr3:uid="{87389AE1-9ECE-4C7F-80F9-48A35BE78A62}" name="Prognosis" dataDxfId="1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28" totalsRowShown="0">
  <autoFilter ref="A1:B128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15"/>
    <tableColumn id="6" xr3:uid="{73647D57-303F-4AF5-983C-1CCB32EBD08D}" name="Forecast Period" dataDxfId="14"/>
    <tableColumn id="4" xr3:uid="{FA11B267-B5E3-452C-A4E3-1668B4A12A28}" name="Number of Tickets Raised" dataDxfId="13"/>
    <tableColumn id="1" xr3:uid="{441BC59C-A1EA-4CA8-B944-D602CD57D89D}" name="Delayed Tickets"/>
    <tableColumn id="5" xr3:uid="{29680677-3B0F-4EC4-81FF-46A6FDD4C5F7}" name="Number of Total Objects" dataDxfId="12"/>
    <tableColumn id="2" xr3:uid="{3D96D299-AEA2-4D9C-9BE6-F98ADF0CDB84}" name="Commentary for delayed tickets" dataDxfId="1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3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5.bin"/><Relationship Id="rId1" Type="http://schemas.openxmlformats.org/officeDocument/2006/relationships/customProperty" Target="../customProperty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6.bin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7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8.bin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9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0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27"/>
  <sheetViews>
    <sheetView workbookViewId="0">
      <selection activeCell="A31" sqref="A31"/>
    </sheetView>
  </sheetViews>
  <sheetFormatPr defaultColWidth="0" defaultRowHeight="15"/>
  <cols>
    <col min="1" max="1" width="37.7109375" bestFit="1" customWidth="1"/>
    <col min="2" max="2" width="12.140625" bestFit="1" customWidth="1"/>
    <col min="3" max="3" width="9.140625" customWidth="1"/>
    <col min="4" max="16384" width="9.140625" hidden="1"/>
  </cols>
  <sheetData>
    <row r="1" spans="1:2">
      <c r="A1" s="66" t="s">
        <v>390</v>
      </c>
      <c r="B1" s="105" t="s">
        <v>4297</v>
      </c>
    </row>
    <row r="3" spans="1:2">
      <c r="A3" s="66" t="s">
        <v>366</v>
      </c>
      <c r="B3" t="s">
        <v>698</v>
      </c>
    </row>
    <row r="4" spans="1:2">
      <c r="A4" s="17" t="s">
        <v>567</v>
      </c>
      <c r="B4" s="96">
        <v>648</v>
      </c>
    </row>
    <row r="5" spans="1:2">
      <c r="A5" s="67" t="s">
        <v>369</v>
      </c>
      <c r="B5" s="96">
        <v>609</v>
      </c>
    </row>
    <row r="6" spans="1:2">
      <c r="A6" s="67" t="s">
        <v>404</v>
      </c>
      <c r="B6" s="96"/>
    </row>
    <row r="7" spans="1:2">
      <c r="A7" s="67" t="s">
        <v>370</v>
      </c>
      <c r="B7" s="96"/>
    </row>
    <row r="8" spans="1:2">
      <c r="A8" s="67" t="s">
        <v>403</v>
      </c>
      <c r="B8" s="96"/>
    </row>
    <row r="9" spans="1:2">
      <c r="A9" s="67" t="s">
        <v>398</v>
      </c>
      <c r="B9" s="96"/>
    </row>
    <row r="10" spans="1:2">
      <c r="A10" s="67" t="s">
        <v>377</v>
      </c>
      <c r="B10" s="96">
        <v>37</v>
      </c>
    </row>
    <row r="11" spans="1:2">
      <c r="A11" s="67" t="s">
        <v>375</v>
      </c>
      <c r="B11" s="96">
        <v>2</v>
      </c>
    </row>
    <row r="12" spans="1:2">
      <c r="A12" s="67" t="s">
        <v>405</v>
      </c>
      <c r="B12" s="96"/>
    </row>
    <row r="13" spans="1:2">
      <c r="A13" s="67" t="s">
        <v>692</v>
      </c>
      <c r="B13" s="96"/>
    </row>
    <row r="14" spans="1:2">
      <c r="A14" s="17" t="s">
        <v>568</v>
      </c>
      <c r="B14" s="96">
        <v>792</v>
      </c>
    </row>
    <row r="15" spans="1:2">
      <c r="A15" s="67" t="s">
        <v>369</v>
      </c>
      <c r="B15" s="96">
        <v>716</v>
      </c>
    </row>
    <row r="16" spans="1:2">
      <c r="A16" s="67" t="s">
        <v>370</v>
      </c>
      <c r="B16" s="96">
        <v>58</v>
      </c>
    </row>
    <row r="17" spans="1:2">
      <c r="A17" s="67" t="s">
        <v>398</v>
      </c>
      <c r="B17" s="96">
        <v>13</v>
      </c>
    </row>
    <row r="18" spans="1:2">
      <c r="A18" s="67" t="s">
        <v>377</v>
      </c>
      <c r="B18" s="96">
        <v>5</v>
      </c>
    </row>
    <row r="19" spans="1:2">
      <c r="A19" s="17" t="s">
        <v>569</v>
      </c>
      <c r="B19" s="96">
        <v>903</v>
      </c>
    </row>
    <row r="20" spans="1:2">
      <c r="A20" s="67" t="s">
        <v>369</v>
      </c>
      <c r="B20" s="96">
        <v>886</v>
      </c>
    </row>
    <row r="21" spans="1:2">
      <c r="A21" s="67" t="s">
        <v>370</v>
      </c>
      <c r="B21" s="96">
        <v>2</v>
      </c>
    </row>
    <row r="22" spans="1:2">
      <c r="A22" s="67" t="s">
        <v>398</v>
      </c>
      <c r="B22" s="96">
        <v>8</v>
      </c>
    </row>
    <row r="23" spans="1:2">
      <c r="A23" s="67" t="s">
        <v>377</v>
      </c>
      <c r="B23" s="96">
        <v>7</v>
      </c>
    </row>
    <row r="24" spans="1:2">
      <c r="A24" s="17" t="s">
        <v>570</v>
      </c>
      <c r="B24" s="96">
        <v>134</v>
      </c>
    </row>
    <row r="25" spans="1:2">
      <c r="A25" s="67" t="s">
        <v>369</v>
      </c>
      <c r="B25" s="96">
        <v>132</v>
      </c>
    </row>
    <row r="26" spans="1:2">
      <c r="A26" s="67" t="s">
        <v>377</v>
      </c>
      <c r="B26" s="96">
        <v>2</v>
      </c>
    </row>
    <row r="27" spans="1:2">
      <c r="A27" s="17" t="s">
        <v>381</v>
      </c>
      <c r="B27" s="96">
        <v>2477</v>
      </c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21"/>
  <sheetViews>
    <sheetView tabSelected="1" zoomScale="115" zoomScaleNormal="115" workbookViewId="0">
      <selection activeCell="D13" sqref="D13"/>
    </sheetView>
  </sheetViews>
  <sheetFormatPr defaultColWidth="0" defaultRowHeight="15"/>
  <cols>
    <col min="1" max="1" width="31.85546875" bestFit="1" customWidth="1"/>
    <col min="2" max="2" width="12.140625" bestFit="1" customWidth="1"/>
    <col min="3" max="3" width="8.28515625" style="46" bestFit="1" customWidth="1"/>
    <col min="4" max="4" width="11.28515625" style="46" bestFit="1" customWidth="1"/>
    <col min="5" max="5" width="11.28515625" style="22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2" spans="1:6">
      <c r="A2" s="66" t="s">
        <v>365</v>
      </c>
      <c r="B2" s="105" t="s">
        <v>925</v>
      </c>
    </row>
    <row r="3" spans="1:6">
      <c r="F3" t="s">
        <v>699</v>
      </c>
    </row>
    <row r="4" spans="1:6">
      <c r="A4" s="66" t="s">
        <v>366</v>
      </c>
      <c r="B4" t="s">
        <v>698</v>
      </c>
      <c r="C4"/>
      <c r="D4"/>
      <c r="E4" t="s">
        <v>367</v>
      </c>
      <c r="F4" t="s">
        <v>367</v>
      </c>
    </row>
    <row r="5" spans="1:6">
      <c r="A5" s="17" t="s">
        <v>2818</v>
      </c>
      <c r="B5" s="96">
        <v>61</v>
      </c>
      <c r="C5"/>
      <c r="D5"/>
      <c r="E5"/>
    </row>
    <row r="6" spans="1:6">
      <c r="A6" s="67" t="s">
        <v>4311</v>
      </c>
      <c r="B6" s="96">
        <v>2</v>
      </c>
      <c r="C6"/>
      <c r="D6"/>
      <c r="E6"/>
    </row>
    <row r="7" spans="1:6">
      <c r="A7" s="68" t="s">
        <v>375</v>
      </c>
      <c r="B7" s="96">
        <v>2</v>
      </c>
      <c r="C7"/>
      <c r="D7"/>
      <c r="E7"/>
    </row>
    <row r="8" spans="1:6">
      <c r="A8" s="67" t="s">
        <v>4340</v>
      </c>
      <c r="B8" s="96">
        <v>58</v>
      </c>
      <c r="C8" s="56"/>
      <c r="D8"/>
      <c r="E8"/>
    </row>
    <row r="9" spans="1:6">
      <c r="A9" s="68" t="s">
        <v>370</v>
      </c>
      <c r="B9" s="96">
        <v>58</v>
      </c>
      <c r="C9"/>
      <c r="D9"/>
    </row>
    <row r="10" spans="1:6">
      <c r="A10" s="67" t="s">
        <v>4339</v>
      </c>
      <c r="B10" s="96">
        <v>1</v>
      </c>
      <c r="C10" s="53"/>
      <c r="D10"/>
    </row>
    <row r="11" spans="1:6">
      <c r="A11" s="68" t="s">
        <v>370</v>
      </c>
      <c r="B11" s="96">
        <v>1</v>
      </c>
      <c r="C11"/>
      <c r="D11"/>
    </row>
    <row r="12" spans="1:6">
      <c r="A12" s="17" t="s">
        <v>4330</v>
      </c>
      <c r="B12" s="96">
        <v>4</v>
      </c>
      <c r="C12"/>
      <c r="D12"/>
    </row>
    <row r="13" spans="1:6">
      <c r="A13" s="67" t="s">
        <v>4304</v>
      </c>
      <c r="B13" s="96">
        <v>4</v>
      </c>
      <c r="C13"/>
      <c r="D13"/>
    </row>
    <row r="14" spans="1:6">
      <c r="A14" s="68" t="s">
        <v>369</v>
      </c>
      <c r="B14" s="96">
        <v>2</v>
      </c>
      <c r="C14" s="53"/>
      <c r="D14"/>
    </row>
    <row r="15" spans="1:6">
      <c r="A15" s="68" t="s">
        <v>370</v>
      </c>
      <c r="B15" s="96">
        <v>1</v>
      </c>
      <c r="C15"/>
      <c r="D15"/>
    </row>
    <row r="16" spans="1:6">
      <c r="A16" s="68" t="s">
        <v>377</v>
      </c>
      <c r="B16" s="96">
        <v>1</v>
      </c>
      <c r="C16"/>
      <c r="D16"/>
    </row>
    <row r="17" spans="1:4">
      <c r="A17" s="17" t="s">
        <v>381</v>
      </c>
      <c r="B17" s="96">
        <v>65</v>
      </c>
      <c r="C17"/>
      <c r="D17"/>
    </row>
    <row r="18" spans="1:4">
      <c r="C18"/>
      <c r="D18"/>
    </row>
    <row r="19" spans="1:4">
      <c r="C19" s="47"/>
      <c r="D19"/>
    </row>
    <row r="21" spans="1:4" ht="17.25" customHeight="1"/>
  </sheetData>
  <autoFilter ref="A2:F1358" xr:uid="{B27B7123-EEA1-4BA6-8CFC-B80BB9988DCB}"/>
  <pageMargins left="0.7" right="0.7" top="0.75" bottom="0.75" header="0.3" footer="0.3"/>
  <pageSetup orientation="portrait" r:id="rId2"/>
  <customProperties>
    <customPr name="_pios_id" r:id="rId3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192"/>
  <sheetViews>
    <sheetView topLeftCell="A1187" workbookViewId="0">
      <selection activeCell="C1190" sqref="C1190:C1192"/>
    </sheetView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624</v>
      </c>
      <c r="B372">
        <v>9</v>
      </c>
      <c r="C372" t="s">
        <v>4</v>
      </c>
    </row>
    <row r="373" spans="1:3">
      <c r="A373" s="17" t="s">
        <v>629</v>
      </c>
      <c r="B373" s="15">
        <v>1</v>
      </c>
      <c r="C373" s="16" t="s">
        <v>4</v>
      </c>
    </row>
    <row r="374" spans="1:3">
      <c r="A374" s="17" t="s">
        <v>627</v>
      </c>
      <c r="B374" s="15">
        <v>224</v>
      </c>
      <c r="C374" s="16" t="s">
        <v>4</v>
      </c>
    </row>
    <row r="375" spans="1:3">
      <c r="A375" t="s">
        <v>616</v>
      </c>
      <c r="B375">
        <v>1</v>
      </c>
      <c r="C375" t="s">
        <v>4</v>
      </c>
    </row>
    <row r="376" spans="1:3">
      <c r="A376" s="17" t="s">
        <v>623</v>
      </c>
      <c r="B376" s="19">
        <v>1</v>
      </c>
      <c r="C376" s="18" t="s">
        <v>4</v>
      </c>
    </row>
    <row r="377" spans="1:3">
      <c r="A377" s="17" t="s">
        <v>621</v>
      </c>
      <c r="B377" s="19">
        <v>25</v>
      </c>
      <c r="C377" s="18" t="s">
        <v>4</v>
      </c>
    </row>
    <row r="378" spans="1:3">
      <c r="A378" s="17" t="s">
        <v>633</v>
      </c>
      <c r="B378" s="19">
        <v>5</v>
      </c>
      <c r="C378" s="18" t="s">
        <v>4</v>
      </c>
    </row>
    <row r="379" spans="1:3">
      <c r="A379" t="s">
        <v>635</v>
      </c>
      <c r="B379">
        <v>8</v>
      </c>
      <c r="C379" t="s">
        <v>4</v>
      </c>
    </row>
    <row r="380" spans="1:3">
      <c r="A380" t="s">
        <v>639</v>
      </c>
      <c r="B380">
        <v>7</v>
      </c>
      <c r="C380" t="s">
        <v>4</v>
      </c>
    </row>
    <row r="381" spans="1:3">
      <c r="A381" s="17" t="s">
        <v>618</v>
      </c>
      <c r="B381" s="19">
        <v>22</v>
      </c>
      <c r="C381" s="18" t="s">
        <v>4</v>
      </c>
    </row>
    <row r="382" spans="1:3">
      <c r="A382" s="17" t="s">
        <v>628</v>
      </c>
      <c r="B382" s="19">
        <v>1</v>
      </c>
      <c r="C382" s="18" t="s">
        <v>4</v>
      </c>
    </row>
    <row r="383" spans="1:3">
      <c r="A383" s="17" t="s">
        <v>619</v>
      </c>
      <c r="B383" s="19">
        <v>3</v>
      </c>
      <c r="C383" s="18" t="s">
        <v>4</v>
      </c>
    </row>
    <row r="384" spans="1:3">
      <c r="A384" s="17" t="s">
        <v>620</v>
      </c>
      <c r="B384" s="19">
        <v>5</v>
      </c>
      <c r="C384" s="18" t="s">
        <v>4</v>
      </c>
    </row>
    <row r="385" spans="1:3">
      <c r="A385" s="17" t="s">
        <v>630</v>
      </c>
      <c r="B385" s="19">
        <v>238</v>
      </c>
      <c r="C385" s="18" t="s">
        <v>4</v>
      </c>
    </row>
    <row r="386" spans="1:3">
      <c r="A386" s="17" t="s">
        <v>632</v>
      </c>
      <c r="B386" s="19">
        <v>9</v>
      </c>
      <c r="C386" s="18" t="s">
        <v>4</v>
      </c>
    </row>
    <row r="387" spans="1:3">
      <c r="A387" s="17" t="s">
        <v>636</v>
      </c>
      <c r="B387" s="19">
        <v>15</v>
      </c>
      <c r="C387" s="18" t="s">
        <v>4</v>
      </c>
    </row>
    <row r="388" spans="1:3">
      <c r="A388" s="17" t="s">
        <v>637</v>
      </c>
      <c r="B388" s="19">
        <v>1</v>
      </c>
      <c r="C388" s="18" t="s">
        <v>4</v>
      </c>
    </row>
    <row r="389" spans="1:3">
      <c r="A389" s="17" t="s">
        <v>634</v>
      </c>
      <c r="B389" s="19">
        <v>32</v>
      </c>
      <c r="C389" s="18" t="s">
        <v>4</v>
      </c>
    </row>
    <row r="390" spans="1:3">
      <c r="A390" t="s">
        <v>640</v>
      </c>
      <c r="B390">
        <v>6</v>
      </c>
      <c r="C390" t="s">
        <v>4</v>
      </c>
    </row>
    <row r="391" spans="1:3">
      <c r="A391" t="s">
        <v>641</v>
      </c>
      <c r="B391">
        <v>7</v>
      </c>
      <c r="C391" t="s">
        <v>4</v>
      </c>
    </row>
    <row r="392" spans="1:3">
      <c r="A392" t="s">
        <v>642</v>
      </c>
      <c r="B392">
        <v>2</v>
      </c>
      <c r="C392" t="s">
        <v>4</v>
      </c>
    </row>
    <row r="393" spans="1:3">
      <c r="A393" t="s">
        <v>644</v>
      </c>
      <c r="B393">
        <v>14</v>
      </c>
      <c r="C393" t="s">
        <v>4</v>
      </c>
    </row>
    <row r="394" spans="1:3">
      <c r="A394" t="s">
        <v>645</v>
      </c>
      <c r="B394">
        <v>2</v>
      </c>
      <c r="C394" t="s">
        <v>4</v>
      </c>
    </row>
    <row r="395" spans="1:3">
      <c r="A395" t="s">
        <v>647</v>
      </c>
      <c r="B395">
        <v>3</v>
      </c>
      <c r="C395" t="s">
        <v>4</v>
      </c>
    </row>
    <row r="396" spans="1:3">
      <c r="A396" t="s">
        <v>648</v>
      </c>
      <c r="B396">
        <v>5</v>
      </c>
      <c r="C396" t="s">
        <v>4</v>
      </c>
    </row>
    <row r="397" spans="1:3">
      <c r="A397" t="s">
        <v>649</v>
      </c>
      <c r="B397">
        <v>4</v>
      </c>
      <c r="C397" t="s">
        <v>4</v>
      </c>
    </row>
    <row r="398" spans="1:3">
      <c r="A398" t="s">
        <v>643</v>
      </c>
      <c r="B398">
        <v>5</v>
      </c>
      <c r="C398" t="s">
        <v>4</v>
      </c>
    </row>
    <row r="399" spans="1:3">
      <c r="A399" t="s">
        <v>650</v>
      </c>
      <c r="B399">
        <v>2</v>
      </c>
      <c r="C399" t="s">
        <v>4</v>
      </c>
    </row>
    <row r="400" spans="1:3">
      <c r="A400" t="s">
        <v>651</v>
      </c>
      <c r="B400">
        <v>1</v>
      </c>
      <c r="C400" t="s">
        <v>4</v>
      </c>
    </row>
    <row r="401" spans="1:3">
      <c r="A401" t="s">
        <v>653</v>
      </c>
      <c r="B401">
        <v>208</v>
      </c>
      <c r="C401" t="s">
        <v>4</v>
      </c>
    </row>
    <row r="402" spans="1:3">
      <c r="A402" t="s">
        <v>654</v>
      </c>
      <c r="B402">
        <v>1</v>
      </c>
      <c r="C402" t="s">
        <v>4</v>
      </c>
    </row>
    <row r="403" spans="1:3">
      <c r="A403" t="s">
        <v>657</v>
      </c>
      <c r="B403">
        <v>1</v>
      </c>
      <c r="C403" t="s">
        <v>4</v>
      </c>
    </row>
    <row r="404" spans="1:3">
      <c r="A404" t="s">
        <v>658</v>
      </c>
      <c r="B404">
        <v>1</v>
      </c>
      <c r="C404" t="s">
        <v>4</v>
      </c>
    </row>
    <row r="405" spans="1:3">
      <c r="A405" t="s">
        <v>663</v>
      </c>
      <c r="B405">
        <v>11</v>
      </c>
      <c r="C405" t="s">
        <v>4</v>
      </c>
    </row>
    <row r="406" spans="1:3">
      <c r="A406" t="s">
        <v>666</v>
      </c>
      <c r="B406">
        <v>9</v>
      </c>
      <c r="C406" t="s">
        <v>4</v>
      </c>
    </row>
    <row r="407" spans="1:3">
      <c r="A407" t="s">
        <v>667</v>
      </c>
      <c r="B407">
        <v>226</v>
      </c>
      <c r="C407" t="s">
        <v>4</v>
      </c>
    </row>
    <row r="408" spans="1:3">
      <c r="A408" t="s">
        <v>668</v>
      </c>
      <c r="B408">
        <v>5</v>
      </c>
      <c r="C408" t="s">
        <v>4</v>
      </c>
    </row>
    <row r="409" spans="1:3">
      <c r="A409" t="s">
        <v>669</v>
      </c>
      <c r="B409">
        <v>3</v>
      </c>
      <c r="C409" t="s">
        <v>4</v>
      </c>
    </row>
    <row r="410" spans="1:3">
      <c r="A410" t="s">
        <v>670</v>
      </c>
      <c r="B410">
        <v>7</v>
      </c>
      <c r="C410" t="s">
        <v>4</v>
      </c>
    </row>
    <row r="411" spans="1:3">
      <c r="A411" t="s">
        <v>672</v>
      </c>
      <c r="B411">
        <v>1</v>
      </c>
      <c r="C411" t="s">
        <v>4</v>
      </c>
    </row>
    <row r="412" spans="1:3">
      <c r="A412" t="s">
        <v>674</v>
      </c>
      <c r="B412">
        <v>1</v>
      </c>
      <c r="C412" t="s">
        <v>4</v>
      </c>
    </row>
    <row r="413" spans="1:3">
      <c r="A413" t="s">
        <v>671</v>
      </c>
      <c r="B413">
        <v>2</v>
      </c>
      <c r="C413" t="s">
        <v>4</v>
      </c>
    </row>
    <row r="414" spans="1:3">
      <c r="A414" t="s">
        <v>678</v>
      </c>
      <c r="B414">
        <v>1</v>
      </c>
      <c r="C414" t="s">
        <v>4</v>
      </c>
    </row>
    <row r="415" spans="1:3">
      <c r="A415" t="s">
        <v>679</v>
      </c>
      <c r="B415">
        <v>1</v>
      </c>
      <c r="C415" t="s">
        <v>4</v>
      </c>
    </row>
    <row r="416" spans="1:3">
      <c r="A416" s="24" t="s">
        <v>659</v>
      </c>
      <c r="B416" s="25">
        <v>147</v>
      </c>
      <c r="C416" s="22" t="s">
        <v>4</v>
      </c>
    </row>
    <row r="417" spans="1:3">
      <c r="A417" s="17" t="s">
        <v>656</v>
      </c>
      <c r="B417" s="23">
        <v>12</v>
      </c>
      <c r="C417" s="22" t="s">
        <v>4</v>
      </c>
    </row>
    <row r="418" spans="1:3">
      <c r="A418" t="s">
        <v>664</v>
      </c>
      <c r="B418">
        <v>16</v>
      </c>
      <c r="C418" t="s">
        <v>4</v>
      </c>
    </row>
    <row r="419" spans="1:3">
      <c r="A419" t="s">
        <v>680</v>
      </c>
      <c r="B419">
        <v>2</v>
      </c>
      <c r="C419" t="s">
        <v>4</v>
      </c>
    </row>
    <row r="420" spans="1:3">
      <c r="A420" t="s">
        <v>681</v>
      </c>
      <c r="B420">
        <v>13</v>
      </c>
      <c r="C420" t="s">
        <v>4</v>
      </c>
    </row>
    <row r="421" spans="1:3">
      <c r="A421" s="24" t="s">
        <v>673</v>
      </c>
      <c r="B421" s="25">
        <v>43</v>
      </c>
      <c r="C421" s="22" t="s">
        <v>4</v>
      </c>
    </row>
    <row r="422" spans="1:3">
      <c r="A422" s="24" t="s">
        <v>682</v>
      </c>
      <c r="B422" s="25">
        <v>8</v>
      </c>
      <c r="C422" s="22" t="s">
        <v>4</v>
      </c>
    </row>
    <row r="423" spans="1:3">
      <c r="A423" s="17" t="s">
        <v>665</v>
      </c>
      <c r="B423" s="23">
        <v>17</v>
      </c>
      <c r="C423" s="22" t="s">
        <v>4</v>
      </c>
    </row>
    <row r="424" spans="1:3">
      <c r="A424" t="s">
        <v>689</v>
      </c>
      <c r="B424">
        <v>1</v>
      </c>
      <c r="C424" t="s">
        <v>4</v>
      </c>
    </row>
    <row r="425" spans="1:3">
      <c r="A425" t="s">
        <v>688</v>
      </c>
      <c r="B425">
        <v>8</v>
      </c>
      <c r="C425" t="s">
        <v>4</v>
      </c>
    </row>
    <row r="426" spans="1:3">
      <c r="A426" t="s">
        <v>687</v>
      </c>
      <c r="B426">
        <v>2</v>
      </c>
      <c r="C426" t="s">
        <v>4</v>
      </c>
    </row>
    <row r="427" spans="1:3">
      <c r="A427" t="s">
        <v>683</v>
      </c>
      <c r="B427">
        <v>9</v>
      </c>
      <c r="C427" t="s">
        <v>4</v>
      </c>
    </row>
    <row r="428" spans="1:3">
      <c r="A428" t="s">
        <v>677</v>
      </c>
      <c r="B428">
        <v>3</v>
      </c>
      <c r="C428" t="s">
        <v>4</v>
      </c>
    </row>
    <row r="429" spans="1:3">
      <c r="A429" t="s">
        <v>685</v>
      </c>
      <c r="B429">
        <v>2</v>
      </c>
      <c r="C429" t="s">
        <v>4</v>
      </c>
    </row>
    <row r="430" spans="1:3">
      <c r="A430" t="s">
        <v>690</v>
      </c>
      <c r="B430">
        <v>15</v>
      </c>
      <c r="C430" t="s">
        <v>4</v>
      </c>
    </row>
    <row r="431" spans="1:3">
      <c r="A431" t="s">
        <v>691</v>
      </c>
      <c r="B431">
        <v>1</v>
      </c>
      <c r="C431" t="s">
        <v>4</v>
      </c>
    </row>
    <row r="432" spans="1:3">
      <c r="A432" t="s">
        <v>675</v>
      </c>
      <c r="B432">
        <v>19</v>
      </c>
      <c r="C432" t="s">
        <v>4</v>
      </c>
    </row>
    <row r="433" spans="1:3">
      <c r="A433" t="s">
        <v>684</v>
      </c>
      <c r="B433">
        <v>3</v>
      </c>
      <c r="C433" t="s">
        <v>4</v>
      </c>
    </row>
    <row r="434" spans="1:3">
      <c r="A434" t="s">
        <v>694</v>
      </c>
      <c r="B434">
        <v>1</v>
      </c>
      <c r="C434" s="22" t="s">
        <v>4</v>
      </c>
    </row>
    <row r="435" spans="1:3">
      <c r="A435" t="s">
        <v>696</v>
      </c>
      <c r="B435">
        <v>3</v>
      </c>
      <c r="C435" s="22" t="s">
        <v>4</v>
      </c>
    </row>
    <row r="436" spans="1:3">
      <c r="A436" s="28" t="s">
        <v>700</v>
      </c>
      <c r="B436" s="23">
        <v>50</v>
      </c>
      <c r="C436" s="28" t="s">
        <v>4</v>
      </c>
    </row>
    <row r="437" spans="1:3">
      <c r="A437" t="s">
        <v>702</v>
      </c>
      <c r="B437">
        <v>2</v>
      </c>
      <c r="C437" t="s">
        <v>4</v>
      </c>
    </row>
    <row r="438" spans="1:3">
      <c r="A438" t="s">
        <v>703</v>
      </c>
      <c r="B438">
        <v>1</v>
      </c>
      <c r="C438" t="s">
        <v>4</v>
      </c>
    </row>
    <row r="439" spans="1:3">
      <c r="A439" t="s">
        <v>707</v>
      </c>
      <c r="B439">
        <v>20</v>
      </c>
      <c r="C439" t="s">
        <v>4</v>
      </c>
    </row>
    <row r="440" spans="1:3">
      <c r="A440" t="s">
        <v>708</v>
      </c>
      <c r="B440">
        <v>2</v>
      </c>
      <c r="C440" t="s">
        <v>4</v>
      </c>
    </row>
    <row r="441" spans="1:3">
      <c r="A441" t="s">
        <v>709</v>
      </c>
      <c r="B441">
        <v>1</v>
      </c>
      <c r="C441" t="s">
        <v>4</v>
      </c>
    </row>
    <row r="442" spans="1:3">
      <c r="A442" t="s">
        <v>710</v>
      </c>
      <c r="B442">
        <v>19</v>
      </c>
      <c r="C442" t="s">
        <v>4</v>
      </c>
    </row>
    <row r="443" spans="1:3">
      <c r="A443" t="s">
        <v>711</v>
      </c>
      <c r="B443">
        <v>2</v>
      </c>
      <c r="C443" t="s">
        <v>4</v>
      </c>
    </row>
    <row r="444" spans="1:3">
      <c r="A444" t="s">
        <v>712</v>
      </c>
      <c r="B444">
        <v>1</v>
      </c>
      <c r="C444" t="s">
        <v>4</v>
      </c>
    </row>
    <row r="445" spans="1:3">
      <c r="A445" t="s">
        <v>704</v>
      </c>
      <c r="B445">
        <v>1</v>
      </c>
      <c r="C445" t="s">
        <v>4</v>
      </c>
    </row>
    <row r="446" spans="1:3">
      <c r="A446" t="s">
        <v>705</v>
      </c>
      <c r="B446">
        <v>2</v>
      </c>
      <c r="C446" t="s">
        <v>4</v>
      </c>
    </row>
    <row r="447" spans="1:3">
      <c r="A447" t="s">
        <v>713</v>
      </c>
      <c r="B447">
        <v>1</v>
      </c>
      <c r="C447" t="s">
        <v>4</v>
      </c>
    </row>
    <row r="448" spans="1:3">
      <c r="A448" t="s">
        <v>715</v>
      </c>
      <c r="B448">
        <v>1</v>
      </c>
      <c r="C448" t="s">
        <v>4</v>
      </c>
    </row>
    <row r="449" spans="1:3">
      <c r="A449" t="s">
        <v>714</v>
      </c>
      <c r="B449">
        <v>5</v>
      </c>
      <c r="C449" t="s">
        <v>4</v>
      </c>
    </row>
    <row r="450" spans="1:3">
      <c r="A450" t="s">
        <v>716</v>
      </c>
      <c r="B450">
        <v>1</v>
      </c>
      <c r="C450" t="s">
        <v>4</v>
      </c>
    </row>
    <row r="451" spans="1:3">
      <c r="A451" t="s">
        <v>717</v>
      </c>
      <c r="B451">
        <v>5</v>
      </c>
      <c r="C451" t="s">
        <v>4</v>
      </c>
    </row>
    <row r="452" spans="1:3">
      <c r="A452" t="s">
        <v>718</v>
      </c>
      <c r="B452">
        <v>1</v>
      </c>
      <c r="C452" t="s">
        <v>4</v>
      </c>
    </row>
    <row r="453" spans="1:3">
      <c r="A453" t="s">
        <v>719</v>
      </c>
      <c r="B453">
        <v>1</v>
      </c>
      <c r="C453" t="s">
        <v>4</v>
      </c>
    </row>
    <row r="454" spans="1:3">
      <c r="A454" t="s">
        <v>721</v>
      </c>
      <c r="B454">
        <v>16</v>
      </c>
      <c r="C454" t="s">
        <v>4</v>
      </c>
    </row>
    <row r="455" spans="1:3">
      <c r="A455" t="s">
        <v>722</v>
      </c>
      <c r="B455">
        <v>4</v>
      </c>
      <c r="C455" t="s">
        <v>4</v>
      </c>
    </row>
    <row r="456" spans="1:3">
      <c r="A456" t="s">
        <v>723</v>
      </c>
      <c r="B456">
        <v>22</v>
      </c>
      <c r="C456" t="s">
        <v>4</v>
      </c>
    </row>
    <row r="457" spans="1:3">
      <c r="A457" t="s">
        <v>724</v>
      </c>
      <c r="B457">
        <v>2</v>
      </c>
      <c r="C457" t="s">
        <v>4</v>
      </c>
    </row>
    <row r="458" spans="1:3">
      <c r="A458" t="s">
        <v>725</v>
      </c>
      <c r="B458">
        <v>2</v>
      </c>
      <c r="C458" t="s">
        <v>4</v>
      </c>
    </row>
    <row r="459" spans="1:3">
      <c r="A459" t="s">
        <v>728</v>
      </c>
      <c r="B459">
        <v>6</v>
      </c>
      <c r="C459" t="s">
        <v>4</v>
      </c>
    </row>
    <row r="460" spans="1:3">
      <c r="A460" s="28" t="s">
        <v>720</v>
      </c>
      <c r="B460">
        <v>1</v>
      </c>
      <c r="C460" s="28" t="s">
        <v>4</v>
      </c>
    </row>
    <row r="461" spans="1:3">
      <c r="A461" s="28" t="s">
        <v>732</v>
      </c>
      <c r="B461" s="23">
        <v>2</v>
      </c>
      <c r="C461" s="28" t="s">
        <v>4</v>
      </c>
    </row>
    <row r="462" spans="1:3">
      <c r="A462" t="s">
        <v>729</v>
      </c>
      <c r="B462">
        <v>86</v>
      </c>
      <c r="C462" t="s">
        <v>4</v>
      </c>
    </row>
    <row r="463" spans="1:3">
      <c r="A463" t="s">
        <v>726</v>
      </c>
      <c r="B463">
        <v>232</v>
      </c>
      <c r="C463" t="s">
        <v>4</v>
      </c>
    </row>
    <row r="464" spans="1:3">
      <c r="A464" t="s">
        <v>747</v>
      </c>
      <c r="B464">
        <v>16</v>
      </c>
      <c r="C464" t="s">
        <v>4</v>
      </c>
    </row>
    <row r="465" spans="1:3">
      <c r="A465" t="s">
        <v>727</v>
      </c>
      <c r="B465">
        <v>2</v>
      </c>
      <c r="C465" t="s">
        <v>4</v>
      </c>
    </row>
    <row r="466" spans="1:3">
      <c r="A466" s="28" t="s">
        <v>730</v>
      </c>
      <c r="B466" s="30">
        <v>1</v>
      </c>
      <c r="C466" s="28" t="s">
        <v>4</v>
      </c>
    </row>
    <row r="467" spans="1:3">
      <c r="A467" t="s">
        <v>733</v>
      </c>
      <c r="B467">
        <v>6</v>
      </c>
      <c r="C467" t="s">
        <v>4</v>
      </c>
    </row>
    <row r="468" spans="1:3">
      <c r="A468" t="s">
        <v>736</v>
      </c>
      <c r="B468">
        <v>45</v>
      </c>
      <c r="C468" s="28" t="s">
        <v>4</v>
      </c>
    </row>
    <row r="469" spans="1:3">
      <c r="A469" t="s">
        <v>734</v>
      </c>
      <c r="B469">
        <v>114</v>
      </c>
      <c r="C469" s="28" t="s">
        <v>4</v>
      </c>
    </row>
    <row r="470" spans="1:3">
      <c r="A470" t="s">
        <v>744</v>
      </c>
      <c r="B470">
        <v>1</v>
      </c>
      <c r="C470" t="s">
        <v>4</v>
      </c>
    </row>
    <row r="471" spans="1:3">
      <c r="A471" t="s">
        <v>743</v>
      </c>
      <c r="B471">
        <v>3</v>
      </c>
      <c r="C471" t="s">
        <v>4</v>
      </c>
    </row>
    <row r="472" spans="1:3">
      <c r="A472" t="s">
        <v>742</v>
      </c>
      <c r="B472">
        <v>6</v>
      </c>
      <c r="C472" t="s">
        <v>4</v>
      </c>
    </row>
    <row r="473" spans="1:3">
      <c r="A473" t="s">
        <v>741</v>
      </c>
      <c r="B473">
        <v>3</v>
      </c>
      <c r="C473" t="s">
        <v>4</v>
      </c>
    </row>
    <row r="474" spans="1:3">
      <c r="A474" t="s">
        <v>740</v>
      </c>
      <c r="B474">
        <v>1</v>
      </c>
      <c r="C474" t="s">
        <v>4</v>
      </c>
    </row>
    <row r="475" spans="1:3">
      <c r="A475" t="s">
        <v>739</v>
      </c>
      <c r="B475">
        <v>6</v>
      </c>
      <c r="C475" t="s">
        <v>4</v>
      </c>
    </row>
    <row r="476" spans="1:3">
      <c r="A476" t="s">
        <v>737</v>
      </c>
      <c r="B476">
        <v>1</v>
      </c>
      <c r="C476" t="s">
        <v>4</v>
      </c>
    </row>
    <row r="477" spans="1:3">
      <c r="A477" t="s">
        <v>745</v>
      </c>
      <c r="B477">
        <v>2</v>
      </c>
      <c r="C477" t="s">
        <v>4</v>
      </c>
    </row>
    <row r="478" spans="1:3">
      <c r="A478" t="s">
        <v>749</v>
      </c>
      <c r="B478">
        <v>2</v>
      </c>
      <c r="C478" t="s">
        <v>4</v>
      </c>
    </row>
    <row r="479" spans="1:3">
      <c r="A479" t="s">
        <v>760</v>
      </c>
      <c r="B479">
        <v>3</v>
      </c>
      <c r="C479" t="s">
        <v>4</v>
      </c>
    </row>
    <row r="480" spans="1:3">
      <c r="A480" s="31" t="s">
        <v>731</v>
      </c>
      <c r="B480" s="32">
        <v>1</v>
      </c>
      <c r="C480" s="28" t="s">
        <v>4</v>
      </c>
    </row>
    <row r="481" spans="1:3">
      <c r="A481" s="33" t="s">
        <v>761</v>
      </c>
      <c r="B481" s="34">
        <v>5</v>
      </c>
      <c r="C481" t="s">
        <v>4</v>
      </c>
    </row>
    <row r="482" spans="1:3">
      <c r="A482" s="33" t="s">
        <v>748</v>
      </c>
      <c r="B482" s="32">
        <v>11</v>
      </c>
      <c r="C482" t="s">
        <v>4</v>
      </c>
    </row>
    <row r="483" spans="1:3">
      <c r="A483" s="33" t="s">
        <v>750</v>
      </c>
      <c r="B483" s="35">
        <v>10</v>
      </c>
      <c r="C483" t="s">
        <v>4</v>
      </c>
    </row>
    <row r="484" spans="1:3">
      <c r="A484" s="33" t="s">
        <v>757</v>
      </c>
      <c r="B484" s="30">
        <v>362</v>
      </c>
      <c r="C484" s="28" t="s">
        <v>4</v>
      </c>
    </row>
    <row r="485" spans="1:3">
      <c r="A485" s="33" t="s">
        <v>758</v>
      </c>
      <c r="B485" s="30">
        <v>74</v>
      </c>
      <c r="C485" s="28" t="s">
        <v>4</v>
      </c>
    </row>
    <row r="486" spans="1:3">
      <c r="A486" s="33" t="s">
        <v>765</v>
      </c>
      <c r="B486">
        <v>3</v>
      </c>
      <c r="C486" t="s">
        <v>4</v>
      </c>
    </row>
    <row r="487" spans="1:3">
      <c r="A487" s="33" t="s">
        <v>766</v>
      </c>
      <c r="B487">
        <v>1</v>
      </c>
      <c r="C487" t="s">
        <v>4</v>
      </c>
    </row>
    <row r="488" spans="1:3">
      <c r="A488" s="33" t="s">
        <v>768</v>
      </c>
      <c r="B488">
        <v>7</v>
      </c>
      <c r="C488" t="s">
        <v>4</v>
      </c>
    </row>
    <row r="489" spans="1:3">
      <c r="A489" s="33" t="s">
        <v>769</v>
      </c>
      <c r="B489">
        <v>5</v>
      </c>
      <c r="C489" t="s">
        <v>4</v>
      </c>
    </row>
    <row r="490" spans="1:3">
      <c r="A490" s="33" t="s">
        <v>770</v>
      </c>
      <c r="B490">
        <v>1</v>
      </c>
      <c r="C490" t="s">
        <v>4</v>
      </c>
    </row>
    <row r="491" spans="1:3">
      <c r="A491" s="33" t="s">
        <v>771</v>
      </c>
      <c r="B491">
        <v>1</v>
      </c>
      <c r="C491" t="s">
        <v>4</v>
      </c>
    </row>
    <row r="492" spans="1:3">
      <c r="A492" s="33" t="s">
        <v>775</v>
      </c>
      <c r="B492">
        <v>1</v>
      </c>
      <c r="C492" t="s">
        <v>4</v>
      </c>
    </row>
    <row r="493" spans="1:3">
      <c r="A493" t="s">
        <v>776</v>
      </c>
      <c r="B493">
        <v>1</v>
      </c>
      <c r="C493" t="s">
        <v>4</v>
      </c>
    </row>
    <row r="494" spans="1:3">
      <c r="A494" t="s">
        <v>777</v>
      </c>
      <c r="B494">
        <v>1</v>
      </c>
      <c r="C494" s="28" t="s">
        <v>4</v>
      </c>
    </row>
    <row r="495" spans="1:3">
      <c r="A495" t="s">
        <v>778</v>
      </c>
      <c r="B495">
        <v>2</v>
      </c>
      <c r="C495" s="28" t="s">
        <v>4</v>
      </c>
    </row>
    <row r="496" spans="1:3">
      <c r="A496" t="s">
        <v>762</v>
      </c>
      <c r="B496">
        <v>3</v>
      </c>
      <c r="C496" s="28" t="s">
        <v>4</v>
      </c>
    </row>
    <row r="497" spans="1:3">
      <c r="A497" t="s">
        <v>781</v>
      </c>
      <c r="B497">
        <v>1</v>
      </c>
      <c r="C497" s="28" t="s">
        <v>4</v>
      </c>
    </row>
    <row r="498" spans="1:3">
      <c r="A498" s="28" t="s">
        <v>767</v>
      </c>
      <c r="B498" s="30">
        <v>76</v>
      </c>
      <c r="C498" s="28" t="s">
        <v>4</v>
      </c>
    </row>
    <row r="499" spans="1:3">
      <c r="A499" t="s">
        <v>772</v>
      </c>
      <c r="B499">
        <v>51</v>
      </c>
      <c r="C499" t="s">
        <v>4</v>
      </c>
    </row>
    <row r="500" spans="1:3">
      <c r="A500" t="s">
        <v>779</v>
      </c>
      <c r="B500">
        <v>4</v>
      </c>
      <c r="C500" t="s">
        <v>4</v>
      </c>
    </row>
    <row r="501" spans="1:3">
      <c r="A501" t="s">
        <v>782</v>
      </c>
      <c r="B501">
        <v>4</v>
      </c>
      <c r="C501" t="s">
        <v>4</v>
      </c>
    </row>
    <row r="502" spans="1:3">
      <c r="A502" t="s">
        <v>783</v>
      </c>
      <c r="B502">
        <v>9</v>
      </c>
      <c r="C502" t="s">
        <v>4</v>
      </c>
    </row>
    <row r="503" spans="1:3">
      <c r="A503" t="s">
        <v>763</v>
      </c>
      <c r="B503">
        <v>13</v>
      </c>
      <c r="C503" s="28" t="s">
        <v>4</v>
      </c>
    </row>
    <row r="504" spans="1:3">
      <c r="A504" t="s">
        <v>786</v>
      </c>
      <c r="B504">
        <v>12</v>
      </c>
      <c r="C504" s="28" t="s">
        <v>4</v>
      </c>
    </row>
    <row r="505" spans="1:3">
      <c r="A505" t="s">
        <v>785</v>
      </c>
      <c r="B505">
        <v>243</v>
      </c>
      <c r="C505" s="28" t="s">
        <v>4</v>
      </c>
    </row>
    <row r="506" spans="1:3">
      <c r="A506" s="28" t="s">
        <v>787</v>
      </c>
      <c r="B506" s="30">
        <v>8</v>
      </c>
      <c r="C506" s="28" t="s">
        <v>4</v>
      </c>
    </row>
    <row r="507" spans="1:3">
      <c r="A507" s="31" t="s">
        <v>790</v>
      </c>
      <c r="B507" s="30">
        <v>1</v>
      </c>
      <c r="C507" s="28" t="s">
        <v>4</v>
      </c>
    </row>
    <row r="508" spans="1:3">
      <c r="A508" s="31" t="s">
        <v>789</v>
      </c>
      <c r="B508" s="32">
        <v>1</v>
      </c>
      <c r="C508" s="28" t="s">
        <v>4</v>
      </c>
    </row>
    <row r="509" spans="1:3">
      <c r="A509" s="31" t="s">
        <v>788</v>
      </c>
      <c r="B509" s="30">
        <v>1</v>
      </c>
      <c r="C509" s="28" t="s">
        <v>4</v>
      </c>
    </row>
    <row r="510" spans="1:3">
      <c r="A510" t="s">
        <v>791</v>
      </c>
      <c r="B510">
        <v>6</v>
      </c>
      <c r="C510" s="28" t="s">
        <v>4</v>
      </c>
    </row>
    <row r="511" spans="1:3">
      <c r="A511" s="31" t="s">
        <v>794</v>
      </c>
      <c r="B511" s="35">
        <v>1</v>
      </c>
      <c r="C511" s="28" t="s">
        <v>4</v>
      </c>
    </row>
    <row r="512" spans="1:3">
      <c r="A512" t="s">
        <v>795</v>
      </c>
      <c r="B512">
        <v>8</v>
      </c>
      <c r="C512" s="28" t="s">
        <v>4</v>
      </c>
    </row>
    <row r="513" spans="1:3">
      <c r="A513" s="31" t="s">
        <v>798</v>
      </c>
      <c r="B513" s="35">
        <v>1</v>
      </c>
      <c r="C513" s="28" t="s">
        <v>4</v>
      </c>
    </row>
    <row r="514" spans="1:3">
      <c r="A514" s="31" t="s">
        <v>797</v>
      </c>
      <c r="B514" s="35">
        <v>1</v>
      </c>
      <c r="C514" s="28" t="s">
        <v>4</v>
      </c>
    </row>
    <row r="515" spans="1:3">
      <c r="A515" t="s">
        <v>792</v>
      </c>
      <c r="B515">
        <v>44</v>
      </c>
      <c r="C515" t="s">
        <v>4</v>
      </c>
    </row>
    <row r="516" spans="1:3">
      <c r="A516" t="s">
        <v>796</v>
      </c>
      <c r="B516">
        <v>9</v>
      </c>
      <c r="C516" t="s">
        <v>4</v>
      </c>
    </row>
    <row r="517" spans="1:3">
      <c r="A517" t="s">
        <v>803</v>
      </c>
      <c r="B517">
        <v>3</v>
      </c>
      <c r="C517" t="s">
        <v>4</v>
      </c>
    </row>
    <row r="518" spans="1:3">
      <c r="A518" t="s">
        <v>802</v>
      </c>
      <c r="B518">
        <v>29</v>
      </c>
      <c r="C518" t="s">
        <v>4</v>
      </c>
    </row>
    <row r="519" spans="1:3">
      <c r="A519" t="s">
        <v>801</v>
      </c>
      <c r="B519">
        <v>129</v>
      </c>
      <c r="C519" t="s">
        <v>4</v>
      </c>
    </row>
    <row r="520" spans="1:3">
      <c r="A520" t="s">
        <v>800</v>
      </c>
      <c r="B520">
        <v>6</v>
      </c>
      <c r="C520" t="s">
        <v>4</v>
      </c>
    </row>
    <row r="521" spans="1:3">
      <c r="A521" t="s">
        <v>805</v>
      </c>
      <c r="B521">
        <v>35</v>
      </c>
      <c r="C521" t="s">
        <v>4</v>
      </c>
    </row>
    <row r="522" spans="1:3">
      <c r="A522" t="s">
        <v>804</v>
      </c>
      <c r="B522">
        <v>14</v>
      </c>
      <c r="C522" t="s">
        <v>4</v>
      </c>
    </row>
    <row r="523" spans="1:3">
      <c r="A523" s="31" t="s">
        <v>809</v>
      </c>
      <c r="B523">
        <v>1</v>
      </c>
      <c r="C523" t="s">
        <v>4</v>
      </c>
    </row>
    <row r="524" spans="1:3">
      <c r="A524" s="31" t="s">
        <v>813</v>
      </c>
      <c r="B524" s="35">
        <v>2</v>
      </c>
      <c r="C524" t="s">
        <v>4</v>
      </c>
    </row>
    <row r="525" spans="1:3">
      <c r="A525" s="31" t="s">
        <v>814</v>
      </c>
      <c r="B525" s="35">
        <v>34</v>
      </c>
      <c r="C525" t="s">
        <v>4</v>
      </c>
    </row>
    <row r="526" spans="1:3">
      <c r="A526" t="s">
        <v>799</v>
      </c>
      <c r="B526">
        <v>1</v>
      </c>
      <c r="C526" t="s">
        <v>4</v>
      </c>
    </row>
    <row r="527" spans="1:3">
      <c r="A527" t="s">
        <v>808</v>
      </c>
      <c r="B527">
        <v>28</v>
      </c>
      <c r="C527" t="s">
        <v>4</v>
      </c>
    </row>
    <row r="528" spans="1:3">
      <c r="A528" s="31" t="s">
        <v>815</v>
      </c>
      <c r="B528" s="35">
        <v>3</v>
      </c>
      <c r="C528" s="38" t="s">
        <v>4</v>
      </c>
    </row>
    <row r="529" spans="1:3">
      <c r="A529" s="31" t="s">
        <v>816</v>
      </c>
      <c r="B529" s="35">
        <v>223</v>
      </c>
      <c r="C529" t="s">
        <v>4</v>
      </c>
    </row>
    <row r="530" spans="1:3">
      <c r="A530" s="31" t="s">
        <v>823</v>
      </c>
      <c r="B530" s="35">
        <v>30</v>
      </c>
      <c r="C530" s="38" t="s">
        <v>4</v>
      </c>
    </row>
    <row r="531" spans="1:3">
      <c r="A531" s="31" t="s">
        <v>824</v>
      </c>
      <c r="B531" s="35">
        <v>2</v>
      </c>
      <c r="C531" s="38" t="s">
        <v>4</v>
      </c>
    </row>
    <row r="532" spans="1:3">
      <c r="A532" t="s">
        <v>818</v>
      </c>
      <c r="B532">
        <v>1</v>
      </c>
      <c r="C532" s="38" t="s">
        <v>4</v>
      </c>
    </row>
    <row r="533" spans="1:3">
      <c r="A533" t="s">
        <v>827</v>
      </c>
      <c r="B533">
        <v>11</v>
      </c>
      <c r="C533" s="38" t="s">
        <v>4</v>
      </c>
    </row>
    <row r="534" spans="1:3">
      <c r="A534" s="38" t="s">
        <v>810</v>
      </c>
      <c r="B534" s="38">
        <v>136</v>
      </c>
      <c r="C534" s="38" t="s">
        <v>4</v>
      </c>
    </row>
    <row r="535" spans="1:3">
      <c r="A535" s="31" t="s">
        <v>821</v>
      </c>
      <c r="B535" s="35">
        <v>21</v>
      </c>
      <c r="C535" s="38" t="s">
        <v>4</v>
      </c>
    </row>
    <row r="536" spans="1:3">
      <c r="A536" s="31" t="s">
        <v>817</v>
      </c>
      <c r="B536" s="35">
        <v>16</v>
      </c>
      <c r="C536" s="38" t="s">
        <v>4</v>
      </c>
    </row>
    <row r="537" spans="1:3">
      <c r="A537" t="s">
        <v>820</v>
      </c>
      <c r="B537">
        <v>15</v>
      </c>
      <c r="C537" s="38" t="s">
        <v>4</v>
      </c>
    </row>
    <row r="538" spans="1:3">
      <c r="A538" t="s">
        <v>829</v>
      </c>
      <c r="B538">
        <v>2</v>
      </c>
      <c r="C538" t="s">
        <v>4</v>
      </c>
    </row>
    <row r="539" spans="1:3">
      <c r="A539" t="s">
        <v>828</v>
      </c>
      <c r="B539">
        <v>10</v>
      </c>
      <c r="C539" s="38" t="s">
        <v>4</v>
      </c>
    </row>
    <row r="540" spans="1:3">
      <c r="A540" t="s">
        <v>831</v>
      </c>
      <c r="B540">
        <v>2</v>
      </c>
      <c r="C540" s="38" t="s">
        <v>4</v>
      </c>
    </row>
    <row r="541" spans="1:3">
      <c r="A541" t="s">
        <v>832</v>
      </c>
      <c r="B541">
        <v>2</v>
      </c>
      <c r="C541" s="38" t="s">
        <v>4</v>
      </c>
    </row>
    <row r="542" spans="1:3">
      <c r="A542" t="s">
        <v>833</v>
      </c>
      <c r="B542">
        <v>35</v>
      </c>
      <c r="C542" s="38" t="s">
        <v>4</v>
      </c>
    </row>
    <row r="543" spans="1:3">
      <c r="A543" t="s">
        <v>834</v>
      </c>
      <c r="B543">
        <v>2</v>
      </c>
      <c r="C543" s="38" t="s">
        <v>4</v>
      </c>
    </row>
    <row r="544" spans="1:3">
      <c r="A544" t="s">
        <v>839</v>
      </c>
      <c r="B544">
        <v>1</v>
      </c>
      <c r="C544" s="38" t="s">
        <v>4</v>
      </c>
    </row>
    <row r="545" spans="1:4">
      <c r="A545" s="29" t="s">
        <v>843</v>
      </c>
      <c r="B545" s="29">
        <v>17</v>
      </c>
      <c r="C545" s="29" t="s">
        <v>4</v>
      </c>
    </row>
    <row r="546" spans="1:4">
      <c r="A546" s="38" t="s">
        <v>840</v>
      </c>
      <c r="B546" s="29">
        <v>15</v>
      </c>
      <c r="C546" s="29" t="s">
        <v>4</v>
      </c>
      <c r="D546" s="38"/>
    </row>
    <row r="547" spans="1:4">
      <c r="A547" s="38" t="s">
        <v>853</v>
      </c>
      <c r="B547" s="29">
        <v>14</v>
      </c>
      <c r="C547" s="29" t="s">
        <v>4</v>
      </c>
    </row>
    <row r="548" spans="1:4">
      <c r="A548" s="31" t="s">
        <v>847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849</v>
      </c>
      <c r="B549">
        <v>34</v>
      </c>
      <c r="C549" s="38" t="str">
        <f t="shared" si="0"/>
        <v>ok</v>
      </c>
    </row>
    <row r="550" spans="1:4">
      <c r="A550" s="40" t="s">
        <v>841</v>
      </c>
      <c r="B550" s="39">
        <v>4</v>
      </c>
      <c r="C550" s="38" t="str">
        <f t="shared" si="0"/>
        <v>ok</v>
      </c>
    </row>
    <row r="551" spans="1:4">
      <c r="A551" t="s">
        <v>846</v>
      </c>
      <c r="B551">
        <v>3</v>
      </c>
      <c r="C551" s="38" t="str">
        <f t="shared" si="0"/>
        <v>ok</v>
      </c>
    </row>
    <row r="552" spans="1:4">
      <c r="A552" t="s">
        <v>842</v>
      </c>
      <c r="B552">
        <v>6</v>
      </c>
      <c r="C552" s="38" t="str">
        <f t="shared" si="0"/>
        <v>ok</v>
      </c>
    </row>
    <row r="553" spans="1:4">
      <c r="A553" t="s">
        <v>838</v>
      </c>
      <c r="B553">
        <v>15</v>
      </c>
      <c r="C553" s="38" t="str">
        <f t="shared" si="0"/>
        <v>ok</v>
      </c>
    </row>
    <row r="554" spans="1:4">
      <c r="A554" t="s">
        <v>825</v>
      </c>
      <c r="B554">
        <v>2</v>
      </c>
      <c r="C554" s="38" t="str">
        <f t="shared" si="0"/>
        <v>ok</v>
      </c>
    </row>
    <row r="555" spans="1:4">
      <c r="A555" t="s">
        <v>837</v>
      </c>
      <c r="B555">
        <v>30</v>
      </c>
      <c r="C555" s="38" t="str">
        <f t="shared" si="0"/>
        <v>ok</v>
      </c>
    </row>
    <row r="556" spans="1:4">
      <c r="A556" t="s">
        <v>806</v>
      </c>
      <c r="B556">
        <v>1</v>
      </c>
      <c r="C556" s="38" t="str">
        <f t="shared" si="0"/>
        <v>ok</v>
      </c>
    </row>
    <row r="557" spans="1:4">
      <c r="A557" t="s">
        <v>851</v>
      </c>
      <c r="B557">
        <v>2</v>
      </c>
      <c r="C557" s="38" t="str">
        <f t="shared" si="0"/>
        <v>ok</v>
      </c>
    </row>
    <row r="558" spans="1:4">
      <c r="A558" t="s">
        <v>835</v>
      </c>
      <c r="B558">
        <v>8</v>
      </c>
      <c r="C558" s="38" t="str">
        <f t="shared" si="0"/>
        <v>ok</v>
      </c>
    </row>
    <row r="559" spans="1:4">
      <c r="A559" t="s">
        <v>852</v>
      </c>
      <c r="B559">
        <v>16</v>
      </c>
      <c r="C559" s="38" t="str">
        <f t="shared" si="0"/>
        <v>ok</v>
      </c>
    </row>
    <row r="560" spans="1:4">
      <c r="A560" t="s">
        <v>845</v>
      </c>
      <c r="B560">
        <v>94</v>
      </c>
      <c r="C560" s="38" t="str">
        <f t="shared" si="0"/>
        <v>ok</v>
      </c>
    </row>
    <row r="561" spans="1:3">
      <c r="A561" s="42" t="s">
        <v>844</v>
      </c>
      <c r="B561" s="43">
        <v>74</v>
      </c>
      <c r="C561" s="38" t="str">
        <f t="shared" si="0"/>
        <v>ok</v>
      </c>
    </row>
    <row r="562" spans="1:3">
      <c r="A562" s="42" t="s">
        <v>857</v>
      </c>
      <c r="B562" s="39">
        <v>14</v>
      </c>
      <c r="C562" s="38" t="str">
        <f t="shared" si="0"/>
        <v>ok</v>
      </c>
    </row>
    <row r="563" spans="1:3">
      <c r="A563" t="s">
        <v>855</v>
      </c>
      <c r="B563">
        <v>3</v>
      </c>
      <c r="C563" s="38" t="str">
        <f t="shared" si="0"/>
        <v>ok</v>
      </c>
    </row>
    <row r="564" spans="1:3">
      <c r="A564" t="s">
        <v>858</v>
      </c>
      <c r="B564">
        <v>6</v>
      </c>
      <c r="C564" s="38" t="str">
        <f t="shared" si="0"/>
        <v>ok</v>
      </c>
    </row>
    <row r="565" spans="1:3">
      <c r="A565" t="s">
        <v>860</v>
      </c>
      <c r="B565">
        <v>1</v>
      </c>
      <c r="C565" s="38" t="s">
        <v>4</v>
      </c>
    </row>
    <row r="566" spans="1:3">
      <c r="A566" t="s">
        <v>863</v>
      </c>
      <c r="B566">
        <v>10</v>
      </c>
      <c r="C566" s="38" t="s">
        <v>4</v>
      </c>
    </row>
    <row r="567" spans="1:3">
      <c r="A567" t="s">
        <v>862</v>
      </c>
      <c r="B567">
        <v>166</v>
      </c>
      <c r="C567" s="38" t="s">
        <v>4</v>
      </c>
    </row>
    <row r="568" spans="1:3">
      <c r="A568" t="s">
        <v>861</v>
      </c>
      <c r="B568">
        <v>1</v>
      </c>
      <c r="C568" s="38" t="s">
        <v>4</v>
      </c>
    </row>
    <row r="569" spans="1:3">
      <c r="A569" s="38" t="s">
        <v>836</v>
      </c>
      <c r="B569">
        <v>2</v>
      </c>
      <c r="C569" t="s">
        <v>4</v>
      </c>
    </row>
    <row r="570" spans="1:3">
      <c r="A570" t="s">
        <v>867</v>
      </c>
      <c r="B570">
        <v>32</v>
      </c>
      <c r="C570" s="38" t="s">
        <v>4</v>
      </c>
    </row>
    <row r="571" spans="1:3">
      <c r="A571" t="s">
        <v>869</v>
      </c>
      <c r="B571">
        <v>11</v>
      </c>
      <c r="C571" s="38" t="s">
        <v>4</v>
      </c>
    </row>
    <row r="572" spans="1:3">
      <c r="A572" t="s">
        <v>871</v>
      </c>
      <c r="B572">
        <v>6</v>
      </c>
      <c r="C572" s="38" t="s">
        <v>4</v>
      </c>
    </row>
    <row r="573" spans="1:3">
      <c r="A573" t="s">
        <v>864</v>
      </c>
      <c r="B573">
        <v>11</v>
      </c>
      <c r="C573" s="38" t="s">
        <v>4</v>
      </c>
    </row>
    <row r="574" spans="1:3">
      <c r="A574" t="s">
        <v>865</v>
      </c>
      <c r="B574">
        <v>1</v>
      </c>
      <c r="C574" s="38" t="s">
        <v>4</v>
      </c>
    </row>
    <row r="575" spans="1:3">
      <c r="A575" t="s">
        <v>868</v>
      </c>
      <c r="B575">
        <v>16</v>
      </c>
      <c r="C575" s="38" t="s">
        <v>4</v>
      </c>
    </row>
    <row r="576" spans="1:3">
      <c r="A576" t="s">
        <v>870</v>
      </c>
      <c r="B576">
        <v>44</v>
      </c>
      <c r="C576" s="38" t="s">
        <v>4</v>
      </c>
    </row>
    <row r="577" spans="1:3">
      <c r="A577" t="s">
        <v>866</v>
      </c>
      <c r="B577">
        <v>4</v>
      </c>
      <c r="C577" s="38" t="s">
        <v>4</v>
      </c>
    </row>
    <row r="578" spans="1:3">
      <c r="A578" t="s">
        <v>873</v>
      </c>
      <c r="B578">
        <v>4</v>
      </c>
      <c r="C578" s="38" t="s">
        <v>4</v>
      </c>
    </row>
    <row r="579" spans="1:3">
      <c r="A579" t="s">
        <v>874</v>
      </c>
      <c r="B579">
        <v>1</v>
      </c>
      <c r="C579" s="38" t="s">
        <v>4</v>
      </c>
    </row>
    <row r="580" spans="1:3">
      <c r="A580" t="s">
        <v>876</v>
      </c>
      <c r="B580">
        <v>1</v>
      </c>
      <c r="C580" s="38" t="s">
        <v>4</v>
      </c>
    </row>
    <row r="581" spans="1:3">
      <c r="A581" t="s">
        <v>878</v>
      </c>
      <c r="B581">
        <v>1</v>
      </c>
      <c r="C581" s="38" t="s">
        <v>4</v>
      </c>
    </row>
    <row r="582" spans="1:3">
      <c r="A582" t="s">
        <v>879</v>
      </c>
      <c r="B582">
        <v>1</v>
      </c>
      <c r="C582" s="38" t="s">
        <v>4</v>
      </c>
    </row>
    <row r="583" spans="1:3">
      <c r="A583" t="s">
        <v>880</v>
      </c>
      <c r="B583">
        <v>1</v>
      </c>
      <c r="C583" s="38" t="s">
        <v>4</v>
      </c>
    </row>
    <row r="584" spans="1:3">
      <c r="A584" t="s">
        <v>881</v>
      </c>
      <c r="B584">
        <v>3</v>
      </c>
      <c r="C584" s="38" t="s">
        <v>4</v>
      </c>
    </row>
    <row r="585" spans="1:3">
      <c r="A585" t="s">
        <v>872</v>
      </c>
      <c r="B585">
        <v>8</v>
      </c>
      <c r="C585" t="s">
        <v>4</v>
      </c>
    </row>
    <row r="586" spans="1:3">
      <c r="A586" t="s">
        <v>875</v>
      </c>
      <c r="B586">
        <v>4</v>
      </c>
      <c r="C586" s="38" t="s">
        <v>4</v>
      </c>
    </row>
    <row r="587" spans="1:3">
      <c r="A587" t="s">
        <v>883</v>
      </c>
      <c r="B587">
        <v>1</v>
      </c>
      <c r="C587" t="s">
        <v>4</v>
      </c>
    </row>
    <row r="588" spans="1:3">
      <c r="A588" t="s">
        <v>882</v>
      </c>
      <c r="B588">
        <v>19</v>
      </c>
      <c r="C588" t="s">
        <v>4</v>
      </c>
    </row>
    <row r="589" spans="1:3">
      <c r="A589" t="s">
        <v>884</v>
      </c>
      <c r="B589">
        <v>6</v>
      </c>
      <c r="C589" t="s">
        <v>4</v>
      </c>
    </row>
    <row r="590" spans="1:3">
      <c r="A590" t="s">
        <v>886</v>
      </c>
      <c r="B590">
        <v>5</v>
      </c>
      <c r="C590" t="s">
        <v>4</v>
      </c>
    </row>
    <row r="591" spans="1:3">
      <c r="A591" t="s">
        <v>889</v>
      </c>
      <c r="B591">
        <v>1</v>
      </c>
      <c r="C591" t="s">
        <v>4</v>
      </c>
    </row>
    <row r="592" spans="1:3">
      <c r="A592" t="s">
        <v>888</v>
      </c>
      <c r="B592">
        <v>8</v>
      </c>
      <c r="C592" t="s">
        <v>4</v>
      </c>
    </row>
    <row r="593" spans="1:3">
      <c r="A593" t="s">
        <v>891</v>
      </c>
      <c r="B593">
        <v>1</v>
      </c>
      <c r="C593" s="38" t="s">
        <v>4</v>
      </c>
    </row>
    <row r="594" spans="1:3">
      <c r="A594" t="s">
        <v>893</v>
      </c>
      <c r="B594">
        <v>14</v>
      </c>
      <c r="C594" t="s">
        <v>4</v>
      </c>
    </row>
    <row r="595" spans="1:3">
      <c r="A595" t="s">
        <v>887</v>
      </c>
      <c r="B595">
        <v>13</v>
      </c>
      <c r="C595" t="s">
        <v>4</v>
      </c>
    </row>
    <row r="596" spans="1:3">
      <c r="A596" t="s">
        <v>890</v>
      </c>
      <c r="B596">
        <v>1</v>
      </c>
      <c r="C596" t="s">
        <v>4</v>
      </c>
    </row>
    <row r="597" spans="1:3">
      <c r="A597" t="s">
        <v>892</v>
      </c>
      <c r="B597">
        <v>3</v>
      </c>
      <c r="C597" t="s">
        <v>4</v>
      </c>
    </row>
    <row r="598" spans="1:3">
      <c r="A598" t="s">
        <v>895</v>
      </c>
      <c r="B598">
        <v>1</v>
      </c>
      <c r="C598" s="38" t="s">
        <v>4</v>
      </c>
    </row>
    <row r="599" spans="1:3">
      <c r="A599" t="s">
        <v>894</v>
      </c>
      <c r="B599">
        <v>1</v>
      </c>
      <c r="C599" s="38" t="s">
        <v>4</v>
      </c>
    </row>
    <row r="600" spans="1:3">
      <c r="A600" s="31" t="s">
        <v>896</v>
      </c>
      <c r="B600" s="35">
        <v>14</v>
      </c>
      <c r="C600" s="38" t="s">
        <v>4</v>
      </c>
    </row>
    <row r="601" spans="1:3">
      <c r="A601" t="s">
        <v>897</v>
      </c>
      <c r="B601">
        <v>11</v>
      </c>
      <c r="C601" s="38" t="s">
        <v>4</v>
      </c>
    </row>
    <row r="602" spans="1:3">
      <c r="A602" t="s">
        <v>900</v>
      </c>
      <c r="B602">
        <v>2</v>
      </c>
      <c r="C602" s="38" t="s">
        <v>4</v>
      </c>
    </row>
    <row r="603" spans="1:3">
      <c r="A603" t="s">
        <v>898</v>
      </c>
      <c r="B603">
        <v>20</v>
      </c>
      <c r="C603" s="38" t="s">
        <v>4</v>
      </c>
    </row>
    <row r="604" spans="1:3">
      <c r="A604" t="s">
        <v>899</v>
      </c>
      <c r="B604">
        <v>3</v>
      </c>
      <c r="C604" s="38" t="s">
        <v>4</v>
      </c>
    </row>
    <row r="605" spans="1:3">
      <c r="A605" t="s">
        <v>885</v>
      </c>
      <c r="B605">
        <v>5</v>
      </c>
      <c r="C605" t="s">
        <v>4</v>
      </c>
    </row>
    <row r="606" spans="1:3">
      <c r="A606" t="s">
        <v>906</v>
      </c>
      <c r="B606">
        <v>1</v>
      </c>
      <c r="C606" t="s">
        <v>4</v>
      </c>
    </row>
    <row r="607" spans="1:3">
      <c r="A607" t="s">
        <v>907</v>
      </c>
      <c r="B607">
        <v>13</v>
      </c>
      <c r="C607" t="s">
        <v>4</v>
      </c>
    </row>
    <row r="608" spans="1:3">
      <c r="A608" t="s">
        <v>908</v>
      </c>
      <c r="B608">
        <v>1</v>
      </c>
      <c r="C608" s="47" t="s">
        <v>4</v>
      </c>
    </row>
    <row r="609" spans="1:3">
      <c r="A609" t="s">
        <v>903</v>
      </c>
      <c r="B609">
        <v>1</v>
      </c>
      <c r="C609" s="47" t="s">
        <v>4</v>
      </c>
    </row>
    <row r="610" spans="1:3">
      <c r="A610" t="s">
        <v>904</v>
      </c>
      <c r="B610">
        <v>1</v>
      </c>
      <c r="C610" s="47" t="s">
        <v>4</v>
      </c>
    </row>
    <row r="611" spans="1:3">
      <c r="A611" t="s">
        <v>905</v>
      </c>
      <c r="B611">
        <v>23</v>
      </c>
      <c r="C611" s="47" t="s">
        <v>4</v>
      </c>
    </row>
    <row r="612" spans="1:3">
      <c r="A612" t="s">
        <v>902</v>
      </c>
      <c r="B612">
        <v>1</v>
      </c>
      <c r="C612" s="47" t="s">
        <v>4</v>
      </c>
    </row>
    <row r="613" spans="1:3">
      <c r="A613" t="s">
        <v>911</v>
      </c>
      <c r="B613">
        <v>14</v>
      </c>
      <c r="C613" s="47" t="s">
        <v>4</v>
      </c>
    </row>
    <row r="614" spans="1:3">
      <c r="A614" t="s">
        <v>912</v>
      </c>
      <c r="B614">
        <v>2</v>
      </c>
      <c r="C614" s="47" t="s">
        <v>4</v>
      </c>
    </row>
    <row r="615" spans="1:3">
      <c r="A615" t="s">
        <v>913</v>
      </c>
      <c r="B615">
        <v>146</v>
      </c>
      <c r="C615" s="47" t="s">
        <v>4</v>
      </c>
    </row>
    <row r="616" spans="1:3">
      <c r="A616" t="s">
        <v>910</v>
      </c>
      <c r="B616">
        <v>1</v>
      </c>
      <c r="C616" t="s">
        <v>4</v>
      </c>
    </row>
    <row r="617" spans="1:3">
      <c r="A617" t="s">
        <v>914</v>
      </c>
      <c r="B617">
        <v>1</v>
      </c>
      <c r="C617" t="s">
        <v>4</v>
      </c>
    </row>
    <row r="618" spans="1:3">
      <c r="A618" t="s">
        <v>915</v>
      </c>
      <c r="B618">
        <v>2</v>
      </c>
      <c r="C618" t="s">
        <v>4</v>
      </c>
    </row>
    <row r="619" spans="1:3">
      <c r="A619" t="s">
        <v>916</v>
      </c>
      <c r="B619">
        <v>1</v>
      </c>
      <c r="C619" t="s">
        <v>4</v>
      </c>
    </row>
    <row r="620" spans="1:3">
      <c r="A620" t="s">
        <v>918</v>
      </c>
      <c r="B620">
        <v>7</v>
      </c>
      <c r="C620" s="47" t="s">
        <v>4</v>
      </c>
    </row>
    <row r="621" spans="1:3">
      <c r="A621" t="s">
        <v>917</v>
      </c>
      <c r="B621">
        <v>1</v>
      </c>
      <c r="C621" s="47" t="s">
        <v>4</v>
      </c>
    </row>
    <row r="622" spans="1:3">
      <c r="A622" t="s">
        <v>919</v>
      </c>
      <c r="B622">
        <v>17</v>
      </c>
      <c r="C622" s="47" t="s">
        <v>4</v>
      </c>
    </row>
    <row r="623" spans="1:3">
      <c r="A623" t="s">
        <v>922</v>
      </c>
      <c r="B623">
        <v>5</v>
      </c>
      <c r="C623" s="47" t="s">
        <v>4</v>
      </c>
    </row>
    <row r="624" spans="1:3">
      <c r="A624" t="s">
        <v>924</v>
      </c>
      <c r="B624">
        <v>6</v>
      </c>
      <c r="C624" s="47" t="s">
        <v>4</v>
      </c>
    </row>
    <row r="625" spans="1:3">
      <c r="A625" t="s">
        <v>923</v>
      </c>
      <c r="B625">
        <v>2</v>
      </c>
      <c r="C625" s="47" t="s">
        <v>4</v>
      </c>
    </row>
    <row r="626" spans="1:3">
      <c r="A626" t="s">
        <v>920</v>
      </c>
      <c r="B626">
        <v>15</v>
      </c>
      <c r="C626" s="47" t="s">
        <v>4</v>
      </c>
    </row>
    <row r="627" spans="1:3">
      <c r="A627" t="s">
        <v>928</v>
      </c>
      <c r="B627">
        <v>30</v>
      </c>
      <c r="C627" s="47" t="s">
        <v>4</v>
      </c>
    </row>
    <row r="628" spans="1:3">
      <c r="A628" t="s">
        <v>929</v>
      </c>
      <c r="B628">
        <v>10</v>
      </c>
      <c r="C628" s="47" t="s">
        <v>4</v>
      </c>
    </row>
    <row r="629" spans="1:3">
      <c r="A629" t="s">
        <v>930</v>
      </c>
      <c r="B629">
        <v>2</v>
      </c>
      <c r="C629" s="47" t="s">
        <v>4</v>
      </c>
    </row>
    <row r="630" spans="1:3">
      <c r="A630" t="s">
        <v>926</v>
      </c>
      <c r="B630">
        <v>1</v>
      </c>
      <c r="C630" s="47" t="s">
        <v>4</v>
      </c>
    </row>
    <row r="631" spans="1:3">
      <c r="A631" t="s">
        <v>931</v>
      </c>
      <c r="B631">
        <v>7</v>
      </c>
      <c r="C631" s="47" t="s">
        <v>4</v>
      </c>
    </row>
    <row r="632" spans="1:3">
      <c r="A632" t="s">
        <v>933</v>
      </c>
      <c r="B632">
        <v>1</v>
      </c>
      <c r="C632" s="47" t="s">
        <v>4</v>
      </c>
    </row>
    <row r="633" spans="1:3">
      <c r="A633" t="s">
        <v>934</v>
      </c>
      <c r="B633">
        <v>4</v>
      </c>
      <c r="C633" s="47" t="s">
        <v>4</v>
      </c>
    </row>
    <row r="634" spans="1:3">
      <c r="A634" t="s">
        <v>932</v>
      </c>
      <c r="B634">
        <v>2</v>
      </c>
      <c r="C634" s="47" t="s">
        <v>4</v>
      </c>
    </row>
    <row r="635" spans="1:3">
      <c r="A635" s="31" t="s">
        <v>921</v>
      </c>
      <c r="B635" s="35">
        <v>9</v>
      </c>
      <c r="C635" s="47" t="s">
        <v>4</v>
      </c>
    </row>
    <row r="636" spans="1:3">
      <c r="A636" t="s">
        <v>935</v>
      </c>
      <c r="B636">
        <v>5</v>
      </c>
      <c r="C636" t="s">
        <v>4</v>
      </c>
    </row>
    <row r="637" spans="1:3">
      <c r="A637" t="s">
        <v>938</v>
      </c>
      <c r="B637">
        <v>1</v>
      </c>
      <c r="C637" s="49" t="s">
        <v>4</v>
      </c>
    </row>
    <row r="638" spans="1:3">
      <c r="A638" t="s">
        <v>937</v>
      </c>
      <c r="B638">
        <v>12</v>
      </c>
      <c r="C638" s="49" t="s">
        <v>4</v>
      </c>
    </row>
    <row r="639" spans="1:3">
      <c r="A639" s="49" t="s">
        <v>936</v>
      </c>
      <c r="B639">
        <v>14</v>
      </c>
      <c r="C639" s="49" t="s">
        <v>4</v>
      </c>
    </row>
    <row r="640" spans="1:3">
      <c r="A640" t="s">
        <v>939</v>
      </c>
      <c r="B640">
        <v>29</v>
      </c>
      <c r="C640" s="49" t="s">
        <v>4</v>
      </c>
    </row>
    <row r="641" spans="1:3">
      <c r="A641" t="s">
        <v>940</v>
      </c>
      <c r="B641">
        <v>24</v>
      </c>
      <c r="C641" s="49" t="s">
        <v>4</v>
      </c>
    </row>
    <row r="642" spans="1:3">
      <c r="A642" t="s">
        <v>942</v>
      </c>
      <c r="B642">
        <v>1</v>
      </c>
      <c r="C642" s="49" t="s">
        <v>4</v>
      </c>
    </row>
    <row r="643" spans="1:3">
      <c r="A643" t="s">
        <v>943</v>
      </c>
      <c r="B643">
        <v>1</v>
      </c>
      <c r="C643" s="49" t="s">
        <v>4</v>
      </c>
    </row>
    <row r="644" spans="1:3">
      <c r="A644" t="s">
        <v>950</v>
      </c>
      <c r="B644">
        <v>7</v>
      </c>
      <c r="C644" s="49" t="s">
        <v>4</v>
      </c>
    </row>
    <row r="645" spans="1:3">
      <c r="A645" t="s">
        <v>941</v>
      </c>
      <c r="B645">
        <v>4</v>
      </c>
      <c r="C645" s="49" t="s">
        <v>4</v>
      </c>
    </row>
    <row r="646" spans="1:3">
      <c r="A646" t="s">
        <v>944</v>
      </c>
      <c r="B646">
        <v>11</v>
      </c>
      <c r="C646" t="s">
        <v>4</v>
      </c>
    </row>
    <row r="647" spans="1:3">
      <c r="A647" t="s">
        <v>945</v>
      </c>
      <c r="B647">
        <v>11</v>
      </c>
      <c r="C647" t="s">
        <v>4</v>
      </c>
    </row>
    <row r="648" spans="1:3">
      <c r="A648" t="s">
        <v>947</v>
      </c>
      <c r="B648">
        <v>19</v>
      </c>
      <c r="C648" t="s">
        <v>4</v>
      </c>
    </row>
    <row r="649" spans="1:3">
      <c r="A649" t="s">
        <v>949</v>
      </c>
      <c r="B649">
        <v>2</v>
      </c>
      <c r="C649" t="s">
        <v>4</v>
      </c>
    </row>
    <row r="650" spans="1:3">
      <c r="A650" t="s">
        <v>948</v>
      </c>
      <c r="B650">
        <v>1</v>
      </c>
      <c r="C650" t="s">
        <v>4</v>
      </c>
    </row>
    <row r="651" spans="1:3">
      <c r="A651" t="s">
        <v>951</v>
      </c>
      <c r="B651">
        <v>1</v>
      </c>
      <c r="C651" s="49" t="s">
        <v>4</v>
      </c>
    </row>
    <row r="652" spans="1:3">
      <c r="A652" t="s">
        <v>952</v>
      </c>
      <c r="B652">
        <v>11</v>
      </c>
      <c r="C652" s="49" t="s">
        <v>4</v>
      </c>
    </row>
    <row r="653" spans="1:3">
      <c r="A653" t="s">
        <v>954</v>
      </c>
      <c r="B653">
        <v>3</v>
      </c>
      <c r="C653" s="49" t="s">
        <v>4</v>
      </c>
    </row>
    <row r="654" spans="1:3">
      <c r="A654" t="s">
        <v>959</v>
      </c>
      <c r="B654">
        <v>4</v>
      </c>
      <c r="C654" s="49" t="s">
        <v>4</v>
      </c>
    </row>
    <row r="655" spans="1:3">
      <c r="A655" t="s">
        <v>960</v>
      </c>
      <c r="B655">
        <v>46</v>
      </c>
      <c r="C655" s="49" t="s">
        <v>4</v>
      </c>
    </row>
    <row r="656" spans="1:3">
      <c r="A656" t="s">
        <v>957</v>
      </c>
      <c r="B656">
        <v>3</v>
      </c>
      <c r="C656" s="49" t="s">
        <v>4</v>
      </c>
    </row>
    <row r="657" spans="1:3">
      <c r="A657" t="s">
        <v>958</v>
      </c>
      <c r="B657">
        <v>1</v>
      </c>
      <c r="C657" s="49" t="s">
        <v>4</v>
      </c>
    </row>
    <row r="658" spans="1:3">
      <c r="A658" t="s">
        <v>961</v>
      </c>
      <c r="B658">
        <v>1</v>
      </c>
      <c r="C658" s="49" t="s">
        <v>4</v>
      </c>
    </row>
    <row r="659" spans="1:3">
      <c r="A659" t="s">
        <v>962</v>
      </c>
      <c r="B659">
        <v>53</v>
      </c>
      <c r="C659" s="49" t="s">
        <v>4</v>
      </c>
    </row>
    <row r="660" spans="1:3">
      <c r="A660" t="s">
        <v>956</v>
      </c>
      <c r="B660">
        <v>9</v>
      </c>
      <c r="C660" s="49" t="s">
        <v>4</v>
      </c>
    </row>
    <row r="661" spans="1:3">
      <c r="A661" t="s">
        <v>963</v>
      </c>
      <c r="B661">
        <v>9</v>
      </c>
      <c r="C661" s="49" t="s">
        <v>4</v>
      </c>
    </row>
    <row r="662" spans="1:3">
      <c r="A662" t="s">
        <v>953</v>
      </c>
      <c r="B662">
        <v>64</v>
      </c>
      <c r="C662" s="49" t="s">
        <v>4</v>
      </c>
    </row>
    <row r="663" spans="1:3">
      <c r="A663" t="s">
        <v>964</v>
      </c>
      <c r="B663">
        <v>7</v>
      </c>
      <c r="C663" s="49" t="s">
        <v>4</v>
      </c>
    </row>
    <row r="664" spans="1:3">
      <c r="A664" t="s">
        <v>971</v>
      </c>
      <c r="B664">
        <v>6</v>
      </c>
      <c r="C664" s="50" t="s">
        <v>4</v>
      </c>
    </row>
    <row r="665" spans="1:3">
      <c r="A665" t="s">
        <v>973</v>
      </c>
      <c r="B665">
        <v>5</v>
      </c>
      <c r="C665" s="50" t="s">
        <v>4</v>
      </c>
    </row>
    <row r="666" spans="1:3">
      <c r="A666" t="s">
        <v>974</v>
      </c>
      <c r="B666">
        <v>1</v>
      </c>
      <c r="C666" s="50" t="s">
        <v>4</v>
      </c>
    </row>
    <row r="667" spans="1:3">
      <c r="A667" t="s">
        <v>969</v>
      </c>
      <c r="B667">
        <v>3</v>
      </c>
      <c r="C667" s="50" t="s">
        <v>4</v>
      </c>
    </row>
    <row r="668" spans="1:3">
      <c r="A668" t="s">
        <v>970</v>
      </c>
      <c r="B668">
        <v>1</v>
      </c>
      <c r="C668" s="50" t="s">
        <v>4</v>
      </c>
    </row>
    <row r="669" spans="1:3">
      <c r="A669" t="s">
        <v>976</v>
      </c>
      <c r="B669">
        <v>1</v>
      </c>
      <c r="C669" s="50" t="s">
        <v>4</v>
      </c>
    </row>
    <row r="670" spans="1:3">
      <c r="A670" t="s">
        <v>978</v>
      </c>
      <c r="B670">
        <v>16</v>
      </c>
      <c r="C670" s="50" t="s">
        <v>4</v>
      </c>
    </row>
    <row r="671" spans="1:3">
      <c r="A671" t="s">
        <v>967</v>
      </c>
      <c r="B671">
        <v>5</v>
      </c>
      <c r="C671" s="50" t="s">
        <v>4</v>
      </c>
    </row>
    <row r="672" spans="1:3">
      <c r="A672" t="s">
        <v>968</v>
      </c>
      <c r="B672">
        <v>64</v>
      </c>
      <c r="C672" s="50" t="s">
        <v>4</v>
      </c>
    </row>
    <row r="673" spans="1:3">
      <c r="A673" t="s">
        <v>975</v>
      </c>
      <c r="B673">
        <v>4</v>
      </c>
      <c r="C673" s="50" t="s">
        <v>4</v>
      </c>
    </row>
    <row r="674" spans="1:3">
      <c r="A674" t="s">
        <v>979</v>
      </c>
      <c r="B674">
        <v>5</v>
      </c>
      <c r="C674" s="50" t="s">
        <v>4</v>
      </c>
    </row>
    <row r="675" spans="1:3">
      <c r="A675" t="s">
        <v>980</v>
      </c>
      <c r="B675">
        <v>56</v>
      </c>
      <c r="C675" s="51" t="s">
        <v>4</v>
      </c>
    </row>
    <row r="676" spans="1:3">
      <c r="A676" t="s">
        <v>983</v>
      </c>
      <c r="B676">
        <v>17</v>
      </c>
      <c r="C676" s="51" t="s">
        <v>4</v>
      </c>
    </row>
    <row r="677" spans="1:3">
      <c r="A677" t="s">
        <v>984</v>
      </c>
      <c r="B677">
        <v>457</v>
      </c>
      <c r="C677" s="51" t="s">
        <v>4</v>
      </c>
    </row>
    <row r="678" spans="1:3">
      <c r="A678" t="s">
        <v>988</v>
      </c>
      <c r="B678">
        <v>3</v>
      </c>
      <c r="C678" s="51" t="s">
        <v>4</v>
      </c>
    </row>
    <row r="679" spans="1:3">
      <c r="A679" t="s">
        <v>989</v>
      </c>
      <c r="B679">
        <v>1</v>
      </c>
      <c r="C679" s="51" t="s">
        <v>4</v>
      </c>
    </row>
    <row r="680" spans="1:3">
      <c r="A680" t="s">
        <v>990</v>
      </c>
      <c r="B680">
        <v>1</v>
      </c>
      <c r="C680" s="51" t="s">
        <v>4</v>
      </c>
    </row>
    <row r="681" spans="1:3">
      <c r="A681" t="s">
        <v>965</v>
      </c>
      <c r="B681">
        <v>66</v>
      </c>
      <c r="C681" s="51" t="s">
        <v>4</v>
      </c>
    </row>
    <row r="682" spans="1:3">
      <c r="A682" s="31" t="s">
        <v>987</v>
      </c>
      <c r="B682" s="35">
        <v>64</v>
      </c>
      <c r="C682" s="51" t="s">
        <v>4</v>
      </c>
    </row>
    <row r="683" spans="1:3">
      <c r="A683" t="s">
        <v>981</v>
      </c>
      <c r="B683">
        <v>4</v>
      </c>
      <c r="C683" s="51" t="s">
        <v>4</v>
      </c>
    </row>
    <row r="684" spans="1:3">
      <c r="A684" t="s">
        <v>982</v>
      </c>
      <c r="B684">
        <v>3</v>
      </c>
      <c r="C684" s="51" t="s">
        <v>4</v>
      </c>
    </row>
    <row r="685" spans="1:3">
      <c r="A685" t="s">
        <v>986</v>
      </c>
      <c r="B685">
        <v>6</v>
      </c>
      <c r="C685" s="51" t="s">
        <v>4</v>
      </c>
    </row>
    <row r="686" spans="1:3">
      <c r="A686" t="s">
        <v>985</v>
      </c>
      <c r="B686">
        <v>4</v>
      </c>
      <c r="C686" s="51" t="s">
        <v>4</v>
      </c>
    </row>
    <row r="687" spans="1:3">
      <c r="A687" t="s">
        <v>995</v>
      </c>
      <c r="B687">
        <v>13</v>
      </c>
      <c r="C687" s="51" t="s">
        <v>4</v>
      </c>
    </row>
    <row r="688" spans="1:3">
      <c r="A688" t="s">
        <v>996</v>
      </c>
      <c r="B688">
        <v>24</v>
      </c>
      <c r="C688" s="51" t="s">
        <v>4</v>
      </c>
    </row>
    <row r="689" spans="1:3">
      <c r="A689" t="s">
        <v>997</v>
      </c>
      <c r="B689">
        <v>1</v>
      </c>
      <c r="C689" s="51" t="s">
        <v>4</v>
      </c>
    </row>
    <row r="690" spans="1:3">
      <c r="A690" t="s">
        <v>992</v>
      </c>
      <c r="B690">
        <v>3</v>
      </c>
      <c r="C690" s="52" t="s">
        <v>4</v>
      </c>
    </row>
    <row r="691" spans="1:3">
      <c r="A691" t="s">
        <v>993</v>
      </c>
      <c r="B691">
        <v>1</v>
      </c>
      <c r="C691" s="52" t="s">
        <v>4</v>
      </c>
    </row>
    <row r="692" spans="1:3">
      <c r="A692" t="s">
        <v>994</v>
      </c>
      <c r="B692">
        <v>13</v>
      </c>
      <c r="C692" s="52" t="s">
        <v>4</v>
      </c>
    </row>
    <row r="693" spans="1:3">
      <c r="A693" t="s">
        <v>998</v>
      </c>
      <c r="B693">
        <v>264</v>
      </c>
      <c r="C693" s="52" t="s">
        <v>4</v>
      </c>
    </row>
    <row r="694" spans="1:3">
      <c r="A694" t="s">
        <v>999</v>
      </c>
      <c r="B694">
        <v>8</v>
      </c>
      <c r="C694" s="52" t="s">
        <v>4</v>
      </c>
    </row>
    <row r="695" spans="1:3">
      <c r="A695" t="s">
        <v>1000</v>
      </c>
      <c r="B695">
        <v>5</v>
      </c>
      <c r="C695" s="52" t="s">
        <v>4</v>
      </c>
    </row>
    <row r="696" spans="1:3">
      <c r="A696" t="s">
        <v>1006</v>
      </c>
      <c r="B696">
        <v>9</v>
      </c>
      <c r="C696" t="s">
        <v>4</v>
      </c>
    </row>
    <row r="697" spans="1:3">
      <c r="A697" t="s">
        <v>1007</v>
      </c>
      <c r="B697">
        <v>8</v>
      </c>
      <c r="C697" t="s">
        <v>4</v>
      </c>
    </row>
    <row r="698" spans="1:3">
      <c r="A698" t="s">
        <v>1008</v>
      </c>
      <c r="B698">
        <v>1</v>
      </c>
      <c r="C698" t="s">
        <v>4</v>
      </c>
    </row>
    <row r="699" spans="1:3">
      <c r="A699" t="s">
        <v>1005</v>
      </c>
      <c r="B699">
        <v>6</v>
      </c>
      <c r="C699" t="s">
        <v>4</v>
      </c>
    </row>
    <row r="700" spans="1:3">
      <c r="A700" t="s">
        <v>1009</v>
      </c>
      <c r="B700">
        <v>1</v>
      </c>
      <c r="C700" t="s">
        <v>4</v>
      </c>
    </row>
    <row r="701" spans="1:3">
      <c r="A701" t="s">
        <v>1010</v>
      </c>
      <c r="B701">
        <v>1</v>
      </c>
      <c r="C701" t="s">
        <v>4</v>
      </c>
    </row>
    <row r="702" spans="1:3">
      <c r="A702" t="s">
        <v>1011</v>
      </c>
      <c r="B702">
        <v>32</v>
      </c>
      <c r="C702" t="s">
        <v>4</v>
      </c>
    </row>
    <row r="703" spans="1:3">
      <c r="A703" t="s">
        <v>1014</v>
      </c>
      <c r="B703">
        <v>46</v>
      </c>
      <c r="C703" t="s">
        <v>4</v>
      </c>
    </row>
    <row r="704" spans="1:3">
      <c r="A704" t="s">
        <v>1003</v>
      </c>
      <c r="B704">
        <v>3</v>
      </c>
      <c r="C704" s="53" t="s">
        <v>4</v>
      </c>
    </row>
    <row r="705" spans="1:3">
      <c r="A705" t="s">
        <v>1004</v>
      </c>
      <c r="B705">
        <v>17</v>
      </c>
      <c r="C705" s="53" t="s">
        <v>4</v>
      </c>
    </row>
    <row r="706" spans="1:3">
      <c r="A706" t="s">
        <v>1015</v>
      </c>
      <c r="B706">
        <v>396</v>
      </c>
      <c r="C706" s="53" t="s">
        <v>4</v>
      </c>
    </row>
    <row r="707" spans="1:3">
      <c r="A707" t="s">
        <v>1017</v>
      </c>
      <c r="B707">
        <v>2</v>
      </c>
      <c r="C707" s="53" t="s">
        <v>4</v>
      </c>
    </row>
    <row r="708" spans="1:3">
      <c r="A708" t="s">
        <v>1025</v>
      </c>
      <c r="B708">
        <v>223</v>
      </c>
      <c r="C708" s="53" t="s">
        <v>4</v>
      </c>
    </row>
    <row r="709" spans="1:3">
      <c r="A709" t="s">
        <v>1030</v>
      </c>
      <c r="B709">
        <v>2</v>
      </c>
      <c r="C709" s="53" t="s">
        <v>4</v>
      </c>
    </row>
    <row r="710" spans="1:3">
      <c r="A710" t="s">
        <v>1002</v>
      </c>
      <c r="B710">
        <v>1</v>
      </c>
      <c r="C710" s="53" t="s">
        <v>4</v>
      </c>
    </row>
    <row r="711" spans="1:3">
      <c r="A711" t="s">
        <v>1029</v>
      </c>
      <c r="B711">
        <v>5</v>
      </c>
      <c r="C711" s="53" t="s">
        <v>4</v>
      </c>
    </row>
    <row r="712" spans="1:3">
      <c r="A712" t="s">
        <v>1032</v>
      </c>
      <c r="B712">
        <v>9</v>
      </c>
      <c r="C712" s="53" t="s">
        <v>4</v>
      </c>
    </row>
    <row r="713" spans="1:3">
      <c r="A713" t="s">
        <v>1033</v>
      </c>
      <c r="B713">
        <v>14</v>
      </c>
      <c r="C713" s="53" t="s">
        <v>4</v>
      </c>
    </row>
    <row r="714" spans="1:3">
      <c r="A714" t="s">
        <v>1026</v>
      </c>
      <c r="B714">
        <v>1</v>
      </c>
      <c r="C714" s="53" t="s">
        <v>4</v>
      </c>
    </row>
    <row r="715" spans="1:3">
      <c r="A715" t="s">
        <v>1027</v>
      </c>
      <c r="B715">
        <v>1</v>
      </c>
      <c r="C715" s="53" t="s">
        <v>4</v>
      </c>
    </row>
    <row r="716" spans="1:3">
      <c r="A716" t="s">
        <v>1035</v>
      </c>
      <c r="B716">
        <v>6</v>
      </c>
      <c r="C716" s="53" t="s">
        <v>4</v>
      </c>
    </row>
    <row r="717" spans="1:3">
      <c r="A717" t="s">
        <v>1043</v>
      </c>
      <c r="B717">
        <v>1</v>
      </c>
      <c r="C717" t="s">
        <v>4</v>
      </c>
    </row>
    <row r="718" spans="1:3">
      <c r="A718" t="s">
        <v>1037</v>
      </c>
      <c r="B718">
        <v>1</v>
      </c>
      <c r="C718" t="s">
        <v>4</v>
      </c>
    </row>
    <row r="719" spans="1:3">
      <c r="A719" t="s">
        <v>1039</v>
      </c>
      <c r="B719">
        <v>20</v>
      </c>
      <c r="C719" t="s">
        <v>4</v>
      </c>
    </row>
    <row r="720" spans="1:3">
      <c r="A720" t="s">
        <v>1038</v>
      </c>
      <c r="B720">
        <v>13</v>
      </c>
      <c r="C720" t="s">
        <v>4</v>
      </c>
    </row>
    <row r="721" spans="1:3">
      <c r="A721" t="s">
        <v>1036</v>
      </c>
      <c r="B721">
        <v>7</v>
      </c>
      <c r="C721" t="s">
        <v>4</v>
      </c>
    </row>
    <row r="722" spans="1:3">
      <c r="A722" t="s">
        <v>1045</v>
      </c>
      <c r="B722">
        <v>1</v>
      </c>
      <c r="C722" s="53" t="s">
        <v>4</v>
      </c>
    </row>
    <row r="723" spans="1:3">
      <c r="A723" t="s">
        <v>1046</v>
      </c>
      <c r="B723">
        <v>1</v>
      </c>
      <c r="C723" s="53" t="s">
        <v>4</v>
      </c>
    </row>
    <row r="724" spans="1:3">
      <c r="A724" t="s">
        <v>1047</v>
      </c>
      <c r="B724">
        <v>5</v>
      </c>
      <c r="C724" s="53" t="s">
        <v>4</v>
      </c>
    </row>
    <row r="725" spans="1:3">
      <c r="A725" t="s">
        <v>1048</v>
      </c>
      <c r="B725">
        <v>1</v>
      </c>
      <c r="C725" s="53" t="s">
        <v>4</v>
      </c>
    </row>
    <row r="726" spans="1:3">
      <c r="A726" t="s">
        <v>1049</v>
      </c>
      <c r="B726">
        <v>4</v>
      </c>
      <c r="C726" s="53" t="s">
        <v>4</v>
      </c>
    </row>
    <row r="727" spans="1:3">
      <c r="A727" t="s">
        <v>1050</v>
      </c>
      <c r="B727">
        <v>2</v>
      </c>
      <c r="C727" s="53" t="s">
        <v>4</v>
      </c>
    </row>
    <row r="728" spans="1:3">
      <c r="A728" t="s">
        <v>1054</v>
      </c>
      <c r="B728">
        <v>7</v>
      </c>
      <c r="C728" s="53" t="s">
        <v>4</v>
      </c>
    </row>
    <row r="729" spans="1:3">
      <c r="A729" t="s">
        <v>1053</v>
      </c>
      <c r="B729">
        <v>1</v>
      </c>
      <c r="C729" s="53" t="s">
        <v>4</v>
      </c>
    </row>
    <row r="730" spans="1:3">
      <c r="A730" t="s">
        <v>1055</v>
      </c>
      <c r="B730">
        <v>1</v>
      </c>
      <c r="C730" s="53" t="s">
        <v>4</v>
      </c>
    </row>
    <row r="731" spans="1:3">
      <c r="A731" t="s">
        <v>1056</v>
      </c>
      <c r="B731">
        <v>6</v>
      </c>
      <c r="C731" s="53" t="s">
        <v>4</v>
      </c>
    </row>
    <row r="732" spans="1:3">
      <c r="A732" t="s">
        <v>1016</v>
      </c>
      <c r="B732">
        <v>88</v>
      </c>
      <c r="C732" t="s">
        <v>4</v>
      </c>
    </row>
    <row r="733" spans="1:3">
      <c r="A733" t="s">
        <v>1042</v>
      </c>
      <c r="B733">
        <v>1</v>
      </c>
      <c r="C733" s="53" t="s">
        <v>4</v>
      </c>
    </row>
    <row r="734" spans="1:3">
      <c r="A734" t="s">
        <v>1057</v>
      </c>
      <c r="B734">
        <v>1</v>
      </c>
      <c r="C734" s="53" t="s">
        <v>4</v>
      </c>
    </row>
    <row r="735" spans="1:3">
      <c r="A735" t="s">
        <v>1058</v>
      </c>
      <c r="B735">
        <v>19</v>
      </c>
      <c r="C735" s="53" t="s">
        <v>4</v>
      </c>
    </row>
    <row r="736" spans="1:3">
      <c r="A736" t="s">
        <v>1060</v>
      </c>
      <c r="B736">
        <v>9</v>
      </c>
      <c r="C736" s="53" t="s">
        <v>4</v>
      </c>
    </row>
    <row r="737" spans="1:3">
      <c r="A737" t="s">
        <v>1064</v>
      </c>
      <c r="B737">
        <v>1</v>
      </c>
      <c r="C737" s="53" t="s">
        <v>4</v>
      </c>
    </row>
    <row r="738" spans="1:3">
      <c r="A738" t="s">
        <v>1063</v>
      </c>
      <c r="B738">
        <v>35</v>
      </c>
      <c r="C738" s="53" t="s">
        <v>4</v>
      </c>
    </row>
    <row r="739" spans="1:3">
      <c r="A739" t="s">
        <v>1040</v>
      </c>
      <c r="B739">
        <v>6</v>
      </c>
      <c r="C739" s="53" t="s">
        <v>4</v>
      </c>
    </row>
    <row r="740" spans="1:3">
      <c r="A740" t="s">
        <v>1041</v>
      </c>
      <c r="B740">
        <v>16</v>
      </c>
      <c r="C740" s="53" t="s">
        <v>4</v>
      </c>
    </row>
    <row r="741" spans="1:3">
      <c r="A741" t="s">
        <v>1059</v>
      </c>
      <c r="B741">
        <v>2</v>
      </c>
      <c r="C741" s="53" t="s">
        <v>4</v>
      </c>
    </row>
    <row r="742" spans="1:3">
      <c r="A742" t="s">
        <v>1061</v>
      </c>
      <c r="B742">
        <v>4</v>
      </c>
      <c r="C742" s="53" t="s">
        <v>4</v>
      </c>
    </row>
    <row r="743" spans="1:3">
      <c r="A743" t="s">
        <v>1066</v>
      </c>
      <c r="B743">
        <v>1</v>
      </c>
      <c r="C743" s="53" t="s">
        <v>4</v>
      </c>
    </row>
    <row r="744" spans="1:3">
      <c r="A744" t="s">
        <v>1067</v>
      </c>
      <c r="B744">
        <v>82</v>
      </c>
      <c r="C744" s="53" t="s">
        <v>4</v>
      </c>
    </row>
    <row r="745" spans="1:3">
      <c r="A745" t="s">
        <v>1062</v>
      </c>
      <c r="B745">
        <v>3</v>
      </c>
      <c r="C745" s="53" t="s">
        <v>4</v>
      </c>
    </row>
    <row r="746" spans="1:3">
      <c r="A746" t="s">
        <v>1069</v>
      </c>
      <c r="B746">
        <v>4</v>
      </c>
      <c r="C746" s="53" t="s">
        <v>4</v>
      </c>
    </row>
    <row r="747" spans="1:3">
      <c r="A747" t="s">
        <v>1068</v>
      </c>
      <c r="B747">
        <v>1</v>
      </c>
      <c r="C747" s="53" t="s">
        <v>4</v>
      </c>
    </row>
    <row r="748" spans="1:3">
      <c r="A748" t="s">
        <v>1070</v>
      </c>
      <c r="B748">
        <v>1</v>
      </c>
      <c r="C748" s="53" t="s">
        <v>4</v>
      </c>
    </row>
    <row r="749" spans="1:3">
      <c r="A749" t="s">
        <v>1073</v>
      </c>
      <c r="B749">
        <v>5</v>
      </c>
      <c r="C749" s="53" t="s">
        <v>4</v>
      </c>
    </row>
    <row r="750" spans="1:3">
      <c r="A750" t="s">
        <v>1072</v>
      </c>
      <c r="B750">
        <v>1</v>
      </c>
      <c r="C750" s="53" t="s">
        <v>4</v>
      </c>
    </row>
    <row r="751" spans="1:3">
      <c r="A751" t="s">
        <v>1071</v>
      </c>
      <c r="B751">
        <v>4</v>
      </c>
      <c r="C751" s="53" t="s">
        <v>4</v>
      </c>
    </row>
    <row r="752" spans="1:3">
      <c r="A752" t="s">
        <v>1074</v>
      </c>
      <c r="B752">
        <v>1</v>
      </c>
      <c r="C752" s="53" t="s">
        <v>4</v>
      </c>
    </row>
    <row r="753" spans="1:3">
      <c r="A753" t="s">
        <v>1079</v>
      </c>
      <c r="B753">
        <v>35</v>
      </c>
      <c r="C753" s="53" t="s">
        <v>4</v>
      </c>
    </row>
    <row r="754" spans="1:3">
      <c r="A754" t="s">
        <v>1065</v>
      </c>
      <c r="B754">
        <v>4</v>
      </c>
      <c r="C754" s="53" t="s">
        <v>4</v>
      </c>
    </row>
    <row r="755" spans="1:3">
      <c r="A755" t="s">
        <v>1077</v>
      </c>
      <c r="B755">
        <v>6</v>
      </c>
      <c r="C755" s="53" t="s">
        <v>4</v>
      </c>
    </row>
    <row r="756" spans="1:3">
      <c r="A756" t="s">
        <v>1078</v>
      </c>
      <c r="B756">
        <v>1</v>
      </c>
      <c r="C756" s="53" t="s">
        <v>4</v>
      </c>
    </row>
    <row r="757" spans="1:3">
      <c r="A757" t="s">
        <v>1080</v>
      </c>
      <c r="B757">
        <v>4</v>
      </c>
      <c r="C757" s="53" t="s">
        <v>4</v>
      </c>
    </row>
    <row r="758" spans="1:3">
      <c r="A758" t="s">
        <v>1081</v>
      </c>
      <c r="B758">
        <v>2</v>
      </c>
      <c r="C758" s="53" t="s">
        <v>4</v>
      </c>
    </row>
    <row r="759" spans="1:3">
      <c r="A759" t="s">
        <v>1082</v>
      </c>
      <c r="B759">
        <v>1</v>
      </c>
      <c r="C759" s="53" t="s">
        <v>4</v>
      </c>
    </row>
    <row r="760" spans="1:3">
      <c r="A760" t="s">
        <v>1083</v>
      </c>
      <c r="B760">
        <v>1</v>
      </c>
      <c r="C760" s="53" t="s">
        <v>4</v>
      </c>
    </row>
    <row r="761" spans="1:3">
      <c r="A761" t="s">
        <v>1075</v>
      </c>
      <c r="B761">
        <v>7</v>
      </c>
      <c r="C761" t="s">
        <v>4</v>
      </c>
    </row>
    <row r="762" spans="1:3">
      <c r="A762" t="s">
        <v>1084</v>
      </c>
      <c r="B762">
        <v>2</v>
      </c>
      <c r="C762" t="s">
        <v>4</v>
      </c>
    </row>
    <row r="763" spans="1:3">
      <c r="A763" t="s">
        <v>1085</v>
      </c>
      <c r="B763">
        <v>1</v>
      </c>
      <c r="C763" t="s">
        <v>4</v>
      </c>
    </row>
    <row r="764" spans="1:3">
      <c r="A764" t="s">
        <v>1086</v>
      </c>
      <c r="B764">
        <v>8</v>
      </c>
      <c r="C764" s="53" t="s">
        <v>4</v>
      </c>
    </row>
    <row r="765" spans="1:3">
      <c r="A765" t="s">
        <v>1088</v>
      </c>
      <c r="B765">
        <v>1</v>
      </c>
      <c r="C765" s="53" t="s">
        <v>4</v>
      </c>
    </row>
    <row r="766" spans="1:3">
      <c r="A766" t="s">
        <v>1089</v>
      </c>
      <c r="B766">
        <v>4</v>
      </c>
      <c r="C766" s="53" t="s">
        <v>4</v>
      </c>
    </row>
    <row r="767" spans="1:3">
      <c r="A767" t="s">
        <v>1091</v>
      </c>
      <c r="B767">
        <v>9</v>
      </c>
      <c r="C767" s="53" t="s">
        <v>4</v>
      </c>
    </row>
    <row r="768" spans="1:3">
      <c r="A768" t="s">
        <v>1092</v>
      </c>
      <c r="B768">
        <v>2</v>
      </c>
      <c r="C768" s="53" t="s">
        <v>4</v>
      </c>
    </row>
    <row r="769" spans="1:3">
      <c r="A769" t="s">
        <v>1093</v>
      </c>
      <c r="B769">
        <v>18</v>
      </c>
      <c r="C769" s="53" t="s">
        <v>4</v>
      </c>
    </row>
    <row r="770" spans="1:3">
      <c r="A770" t="s">
        <v>1094</v>
      </c>
      <c r="B770">
        <v>1</v>
      </c>
      <c r="C770" s="53" t="s">
        <v>4</v>
      </c>
    </row>
    <row r="771" spans="1:3">
      <c r="A771" t="s">
        <v>1095</v>
      </c>
      <c r="B771">
        <v>2</v>
      </c>
      <c r="C771" s="53" t="s">
        <v>4</v>
      </c>
    </row>
    <row r="772" spans="1:3">
      <c r="A772" t="s">
        <v>1096</v>
      </c>
      <c r="B772">
        <v>7</v>
      </c>
      <c r="C772" s="53" t="s">
        <v>4</v>
      </c>
    </row>
    <row r="773" spans="1:3">
      <c r="A773" t="s">
        <v>1097</v>
      </c>
      <c r="B773">
        <v>6</v>
      </c>
      <c r="C773" s="53" t="s">
        <v>4</v>
      </c>
    </row>
    <row r="774" spans="1:3">
      <c r="A774" t="s">
        <v>1098</v>
      </c>
      <c r="B774">
        <v>2</v>
      </c>
      <c r="C774" s="53" t="s">
        <v>4</v>
      </c>
    </row>
    <row r="775" spans="1:3">
      <c r="A775" t="s">
        <v>1099</v>
      </c>
      <c r="B775">
        <v>3</v>
      </c>
      <c r="C775" s="55" t="s">
        <v>4</v>
      </c>
    </row>
    <row r="776" spans="1:3">
      <c r="A776" t="s">
        <v>1104</v>
      </c>
      <c r="B776">
        <v>2</v>
      </c>
      <c r="C776" s="55" t="s">
        <v>4</v>
      </c>
    </row>
    <row r="777" spans="1:3">
      <c r="A777" t="s">
        <v>1101</v>
      </c>
      <c r="B777">
        <v>25</v>
      </c>
      <c r="C777" s="55" t="s">
        <v>4</v>
      </c>
    </row>
    <row r="778" spans="1:3">
      <c r="A778" t="s">
        <v>1102</v>
      </c>
      <c r="B778">
        <v>1</v>
      </c>
      <c r="C778" s="55" t="s">
        <v>4</v>
      </c>
    </row>
    <row r="779" spans="1:3">
      <c r="A779" t="s">
        <v>1103</v>
      </c>
      <c r="B779">
        <v>1</v>
      </c>
      <c r="C779" s="55" t="s">
        <v>4</v>
      </c>
    </row>
    <row r="780" spans="1:3">
      <c r="A780" t="s">
        <v>1107</v>
      </c>
      <c r="B780">
        <v>10</v>
      </c>
      <c r="C780" s="55" t="s">
        <v>4</v>
      </c>
    </row>
    <row r="781" spans="1:3">
      <c r="A781" t="s">
        <v>1106</v>
      </c>
      <c r="B781">
        <v>27</v>
      </c>
      <c r="C781" s="55" t="s">
        <v>4</v>
      </c>
    </row>
    <row r="782" spans="1:3">
      <c r="A782" t="s">
        <v>1109</v>
      </c>
      <c r="B782">
        <v>1</v>
      </c>
      <c r="C782" s="55" t="s">
        <v>4</v>
      </c>
    </row>
    <row r="783" spans="1:3">
      <c r="A783" t="s">
        <v>1087</v>
      </c>
      <c r="B783">
        <v>4</v>
      </c>
      <c r="C783" s="55" t="s">
        <v>4</v>
      </c>
    </row>
    <row r="784" spans="1:3">
      <c r="A784" t="s">
        <v>1110</v>
      </c>
      <c r="B784">
        <v>2</v>
      </c>
      <c r="C784" s="55" t="s">
        <v>4</v>
      </c>
    </row>
    <row r="785" spans="1:3">
      <c r="A785" t="s">
        <v>1113</v>
      </c>
      <c r="B785">
        <v>3</v>
      </c>
      <c r="C785" s="55" t="s">
        <v>4</v>
      </c>
    </row>
    <row r="786" spans="1:3">
      <c r="A786" t="s">
        <v>1108</v>
      </c>
      <c r="B786">
        <v>3</v>
      </c>
      <c r="C786" s="55" t="s">
        <v>4</v>
      </c>
    </row>
    <row r="787" spans="1:3">
      <c r="A787" t="s">
        <v>1112</v>
      </c>
      <c r="B787">
        <v>4</v>
      </c>
      <c r="C787" s="55" t="s">
        <v>4</v>
      </c>
    </row>
    <row r="788" spans="1:3">
      <c r="A788" t="s">
        <v>1114</v>
      </c>
      <c r="B788">
        <v>33</v>
      </c>
      <c r="C788" s="55" t="s">
        <v>4</v>
      </c>
    </row>
    <row r="789" spans="1:3">
      <c r="A789" t="s">
        <v>1115</v>
      </c>
      <c r="B789">
        <v>30</v>
      </c>
      <c r="C789" s="55" t="s">
        <v>4</v>
      </c>
    </row>
    <row r="790" spans="1:3">
      <c r="A790" t="s">
        <v>1116</v>
      </c>
      <c r="B790">
        <v>2</v>
      </c>
      <c r="C790" s="55" t="s">
        <v>4</v>
      </c>
    </row>
    <row r="791" spans="1:3">
      <c r="A791" t="s">
        <v>1117</v>
      </c>
      <c r="B791">
        <v>36</v>
      </c>
      <c r="C791" s="55" t="s">
        <v>4</v>
      </c>
    </row>
    <row r="792" spans="1:3">
      <c r="A792" t="s">
        <v>1118</v>
      </c>
      <c r="B792">
        <v>7</v>
      </c>
      <c r="C792" s="55" t="s">
        <v>4</v>
      </c>
    </row>
    <row r="793" spans="1:3">
      <c r="A793" t="s">
        <v>1123</v>
      </c>
      <c r="B793">
        <v>1</v>
      </c>
      <c r="C793" s="55" t="s">
        <v>4</v>
      </c>
    </row>
    <row r="794" spans="1:3">
      <c r="A794" t="s">
        <v>1119</v>
      </c>
      <c r="B794">
        <v>3</v>
      </c>
      <c r="C794" s="55" t="s">
        <v>4</v>
      </c>
    </row>
    <row r="795" spans="1:3">
      <c r="A795" t="s">
        <v>1111</v>
      </c>
      <c r="B795">
        <v>21</v>
      </c>
      <c r="C795" s="55" t="s">
        <v>4</v>
      </c>
    </row>
    <row r="796" spans="1:3">
      <c r="A796" t="s">
        <v>1120</v>
      </c>
      <c r="B796">
        <v>17</v>
      </c>
      <c r="C796" s="55" t="s">
        <v>4</v>
      </c>
    </row>
    <row r="797" spans="1:3">
      <c r="A797" t="s">
        <v>1121</v>
      </c>
      <c r="B797">
        <v>7</v>
      </c>
      <c r="C797" s="55" t="s">
        <v>4</v>
      </c>
    </row>
    <row r="798" spans="1:3">
      <c r="A798" t="s">
        <v>1122</v>
      </c>
      <c r="B798">
        <v>1</v>
      </c>
      <c r="C798" s="55" t="s">
        <v>4</v>
      </c>
    </row>
    <row r="799" spans="1:3">
      <c r="A799" t="s">
        <v>1124</v>
      </c>
      <c r="B799">
        <v>21</v>
      </c>
      <c r="C799" s="55" t="s">
        <v>4</v>
      </c>
    </row>
    <row r="800" spans="1:3">
      <c r="A800" t="s">
        <v>1125</v>
      </c>
      <c r="B800">
        <v>7</v>
      </c>
      <c r="C800" s="55" t="s">
        <v>4</v>
      </c>
    </row>
    <row r="801" spans="1:3">
      <c r="A801" t="s">
        <v>1126</v>
      </c>
      <c r="B801">
        <v>1</v>
      </c>
      <c r="C801" s="55" t="s">
        <v>4</v>
      </c>
    </row>
    <row r="802" spans="1:3">
      <c r="A802" t="s">
        <v>1128</v>
      </c>
      <c r="B802">
        <v>1</v>
      </c>
      <c r="C802" s="55" t="s">
        <v>4</v>
      </c>
    </row>
    <row r="803" spans="1:3">
      <c r="A803" t="s">
        <v>1129</v>
      </c>
      <c r="B803">
        <v>27</v>
      </c>
      <c r="C803" s="55" t="s">
        <v>4</v>
      </c>
    </row>
    <row r="804" spans="1:3">
      <c r="A804" t="s">
        <v>1127</v>
      </c>
      <c r="B804">
        <v>1</v>
      </c>
      <c r="C804" s="55" t="s">
        <v>4</v>
      </c>
    </row>
    <row r="805" spans="1:3">
      <c r="A805" t="s">
        <v>1130</v>
      </c>
      <c r="B805">
        <v>26</v>
      </c>
      <c r="C805" s="55" t="s">
        <v>4</v>
      </c>
    </row>
    <row r="806" spans="1:3">
      <c r="A806" t="s">
        <v>1134</v>
      </c>
      <c r="B806">
        <v>13</v>
      </c>
      <c r="C806" s="55" t="s">
        <v>4</v>
      </c>
    </row>
    <row r="807" spans="1:3">
      <c r="A807" t="s">
        <v>1131</v>
      </c>
      <c r="B807">
        <v>2</v>
      </c>
      <c r="C807" s="56" t="s">
        <v>4</v>
      </c>
    </row>
    <row r="808" spans="1:3">
      <c r="A808" t="s">
        <v>1133</v>
      </c>
      <c r="B808">
        <v>6</v>
      </c>
      <c r="C808" s="56" t="s">
        <v>4</v>
      </c>
    </row>
    <row r="809" spans="1:3">
      <c r="A809" t="s">
        <v>1136</v>
      </c>
      <c r="B809">
        <v>6</v>
      </c>
      <c r="C809" s="56" t="s">
        <v>4</v>
      </c>
    </row>
    <row r="810" spans="1:3">
      <c r="A810" t="s">
        <v>1139</v>
      </c>
      <c r="B810">
        <v>1</v>
      </c>
      <c r="C810" s="56" t="s">
        <v>4</v>
      </c>
    </row>
    <row r="811" spans="1:3">
      <c r="A811" s="56" t="s">
        <v>1135</v>
      </c>
      <c r="B811">
        <v>4</v>
      </c>
      <c r="C811" s="56" t="s">
        <v>4</v>
      </c>
    </row>
    <row r="812" spans="1:3">
      <c r="A812" s="56" t="s">
        <v>1137</v>
      </c>
      <c r="B812">
        <v>17</v>
      </c>
      <c r="C812" s="56" t="s">
        <v>4</v>
      </c>
    </row>
    <row r="813" spans="1:3">
      <c r="A813" s="56" t="s">
        <v>1140</v>
      </c>
      <c r="B813">
        <v>11</v>
      </c>
      <c r="C813" s="56" t="s">
        <v>4</v>
      </c>
    </row>
    <row r="814" spans="1:3">
      <c r="A814" t="s">
        <v>1141</v>
      </c>
      <c r="B814">
        <v>3</v>
      </c>
      <c r="C814" t="s">
        <v>4</v>
      </c>
    </row>
    <row r="815" spans="1:3">
      <c r="A815" t="s">
        <v>1142</v>
      </c>
      <c r="B815">
        <v>3</v>
      </c>
      <c r="C815" t="s">
        <v>4</v>
      </c>
    </row>
    <row r="816" spans="1:3">
      <c r="A816" t="s">
        <v>1146</v>
      </c>
      <c r="B816">
        <v>30</v>
      </c>
      <c r="C816" s="56" t="s">
        <v>4</v>
      </c>
    </row>
    <row r="817" spans="1:3">
      <c r="A817" t="s">
        <v>1148</v>
      </c>
      <c r="B817">
        <v>23</v>
      </c>
      <c r="C817" s="56" t="s">
        <v>4</v>
      </c>
    </row>
    <row r="818" spans="1:3">
      <c r="A818" t="s">
        <v>1149</v>
      </c>
      <c r="B818">
        <v>12</v>
      </c>
      <c r="C818" s="56" t="s">
        <v>4</v>
      </c>
    </row>
    <row r="819" spans="1:3">
      <c r="A819" t="s">
        <v>1150</v>
      </c>
      <c r="B819">
        <v>3</v>
      </c>
      <c r="C819" s="57" t="s">
        <v>4</v>
      </c>
    </row>
    <row r="820" spans="1:3">
      <c r="A820" t="s">
        <v>1153</v>
      </c>
      <c r="B820">
        <v>1</v>
      </c>
      <c r="C820" s="57" t="s">
        <v>4</v>
      </c>
    </row>
    <row r="821" spans="1:3">
      <c r="A821" t="s">
        <v>1152</v>
      </c>
      <c r="B821">
        <v>50</v>
      </c>
      <c r="C821" s="57" t="s">
        <v>4</v>
      </c>
    </row>
    <row r="822" spans="1:3">
      <c r="A822" t="s">
        <v>1151</v>
      </c>
      <c r="B822">
        <v>13</v>
      </c>
      <c r="C822" s="57" t="s">
        <v>4</v>
      </c>
    </row>
    <row r="823" spans="1:3">
      <c r="A823" t="s">
        <v>1147</v>
      </c>
      <c r="B823">
        <v>14</v>
      </c>
      <c r="C823" s="58" t="s">
        <v>4</v>
      </c>
    </row>
    <row r="824" spans="1:3">
      <c r="A824" t="s">
        <v>1155</v>
      </c>
      <c r="B824">
        <v>1</v>
      </c>
      <c r="C824" s="58" t="s">
        <v>4</v>
      </c>
    </row>
    <row r="825" spans="1:3">
      <c r="A825" t="s">
        <v>1154</v>
      </c>
      <c r="B825">
        <v>1</v>
      </c>
      <c r="C825" s="58" t="s">
        <v>4</v>
      </c>
    </row>
    <row r="826" spans="1:3">
      <c r="A826" t="s">
        <v>1157</v>
      </c>
      <c r="B826">
        <v>3</v>
      </c>
      <c r="C826" s="59" t="s">
        <v>4</v>
      </c>
    </row>
    <row r="827" spans="1:3">
      <c r="A827" t="s">
        <v>1159</v>
      </c>
      <c r="B827">
        <v>1</v>
      </c>
      <c r="C827" s="59" t="s">
        <v>4</v>
      </c>
    </row>
    <row r="828" spans="1:3">
      <c r="A828" t="s">
        <v>1160</v>
      </c>
      <c r="B828">
        <v>4</v>
      </c>
      <c r="C828" s="59" t="s">
        <v>4</v>
      </c>
    </row>
    <row r="829" spans="1:3">
      <c r="A829" t="s">
        <v>1161</v>
      </c>
      <c r="B829">
        <v>11</v>
      </c>
      <c r="C829" s="59" t="s">
        <v>4</v>
      </c>
    </row>
    <row r="830" spans="1:3">
      <c r="A830" t="s">
        <v>1163</v>
      </c>
      <c r="B830">
        <v>3</v>
      </c>
      <c r="C830" s="59" t="s">
        <v>4</v>
      </c>
    </row>
    <row r="831" spans="1:3">
      <c r="A831" t="s">
        <v>1162</v>
      </c>
      <c r="B831">
        <v>1</v>
      </c>
      <c r="C831" s="61" t="s">
        <v>4</v>
      </c>
    </row>
    <row r="832" spans="1:3">
      <c r="A832" t="s">
        <v>1164</v>
      </c>
      <c r="B832">
        <v>1</v>
      </c>
      <c r="C832" s="61" t="s">
        <v>4</v>
      </c>
    </row>
    <row r="833" spans="1:3">
      <c r="A833" t="s">
        <v>1165</v>
      </c>
      <c r="B833">
        <v>1</v>
      </c>
      <c r="C833" s="61" t="s">
        <v>4</v>
      </c>
    </row>
    <row r="834" spans="1:3">
      <c r="A834" t="s">
        <v>1169</v>
      </c>
      <c r="B834">
        <v>6</v>
      </c>
      <c r="C834" s="61" t="s">
        <v>4</v>
      </c>
    </row>
    <row r="835" spans="1:3">
      <c r="A835" t="s">
        <v>1168</v>
      </c>
      <c r="B835">
        <v>14</v>
      </c>
      <c r="C835" s="61" t="s">
        <v>4</v>
      </c>
    </row>
    <row r="836" spans="1:3">
      <c r="A836" t="s">
        <v>1170</v>
      </c>
      <c r="B836">
        <v>2</v>
      </c>
      <c r="C836" s="61" t="s">
        <v>4</v>
      </c>
    </row>
    <row r="837" spans="1:3">
      <c r="A837" t="s">
        <v>1171</v>
      </c>
      <c r="B837">
        <v>1</v>
      </c>
      <c r="C837" s="61" t="s">
        <v>4</v>
      </c>
    </row>
    <row r="838" spans="1:3">
      <c r="A838" t="s">
        <v>1172</v>
      </c>
      <c r="B838">
        <v>3</v>
      </c>
      <c r="C838" s="61" t="s">
        <v>4</v>
      </c>
    </row>
    <row r="839" spans="1:3">
      <c r="A839" t="s">
        <v>1173</v>
      </c>
      <c r="B839">
        <v>7</v>
      </c>
      <c r="C839" s="61" t="s">
        <v>4</v>
      </c>
    </row>
    <row r="840" spans="1:3">
      <c r="A840" t="s">
        <v>1174</v>
      </c>
      <c r="B840">
        <v>10</v>
      </c>
      <c r="C840" s="61" t="s">
        <v>4</v>
      </c>
    </row>
    <row r="841" spans="1:3">
      <c r="A841" t="s">
        <v>1175</v>
      </c>
      <c r="B841">
        <v>6</v>
      </c>
      <c r="C841" s="61" t="s">
        <v>4</v>
      </c>
    </row>
    <row r="842" spans="1:3">
      <c r="A842" t="s">
        <v>1177</v>
      </c>
      <c r="B842">
        <v>1</v>
      </c>
      <c r="C842" s="61" t="s">
        <v>4</v>
      </c>
    </row>
    <row r="843" spans="1:3">
      <c r="A843" t="s">
        <v>1180</v>
      </c>
      <c r="B843">
        <v>19</v>
      </c>
      <c r="C843" s="61" t="s">
        <v>4</v>
      </c>
    </row>
    <row r="844" spans="1:3">
      <c r="A844" t="s">
        <v>1176</v>
      </c>
      <c r="B844">
        <v>3</v>
      </c>
      <c r="C844" s="61" t="s">
        <v>4</v>
      </c>
    </row>
    <row r="845" spans="1:3">
      <c r="A845" t="s">
        <v>1181</v>
      </c>
      <c r="B845">
        <v>5</v>
      </c>
      <c r="C845" s="61" t="s">
        <v>4</v>
      </c>
    </row>
    <row r="846" spans="1:3">
      <c r="A846" t="s">
        <v>1178</v>
      </c>
      <c r="B846">
        <v>11</v>
      </c>
      <c r="C846" s="61" t="s">
        <v>4</v>
      </c>
    </row>
    <row r="847" spans="1:3">
      <c r="A847" t="s">
        <v>1182</v>
      </c>
      <c r="B847">
        <v>10</v>
      </c>
      <c r="C847" s="61" t="s">
        <v>4</v>
      </c>
    </row>
    <row r="848" spans="1:3">
      <c r="A848" t="s">
        <v>1183</v>
      </c>
      <c r="B848">
        <v>6</v>
      </c>
      <c r="C848" s="61" t="s">
        <v>4</v>
      </c>
    </row>
    <row r="849" spans="1:3">
      <c r="A849" t="s">
        <v>1184</v>
      </c>
      <c r="B849">
        <v>6</v>
      </c>
      <c r="C849" s="61" t="s">
        <v>4</v>
      </c>
    </row>
    <row r="850" spans="1:3">
      <c r="A850" t="s">
        <v>1186</v>
      </c>
      <c r="B850">
        <v>13</v>
      </c>
      <c r="C850" s="61" t="s">
        <v>4</v>
      </c>
    </row>
    <row r="851" spans="1:3">
      <c r="A851" t="s">
        <v>1185</v>
      </c>
      <c r="B851">
        <v>1</v>
      </c>
      <c r="C851" s="61" t="s">
        <v>4</v>
      </c>
    </row>
    <row r="852" spans="1:3">
      <c r="A852" t="s">
        <v>1187</v>
      </c>
      <c r="B852">
        <v>6</v>
      </c>
      <c r="C852" s="61" t="s">
        <v>4</v>
      </c>
    </row>
    <row r="853" spans="1:3">
      <c r="A853" t="s">
        <v>1188</v>
      </c>
      <c r="B853">
        <v>1</v>
      </c>
      <c r="C853" s="61" t="s">
        <v>4</v>
      </c>
    </row>
    <row r="854" spans="1:3">
      <c r="A854" t="s">
        <v>1189</v>
      </c>
      <c r="B854">
        <v>37</v>
      </c>
      <c r="C854" s="61" t="s">
        <v>4</v>
      </c>
    </row>
    <row r="855" spans="1:3">
      <c r="A855" t="s">
        <v>1191</v>
      </c>
      <c r="B855">
        <v>17</v>
      </c>
      <c r="C855" s="61" t="s">
        <v>4</v>
      </c>
    </row>
    <row r="856" spans="1:3">
      <c r="A856" t="s">
        <v>1190</v>
      </c>
      <c r="B856">
        <v>42</v>
      </c>
      <c r="C856" s="61" t="s">
        <v>4</v>
      </c>
    </row>
    <row r="857" spans="1:3">
      <c r="A857" t="s">
        <v>1192</v>
      </c>
      <c r="B857">
        <v>3</v>
      </c>
      <c r="C857" s="61" t="s">
        <v>4</v>
      </c>
    </row>
    <row r="858" spans="1:3">
      <c r="A858" t="s">
        <v>1193</v>
      </c>
      <c r="B858">
        <v>1</v>
      </c>
      <c r="C858" s="61" t="s">
        <v>4</v>
      </c>
    </row>
    <row r="859" spans="1:3">
      <c r="A859" t="s">
        <v>1194</v>
      </c>
      <c r="B859">
        <v>5</v>
      </c>
      <c r="C859" s="61" t="s">
        <v>4</v>
      </c>
    </row>
    <row r="860" spans="1:3">
      <c r="A860" t="s">
        <v>1195</v>
      </c>
      <c r="B860">
        <v>2</v>
      </c>
      <c r="C860" s="61" t="s">
        <v>4</v>
      </c>
    </row>
    <row r="861" spans="1:3">
      <c r="A861" t="s">
        <v>1196</v>
      </c>
      <c r="B861">
        <v>1</v>
      </c>
      <c r="C861" s="61" t="s">
        <v>4</v>
      </c>
    </row>
    <row r="862" spans="1:3">
      <c r="A862" t="s">
        <v>1199</v>
      </c>
      <c r="B862">
        <v>99</v>
      </c>
      <c r="C862" s="61" t="s">
        <v>4</v>
      </c>
    </row>
    <row r="863" spans="1:3">
      <c r="A863" t="s">
        <v>1197</v>
      </c>
      <c r="B863">
        <v>1</v>
      </c>
      <c r="C863" s="61" t="s">
        <v>4</v>
      </c>
    </row>
    <row r="864" spans="1:3">
      <c r="A864" t="s">
        <v>1200</v>
      </c>
      <c r="B864">
        <v>16</v>
      </c>
      <c r="C864" s="61" t="s">
        <v>4</v>
      </c>
    </row>
    <row r="865" spans="1:3">
      <c r="A865" t="s">
        <v>1206</v>
      </c>
      <c r="B865">
        <v>1</v>
      </c>
      <c r="C865" s="61" t="s">
        <v>4</v>
      </c>
    </row>
    <row r="866" spans="1:3">
      <c r="A866" t="s">
        <v>1202</v>
      </c>
      <c r="B866">
        <v>1</v>
      </c>
      <c r="C866" s="61" t="s">
        <v>4</v>
      </c>
    </row>
    <row r="867" spans="1:3">
      <c r="A867" t="s">
        <v>1204</v>
      </c>
      <c r="B867">
        <v>2</v>
      </c>
      <c r="C867" s="61" t="s">
        <v>4</v>
      </c>
    </row>
    <row r="868" spans="1:3">
      <c r="A868" t="s">
        <v>1203</v>
      </c>
      <c r="B868">
        <v>12</v>
      </c>
      <c r="C868" s="61" t="s">
        <v>4</v>
      </c>
    </row>
    <row r="869" spans="1:3">
      <c r="A869" t="s">
        <v>1207</v>
      </c>
      <c r="B869">
        <v>1</v>
      </c>
      <c r="C869" s="61" t="s">
        <v>4</v>
      </c>
    </row>
    <row r="870" spans="1:3">
      <c r="A870" t="s">
        <v>1205</v>
      </c>
      <c r="B870">
        <v>1</v>
      </c>
      <c r="C870" s="61" t="s">
        <v>4</v>
      </c>
    </row>
    <row r="871" spans="1:3">
      <c r="A871" t="s">
        <v>1208</v>
      </c>
      <c r="B871">
        <v>7</v>
      </c>
      <c r="C871" s="61" t="s">
        <v>4</v>
      </c>
    </row>
    <row r="872" spans="1:3">
      <c r="A872" t="s">
        <v>1209</v>
      </c>
      <c r="B872">
        <v>6</v>
      </c>
      <c r="C872" s="61" t="s">
        <v>4</v>
      </c>
    </row>
    <row r="873" spans="1:3">
      <c r="A873" t="s">
        <v>1217</v>
      </c>
      <c r="B873">
        <v>2</v>
      </c>
      <c r="C873" s="61" t="s">
        <v>4</v>
      </c>
    </row>
    <row r="874" spans="1:3">
      <c r="A874" t="s">
        <v>1215</v>
      </c>
      <c r="B874">
        <v>157</v>
      </c>
      <c r="C874" s="61" t="s">
        <v>4</v>
      </c>
    </row>
    <row r="875" spans="1:3">
      <c r="A875" t="s">
        <v>1216</v>
      </c>
      <c r="B875">
        <v>1</v>
      </c>
      <c r="C875" s="61" t="s">
        <v>4</v>
      </c>
    </row>
    <row r="876" spans="1:3">
      <c r="A876" t="s">
        <v>1218</v>
      </c>
      <c r="B876">
        <v>1</v>
      </c>
      <c r="C876" s="61" t="s">
        <v>4</v>
      </c>
    </row>
    <row r="877" spans="1:3">
      <c r="A877" t="s">
        <v>1220</v>
      </c>
      <c r="B877">
        <v>1</v>
      </c>
      <c r="C877" s="62" t="s">
        <v>4</v>
      </c>
    </row>
    <row r="878" spans="1:3">
      <c r="A878" t="s">
        <v>1223</v>
      </c>
      <c r="B878">
        <v>19</v>
      </c>
      <c r="C878" s="62" t="s">
        <v>4</v>
      </c>
    </row>
    <row r="879" spans="1:3">
      <c r="A879" t="s">
        <v>1222</v>
      </c>
      <c r="B879">
        <v>1</v>
      </c>
      <c r="C879" s="62" t="s">
        <v>4</v>
      </c>
    </row>
    <row r="880" spans="1:3">
      <c r="A880" t="s">
        <v>1219</v>
      </c>
      <c r="B880">
        <v>10</v>
      </c>
      <c r="C880" s="62" t="s">
        <v>4</v>
      </c>
    </row>
    <row r="881" spans="1:3">
      <c r="A881" t="s">
        <v>1224</v>
      </c>
      <c r="B881">
        <v>69</v>
      </c>
      <c r="C881" s="62" t="s">
        <v>4</v>
      </c>
    </row>
    <row r="882" spans="1:3">
      <c r="A882" t="s">
        <v>1225</v>
      </c>
      <c r="B882">
        <v>1</v>
      </c>
      <c r="C882" s="62" t="s">
        <v>4</v>
      </c>
    </row>
    <row r="883" spans="1:3">
      <c r="A883" t="s">
        <v>1226</v>
      </c>
      <c r="B883">
        <v>5</v>
      </c>
      <c r="C883" s="62" t="s">
        <v>4</v>
      </c>
    </row>
    <row r="884" spans="1:3">
      <c r="A884" t="s">
        <v>1227</v>
      </c>
      <c r="B884">
        <v>20</v>
      </c>
      <c r="C884" s="62" t="s">
        <v>4</v>
      </c>
    </row>
    <row r="885" spans="1:3">
      <c r="A885" t="s">
        <v>1229</v>
      </c>
      <c r="B885">
        <v>1</v>
      </c>
      <c r="C885" s="62" t="s">
        <v>4</v>
      </c>
    </row>
    <row r="886" spans="1:3">
      <c r="A886" t="s">
        <v>1230</v>
      </c>
      <c r="B886">
        <v>1</v>
      </c>
      <c r="C886" s="62" t="s">
        <v>4</v>
      </c>
    </row>
    <row r="887" spans="1:3">
      <c r="A887" t="s">
        <v>1231</v>
      </c>
      <c r="B887">
        <v>6</v>
      </c>
      <c r="C887" s="62" t="s">
        <v>4</v>
      </c>
    </row>
    <row r="888" spans="1:3">
      <c r="A888" t="s">
        <v>1238</v>
      </c>
      <c r="B888">
        <v>106</v>
      </c>
      <c r="C888" s="62" t="s">
        <v>4</v>
      </c>
    </row>
    <row r="889" spans="1:3">
      <c r="A889" t="s">
        <v>1240</v>
      </c>
      <c r="B889">
        <v>156</v>
      </c>
      <c r="C889" s="62" t="s">
        <v>4</v>
      </c>
    </row>
    <row r="890" spans="1:3">
      <c r="A890" t="s">
        <v>1239</v>
      </c>
      <c r="B890">
        <v>1</v>
      </c>
      <c r="C890" s="62" t="s">
        <v>4</v>
      </c>
    </row>
    <row r="891" spans="1:3">
      <c r="A891" t="s">
        <v>1241</v>
      </c>
      <c r="B891">
        <v>17</v>
      </c>
      <c r="C891" s="62" t="s">
        <v>4</v>
      </c>
    </row>
    <row r="892" spans="1:3">
      <c r="A892" t="s">
        <v>1242</v>
      </c>
      <c r="B892">
        <v>4</v>
      </c>
      <c r="C892" s="62" t="s">
        <v>4</v>
      </c>
    </row>
    <row r="893" spans="1:3">
      <c r="A893" t="s">
        <v>1243</v>
      </c>
      <c r="B893">
        <v>2</v>
      </c>
      <c r="C893" s="62" t="s">
        <v>4</v>
      </c>
    </row>
    <row r="894" spans="1:3">
      <c r="A894" t="s">
        <v>1244</v>
      </c>
      <c r="B894">
        <v>3</v>
      </c>
      <c r="C894" s="62" t="s">
        <v>4</v>
      </c>
    </row>
    <row r="895" spans="1:3">
      <c r="A895" t="s">
        <v>1246</v>
      </c>
      <c r="B895">
        <v>43</v>
      </c>
      <c r="C895" s="62" t="s">
        <v>4</v>
      </c>
    </row>
    <row r="896" spans="1:3">
      <c r="A896" t="s">
        <v>1247</v>
      </c>
      <c r="B896">
        <v>1</v>
      </c>
      <c r="C896" s="62" t="s">
        <v>4</v>
      </c>
    </row>
    <row r="897" spans="1:3">
      <c r="A897" t="s">
        <v>1245</v>
      </c>
      <c r="B897">
        <v>3</v>
      </c>
      <c r="C897" s="62" t="s">
        <v>4</v>
      </c>
    </row>
    <row r="898" spans="1:3">
      <c r="A898" t="s">
        <v>1252</v>
      </c>
      <c r="B898">
        <v>24</v>
      </c>
      <c r="C898" t="s">
        <v>4</v>
      </c>
    </row>
    <row r="899" spans="1:3">
      <c r="A899" t="s">
        <v>1253</v>
      </c>
      <c r="B899">
        <v>1</v>
      </c>
      <c r="C899" t="s">
        <v>4</v>
      </c>
    </row>
    <row r="900" spans="1:3">
      <c r="A900" t="s">
        <v>1256</v>
      </c>
      <c r="B900">
        <v>2</v>
      </c>
      <c r="C900" s="62" t="s">
        <v>4</v>
      </c>
    </row>
    <row r="901" spans="1:3">
      <c r="A901" t="s">
        <v>1255</v>
      </c>
      <c r="B901">
        <v>1</v>
      </c>
      <c r="C901" s="62" t="s">
        <v>4</v>
      </c>
    </row>
    <row r="902" spans="1:3">
      <c r="A902" t="s">
        <v>1257</v>
      </c>
      <c r="B902">
        <v>24</v>
      </c>
      <c r="C902" s="62" t="s">
        <v>4</v>
      </c>
    </row>
    <row r="903" spans="1:3">
      <c r="A903" t="s">
        <v>1259</v>
      </c>
      <c r="B903">
        <v>4</v>
      </c>
      <c r="C903" s="62" t="s">
        <v>4</v>
      </c>
    </row>
    <row r="904" spans="1:3">
      <c r="A904" t="s">
        <v>1263</v>
      </c>
      <c r="B904">
        <v>1</v>
      </c>
      <c r="C904" s="62" t="s">
        <v>4</v>
      </c>
    </row>
    <row r="905" spans="1:3">
      <c r="A905" t="s">
        <v>1254</v>
      </c>
      <c r="B905">
        <v>5</v>
      </c>
      <c r="C905" s="62" t="s">
        <v>4</v>
      </c>
    </row>
    <row r="906" spans="1:3">
      <c r="A906" t="s">
        <v>1258</v>
      </c>
      <c r="B906">
        <v>4</v>
      </c>
      <c r="C906" s="62" t="s">
        <v>4</v>
      </c>
    </row>
    <row r="907" spans="1:3">
      <c r="A907" t="s">
        <v>1260</v>
      </c>
      <c r="B907">
        <v>1</v>
      </c>
      <c r="C907" s="62" t="s">
        <v>4</v>
      </c>
    </row>
    <row r="908" spans="1:3">
      <c r="A908" t="s">
        <v>1228</v>
      </c>
      <c r="B908">
        <v>24</v>
      </c>
      <c r="C908" s="62" t="s">
        <v>4</v>
      </c>
    </row>
    <row r="909" spans="1:3">
      <c r="A909" t="s">
        <v>1261</v>
      </c>
      <c r="B909">
        <v>28</v>
      </c>
      <c r="C909" s="62" t="s">
        <v>4</v>
      </c>
    </row>
    <row r="910" spans="1:3">
      <c r="A910" t="s">
        <v>1264</v>
      </c>
      <c r="B910">
        <v>1</v>
      </c>
      <c r="C910" s="62" t="s">
        <v>4</v>
      </c>
    </row>
    <row r="911" spans="1:3">
      <c r="A911" t="s">
        <v>1265</v>
      </c>
      <c r="B911">
        <v>1</v>
      </c>
      <c r="C911" s="62" t="s">
        <v>4</v>
      </c>
    </row>
    <row r="912" spans="1:3">
      <c r="A912" t="s">
        <v>1266</v>
      </c>
      <c r="B912">
        <v>1</v>
      </c>
      <c r="C912" s="62" t="s">
        <v>4</v>
      </c>
    </row>
    <row r="913" spans="1:3">
      <c r="A913" t="s">
        <v>1267</v>
      </c>
      <c r="B913">
        <v>4</v>
      </c>
      <c r="C913" s="62" t="s">
        <v>4</v>
      </c>
    </row>
    <row r="914" spans="1:3">
      <c r="A914" t="s">
        <v>1270</v>
      </c>
      <c r="B914">
        <v>1</v>
      </c>
      <c r="C914" s="62" t="s">
        <v>4</v>
      </c>
    </row>
    <row r="915" spans="1:3">
      <c r="A915" t="s">
        <v>1268</v>
      </c>
      <c r="B915">
        <v>1</v>
      </c>
      <c r="C915" s="62" t="s">
        <v>4</v>
      </c>
    </row>
    <row r="916" spans="1:3">
      <c r="A916" t="s">
        <v>1269</v>
      </c>
      <c r="B916">
        <v>2</v>
      </c>
      <c r="C916" s="62" t="s">
        <v>4</v>
      </c>
    </row>
    <row r="917" spans="1:3">
      <c r="A917" t="s">
        <v>1272</v>
      </c>
      <c r="B917">
        <v>1</v>
      </c>
      <c r="C917" s="62" t="s">
        <v>4</v>
      </c>
    </row>
    <row r="918" spans="1:3">
      <c r="A918" t="s">
        <v>1274</v>
      </c>
      <c r="B918">
        <v>1</v>
      </c>
      <c r="C918" s="62" t="s">
        <v>4</v>
      </c>
    </row>
    <row r="919" spans="1:3">
      <c r="A919" s="62" t="s">
        <v>1275</v>
      </c>
      <c r="B919" s="30">
        <v>7</v>
      </c>
      <c r="C919" s="62" t="s">
        <v>4</v>
      </c>
    </row>
    <row r="920" spans="1:3">
      <c r="A920" s="62" t="s">
        <v>1276</v>
      </c>
      <c r="B920" s="30">
        <v>3</v>
      </c>
      <c r="C920" s="62" t="s">
        <v>4</v>
      </c>
    </row>
    <row r="921" spans="1:3">
      <c r="A921" t="s">
        <v>1277</v>
      </c>
      <c r="B921">
        <v>12</v>
      </c>
      <c r="C921" s="62" t="s">
        <v>4</v>
      </c>
    </row>
    <row r="922" spans="1:3">
      <c r="A922" t="s">
        <v>1278</v>
      </c>
      <c r="B922">
        <v>7</v>
      </c>
      <c r="C922" s="62" t="s">
        <v>4</v>
      </c>
    </row>
    <row r="923" spans="1:3">
      <c r="A923" t="s">
        <v>1279</v>
      </c>
      <c r="B923">
        <v>1</v>
      </c>
      <c r="C923" s="62" t="s">
        <v>4</v>
      </c>
    </row>
    <row r="924" spans="1:3">
      <c r="A924" t="s">
        <v>1280</v>
      </c>
      <c r="B924">
        <v>1</v>
      </c>
      <c r="C924" s="62" t="s">
        <v>4</v>
      </c>
    </row>
    <row r="925" spans="1:3">
      <c r="A925" t="s">
        <v>1281</v>
      </c>
      <c r="B925">
        <v>1</v>
      </c>
      <c r="C925" s="62" t="s">
        <v>4</v>
      </c>
    </row>
    <row r="926" spans="1:3">
      <c r="A926" t="s">
        <v>1289</v>
      </c>
      <c r="B926">
        <v>1</v>
      </c>
      <c r="C926" s="62" t="s">
        <v>4</v>
      </c>
    </row>
    <row r="927" spans="1:3">
      <c r="A927" t="s">
        <v>1287</v>
      </c>
      <c r="B927">
        <v>5</v>
      </c>
      <c r="C927" s="62" t="s">
        <v>4</v>
      </c>
    </row>
    <row r="928" spans="1:3">
      <c r="A928" t="s">
        <v>1298</v>
      </c>
      <c r="B928">
        <v>4</v>
      </c>
      <c r="C928" s="62" t="s">
        <v>4</v>
      </c>
    </row>
    <row r="929" spans="1:3">
      <c r="A929" t="s">
        <v>1290</v>
      </c>
      <c r="B929">
        <v>3</v>
      </c>
      <c r="C929" s="62" t="s">
        <v>4</v>
      </c>
    </row>
    <row r="930" spans="1:3">
      <c r="A930" t="s">
        <v>1365</v>
      </c>
      <c r="B930">
        <v>62</v>
      </c>
      <c r="C930" s="62" t="s">
        <v>4</v>
      </c>
    </row>
    <row r="931" spans="1:3">
      <c r="A931" t="s">
        <v>1389</v>
      </c>
      <c r="B931">
        <v>3</v>
      </c>
      <c r="C931" s="62" t="s">
        <v>4</v>
      </c>
    </row>
    <row r="932" spans="1:3">
      <c r="A932" t="s">
        <v>1366</v>
      </c>
      <c r="B932">
        <v>20</v>
      </c>
      <c r="C932" s="62" t="s">
        <v>4</v>
      </c>
    </row>
    <row r="933" spans="1:3">
      <c r="A933" t="s">
        <v>1416</v>
      </c>
      <c r="B933">
        <v>21</v>
      </c>
      <c r="C933" s="62" t="s">
        <v>4</v>
      </c>
    </row>
    <row r="934" spans="1:3">
      <c r="A934" t="s">
        <v>1419</v>
      </c>
      <c r="B934">
        <v>2</v>
      </c>
      <c r="C934" s="62" t="s">
        <v>4</v>
      </c>
    </row>
    <row r="935" spans="1:3">
      <c r="A935" t="s">
        <v>1451</v>
      </c>
      <c r="B935">
        <v>25</v>
      </c>
      <c r="C935" s="62" t="s">
        <v>4</v>
      </c>
    </row>
    <row r="936" spans="1:3">
      <c r="A936" t="s">
        <v>1488</v>
      </c>
      <c r="B936">
        <v>1</v>
      </c>
      <c r="C936" s="62" t="s">
        <v>4</v>
      </c>
    </row>
    <row r="937" spans="1:3">
      <c r="A937" t="s">
        <v>1486</v>
      </c>
      <c r="B937">
        <v>2</v>
      </c>
      <c r="C937" s="62" t="s">
        <v>4</v>
      </c>
    </row>
    <row r="938" spans="1:3">
      <c r="A938" t="s">
        <v>1511</v>
      </c>
      <c r="B938">
        <v>1</v>
      </c>
      <c r="C938" s="62" t="s">
        <v>4</v>
      </c>
    </row>
    <row r="939" spans="1:3">
      <c r="A939" t="s">
        <v>1500</v>
      </c>
      <c r="B939">
        <v>4</v>
      </c>
      <c r="C939" s="62" t="s">
        <v>4</v>
      </c>
    </row>
    <row r="940" spans="1:3">
      <c r="A940" t="s">
        <v>1484</v>
      </c>
      <c r="B940">
        <v>20</v>
      </c>
      <c r="C940" s="62" t="s">
        <v>4</v>
      </c>
    </row>
    <row r="941" spans="1:3">
      <c r="A941" t="s">
        <v>1492</v>
      </c>
      <c r="B941">
        <v>3</v>
      </c>
      <c r="C941" s="62" t="s">
        <v>4</v>
      </c>
    </row>
    <row r="942" spans="1:3">
      <c r="A942" t="s">
        <v>1509</v>
      </c>
      <c r="B942">
        <v>1</v>
      </c>
      <c r="C942" s="62" t="s">
        <v>4</v>
      </c>
    </row>
    <row r="943" spans="1:3">
      <c r="A943" t="s">
        <v>1508</v>
      </c>
      <c r="B943">
        <v>5</v>
      </c>
      <c r="C943" s="62" t="s">
        <v>4</v>
      </c>
    </row>
    <row r="944" spans="1:3">
      <c r="A944" t="s">
        <v>1512</v>
      </c>
      <c r="B944">
        <v>1</v>
      </c>
      <c r="C944" s="62" t="s">
        <v>4</v>
      </c>
    </row>
    <row r="945" spans="1:3">
      <c r="A945" t="s">
        <v>1517</v>
      </c>
      <c r="B945">
        <v>2</v>
      </c>
      <c r="C945" s="62" t="s">
        <v>4</v>
      </c>
    </row>
    <row r="946" spans="1:3">
      <c r="A946" t="s">
        <v>1523</v>
      </c>
      <c r="B946">
        <v>2</v>
      </c>
      <c r="C946" s="62" t="s">
        <v>4</v>
      </c>
    </row>
    <row r="947" spans="1:3">
      <c r="A947" t="s">
        <v>1454</v>
      </c>
      <c r="B947">
        <v>2</v>
      </c>
      <c r="C947" s="62" t="s">
        <v>4</v>
      </c>
    </row>
    <row r="948" spans="1:3">
      <c r="A948" t="s">
        <v>1455</v>
      </c>
      <c r="B948">
        <v>1</v>
      </c>
      <c r="C948" s="62" t="s">
        <v>4</v>
      </c>
    </row>
    <row r="949" spans="1:3">
      <c r="A949" t="s">
        <v>1460</v>
      </c>
      <c r="B949">
        <v>2</v>
      </c>
      <c r="C949" s="62" t="s">
        <v>4</v>
      </c>
    </row>
    <row r="950" spans="1:3">
      <c r="A950" t="s">
        <v>1461</v>
      </c>
      <c r="B950">
        <v>2</v>
      </c>
      <c r="C950" s="62" t="s">
        <v>4</v>
      </c>
    </row>
    <row r="951" spans="1:3">
      <c r="A951" t="s">
        <v>1563</v>
      </c>
      <c r="B951">
        <v>4</v>
      </c>
      <c r="C951" s="62" t="s">
        <v>4</v>
      </c>
    </row>
    <row r="952" spans="1:3">
      <c r="A952" t="s">
        <v>1566</v>
      </c>
      <c r="B952">
        <v>6</v>
      </c>
      <c r="C952" s="62" t="s">
        <v>4</v>
      </c>
    </row>
    <row r="953" spans="1:3">
      <c r="A953" t="s">
        <v>1583</v>
      </c>
      <c r="B953">
        <v>7</v>
      </c>
      <c r="C953" s="62" t="s">
        <v>4</v>
      </c>
    </row>
    <row r="954" spans="1:3">
      <c r="A954" t="s">
        <v>1606</v>
      </c>
      <c r="B954">
        <v>4</v>
      </c>
      <c r="C954" s="62" t="s">
        <v>4</v>
      </c>
    </row>
    <row r="955" spans="1:3">
      <c r="A955" t="s">
        <v>1591</v>
      </c>
      <c r="B955">
        <v>12</v>
      </c>
      <c r="C955" s="62" t="s">
        <v>4</v>
      </c>
    </row>
    <row r="956" spans="1:3">
      <c r="A956" t="s">
        <v>1614</v>
      </c>
      <c r="B956">
        <v>4</v>
      </c>
      <c r="C956" s="62" t="s">
        <v>4</v>
      </c>
    </row>
    <row r="957" spans="1:3">
      <c r="A957" t="s">
        <v>1615</v>
      </c>
      <c r="B957">
        <v>1</v>
      </c>
      <c r="C957" s="62" t="s">
        <v>4</v>
      </c>
    </row>
    <row r="958" spans="1:3">
      <c r="A958" t="s">
        <v>1502</v>
      </c>
      <c r="B958">
        <v>2</v>
      </c>
      <c r="C958" s="62" t="s">
        <v>4</v>
      </c>
    </row>
    <row r="959" spans="1:3">
      <c r="A959" t="s">
        <v>1626</v>
      </c>
      <c r="B959">
        <v>9</v>
      </c>
      <c r="C959" s="62" t="s">
        <v>4</v>
      </c>
    </row>
    <row r="960" spans="1:3">
      <c r="A960" t="s">
        <v>1641</v>
      </c>
      <c r="B960">
        <v>1</v>
      </c>
      <c r="C960" s="62" t="s">
        <v>4</v>
      </c>
    </row>
    <row r="961" spans="1:3">
      <c r="A961" t="s">
        <v>1644</v>
      </c>
      <c r="B961">
        <v>6</v>
      </c>
      <c r="C961" s="62" t="s">
        <v>4</v>
      </c>
    </row>
    <row r="962" spans="1:3">
      <c r="A962" t="s">
        <v>1654</v>
      </c>
      <c r="B962">
        <v>1</v>
      </c>
      <c r="C962" s="62" t="s">
        <v>4</v>
      </c>
    </row>
    <row r="963" spans="1:3">
      <c r="A963" t="s">
        <v>1547</v>
      </c>
      <c r="B963">
        <v>27</v>
      </c>
      <c r="C963" s="62" t="s">
        <v>4</v>
      </c>
    </row>
    <row r="964" spans="1:3">
      <c r="A964" t="s">
        <v>1558</v>
      </c>
      <c r="B964">
        <v>10</v>
      </c>
      <c r="C964" s="62" t="s">
        <v>4</v>
      </c>
    </row>
    <row r="965" spans="1:3">
      <c r="A965" t="s">
        <v>1565</v>
      </c>
      <c r="B965">
        <v>1</v>
      </c>
      <c r="C965" s="62" t="s">
        <v>4</v>
      </c>
    </row>
    <row r="966" spans="1:3">
      <c r="A966" t="s">
        <v>1587</v>
      </c>
      <c r="B966">
        <v>3</v>
      </c>
      <c r="C966" s="62" t="s">
        <v>4</v>
      </c>
    </row>
    <row r="967" spans="1:3">
      <c r="A967" t="s">
        <v>1657</v>
      </c>
      <c r="B967">
        <v>6</v>
      </c>
      <c r="C967" s="62" t="s">
        <v>4</v>
      </c>
    </row>
    <row r="968" spans="1:3">
      <c r="A968" t="s">
        <v>1655</v>
      </c>
      <c r="B968">
        <v>1</v>
      </c>
      <c r="C968" s="62" t="s">
        <v>4</v>
      </c>
    </row>
    <row r="969" spans="1:3">
      <c r="A969" t="s">
        <v>1686</v>
      </c>
      <c r="B969">
        <v>18</v>
      </c>
      <c r="C969" s="62" t="s">
        <v>4</v>
      </c>
    </row>
    <row r="970" spans="1:3">
      <c r="A970" t="s">
        <v>1708</v>
      </c>
      <c r="B970">
        <v>6</v>
      </c>
      <c r="C970" s="62" t="s">
        <v>4</v>
      </c>
    </row>
    <row r="971" spans="1:3">
      <c r="A971" t="s">
        <v>1707</v>
      </c>
      <c r="B971">
        <v>13</v>
      </c>
      <c r="C971" s="62" t="s">
        <v>4</v>
      </c>
    </row>
    <row r="972" spans="1:3">
      <c r="A972" t="s">
        <v>1689</v>
      </c>
      <c r="B972">
        <v>4</v>
      </c>
      <c r="C972" s="62" t="s">
        <v>4</v>
      </c>
    </row>
    <row r="973" spans="1:3">
      <c r="A973" t="s">
        <v>1687</v>
      </c>
      <c r="B973">
        <v>1</v>
      </c>
      <c r="C973" s="62" t="s">
        <v>4</v>
      </c>
    </row>
    <row r="974" spans="1:3">
      <c r="A974" t="s">
        <v>1720</v>
      </c>
      <c r="B974">
        <v>1</v>
      </c>
      <c r="C974" s="62" t="s">
        <v>4</v>
      </c>
    </row>
    <row r="975" spans="1:3">
      <c r="A975" t="s">
        <v>1746</v>
      </c>
      <c r="B975">
        <v>4</v>
      </c>
      <c r="C975" s="62" t="s">
        <v>4</v>
      </c>
    </row>
    <row r="976" spans="1:3">
      <c r="A976" t="s">
        <v>1744</v>
      </c>
      <c r="B976">
        <v>1</v>
      </c>
      <c r="C976" s="62" t="s">
        <v>4</v>
      </c>
    </row>
    <row r="977" spans="1:3">
      <c r="A977" t="s">
        <v>1743</v>
      </c>
      <c r="B977">
        <v>41</v>
      </c>
      <c r="C977" s="62" t="s">
        <v>4</v>
      </c>
    </row>
    <row r="978" spans="1:3">
      <c r="A978" t="s">
        <v>1809</v>
      </c>
      <c r="B978">
        <v>3</v>
      </c>
      <c r="C978" s="62" t="s">
        <v>4</v>
      </c>
    </row>
    <row r="979" spans="1:3">
      <c r="A979" t="s">
        <v>1751</v>
      </c>
      <c r="B979">
        <v>56</v>
      </c>
      <c r="C979" s="62" t="s">
        <v>4</v>
      </c>
    </row>
    <row r="980" spans="1:3">
      <c r="A980" t="s">
        <v>1818</v>
      </c>
      <c r="B980">
        <v>5</v>
      </c>
      <c r="C980" s="62" t="s">
        <v>4</v>
      </c>
    </row>
    <row r="981" spans="1:3">
      <c r="A981" s="31" t="s">
        <v>1627</v>
      </c>
      <c r="B981" s="30">
        <v>11</v>
      </c>
      <c r="C981" s="70" t="s">
        <v>4</v>
      </c>
    </row>
    <row r="982" spans="1:3">
      <c r="A982" t="s">
        <v>1822</v>
      </c>
      <c r="B982">
        <v>1</v>
      </c>
      <c r="C982" s="70" t="s">
        <v>4</v>
      </c>
    </row>
    <row r="983" spans="1:3">
      <c r="A983" t="s">
        <v>1819</v>
      </c>
      <c r="B983">
        <v>2</v>
      </c>
      <c r="C983" s="70" t="s">
        <v>4</v>
      </c>
    </row>
    <row r="984" spans="1:3">
      <c r="A984" t="s">
        <v>1824</v>
      </c>
      <c r="B984">
        <v>2</v>
      </c>
      <c r="C984" s="70" t="s">
        <v>4</v>
      </c>
    </row>
    <row r="985" spans="1:3">
      <c r="A985" t="s">
        <v>1826</v>
      </c>
      <c r="B985">
        <v>1</v>
      </c>
      <c r="C985" s="70" t="s">
        <v>4</v>
      </c>
    </row>
    <row r="986" spans="1:3">
      <c r="A986" t="s">
        <v>1665</v>
      </c>
      <c r="B986">
        <v>1</v>
      </c>
      <c r="C986" s="70" t="s">
        <v>4</v>
      </c>
    </row>
    <row r="987" spans="1:3">
      <c r="A987" t="s">
        <v>1839</v>
      </c>
      <c r="B987">
        <v>4</v>
      </c>
      <c r="C987" s="70" t="s">
        <v>4</v>
      </c>
    </row>
    <row r="988" spans="1:3">
      <c r="A988" t="s">
        <v>1841</v>
      </c>
      <c r="B988">
        <v>1</v>
      </c>
      <c r="C988" s="70" t="s">
        <v>4</v>
      </c>
    </row>
    <row r="989" spans="1:3">
      <c r="A989" t="s">
        <v>1832</v>
      </c>
      <c r="B989">
        <v>9</v>
      </c>
      <c r="C989" s="70" t="s">
        <v>4</v>
      </c>
    </row>
    <row r="990" spans="1:3">
      <c r="A990" t="s">
        <v>2025</v>
      </c>
      <c r="B990">
        <v>2</v>
      </c>
      <c r="C990" s="70" t="s">
        <v>4</v>
      </c>
    </row>
    <row r="991" spans="1:3">
      <c r="A991" t="s">
        <v>1998</v>
      </c>
      <c r="B991">
        <v>11</v>
      </c>
      <c r="C991" s="70" t="s">
        <v>4</v>
      </c>
    </row>
    <row r="992" spans="1:3">
      <c r="A992" t="s">
        <v>2009</v>
      </c>
      <c r="B992">
        <v>10</v>
      </c>
      <c r="C992" s="70" t="s">
        <v>4</v>
      </c>
    </row>
    <row r="993" spans="1:3">
      <c r="A993" t="s">
        <v>2003</v>
      </c>
      <c r="B993">
        <v>5</v>
      </c>
      <c r="C993" s="70" t="s">
        <v>4</v>
      </c>
    </row>
    <row r="994" spans="1:3">
      <c r="A994" t="s">
        <v>2026</v>
      </c>
      <c r="B994">
        <v>2</v>
      </c>
      <c r="C994" s="70" t="s">
        <v>4</v>
      </c>
    </row>
    <row r="995" spans="1:3">
      <c r="A995" t="s">
        <v>2031</v>
      </c>
      <c r="B995">
        <v>1</v>
      </c>
      <c r="C995" s="70" t="s">
        <v>4</v>
      </c>
    </row>
    <row r="996" spans="1:3">
      <c r="A996" t="s">
        <v>2048</v>
      </c>
      <c r="B996">
        <v>1</v>
      </c>
      <c r="C996" s="70" t="s">
        <v>4</v>
      </c>
    </row>
    <row r="997" spans="1:3">
      <c r="A997" t="s">
        <v>2045</v>
      </c>
      <c r="B997">
        <v>7</v>
      </c>
      <c r="C997" s="70" t="s">
        <v>4</v>
      </c>
    </row>
    <row r="998" spans="1:3">
      <c r="A998" t="s">
        <v>1717</v>
      </c>
      <c r="B998">
        <v>17</v>
      </c>
      <c r="C998" s="70" t="s">
        <v>4</v>
      </c>
    </row>
    <row r="999" spans="1:3">
      <c r="A999" t="s">
        <v>1831</v>
      </c>
      <c r="B999">
        <v>1</v>
      </c>
      <c r="C999" s="70" t="s">
        <v>4</v>
      </c>
    </row>
    <row r="1000" spans="1:3">
      <c r="A1000" t="s">
        <v>1843</v>
      </c>
      <c r="B1000">
        <v>98</v>
      </c>
      <c r="C1000" s="70" t="s">
        <v>4</v>
      </c>
    </row>
    <row r="1001" spans="1:3">
      <c r="A1001" t="s">
        <v>2034</v>
      </c>
      <c r="B1001">
        <v>1</v>
      </c>
      <c r="C1001" s="70" t="s">
        <v>4</v>
      </c>
    </row>
    <row r="1002" spans="1:3">
      <c r="A1002" t="s">
        <v>2051</v>
      </c>
      <c r="B1002">
        <v>1</v>
      </c>
      <c r="C1002" s="70" t="s">
        <v>4</v>
      </c>
    </row>
    <row r="1003" spans="1:3">
      <c r="A1003" t="s">
        <v>2062</v>
      </c>
      <c r="B1003">
        <v>9</v>
      </c>
      <c r="C1003" s="70" t="s">
        <v>4</v>
      </c>
    </row>
    <row r="1004" spans="1:3">
      <c r="A1004" t="s">
        <v>2080</v>
      </c>
      <c r="B1004">
        <v>4</v>
      </c>
      <c r="C1004" s="70" t="s">
        <v>4</v>
      </c>
    </row>
    <row r="1005" spans="1:3">
      <c r="A1005" t="s">
        <v>2088</v>
      </c>
      <c r="B1005">
        <v>3</v>
      </c>
      <c r="C1005" s="70" t="s">
        <v>4</v>
      </c>
    </row>
    <row r="1006" spans="1:3">
      <c r="A1006" t="s">
        <v>2176</v>
      </c>
      <c r="B1006">
        <v>14</v>
      </c>
      <c r="C1006" s="70" t="s">
        <v>4</v>
      </c>
    </row>
    <row r="1007" spans="1:3">
      <c r="A1007" t="s">
        <v>2096</v>
      </c>
      <c r="B1007">
        <v>46</v>
      </c>
      <c r="C1007" s="70" t="s">
        <v>4</v>
      </c>
    </row>
    <row r="1008" spans="1:3">
      <c r="A1008" t="s">
        <v>2197</v>
      </c>
      <c r="B1008">
        <v>15</v>
      </c>
      <c r="C1008" s="70" t="s">
        <v>4</v>
      </c>
    </row>
    <row r="1009" spans="1:3">
      <c r="A1009" t="s">
        <v>2064</v>
      </c>
      <c r="B1009">
        <v>1</v>
      </c>
      <c r="C1009" s="70" t="s">
        <v>4</v>
      </c>
    </row>
    <row r="1010" spans="1:3">
      <c r="A1010" t="s">
        <v>2198</v>
      </c>
      <c r="B1010">
        <v>1</v>
      </c>
      <c r="C1010" s="70" t="s">
        <v>4</v>
      </c>
    </row>
    <row r="1011" spans="1:3">
      <c r="A1011" t="s">
        <v>2201</v>
      </c>
      <c r="B1011">
        <v>4</v>
      </c>
      <c r="C1011" s="70" t="s">
        <v>4</v>
      </c>
    </row>
    <row r="1012" spans="1:3">
      <c r="A1012" t="s">
        <v>2209</v>
      </c>
      <c r="B1012">
        <v>1</v>
      </c>
      <c r="C1012" s="70" t="s">
        <v>4</v>
      </c>
    </row>
    <row r="1013" spans="1:3">
      <c r="A1013" t="s">
        <v>2210</v>
      </c>
      <c r="B1013">
        <v>1</v>
      </c>
      <c r="C1013" s="70" t="s">
        <v>4</v>
      </c>
    </row>
    <row r="1014" spans="1:3">
      <c r="A1014" t="s">
        <v>2216</v>
      </c>
      <c r="B1014">
        <v>2</v>
      </c>
      <c r="C1014" s="70" t="s">
        <v>4</v>
      </c>
    </row>
    <row r="1015" spans="1:3">
      <c r="A1015" t="s">
        <v>2217</v>
      </c>
      <c r="B1015">
        <v>1</v>
      </c>
      <c r="C1015" s="70" t="s">
        <v>4</v>
      </c>
    </row>
    <row r="1016" spans="1:3">
      <c r="A1016" t="s">
        <v>2279</v>
      </c>
      <c r="B1016">
        <v>8</v>
      </c>
      <c r="C1016" s="70" t="s">
        <v>4</v>
      </c>
    </row>
    <row r="1017" spans="1:3">
      <c r="A1017" t="s">
        <v>2266</v>
      </c>
      <c r="B1017">
        <v>2</v>
      </c>
      <c r="C1017" s="70" t="s">
        <v>4</v>
      </c>
    </row>
    <row r="1018" spans="1:3">
      <c r="A1018" t="s">
        <v>2264</v>
      </c>
      <c r="B1018">
        <v>1</v>
      </c>
      <c r="C1018" s="70" t="s">
        <v>4</v>
      </c>
    </row>
    <row r="1019" spans="1:3">
      <c r="A1019" t="s">
        <v>2261</v>
      </c>
      <c r="B1019">
        <v>11</v>
      </c>
      <c r="C1019" s="70" t="s">
        <v>4</v>
      </c>
    </row>
    <row r="1020" spans="1:3">
      <c r="A1020" t="s">
        <v>2244</v>
      </c>
      <c r="B1020">
        <v>22</v>
      </c>
      <c r="C1020" s="70" t="s">
        <v>4</v>
      </c>
    </row>
    <row r="1021" spans="1:3">
      <c r="A1021" t="s">
        <v>2305</v>
      </c>
      <c r="B1021">
        <v>5</v>
      </c>
      <c r="C1021" s="70" t="s">
        <v>4</v>
      </c>
    </row>
    <row r="1022" spans="1:3">
      <c r="A1022" t="s">
        <v>2311</v>
      </c>
      <c r="B1022">
        <v>1</v>
      </c>
      <c r="C1022" s="70" t="s">
        <v>4</v>
      </c>
    </row>
    <row r="1023" spans="1:3">
      <c r="A1023" t="s">
        <v>2281</v>
      </c>
      <c r="B1023">
        <v>18</v>
      </c>
      <c r="C1023" s="70" t="s">
        <v>4</v>
      </c>
    </row>
    <row r="1024" spans="1:3">
      <c r="A1024" t="s">
        <v>2378</v>
      </c>
      <c r="B1024">
        <v>18</v>
      </c>
      <c r="C1024" s="70" t="s">
        <v>4</v>
      </c>
    </row>
    <row r="1025" spans="1:3">
      <c r="A1025" t="s">
        <v>2344</v>
      </c>
      <c r="B1025">
        <v>6</v>
      </c>
      <c r="C1025" s="70" t="s">
        <v>4</v>
      </c>
    </row>
    <row r="1026" spans="1:3">
      <c r="A1026" t="s">
        <v>2348</v>
      </c>
      <c r="B1026">
        <v>3</v>
      </c>
      <c r="C1026" s="70" t="s">
        <v>4</v>
      </c>
    </row>
    <row r="1027" spans="1:3">
      <c r="A1027" t="s">
        <v>2313</v>
      </c>
      <c r="B1027">
        <v>1</v>
      </c>
      <c r="C1027" s="70" t="s">
        <v>4</v>
      </c>
    </row>
    <row r="1028" spans="1:3">
      <c r="A1028" t="s">
        <v>2379</v>
      </c>
      <c r="B1028">
        <v>2</v>
      </c>
      <c r="C1028" s="70" t="s">
        <v>4</v>
      </c>
    </row>
    <row r="1029" spans="1:3">
      <c r="A1029" t="s">
        <v>2384</v>
      </c>
      <c r="B1029">
        <v>2</v>
      </c>
      <c r="C1029" s="70" t="s">
        <v>4</v>
      </c>
    </row>
    <row r="1030" spans="1:3">
      <c r="A1030" t="s">
        <v>2389</v>
      </c>
      <c r="B1030">
        <v>1</v>
      </c>
      <c r="C1030" s="70" t="s">
        <v>4</v>
      </c>
    </row>
    <row r="1031" spans="1:3">
      <c r="A1031" t="s">
        <v>2388</v>
      </c>
      <c r="B1031">
        <v>1</v>
      </c>
      <c r="C1031" s="70" t="s">
        <v>4</v>
      </c>
    </row>
    <row r="1032" spans="1:3">
      <c r="A1032" t="s">
        <v>2414</v>
      </c>
      <c r="B1032">
        <v>4</v>
      </c>
      <c r="C1032" s="70" t="s">
        <v>4</v>
      </c>
    </row>
    <row r="1033" spans="1:3">
      <c r="A1033" t="s">
        <v>2403</v>
      </c>
      <c r="B1033">
        <v>1</v>
      </c>
      <c r="C1033" s="70" t="s">
        <v>4</v>
      </c>
    </row>
    <row r="1034" spans="1:3">
      <c r="A1034" t="s">
        <v>2401</v>
      </c>
      <c r="B1034">
        <v>1</v>
      </c>
      <c r="C1034" s="70" t="s">
        <v>4</v>
      </c>
    </row>
    <row r="1035" spans="1:3">
      <c r="A1035" t="s">
        <v>2420</v>
      </c>
      <c r="B1035">
        <v>9</v>
      </c>
      <c r="C1035" s="70" t="s">
        <v>4</v>
      </c>
    </row>
    <row r="1036" spans="1:3">
      <c r="A1036" t="s">
        <v>2435</v>
      </c>
      <c r="B1036">
        <v>1</v>
      </c>
      <c r="C1036" s="70" t="s">
        <v>4</v>
      </c>
    </row>
    <row r="1037" spans="1:3">
      <c r="A1037" s="74" t="s">
        <v>2446</v>
      </c>
      <c r="B1037" s="74">
        <v>1</v>
      </c>
      <c r="C1037" s="74" t="s">
        <v>4</v>
      </c>
    </row>
    <row r="1038" spans="1:3">
      <c r="A1038" t="s">
        <v>2439</v>
      </c>
      <c r="B1038">
        <v>1</v>
      </c>
      <c r="C1038" s="74" t="s">
        <v>4</v>
      </c>
    </row>
    <row r="1039" spans="1:3">
      <c r="A1039" t="s">
        <v>2396</v>
      </c>
      <c r="B1039">
        <v>4</v>
      </c>
      <c r="C1039" s="74" t="s">
        <v>4</v>
      </c>
    </row>
    <row r="1040" spans="1:3">
      <c r="A1040" t="s">
        <v>2464</v>
      </c>
      <c r="B1040">
        <v>1</v>
      </c>
      <c r="C1040" s="74" t="s">
        <v>4</v>
      </c>
    </row>
    <row r="1041" spans="1:3">
      <c r="A1041" t="s">
        <v>2465</v>
      </c>
      <c r="B1041">
        <v>1</v>
      </c>
      <c r="C1041" s="74" t="s">
        <v>4</v>
      </c>
    </row>
    <row r="1042" spans="1:3">
      <c r="A1042" t="s">
        <v>2469</v>
      </c>
      <c r="B1042">
        <v>1</v>
      </c>
      <c r="C1042" s="74" t="s">
        <v>4</v>
      </c>
    </row>
    <row r="1043" spans="1:3">
      <c r="A1043" t="s">
        <v>2471</v>
      </c>
      <c r="B1043">
        <v>1</v>
      </c>
      <c r="C1043" s="74" t="s">
        <v>4</v>
      </c>
    </row>
    <row r="1044" spans="1:3">
      <c r="A1044" t="s">
        <v>2307</v>
      </c>
      <c r="B1044">
        <v>1</v>
      </c>
      <c r="C1044" s="74" t="s">
        <v>4</v>
      </c>
    </row>
    <row r="1045" spans="1:3">
      <c r="A1045" t="s">
        <v>2459</v>
      </c>
      <c r="B1045">
        <v>11</v>
      </c>
      <c r="C1045" s="74" t="s">
        <v>4</v>
      </c>
    </row>
    <row r="1046" spans="1:3">
      <c r="A1046" t="s">
        <v>2460</v>
      </c>
      <c r="B1046">
        <v>2</v>
      </c>
      <c r="C1046" s="74" t="s">
        <v>4</v>
      </c>
    </row>
    <row r="1047" spans="1:3">
      <c r="A1047" t="s">
        <v>2475</v>
      </c>
      <c r="B1047">
        <v>1</v>
      </c>
      <c r="C1047" s="74" t="s">
        <v>4</v>
      </c>
    </row>
    <row r="1048" spans="1:3">
      <c r="A1048" t="s">
        <v>2441</v>
      </c>
      <c r="B1048">
        <v>1</v>
      </c>
      <c r="C1048" s="74" t="s">
        <v>4</v>
      </c>
    </row>
    <row r="1049" spans="1:3">
      <c r="A1049" t="s">
        <v>2488</v>
      </c>
      <c r="B1049">
        <v>3</v>
      </c>
      <c r="C1049" s="74" t="s">
        <v>4</v>
      </c>
    </row>
    <row r="1050" spans="1:3">
      <c r="A1050" t="s">
        <v>2478</v>
      </c>
      <c r="B1050">
        <v>4</v>
      </c>
      <c r="C1050" s="74" t="s">
        <v>4</v>
      </c>
    </row>
    <row r="1051" spans="1:3">
      <c r="A1051" t="s">
        <v>2497</v>
      </c>
      <c r="B1051">
        <v>4</v>
      </c>
      <c r="C1051" s="74" t="s">
        <v>4</v>
      </c>
    </row>
    <row r="1052" spans="1:3">
      <c r="A1052" t="s">
        <v>2525</v>
      </c>
      <c r="B1052">
        <v>10</v>
      </c>
      <c r="C1052" s="74" t="s">
        <v>4</v>
      </c>
    </row>
    <row r="1053" spans="1:3">
      <c r="A1053" t="s">
        <v>2523</v>
      </c>
      <c r="B1053">
        <v>8</v>
      </c>
      <c r="C1053" s="74" t="s">
        <v>4</v>
      </c>
    </row>
    <row r="1054" spans="1:3">
      <c r="A1054" t="s">
        <v>2510</v>
      </c>
      <c r="B1054">
        <v>2</v>
      </c>
      <c r="C1054" s="74" t="s">
        <v>4</v>
      </c>
    </row>
    <row r="1055" spans="1:3">
      <c r="A1055" t="s">
        <v>2507</v>
      </c>
      <c r="B1055">
        <v>1</v>
      </c>
      <c r="C1055" s="74" t="s">
        <v>4</v>
      </c>
    </row>
    <row r="1056" spans="1:3">
      <c r="A1056" t="s">
        <v>2498</v>
      </c>
      <c r="B1056">
        <v>6</v>
      </c>
      <c r="C1056" s="74" t="s">
        <v>4</v>
      </c>
    </row>
    <row r="1057" spans="1:3">
      <c r="A1057" t="s">
        <v>2556</v>
      </c>
      <c r="B1057">
        <v>2</v>
      </c>
      <c r="C1057" s="74" t="s">
        <v>4</v>
      </c>
    </row>
    <row r="1058" spans="1:3">
      <c r="A1058" t="s">
        <v>2554</v>
      </c>
      <c r="B1058">
        <v>1</v>
      </c>
      <c r="C1058" s="74" t="s">
        <v>4</v>
      </c>
    </row>
    <row r="1059" spans="1:3">
      <c r="A1059" t="s">
        <v>2553</v>
      </c>
      <c r="B1059">
        <v>1</v>
      </c>
      <c r="C1059" s="74" t="s">
        <v>4</v>
      </c>
    </row>
    <row r="1060" spans="1:3">
      <c r="A1060" t="s">
        <v>2550</v>
      </c>
      <c r="B1060">
        <v>1</v>
      </c>
      <c r="C1060" s="74" t="s">
        <v>4</v>
      </c>
    </row>
    <row r="1061" spans="1:3">
      <c r="A1061" t="s">
        <v>2547</v>
      </c>
      <c r="B1061">
        <v>1</v>
      </c>
      <c r="C1061" s="74" t="s">
        <v>4</v>
      </c>
    </row>
    <row r="1062" spans="1:3">
      <c r="A1062" t="s">
        <v>2544</v>
      </c>
      <c r="B1062">
        <v>1</v>
      </c>
      <c r="C1062" s="74" t="s">
        <v>4</v>
      </c>
    </row>
    <row r="1063" spans="1:3">
      <c r="A1063" t="s">
        <v>2541</v>
      </c>
      <c r="B1063">
        <v>1</v>
      </c>
      <c r="C1063" s="74" t="s">
        <v>4</v>
      </c>
    </row>
    <row r="1064" spans="1:3">
      <c r="A1064" t="s">
        <v>2562</v>
      </c>
      <c r="B1064">
        <v>1</v>
      </c>
      <c r="C1064" s="74" t="s">
        <v>4</v>
      </c>
    </row>
    <row r="1065" spans="1:3">
      <c r="A1065" t="s">
        <v>2333</v>
      </c>
      <c r="B1065">
        <v>19</v>
      </c>
      <c r="C1065" s="74" t="s">
        <v>4</v>
      </c>
    </row>
    <row r="1066" spans="1:3">
      <c r="A1066" t="s">
        <v>2602</v>
      </c>
      <c r="B1066">
        <v>1</v>
      </c>
      <c r="C1066" s="74" t="s">
        <v>4</v>
      </c>
    </row>
    <row r="1067" spans="1:3">
      <c r="A1067" t="s">
        <v>2573</v>
      </c>
      <c r="B1067">
        <v>1</v>
      </c>
      <c r="C1067" s="74" t="s">
        <v>4</v>
      </c>
    </row>
    <row r="1068" spans="1:3">
      <c r="A1068" t="s">
        <v>2568</v>
      </c>
      <c r="B1068">
        <v>1</v>
      </c>
      <c r="C1068" s="74" t="s">
        <v>4</v>
      </c>
    </row>
    <row r="1069" spans="1:3">
      <c r="A1069" t="s">
        <v>2566</v>
      </c>
      <c r="B1069">
        <v>1</v>
      </c>
      <c r="C1069" s="74" t="s">
        <v>4</v>
      </c>
    </row>
    <row r="1070" spans="1:3">
      <c r="A1070" t="s">
        <v>2564</v>
      </c>
      <c r="B1070">
        <v>1</v>
      </c>
      <c r="C1070" s="74" t="s">
        <v>4</v>
      </c>
    </row>
    <row r="1071" spans="1:3">
      <c r="A1071" t="s">
        <v>2571</v>
      </c>
      <c r="B1071">
        <v>8</v>
      </c>
      <c r="C1071" s="74" t="s">
        <v>4</v>
      </c>
    </row>
    <row r="1072" spans="1:3">
      <c r="A1072" t="s">
        <v>2594</v>
      </c>
      <c r="B1072">
        <v>3</v>
      </c>
      <c r="C1072" s="74" t="s">
        <v>4</v>
      </c>
    </row>
    <row r="1073" spans="1:3">
      <c r="A1073" t="s">
        <v>2584</v>
      </c>
      <c r="B1073">
        <v>4</v>
      </c>
      <c r="C1073" s="74" t="s">
        <v>4</v>
      </c>
    </row>
    <row r="1074" spans="1:3">
      <c r="A1074" t="s">
        <v>2583</v>
      </c>
      <c r="B1074">
        <v>4</v>
      </c>
      <c r="C1074" s="74" t="s">
        <v>4</v>
      </c>
    </row>
    <row r="1075" spans="1:3">
      <c r="A1075" t="s">
        <v>2577</v>
      </c>
      <c r="B1075">
        <v>1</v>
      </c>
      <c r="C1075" s="74" t="s">
        <v>4</v>
      </c>
    </row>
    <row r="1076" spans="1:3">
      <c r="A1076" t="s">
        <v>2595</v>
      </c>
      <c r="B1076">
        <v>1</v>
      </c>
      <c r="C1076" s="74" t="s">
        <v>4</v>
      </c>
    </row>
    <row r="1077" spans="1:3">
      <c r="A1077" t="s">
        <v>2608</v>
      </c>
      <c r="B1077">
        <v>5</v>
      </c>
      <c r="C1077" s="74" t="s">
        <v>4</v>
      </c>
    </row>
    <row r="1078" spans="1:3">
      <c r="A1078" t="s">
        <v>2604</v>
      </c>
      <c r="B1078">
        <v>2</v>
      </c>
      <c r="C1078" s="74" t="s">
        <v>4</v>
      </c>
    </row>
    <row r="1079" spans="1:3">
      <c r="A1079" t="s">
        <v>2619</v>
      </c>
      <c r="B1079">
        <v>1</v>
      </c>
      <c r="C1079" s="74" t="s">
        <v>4</v>
      </c>
    </row>
    <row r="1080" spans="1:3">
      <c r="A1080" t="s">
        <v>2621</v>
      </c>
      <c r="B1080">
        <v>2</v>
      </c>
      <c r="C1080" s="74" t="s">
        <v>4</v>
      </c>
    </row>
    <row r="1081" spans="1:3">
      <c r="A1081" t="s">
        <v>2633</v>
      </c>
      <c r="B1081">
        <v>29</v>
      </c>
      <c r="C1081" s="74" t="s">
        <v>4</v>
      </c>
    </row>
    <row r="1082" spans="1:3">
      <c r="A1082" t="s">
        <v>2626</v>
      </c>
      <c r="B1082">
        <v>2</v>
      </c>
      <c r="C1082" s="74" t="s">
        <v>4</v>
      </c>
    </row>
    <row r="1083" spans="1:3">
      <c r="A1083" s="74" t="s">
        <v>2673</v>
      </c>
      <c r="B1083" s="71">
        <v>3</v>
      </c>
      <c r="C1083" s="74" t="s">
        <v>4</v>
      </c>
    </row>
    <row r="1084" spans="1:3">
      <c r="A1084" t="s">
        <v>2622</v>
      </c>
      <c r="B1084">
        <v>2</v>
      </c>
      <c r="C1084" s="74" t="s">
        <v>4</v>
      </c>
    </row>
    <row r="1085" spans="1:3">
      <c r="A1085" t="s">
        <v>2670</v>
      </c>
      <c r="B1085">
        <v>1</v>
      </c>
      <c r="C1085" s="74" t="s">
        <v>4</v>
      </c>
    </row>
    <row r="1086" spans="1:3">
      <c r="A1086" t="s">
        <v>2674</v>
      </c>
      <c r="B1086">
        <v>1</v>
      </c>
      <c r="C1086" s="74" t="s">
        <v>4</v>
      </c>
    </row>
    <row r="1087" spans="1:3">
      <c r="A1087" t="s">
        <v>2667</v>
      </c>
      <c r="B1087">
        <v>1</v>
      </c>
      <c r="C1087" s="74" t="s">
        <v>4</v>
      </c>
    </row>
    <row r="1088" spans="1:3">
      <c r="A1088" t="s">
        <v>2663</v>
      </c>
      <c r="B1088">
        <v>2</v>
      </c>
      <c r="C1088" s="74" t="s">
        <v>4</v>
      </c>
    </row>
    <row r="1089" spans="1:3">
      <c r="A1089" t="s">
        <v>2675</v>
      </c>
      <c r="B1089">
        <v>1</v>
      </c>
      <c r="C1089" s="74" t="s">
        <v>4</v>
      </c>
    </row>
    <row r="1090" spans="1:3">
      <c r="A1090" t="s">
        <v>2661</v>
      </c>
      <c r="B1090">
        <v>1</v>
      </c>
      <c r="C1090" s="74" t="s">
        <v>4</v>
      </c>
    </row>
    <row r="1091" spans="1:3">
      <c r="A1091" t="s">
        <v>2676</v>
      </c>
      <c r="B1091">
        <v>1</v>
      </c>
      <c r="C1091" s="74" t="s">
        <v>4</v>
      </c>
    </row>
    <row r="1092" spans="1:3">
      <c r="A1092" t="s">
        <v>2692</v>
      </c>
      <c r="B1092">
        <v>2</v>
      </c>
      <c r="C1092" s="74" t="s">
        <v>4</v>
      </c>
    </row>
    <row r="1093" spans="1:3">
      <c r="A1093" t="s">
        <v>2688</v>
      </c>
      <c r="B1093">
        <v>1</v>
      </c>
      <c r="C1093" s="74" t="s">
        <v>4</v>
      </c>
    </row>
    <row r="1094" spans="1:3">
      <c r="A1094" t="s">
        <v>2711</v>
      </c>
      <c r="B1094">
        <v>15</v>
      </c>
      <c r="C1094" s="74" t="s">
        <v>4</v>
      </c>
    </row>
    <row r="1095" spans="1:3">
      <c r="A1095" t="s">
        <v>2715</v>
      </c>
      <c r="B1095">
        <v>52</v>
      </c>
      <c r="C1095" s="74" t="s">
        <v>4</v>
      </c>
    </row>
    <row r="1096" spans="1:3">
      <c r="A1096" t="s">
        <v>2795</v>
      </c>
      <c r="B1096">
        <v>2</v>
      </c>
      <c r="C1096" s="74" t="s">
        <v>4</v>
      </c>
    </row>
    <row r="1097" spans="1:3">
      <c r="A1097" t="s">
        <v>2789</v>
      </c>
      <c r="B1097">
        <v>1</v>
      </c>
      <c r="C1097" s="74" t="s">
        <v>4</v>
      </c>
    </row>
    <row r="1098" spans="1:3">
      <c r="A1098" t="s">
        <v>2780</v>
      </c>
      <c r="B1098">
        <v>8</v>
      </c>
      <c r="C1098" s="74" t="s">
        <v>4</v>
      </c>
    </row>
    <row r="1099" spans="1:3">
      <c r="A1099" t="s">
        <v>2801</v>
      </c>
      <c r="B1099">
        <v>10</v>
      </c>
      <c r="C1099" s="74" t="s">
        <v>4</v>
      </c>
    </row>
    <row r="1100" spans="1:3">
      <c r="A1100" t="s">
        <v>2820</v>
      </c>
      <c r="B1100">
        <v>1</v>
      </c>
      <c r="C1100" s="74" t="s">
        <v>4</v>
      </c>
    </row>
    <row r="1101" spans="1:3">
      <c r="A1101" t="s">
        <v>2800</v>
      </c>
      <c r="B1101">
        <v>1</v>
      </c>
      <c r="C1101" s="74" t="s">
        <v>4</v>
      </c>
    </row>
    <row r="1102" spans="1:3">
      <c r="A1102" t="s">
        <v>2796</v>
      </c>
      <c r="B1102">
        <v>1</v>
      </c>
      <c r="C1102" s="74" t="s">
        <v>4</v>
      </c>
    </row>
    <row r="1103" spans="1:3">
      <c r="A1103" t="s">
        <v>2830</v>
      </c>
      <c r="B1103">
        <v>3</v>
      </c>
      <c r="C1103" s="74" t="s">
        <v>4</v>
      </c>
    </row>
    <row r="1104" spans="1:3">
      <c r="A1104" t="s">
        <v>2827</v>
      </c>
      <c r="B1104">
        <v>4</v>
      </c>
      <c r="C1104" s="74" t="s">
        <v>4</v>
      </c>
    </row>
    <row r="1105" spans="1:3">
      <c r="A1105" t="s">
        <v>2852</v>
      </c>
      <c r="B1105">
        <v>1</v>
      </c>
      <c r="C1105" s="74" t="s">
        <v>4</v>
      </c>
    </row>
    <row r="1106" spans="1:3">
      <c r="A1106" t="s">
        <v>2844</v>
      </c>
      <c r="B1106">
        <v>1</v>
      </c>
      <c r="C1106" s="74" t="s">
        <v>4</v>
      </c>
    </row>
    <row r="1107" spans="1:3">
      <c r="A1107" t="s">
        <v>2832</v>
      </c>
      <c r="B1107">
        <v>7</v>
      </c>
      <c r="C1107" s="74" t="s">
        <v>4</v>
      </c>
    </row>
    <row r="1108" spans="1:3">
      <c r="A1108" t="s">
        <v>2847</v>
      </c>
      <c r="B1108">
        <v>4</v>
      </c>
      <c r="C1108" s="74" t="s">
        <v>4</v>
      </c>
    </row>
    <row r="1109" spans="1:3">
      <c r="A1109" t="s">
        <v>2856</v>
      </c>
      <c r="B1109">
        <v>1</v>
      </c>
      <c r="C1109" t="s">
        <v>4</v>
      </c>
    </row>
    <row r="1110" spans="1:3">
      <c r="A1110" t="s">
        <v>2858</v>
      </c>
      <c r="B1110">
        <v>5</v>
      </c>
      <c r="C1110" s="74" t="s">
        <v>4</v>
      </c>
    </row>
    <row r="1111" spans="1:3">
      <c r="A1111" t="s">
        <v>2867</v>
      </c>
      <c r="B1111">
        <v>1</v>
      </c>
      <c r="C1111" s="74" t="s">
        <v>4</v>
      </c>
    </row>
    <row r="1112" spans="1:3">
      <c r="A1112" t="s">
        <v>2869</v>
      </c>
      <c r="B1112">
        <v>1</v>
      </c>
      <c r="C1112" s="74" t="s">
        <v>4</v>
      </c>
    </row>
    <row r="1113" spans="1:3">
      <c r="A1113" t="s">
        <v>2885</v>
      </c>
      <c r="B1113">
        <v>8</v>
      </c>
      <c r="C1113" s="74" t="s">
        <v>4</v>
      </c>
    </row>
    <row r="1114" spans="1:3">
      <c r="A1114" t="s">
        <v>2872</v>
      </c>
      <c r="B1114">
        <v>1</v>
      </c>
      <c r="C1114" s="74" t="s">
        <v>4</v>
      </c>
    </row>
    <row r="1115" spans="1:3">
      <c r="A1115" t="s">
        <v>3014</v>
      </c>
      <c r="B1115">
        <v>1</v>
      </c>
      <c r="C1115" s="74" t="s">
        <v>4</v>
      </c>
    </row>
    <row r="1116" spans="1:3">
      <c r="A1116" t="s">
        <v>3022</v>
      </c>
      <c r="B1116">
        <v>1</v>
      </c>
      <c r="C1116" s="74" t="s">
        <v>4</v>
      </c>
    </row>
    <row r="1117" spans="1:3">
      <c r="A1117" t="s">
        <v>3019</v>
      </c>
      <c r="B1117">
        <v>1</v>
      </c>
      <c r="C1117" s="74" t="s">
        <v>4</v>
      </c>
    </row>
    <row r="1118" spans="1:3">
      <c r="A1118" t="s">
        <v>3016</v>
      </c>
      <c r="B1118">
        <v>2</v>
      </c>
      <c r="C1118" s="74" t="s">
        <v>4</v>
      </c>
    </row>
    <row r="1119" spans="1:3">
      <c r="A1119" t="s">
        <v>2888</v>
      </c>
      <c r="B1119">
        <v>1</v>
      </c>
      <c r="C1119" s="74" t="s">
        <v>4</v>
      </c>
    </row>
    <row r="1120" spans="1:3">
      <c r="A1120" t="s">
        <v>2896</v>
      </c>
      <c r="B1120">
        <v>4</v>
      </c>
      <c r="C1120" s="74" t="s">
        <v>4</v>
      </c>
    </row>
    <row r="1121" spans="1:3">
      <c r="A1121" t="s">
        <v>2897</v>
      </c>
      <c r="B1121">
        <v>2</v>
      </c>
      <c r="C1121" s="74" t="s">
        <v>4</v>
      </c>
    </row>
    <row r="1122" spans="1:3">
      <c r="A1122" t="s">
        <v>2899</v>
      </c>
      <c r="B1122">
        <v>1</v>
      </c>
      <c r="C1122" s="74" t="s">
        <v>4</v>
      </c>
    </row>
    <row r="1123" spans="1:3">
      <c r="A1123" t="s">
        <v>2901</v>
      </c>
      <c r="B1123">
        <v>101</v>
      </c>
      <c r="C1123" s="74" t="s">
        <v>4</v>
      </c>
    </row>
    <row r="1124" spans="1:3">
      <c r="A1124" t="s">
        <v>3084</v>
      </c>
      <c r="B1124">
        <v>17</v>
      </c>
      <c r="C1124" s="74" t="s">
        <v>4</v>
      </c>
    </row>
    <row r="1125" spans="1:3">
      <c r="A1125" t="s">
        <v>3085</v>
      </c>
      <c r="B1125">
        <v>1</v>
      </c>
      <c r="C1125" s="74" t="s">
        <v>4</v>
      </c>
    </row>
    <row r="1126" spans="1:3">
      <c r="A1126" t="s">
        <v>3066</v>
      </c>
      <c r="B1126">
        <v>36</v>
      </c>
      <c r="C1126" s="86" t="s">
        <v>4</v>
      </c>
    </row>
    <row r="1127" spans="1:3">
      <c r="A1127" t="s">
        <v>3086</v>
      </c>
      <c r="B1127">
        <v>78</v>
      </c>
      <c r="C1127" s="86" t="s">
        <v>4</v>
      </c>
    </row>
    <row r="1128" spans="1:3">
      <c r="A1128" t="s">
        <v>3183</v>
      </c>
      <c r="B1128">
        <v>2</v>
      </c>
      <c r="C1128" s="86" t="s">
        <v>4</v>
      </c>
    </row>
    <row r="1129" spans="1:3">
      <c r="A1129" t="s">
        <v>3189</v>
      </c>
      <c r="B1129">
        <v>1</v>
      </c>
      <c r="C1129" s="86" t="s">
        <v>4</v>
      </c>
    </row>
    <row r="1130" spans="1:3">
      <c r="A1130" t="s">
        <v>3192</v>
      </c>
      <c r="B1130">
        <v>20</v>
      </c>
      <c r="C1130" s="86" t="s">
        <v>4</v>
      </c>
    </row>
    <row r="1131" spans="1:3">
      <c r="A1131" t="s">
        <v>3256</v>
      </c>
      <c r="B1131">
        <v>2</v>
      </c>
      <c r="C1131" s="86" t="s">
        <v>4</v>
      </c>
    </row>
    <row r="1132" spans="1:3">
      <c r="A1132" t="s">
        <v>3229</v>
      </c>
      <c r="B1132">
        <v>19</v>
      </c>
      <c r="C1132" s="86" t="s">
        <v>4</v>
      </c>
    </row>
    <row r="1133" spans="1:3">
      <c r="A1133" t="s">
        <v>3202</v>
      </c>
      <c r="B1133">
        <v>23</v>
      </c>
      <c r="C1133" s="86" t="s">
        <v>4</v>
      </c>
    </row>
    <row r="1134" spans="1:3">
      <c r="A1134" t="s">
        <v>3268</v>
      </c>
      <c r="B1134">
        <v>11</v>
      </c>
      <c r="C1134" s="86" t="s">
        <v>4</v>
      </c>
    </row>
    <row r="1135" spans="1:3">
      <c r="A1135" t="s">
        <v>3261</v>
      </c>
      <c r="B1135">
        <v>3</v>
      </c>
      <c r="C1135" s="86" t="s">
        <v>4</v>
      </c>
    </row>
    <row r="1136" spans="1:3">
      <c r="A1136" t="s">
        <v>3290</v>
      </c>
      <c r="B1136">
        <v>1</v>
      </c>
      <c r="C1136" s="86" t="s">
        <v>4</v>
      </c>
    </row>
    <row r="1137" spans="1:3">
      <c r="A1137" t="s">
        <v>3293</v>
      </c>
      <c r="B1137">
        <v>1</v>
      </c>
      <c r="C1137" s="86" t="s">
        <v>4</v>
      </c>
    </row>
    <row r="1138" spans="1:3">
      <c r="A1138" t="s">
        <v>3327</v>
      </c>
      <c r="B1138">
        <v>28</v>
      </c>
      <c r="C1138" s="86" t="s">
        <v>4</v>
      </c>
    </row>
    <row r="1139" spans="1:3">
      <c r="A1139" t="s">
        <v>3328</v>
      </c>
      <c r="B1139">
        <v>1</v>
      </c>
      <c r="C1139" s="86" t="s">
        <v>4</v>
      </c>
    </row>
    <row r="1140" spans="1:3">
      <c r="A1140" t="s">
        <v>3298</v>
      </c>
      <c r="B1140">
        <v>1</v>
      </c>
      <c r="C1140" s="91" t="s">
        <v>4</v>
      </c>
    </row>
    <row r="1141" spans="1:3">
      <c r="A1141" t="s">
        <v>3346</v>
      </c>
      <c r="B1141">
        <v>3</v>
      </c>
      <c r="C1141" s="91" t="s">
        <v>4</v>
      </c>
    </row>
    <row r="1142" spans="1:3">
      <c r="A1142" t="s">
        <v>3356</v>
      </c>
      <c r="B1142">
        <v>1</v>
      </c>
      <c r="C1142" s="91" t="s">
        <v>4</v>
      </c>
    </row>
    <row r="1143" spans="1:3">
      <c r="A1143" t="s">
        <v>3358</v>
      </c>
      <c r="B1143">
        <v>4</v>
      </c>
      <c r="C1143" s="91" t="s">
        <v>4</v>
      </c>
    </row>
    <row r="1144" spans="1:3">
      <c r="A1144" t="s">
        <v>3332</v>
      </c>
      <c r="B1144">
        <v>1</v>
      </c>
      <c r="C1144" s="91" t="s">
        <v>4</v>
      </c>
    </row>
    <row r="1145" spans="1:3">
      <c r="A1145" t="s">
        <v>3333</v>
      </c>
      <c r="B1145">
        <v>10</v>
      </c>
      <c r="C1145" s="91" t="s">
        <v>4</v>
      </c>
    </row>
    <row r="1146" spans="1:3">
      <c r="A1146" t="s">
        <v>3369</v>
      </c>
      <c r="B1146">
        <v>2</v>
      </c>
      <c r="C1146" s="91" t="s">
        <v>4</v>
      </c>
    </row>
    <row r="1147" spans="1:3">
      <c r="A1147" t="s">
        <v>3375</v>
      </c>
      <c r="B1147">
        <v>1</v>
      </c>
      <c r="C1147" s="91" t="s">
        <v>4</v>
      </c>
    </row>
    <row r="1148" spans="1:3">
      <c r="A1148" t="s">
        <v>3385</v>
      </c>
      <c r="B1148">
        <v>9</v>
      </c>
      <c r="C1148" s="91" t="s">
        <v>4</v>
      </c>
    </row>
    <row r="1149" spans="1:3">
      <c r="A1149" t="s">
        <v>3396</v>
      </c>
      <c r="B1149">
        <v>55</v>
      </c>
      <c r="C1149" s="91" t="s">
        <v>4</v>
      </c>
    </row>
    <row r="1150" spans="1:3">
      <c r="A1150" t="s">
        <v>3404</v>
      </c>
      <c r="B1150">
        <v>1</v>
      </c>
      <c r="C1150" s="91" t="s">
        <v>4</v>
      </c>
    </row>
    <row r="1151" spans="1:3">
      <c r="A1151" t="s">
        <v>3381</v>
      </c>
      <c r="B1151">
        <v>2</v>
      </c>
      <c r="C1151" s="91" t="s">
        <v>4</v>
      </c>
    </row>
    <row r="1152" spans="1:3">
      <c r="A1152" t="s">
        <v>3376</v>
      </c>
      <c r="B1152">
        <v>1</v>
      </c>
      <c r="C1152" s="91" t="s">
        <v>4</v>
      </c>
    </row>
    <row r="1153" spans="1:3">
      <c r="A1153" t="s">
        <v>3405</v>
      </c>
      <c r="B1153">
        <v>112</v>
      </c>
      <c r="C1153" s="91" t="s">
        <v>4</v>
      </c>
    </row>
    <row r="1154" spans="1:3">
      <c r="A1154" t="s">
        <v>3548</v>
      </c>
      <c r="B1154">
        <v>7</v>
      </c>
      <c r="C1154" s="91" t="s">
        <v>4</v>
      </c>
    </row>
    <row r="1155" spans="1:3">
      <c r="A1155" t="s">
        <v>3560</v>
      </c>
      <c r="B1155">
        <v>8</v>
      </c>
      <c r="C1155" s="91" t="s">
        <v>4</v>
      </c>
    </row>
    <row r="1156" spans="1:3">
      <c r="A1156" t="s">
        <v>3569</v>
      </c>
      <c r="B1156">
        <v>5</v>
      </c>
      <c r="C1156" s="91" t="s">
        <v>4</v>
      </c>
    </row>
    <row r="1157" spans="1:3">
      <c r="A1157" t="s">
        <v>3576</v>
      </c>
      <c r="B1157">
        <v>14</v>
      </c>
      <c r="C1157" s="91" t="s">
        <v>4</v>
      </c>
    </row>
    <row r="1158" spans="1:3">
      <c r="A1158" t="s">
        <v>3600</v>
      </c>
      <c r="B1158">
        <v>3</v>
      </c>
      <c r="C1158" s="91" t="s">
        <v>4</v>
      </c>
    </row>
    <row r="1159" spans="1:3">
      <c r="A1159" t="s">
        <v>3348</v>
      </c>
      <c r="B1159">
        <v>6</v>
      </c>
      <c r="C1159" s="91" t="s">
        <v>4</v>
      </c>
    </row>
    <row r="1160" spans="1:3">
      <c r="A1160" t="s">
        <v>3621</v>
      </c>
      <c r="B1160">
        <v>1</v>
      </c>
      <c r="C1160" s="95" t="s">
        <v>4</v>
      </c>
    </row>
    <row r="1161" spans="1:3">
      <c r="A1161" t="s">
        <v>3601</v>
      </c>
      <c r="B1161">
        <v>6</v>
      </c>
      <c r="C1161" s="95" t="s">
        <v>4</v>
      </c>
    </row>
    <row r="1162" spans="1:3">
      <c r="A1162" t="s">
        <v>3625</v>
      </c>
      <c r="B1162">
        <v>2</v>
      </c>
      <c r="C1162" s="95" t="s">
        <v>4</v>
      </c>
    </row>
    <row r="1163" spans="1:3">
      <c r="A1163" t="s">
        <v>3609</v>
      </c>
      <c r="B1163">
        <v>5</v>
      </c>
      <c r="C1163" s="95" t="s">
        <v>4</v>
      </c>
    </row>
    <row r="1164" spans="1:3">
      <c r="A1164" t="s">
        <v>3620</v>
      </c>
      <c r="B1164">
        <v>1</v>
      </c>
      <c r="C1164" s="95" t="s">
        <v>4</v>
      </c>
    </row>
    <row r="1165" spans="1:3">
      <c r="A1165" t="s">
        <v>3628</v>
      </c>
      <c r="B1165">
        <v>6</v>
      </c>
      <c r="C1165" s="95" t="s">
        <v>4</v>
      </c>
    </row>
    <row r="1166" spans="1:3">
      <c r="A1166" t="s">
        <v>3639</v>
      </c>
      <c r="B1166">
        <v>1</v>
      </c>
      <c r="C1166" s="95" t="s">
        <v>4</v>
      </c>
    </row>
    <row r="1167" spans="1:3">
      <c r="A1167" t="s">
        <v>3641</v>
      </c>
      <c r="B1167">
        <v>98</v>
      </c>
      <c r="C1167" s="95" t="s">
        <v>4</v>
      </c>
    </row>
    <row r="1168" spans="1:3">
      <c r="A1168" t="s">
        <v>3748</v>
      </c>
      <c r="B1168">
        <v>319</v>
      </c>
      <c r="C1168" s="95" t="s">
        <v>4</v>
      </c>
    </row>
    <row r="1169" spans="1:3">
      <c r="A1169" t="s">
        <v>4075</v>
      </c>
      <c r="B1169">
        <v>1</v>
      </c>
      <c r="C1169" s="95" t="s">
        <v>4</v>
      </c>
    </row>
    <row r="1170" spans="1:3">
      <c r="A1170" t="s">
        <v>4077</v>
      </c>
      <c r="B1170">
        <v>5</v>
      </c>
      <c r="C1170" s="95" t="s">
        <v>4</v>
      </c>
    </row>
    <row r="1171" spans="1:3">
      <c r="A1171" t="s">
        <v>4084</v>
      </c>
      <c r="B1171">
        <v>7</v>
      </c>
      <c r="C1171" s="95" t="s">
        <v>4</v>
      </c>
    </row>
    <row r="1172" spans="1:3">
      <c r="A1172" t="s">
        <v>4093</v>
      </c>
      <c r="B1172">
        <v>1</v>
      </c>
      <c r="C1172" s="99" t="s">
        <v>4</v>
      </c>
    </row>
    <row r="1173" spans="1:3">
      <c r="A1173" t="s">
        <v>4098</v>
      </c>
      <c r="B1173">
        <v>1</v>
      </c>
      <c r="C1173" s="99" t="s">
        <v>4</v>
      </c>
    </row>
    <row r="1174" spans="1:3">
      <c r="A1174" t="s">
        <v>4116</v>
      </c>
      <c r="B1174">
        <v>8</v>
      </c>
      <c r="C1174" s="105" t="s">
        <v>4</v>
      </c>
    </row>
    <row r="1175" spans="1:3">
      <c r="A1175" t="s">
        <v>4119</v>
      </c>
      <c r="B1175">
        <v>1</v>
      </c>
      <c r="C1175" s="105" t="s">
        <v>4</v>
      </c>
    </row>
    <row r="1176" spans="1:3">
      <c r="A1176" t="s">
        <v>4124</v>
      </c>
      <c r="B1176">
        <v>1</v>
      </c>
      <c r="C1176" s="105" t="s">
        <v>4</v>
      </c>
    </row>
    <row r="1177" spans="1:3">
      <c r="A1177" t="s">
        <v>4099</v>
      </c>
      <c r="B1177">
        <v>1</v>
      </c>
      <c r="C1177" s="105" t="s">
        <v>4</v>
      </c>
    </row>
    <row r="1178" spans="1:3">
      <c r="A1178" t="s">
        <v>4104</v>
      </c>
      <c r="B1178">
        <v>2</v>
      </c>
      <c r="C1178" s="105" t="s">
        <v>4</v>
      </c>
    </row>
    <row r="1179" spans="1:3">
      <c r="A1179" t="s">
        <v>4120</v>
      </c>
      <c r="B1179">
        <v>2</v>
      </c>
      <c r="C1179" s="105" t="s">
        <v>4</v>
      </c>
    </row>
    <row r="1180" spans="1:3">
      <c r="A1180" t="s">
        <v>4134</v>
      </c>
      <c r="B1180">
        <v>7</v>
      </c>
      <c r="C1180" s="105" t="s">
        <v>4</v>
      </c>
    </row>
    <row r="1181" spans="1:3">
      <c r="A1181" t="s">
        <v>3292</v>
      </c>
      <c r="B1181">
        <v>4</v>
      </c>
      <c r="C1181" s="105" t="s">
        <v>4</v>
      </c>
    </row>
    <row r="1182" spans="1:3">
      <c r="A1182" t="s">
        <v>4140</v>
      </c>
      <c r="B1182">
        <v>35</v>
      </c>
      <c r="C1182" s="105" t="s">
        <v>4</v>
      </c>
    </row>
    <row r="1183" spans="1:3">
      <c r="A1183" t="s">
        <v>4181</v>
      </c>
      <c r="B1183">
        <v>1</v>
      </c>
      <c r="C1183" s="105" t="s">
        <v>4</v>
      </c>
    </row>
    <row r="1184" spans="1:3">
      <c r="A1184" t="s">
        <v>4188</v>
      </c>
      <c r="B1184">
        <v>5</v>
      </c>
      <c r="C1184" s="105" t="s">
        <v>4</v>
      </c>
    </row>
    <row r="1185" spans="1:3">
      <c r="A1185" t="s">
        <v>4189</v>
      </c>
      <c r="B1185">
        <v>82</v>
      </c>
      <c r="C1185" s="105" t="s">
        <v>4</v>
      </c>
    </row>
    <row r="1186" spans="1:3">
      <c r="A1186" t="s">
        <v>4288</v>
      </c>
      <c r="B1186">
        <v>14</v>
      </c>
      <c r="C1186" s="105" t="s">
        <v>4</v>
      </c>
    </row>
    <row r="1187" spans="1:3">
      <c r="A1187" t="s">
        <v>4291</v>
      </c>
      <c r="B1187">
        <v>1</v>
      </c>
      <c r="C1187" s="105" t="s">
        <v>4</v>
      </c>
    </row>
    <row r="1188" spans="1:3">
      <c r="A1188" t="s">
        <v>4294</v>
      </c>
      <c r="B1188">
        <v>1</v>
      </c>
      <c r="C1188" s="105" t="s">
        <v>4</v>
      </c>
    </row>
    <row r="1189" spans="1:3">
      <c r="A1189" t="s">
        <v>4295</v>
      </c>
      <c r="B1189">
        <v>1</v>
      </c>
      <c r="C1189" s="105" t="s">
        <v>4</v>
      </c>
    </row>
    <row r="1190" spans="1:3">
      <c r="A1190" t="s">
        <v>4307</v>
      </c>
      <c r="B1190">
        <v>2</v>
      </c>
      <c r="C1190" s="105" t="s">
        <v>4</v>
      </c>
    </row>
    <row r="1191" spans="1:3">
      <c r="A1191" t="s">
        <v>4332</v>
      </c>
      <c r="B1191">
        <v>2</v>
      </c>
      <c r="C1191" s="105" t="s">
        <v>4</v>
      </c>
    </row>
    <row r="1192" spans="1:3">
      <c r="A1192" t="s">
        <v>4316</v>
      </c>
      <c r="B1192">
        <v>9</v>
      </c>
      <c r="C1192" s="105" t="s">
        <v>4</v>
      </c>
    </row>
  </sheetData>
  <conditionalFormatting sqref="A2:A545 A548:A568 A570:A1036 A1038:A1048576">
    <cfRule type="duplicateValues" dxfId="10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2487"/>
  <sheetViews>
    <sheetView zoomScale="85" zoomScaleNormal="85" workbookViewId="0">
      <selection activeCell="E2437" sqref="E2437"/>
    </sheetView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45.7109375" customWidth="1"/>
    <col min="5" max="5" width="23.7109375" customWidth="1"/>
    <col min="6" max="6" width="27.85546875" bestFit="1" customWidth="1"/>
    <col min="7" max="7" width="14.85546875" customWidth="1"/>
    <col min="8" max="8" width="12.42578125" customWidth="1" outlineLevel="1"/>
    <col min="9" max="9" width="45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73" customWidth="1" outlineLevel="1"/>
    <col min="14" max="14" width="14.85546875" style="73" customWidth="1" outlineLevel="1"/>
    <col min="15" max="15" width="13.42578125" style="73" customWidth="1" outlineLevel="1"/>
    <col min="16" max="16" width="9.140625" customWidth="1" outlineLevel="1"/>
    <col min="17" max="17" width="11.140625" style="3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19">
      <c r="A1" t="s">
        <v>382</v>
      </c>
      <c r="B1" t="s">
        <v>365</v>
      </c>
      <c r="C1" t="s">
        <v>2</v>
      </c>
      <c r="D1" t="s">
        <v>697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3" t="s">
        <v>391</v>
      </c>
      <c r="N1" s="73" t="s">
        <v>392</v>
      </c>
      <c r="O1" s="73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 hidden="1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F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1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3">
        <v>45170</v>
      </c>
      <c r="N2" s="73">
        <v>45170</v>
      </c>
      <c r="O2" s="73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 hidden="1">
      <c r="A3" t="s">
        <v>3</v>
      </c>
      <c r="B3" s="38" t="str">
        <f>IFERROR(VLOOKUP(Proc[[#This Row],[App]],Table2[],3,0),"open")</f>
        <v>ok</v>
      </c>
      <c r="C3" t="s">
        <v>403</v>
      </c>
      <c r="E3" t="s">
        <v>399</v>
      </c>
      <c r="F3" s="105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1</v>
      </c>
      <c r="K3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3">
        <v>45170</v>
      </c>
      <c r="N3" s="73">
        <v>45170</v>
      </c>
      <c r="O3" s="73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 hidden="1">
      <c r="A4" t="s">
        <v>3</v>
      </c>
      <c r="B4" s="38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3">
        <v>45170</v>
      </c>
      <c r="N4" s="73">
        <v>45170</v>
      </c>
      <c r="O4" s="73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 hidden="1">
      <c r="A5" t="s">
        <v>3</v>
      </c>
      <c r="B5" s="38" t="str">
        <f>IFERROR(VLOOKUP(Proc[[#This Row],[App]],Table2[],3,0),"open")</f>
        <v>ok</v>
      </c>
      <c r="C5" t="s">
        <v>404</v>
      </c>
      <c r="E5" t="s">
        <v>399</v>
      </c>
      <c r="F5" s="105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1</v>
      </c>
      <c r="K5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3">
        <v>45170</v>
      </c>
      <c r="N5" s="73">
        <v>45170</v>
      </c>
      <c r="O5" s="73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 hidden="1">
      <c r="A6" t="s">
        <v>3</v>
      </c>
      <c r="B6" s="38" t="str">
        <f>IFERROR(VLOOKUP(Proc[[#This Row],[App]],Table2[],3,0),"open")</f>
        <v>ok</v>
      </c>
      <c r="C6" t="s">
        <v>377</v>
      </c>
      <c r="E6" t="s">
        <v>399</v>
      </c>
      <c r="F6" s="105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1</v>
      </c>
      <c r="K6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3">
        <v>45170</v>
      </c>
      <c r="N6" s="73">
        <v>45170</v>
      </c>
      <c r="O6" s="73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 hidden="1">
      <c r="A7" t="s">
        <v>3</v>
      </c>
      <c r="B7" s="38" t="str">
        <f>IFERROR(VLOOKUP(Proc[[#This Row],[App]],Table2[],3,0),"open")</f>
        <v>ok</v>
      </c>
      <c r="C7" t="s">
        <v>370</v>
      </c>
      <c r="E7" t="s">
        <v>399</v>
      </c>
      <c r="F7" s="105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1</v>
      </c>
      <c r="K7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3">
        <v>45170</v>
      </c>
      <c r="N7" s="73">
        <v>45170</v>
      </c>
      <c r="O7" s="73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 hidden="1">
      <c r="A8" t="s">
        <v>3</v>
      </c>
      <c r="B8" s="38" t="str">
        <f>IFERROR(VLOOKUP(Proc[[#This Row],[App]],Table2[],3,0),"open")</f>
        <v>ok</v>
      </c>
      <c r="C8" t="s">
        <v>375</v>
      </c>
      <c r="E8" t="s">
        <v>399</v>
      </c>
      <c r="F8" s="105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1</v>
      </c>
      <c r="K8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3">
        <v>45170</v>
      </c>
      <c r="N8" s="73">
        <v>45170</v>
      </c>
      <c r="O8" s="73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 hidden="1">
      <c r="A9" t="s">
        <v>3</v>
      </c>
      <c r="B9" s="38" t="str">
        <f>IFERROR(VLOOKUP(Proc[[#This Row],[App]],Table2[],3,0),"open")</f>
        <v>ok</v>
      </c>
      <c r="C9" t="s">
        <v>405</v>
      </c>
      <c r="E9" t="s">
        <v>399</v>
      </c>
      <c r="F9" s="105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1</v>
      </c>
      <c r="K9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3">
        <v>45170</v>
      </c>
      <c r="N9" s="73">
        <v>45170</v>
      </c>
      <c r="O9" s="73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 hidden="1">
      <c r="A10" s="22" t="s">
        <v>3</v>
      </c>
      <c r="B10" s="38" t="str">
        <f>IFERROR(VLOOKUP(Proc[[#This Row],[App]],Table2[],3,0),"open")</f>
        <v>ok</v>
      </c>
      <c r="C10" s="22" t="s">
        <v>692</v>
      </c>
      <c r="E10" s="22" t="s">
        <v>399</v>
      </c>
      <c r="F10" s="105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1</v>
      </c>
      <c r="K10" s="22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3">
        <v>45170</v>
      </c>
      <c r="N10" s="73">
        <v>45170</v>
      </c>
      <c r="O10" s="73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 hidden="1">
      <c r="A11" t="s">
        <v>1289</v>
      </c>
      <c r="B11" s="60" t="str">
        <f>IFERROR(VLOOKUP(Proc[[#This Row],[App]],Table2[],3,0),"open")</f>
        <v>ok</v>
      </c>
      <c r="C11" s="62" t="s">
        <v>369</v>
      </c>
      <c r="D11" t="s">
        <v>1288</v>
      </c>
      <c r="E11" t="s">
        <v>1249</v>
      </c>
      <c r="F11" s="105" t="s">
        <v>1249</v>
      </c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1</v>
      </c>
      <c r="K11" s="60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3">
        <v>45644.604386574072</v>
      </c>
      <c r="N11" s="73">
        <v>45646</v>
      </c>
      <c r="O11" s="73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549</v>
      </c>
      <c r="S11" s="60"/>
    </row>
    <row r="12" spans="1:19" hidden="1">
      <c r="A12" s="62" t="s">
        <v>1287</v>
      </c>
      <c r="B12" s="60" t="str">
        <f>IFERROR(VLOOKUP(Proc[[#This Row],[App]],Table2[],3,0),"open")</f>
        <v>ok</v>
      </c>
      <c r="C12" s="62" t="s">
        <v>369</v>
      </c>
      <c r="D12" t="s">
        <v>1282</v>
      </c>
      <c r="E12" t="s">
        <v>2416</v>
      </c>
      <c r="F12" s="105" t="s">
        <v>2416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1</v>
      </c>
      <c r="K12" s="60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3">
        <v>45645.37572916667</v>
      </c>
      <c r="N12" s="73">
        <v>45646</v>
      </c>
      <c r="O12" s="73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515</v>
      </c>
      <c r="S12" s="60"/>
    </row>
    <row r="13" spans="1:19" hidden="1">
      <c r="A13" s="62" t="s">
        <v>1287</v>
      </c>
      <c r="B13" s="60" t="str">
        <f>IFERROR(VLOOKUP(Proc[[#This Row],[App]],Table2[],3,0),"open")</f>
        <v>ok</v>
      </c>
      <c r="C13" s="62" t="s">
        <v>369</v>
      </c>
      <c r="D13" t="s">
        <v>1283</v>
      </c>
      <c r="E13" t="s">
        <v>784</v>
      </c>
      <c r="F13" s="105" t="s">
        <v>784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1</v>
      </c>
      <c r="K13" s="60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3">
        <v>45645.37572916667</v>
      </c>
      <c r="N13" s="73">
        <v>45646</v>
      </c>
      <c r="O13" s="73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515</v>
      </c>
      <c r="S13" s="60"/>
    </row>
    <row r="14" spans="1:19" hidden="1">
      <c r="A14" s="62" t="s">
        <v>1287</v>
      </c>
      <c r="B14" s="60" t="str">
        <f>IFERROR(VLOOKUP(Proc[[#This Row],[App]],Table2[],3,0),"open")</f>
        <v>ok</v>
      </c>
      <c r="C14" s="62" t="s">
        <v>369</v>
      </c>
      <c r="D14" t="s">
        <v>1284</v>
      </c>
      <c r="E14" t="s">
        <v>413</v>
      </c>
      <c r="F14" s="105" t="s">
        <v>413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1</v>
      </c>
      <c r="K14" s="60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3">
        <v>45645.37572916667</v>
      </c>
      <c r="N14" s="73">
        <v>45646</v>
      </c>
      <c r="O14" s="73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515</v>
      </c>
      <c r="S14" s="60"/>
    </row>
    <row r="15" spans="1:19" hidden="1">
      <c r="A15" s="62" t="s">
        <v>1287</v>
      </c>
      <c r="B15" s="60" t="str">
        <f>IFERROR(VLOOKUP(Proc[[#This Row],[App]],Table2[],3,0),"open")</f>
        <v>ok</v>
      </c>
      <c r="C15" s="62" t="s">
        <v>369</v>
      </c>
      <c r="D15" t="s">
        <v>1285</v>
      </c>
      <c r="E15" t="s">
        <v>413</v>
      </c>
      <c r="F15" s="105" t="s">
        <v>413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1</v>
      </c>
      <c r="K15" s="60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3">
        <v>45645.37572916667</v>
      </c>
      <c r="N15" s="73">
        <v>45646</v>
      </c>
      <c r="O15" s="73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515</v>
      </c>
      <c r="S15" s="60"/>
    </row>
    <row r="16" spans="1:19" hidden="1">
      <c r="A16" t="s">
        <v>1287</v>
      </c>
      <c r="B16" s="60" t="str">
        <f>IFERROR(VLOOKUP(Proc[[#This Row],[App]],Table2[],3,0),"open")</f>
        <v>ok</v>
      </c>
      <c r="C16" s="62" t="s">
        <v>369</v>
      </c>
      <c r="D16" t="s">
        <v>1286</v>
      </c>
      <c r="E16" s="62" t="s">
        <v>413</v>
      </c>
      <c r="F16" s="105" t="s">
        <v>413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1</v>
      </c>
      <c r="K16" s="60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3">
        <v>45645.37572916667</v>
      </c>
      <c r="N16" s="73">
        <v>45646</v>
      </c>
      <c r="O16" s="73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515</v>
      </c>
      <c r="S16" s="60"/>
    </row>
    <row r="17" spans="1:19" hidden="1">
      <c r="A17" s="62" t="s">
        <v>1298</v>
      </c>
      <c r="B17" s="60" t="str">
        <f>IFERROR(VLOOKUP(Proc[[#This Row],[App]],Table2[],3,0),"open")</f>
        <v>ok</v>
      </c>
      <c r="C17" s="62" t="s">
        <v>369</v>
      </c>
      <c r="D17" t="s">
        <v>1294</v>
      </c>
      <c r="E17" t="s">
        <v>504</v>
      </c>
      <c r="F17" s="105" t="s">
        <v>504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1</v>
      </c>
      <c r="K17" s="60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3">
        <v>45645.662499999999</v>
      </c>
      <c r="N17" s="73">
        <v>45649</v>
      </c>
      <c r="O17" s="73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1013</v>
      </c>
      <c r="S17" s="60"/>
    </row>
    <row r="18" spans="1:19" hidden="1">
      <c r="A18" s="62" t="s">
        <v>1298</v>
      </c>
      <c r="B18" s="60" t="str">
        <f>IFERROR(VLOOKUP(Proc[[#This Row],[App]],Table2[],3,0),"open")</f>
        <v>ok</v>
      </c>
      <c r="C18" s="62" t="s">
        <v>369</v>
      </c>
      <c r="D18" t="s">
        <v>1295</v>
      </c>
      <c r="E18" t="s">
        <v>504</v>
      </c>
      <c r="F18" s="105" t="s">
        <v>504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1</v>
      </c>
      <c r="K18" s="60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3">
        <v>45645.662499999999</v>
      </c>
      <c r="N18" s="73">
        <v>45649</v>
      </c>
      <c r="O18" s="73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1013</v>
      </c>
      <c r="S18" s="60"/>
    </row>
    <row r="19" spans="1:19" s="62" customFormat="1" hidden="1">
      <c r="A19" s="62" t="s">
        <v>1298</v>
      </c>
      <c r="B19" s="60" t="str">
        <f>IFERROR(VLOOKUP(Proc[[#This Row],[App]],Table2[],3,0),"open")</f>
        <v>ok</v>
      </c>
      <c r="C19" s="62" t="s">
        <v>369</v>
      </c>
      <c r="D19" s="62" t="s">
        <v>1296</v>
      </c>
      <c r="E19" s="62" t="s">
        <v>504</v>
      </c>
      <c r="F19" s="105" t="s">
        <v>504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1</v>
      </c>
      <c r="K19" s="60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3">
        <v>45645.662499999999</v>
      </c>
      <c r="N19" s="73">
        <v>45649</v>
      </c>
      <c r="O19" s="73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1013</v>
      </c>
      <c r="S19" s="60"/>
    </row>
    <row r="20" spans="1:19" hidden="1">
      <c r="A20" t="s">
        <v>1298</v>
      </c>
      <c r="B20" s="60" t="str">
        <f>IFERROR(VLOOKUP(Proc[[#This Row],[App]],Table2[],3,0),"open")</f>
        <v>ok</v>
      </c>
      <c r="C20" s="62" t="s">
        <v>369</v>
      </c>
      <c r="D20" t="s">
        <v>1297</v>
      </c>
      <c r="E20" t="s">
        <v>504</v>
      </c>
      <c r="F20" s="105" t="s">
        <v>504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1</v>
      </c>
      <c r="K20" s="60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3">
        <v>45645.662499999999</v>
      </c>
      <c r="N20" s="73">
        <v>45649</v>
      </c>
      <c r="O20" s="73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1013</v>
      </c>
      <c r="S20" s="60"/>
    </row>
    <row r="21" spans="1:19" hidden="1">
      <c r="A21" s="62" t="s">
        <v>1290</v>
      </c>
      <c r="B21" s="60" t="str">
        <f>IFERROR(VLOOKUP(Proc[[#This Row],[App]],Table2[],3,0),"open")</f>
        <v>ok</v>
      </c>
      <c r="C21" s="62" t="s">
        <v>369</v>
      </c>
      <c r="D21" t="s">
        <v>1291</v>
      </c>
      <c r="E21" t="s">
        <v>2416</v>
      </c>
      <c r="F21" s="105" t="s">
        <v>2416</v>
      </c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1</v>
      </c>
      <c r="K21" s="60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3">
        <v>45645.671296296299</v>
      </c>
      <c r="N21" s="73">
        <v>45649</v>
      </c>
      <c r="O21" s="73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515</v>
      </c>
      <c r="S21" s="60"/>
    </row>
    <row r="22" spans="1:19" hidden="1">
      <c r="A22" s="62" t="s">
        <v>1290</v>
      </c>
      <c r="B22" s="60" t="str">
        <f>IFERROR(VLOOKUP(Proc[[#This Row],[App]],Table2[],3,0),"open")</f>
        <v>ok</v>
      </c>
      <c r="C22" s="62" t="s">
        <v>369</v>
      </c>
      <c r="D22" t="s">
        <v>1292</v>
      </c>
      <c r="E22" t="s">
        <v>476</v>
      </c>
      <c r="F22" s="105" t="s">
        <v>476</v>
      </c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1</v>
      </c>
      <c r="K22" s="60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3">
        <v>45645.671296296299</v>
      </c>
      <c r="N22" s="73">
        <v>45649</v>
      </c>
      <c r="O22" s="73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515</v>
      </c>
      <c r="S22" s="60"/>
    </row>
    <row r="23" spans="1:19" hidden="1">
      <c r="A23" s="62" t="s">
        <v>1290</v>
      </c>
      <c r="B23" s="60" t="str">
        <f>IFERROR(VLOOKUP(Proc[[#This Row],[App]],Table2[],3,0),"open")</f>
        <v>ok</v>
      </c>
      <c r="C23" s="62" t="s">
        <v>369</v>
      </c>
      <c r="D23" t="s">
        <v>1293</v>
      </c>
      <c r="E23" t="s">
        <v>1221</v>
      </c>
      <c r="F23" s="105" t="s">
        <v>1221</v>
      </c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1</v>
      </c>
      <c r="K23" s="60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3">
        <v>45645.671296296299</v>
      </c>
      <c r="N23" s="73">
        <v>45649</v>
      </c>
      <c r="O23" s="73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515</v>
      </c>
      <c r="S23" s="60"/>
    </row>
    <row r="24" spans="1:19" hidden="1">
      <c r="A24" t="s">
        <v>1365</v>
      </c>
      <c r="B24" s="60" t="str">
        <f>IFERROR(VLOOKUP(Proc[[#This Row],[App]],Table2[],3,0),"open")</f>
        <v>ok</v>
      </c>
      <c r="C24" s="62" t="s">
        <v>369</v>
      </c>
      <c r="D24" t="s">
        <v>1299</v>
      </c>
      <c r="E24" t="s">
        <v>1358</v>
      </c>
      <c r="F24" s="105" t="s">
        <v>1358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1</v>
      </c>
      <c r="K24" s="60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3">
        <v>45646.435798611114</v>
      </c>
      <c r="N24" s="73">
        <v>45652</v>
      </c>
      <c r="O24" s="73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481</v>
      </c>
      <c r="S24" s="60"/>
    </row>
    <row r="25" spans="1:19" hidden="1">
      <c r="A25" s="62" t="s">
        <v>1365</v>
      </c>
      <c r="B25" s="60" t="str">
        <f>IFERROR(VLOOKUP(Proc[[#This Row],[App]],Table2[],3,0),"open")</f>
        <v>ok</v>
      </c>
      <c r="C25" s="62" t="s">
        <v>369</v>
      </c>
      <c r="D25" t="s">
        <v>451</v>
      </c>
      <c r="E25" t="s">
        <v>1359</v>
      </c>
      <c r="F25" s="105" t="s">
        <v>1359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1</v>
      </c>
      <c r="K25" s="60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3">
        <v>45646.435798611114</v>
      </c>
      <c r="N25" s="73">
        <v>45652</v>
      </c>
      <c r="O25" s="73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481</v>
      </c>
      <c r="S25" s="60"/>
    </row>
    <row r="26" spans="1:19" hidden="1">
      <c r="A26" s="62" t="s">
        <v>1365</v>
      </c>
      <c r="B26" s="60" t="str">
        <f>IFERROR(VLOOKUP(Proc[[#This Row],[App]],Table2[],3,0),"open")</f>
        <v>ok</v>
      </c>
      <c r="C26" s="62" t="s">
        <v>369</v>
      </c>
      <c r="D26" t="s">
        <v>1300</v>
      </c>
      <c r="E26" t="s">
        <v>1360</v>
      </c>
      <c r="F26" s="105" t="s">
        <v>1360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1</v>
      </c>
      <c r="K26" s="60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3">
        <v>45646.435798611114</v>
      </c>
      <c r="N26" s="73">
        <v>45652</v>
      </c>
      <c r="O26" s="73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481</v>
      </c>
      <c r="S26" s="60"/>
    </row>
    <row r="27" spans="1:19" hidden="1">
      <c r="A27" s="62" t="s">
        <v>1365</v>
      </c>
      <c r="B27" s="60" t="str">
        <f>IFERROR(VLOOKUP(Proc[[#This Row],[App]],Table2[],3,0),"open")</f>
        <v>ok</v>
      </c>
      <c r="C27" s="62" t="s">
        <v>369</v>
      </c>
      <c r="D27" t="s">
        <v>1301</v>
      </c>
      <c r="E27" t="s">
        <v>1360</v>
      </c>
      <c r="F27" s="105" t="s">
        <v>1360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1</v>
      </c>
      <c r="K27" s="60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3">
        <v>45646.435798611114</v>
      </c>
      <c r="N27" s="73">
        <v>45652</v>
      </c>
      <c r="O27" s="73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481</v>
      </c>
      <c r="S27" s="60"/>
    </row>
    <row r="28" spans="1:19" hidden="1">
      <c r="A28" s="62" t="s">
        <v>1365</v>
      </c>
      <c r="B28" s="60" t="str">
        <f>IFERROR(VLOOKUP(Proc[[#This Row],[App]],Table2[],3,0),"open")</f>
        <v>ok</v>
      </c>
      <c r="C28" s="62" t="s">
        <v>369</v>
      </c>
      <c r="D28" t="s">
        <v>1302</v>
      </c>
      <c r="E28" t="s">
        <v>1360</v>
      </c>
      <c r="F28" s="105" t="s">
        <v>1360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1</v>
      </c>
      <c r="K28" s="60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3">
        <v>45646.435798611114</v>
      </c>
      <c r="N28" s="73">
        <v>45652</v>
      </c>
      <c r="O28" s="73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481</v>
      </c>
      <c r="S28" s="60"/>
    </row>
    <row r="29" spans="1:19" hidden="1">
      <c r="A29" s="62" t="s">
        <v>1365</v>
      </c>
      <c r="B29" s="60" t="str">
        <f>IFERROR(VLOOKUP(Proc[[#This Row],[App]],Table2[],3,0),"open")</f>
        <v>ok</v>
      </c>
      <c r="C29" s="62" t="s">
        <v>369</v>
      </c>
      <c r="D29" t="s">
        <v>1303</v>
      </c>
      <c r="E29" t="s">
        <v>1360</v>
      </c>
      <c r="F29" s="105" t="s">
        <v>1360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1</v>
      </c>
      <c r="K29" s="60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3">
        <v>45646.435798611114</v>
      </c>
      <c r="N29" s="73">
        <v>45652</v>
      </c>
      <c r="O29" s="73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481</v>
      </c>
      <c r="S29" s="60"/>
    </row>
    <row r="30" spans="1:19" hidden="1">
      <c r="A30" s="62" t="s">
        <v>1365</v>
      </c>
      <c r="B30" s="60" t="str">
        <f>IFERROR(VLOOKUP(Proc[[#This Row],[App]],Table2[],3,0),"open")</f>
        <v>ok</v>
      </c>
      <c r="C30" s="62" t="s">
        <v>369</v>
      </c>
      <c r="D30" t="s">
        <v>453</v>
      </c>
      <c r="E30" t="s">
        <v>1360</v>
      </c>
      <c r="F30" s="105" t="s">
        <v>1360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1</v>
      </c>
      <c r="K30" s="60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3">
        <v>45646.435798611114</v>
      </c>
      <c r="N30" s="73">
        <v>45652</v>
      </c>
      <c r="O30" s="73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481</v>
      </c>
      <c r="S30" s="60"/>
    </row>
    <row r="31" spans="1:19" hidden="1">
      <c r="A31" s="62" t="s">
        <v>1365</v>
      </c>
      <c r="B31" s="60" t="str">
        <f>IFERROR(VLOOKUP(Proc[[#This Row],[App]],Table2[],3,0),"open")</f>
        <v>ok</v>
      </c>
      <c r="C31" s="62" t="s">
        <v>369</v>
      </c>
      <c r="D31" t="s">
        <v>1304</v>
      </c>
      <c r="E31" t="s">
        <v>1360</v>
      </c>
      <c r="F31" s="105" t="s">
        <v>1360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1</v>
      </c>
      <c r="K31" s="60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3">
        <v>45646.435798611114</v>
      </c>
      <c r="N31" s="73">
        <v>45652</v>
      </c>
      <c r="O31" s="73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481</v>
      </c>
      <c r="S31" s="60"/>
    </row>
    <row r="32" spans="1:19" hidden="1">
      <c r="A32" s="62" t="s">
        <v>1365</v>
      </c>
      <c r="B32" s="60" t="str">
        <f>IFERROR(VLOOKUP(Proc[[#This Row],[App]],Table2[],3,0),"open")</f>
        <v>ok</v>
      </c>
      <c r="C32" s="62" t="s">
        <v>369</v>
      </c>
      <c r="D32" t="s">
        <v>1305</v>
      </c>
      <c r="E32" t="s">
        <v>1360</v>
      </c>
      <c r="F32" s="105" t="s">
        <v>1360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1</v>
      </c>
      <c r="K32" s="60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3">
        <v>45646.435798611114</v>
      </c>
      <c r="N32" s="73">
        <v>45652</v>
      </c>
      <c r="O32" s="73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481</v>
      </c>
      <c r="S32" s="60"/>
    </row>
    <row r="33" spans="1:19" hidden="1">
      <c r="A33" s="62" t="s">
        <v>1365</v>
      </c>
      <c r="B33" s="60" t="str">
        <f>IFERROR(VLOOKUP(Proc[[#This Row],[App]],Table2[],3,0),"open")</f>
        <v>ok</v>
      </c>
      <c r="C33" s="62" t="s">
        <v>369</v>
      </c>
      <c r="D33" t="s">
        <v>1306</v>
      </c>
      <c r="E33" t="s">
        <v>1360</v>
      </c>
      <c r="F33" s="105" t="s">
        <v>1360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1</v>
      </c>
      <c r="K33" s="60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3">
        <v>45646.435798611114</v>
      </c>
      <c r="N33" s="73">
        <v>45652</v>
      </c>
      <c r="O33" s="73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481</v>
      </c>
      <c r="S33" s="60"/>
    </row>
    <row r="34" spans="1:19" hidden="1">
      <c r="A34" s="62" t="s">
        <v>1365</v>
      </c>
      <c r="B34" s="60" t="str">
        <f>IFERROR(VLOOKUP(Proc[[#This Row],[App]],Table2[],3,0),"open")</f>
        <v>ok</v>
      </c>
      <c r="C34" s="62" t="s">
        <v>369</v>
      </c>
      <c r="D34" t="s">
        <v>1307</v>
      </c>
      <c r="E34" t="s">
        <v>1360</v>
      </c>
      <c r="F34" s="105" t="s">
        <v>1360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1</v>
      </c>
      <c r="K34" s="60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3">
        <v>45646.435798611114</v>
      </c>
      <c r="N34" s="73">
        <v>45652</v>
      </c>
      <c r="O34" s="73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481</v>
      </c>
      <c r="S34" s="60"/>
    </row>
    <row r="35" spans="1:19" hidden="1">
      <c r="A35" s="62" t="s">
        <v>1365</v>
      </c>
      <c r="B35" s="60" t="str">
        <f>IFERROR(VLOOKUP(Proc[[#This Row],[App]],Table2[],3,0),"open")</f>
        <v>ok</v>
      </c>
      <c r="C35" s="62" t="s">
        <v>369</v>
      </c>
      <c r="D35" t="s">
        <v>1308</v>
      </c>
      <c r="E35" t="s">
        <v>1360</v>
      </c>
      <c r="F35" s="105" t="s">
        <v>1360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1</v>
      </c>
      <c r="K35" s="60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3">
        <v>45646.435798611114</v>
      </c>
      <c r="N35" s="73">
        <v>45652</v>
      </c>
      <c r="O35" s="73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481</v>
      </c>
      <c r="S35" s="60"/>
    </row>
    <row r="36" spans="1:19" hidden="1">
      <c r="A36" s="62" t="s">
        <v>1365</v>
      </c>
      <c r="B36" s="60" t="str">
        <f>IFERROR(VLOOKUP(Proc[[#This Row],[App]],Table2[],3,0),"open")</f>
        <v>ok</v>
      </c>
      <c r="C36" s="62" t="s">
        <v>369</v>
      </c>
      <c r="D36" t="s">
        <v>1309</v>
      </c>
      <c r="E36" t="s">
        <v>1360</v>
      </c>
      <c r="F36" s="105" t="s">
        <v>1360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1</v>
      </c>
      <c r="K36" s="60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3">
        <v>45646.435798611114</v>
      </c>
      <c r="N36" s="73">
        <v>45652</v>
      </c>
      <c r="O36" s="73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481</v>
      </c>
      <c r="S36" s="60"/>
    </row>
    <row r="37" spans="1:19" hidden="1">
      <c r="A37" s="62" t="s">
        <v>1365</v>
      </c>
      <c r="B37" s="60" t="str">
        <f>IFERROR(VLOOKUP(Proc[[#This Row],[App]],Table2[],3,0),"open")</f>
        <v>ok</v>
      </c>
      <c r="C37" s="62" t="s">
        <v>369</v>
      </c>
      <c r="D37" t="s">
        <v>1310</v>
      </c>
      <c r="E37" t="s">
        <v>1361</v>
      </c>
      <c r="F37" s="105" t="s">
        <v>1361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1</v>
      </c>
      <c r="K37" s="60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3">
        <v>45646.435798611114</v>
      </c>
      <c r="N37" s="73">
        <v>45652</v>
      </c>
      <c r="O37" s="73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481</v>
      </c>
      <c r="S37" s="60"/>
    </row>
    <row r="38" spans="1:19" hidden="1">
      <c r="A38" s="62" t="s">
        <v>1365</v>
      </c>
      <c r="B38" s="60" t="str">
        <f>IFERROR(VLOOKUP(Proc[[#This Row],[App]],Table2[],3,0),"open")</f>
        <v>ok</v>
      </c>
      <c r="C38" s="62" t="s">
        <v>369</v>
      </c>
      <c r="D38" t="s">
        <v>1311</v>
      </c>
      <c r="E38" t="s">
        <v>1361</v>
      </c>
      <c r="F38" s="105" t="s">
        <v>1361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1</v>
      </c>
      <c r="K38" s="60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3">
        <v>45646.435798611114</v>
      </c>
      <c r="N38" s="73">
        <v>45652</v>
      </c>
      <c r="O38" s="73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481</v>
      </c>
      <c r="S38" s="60"/>
    </row>
    <row r="39" spans="1:19" hidden="1">
      <c r="A39" s="62" t="s">
        <v>1365</v>
      </c>
      <c r="B39" s="60" t="str">
        <f>IFERROR(VLOOKUP(Proc[[#This Row],[App]],Table2[],3,0),"open")</f>
        <v>ok</v>
      </c>
      <c r="C39" s="62" t="s">
        <v>369</v>
      </c>
      <c r="D39" t="s">
        <v>1312</v>
      </c>
      <c r="E39" t="s">
        <v>1361</v>
      </c>
      <c r="F39" s="105" t="s">
        <v>1361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1</v>
      </c>
      <c r="K39" s="60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3">
        <v>45646.435798611114</v>
      </c>
      <c r="N39" s="73">
        <v>45652</v>
      </c>
      <c r="O39" s="73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481</v>
      </c>
      <c r="S39" s="60"/>
    </row>
    <row r="40" spans="1:19" hidden="1">
      <c r="A40" s="62" t="s">
        <v>1365</v>
      </c>
      <c r="B40" s="60" t="str">
        <f>IFERROR(VLOOKUP(Proc[[#This Row],[App]],Table2[],3,0),"open")</f>
        <v>ok</v>
      </c>
      <c r="C40" s="62" t="s">
        <v>369</v>
      </c>
      <c r="D40" t="s">
        <v>1313</v>
      </c>
      <c r="E40" t="s">
        <v>1361</v>
      </c>
      <c r="F40" s="105" t="s">
        <v>1361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1</v>
      </c>
      <c r="K40" s="60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3">
        <v>45646.435798611114</v>
      </c>
      <c r="N40" s="73">
        <v>45652</v>
      </c>
      <c r="O40" s="73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481</v>
      </c>
      <c r="S40" s="60"/>
    </row>
    <row r="41" spans="1:19" hidden="1">
      <c r="A41" s="62" t="s">
        <v>1365</v>
      </c>
      <c r="B41" s="60" t="str">
        <f>IFERROR(VLOOKUP(Proc[[#This Row],[App]],Table2[],3,0),"open")</f>
        <v>ok</v>
      </c>
      <c r="C41" s="62" t="s">
        <v>369</v>
      </c>
      <c r="D41" t="s">
        <v>1314</v>
      </c>
      <c r="E41" t="s">
        <v>1361</v>
      </c>
      <c r="F41" s="105" t="s">
        <v>1361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1</v>
      </c>
      <c r="K41" s="60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3">
        <v>45646.435798611114</v>
      </c>
      <c r="N41" s="73">
        <v>45652</v>
      </c>
      <c r="O41" s="73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481</v>
      </c>
      <c r="S41" s="60"/>
    </row>
    <row r="42" spans="1:19" hidden="1">
      <c r="A42" s="62" t="s">
        <v>1365</v>
      </c>
      <c r="B42" s="60" t="str">
        <f>IFERROR(VLOOKUP(Proc[[#This Row],[App]],Table2[],3,0),"open")</f>
        <v>ok</v>
      </c>
      <c r="C42" s="62" t="s">
        <v>369</v>
      </c>
      <c r="D42" t="s">
        <v>1315</v>
      </c>
      <c r="E42" t="s">
        <v>1361</v>
      </c>
      <c r="F42" s="105" t="s">
        <v>1361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1</v>
      </c>
      <c r="K42" s="60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3">
        <v>45646.435798611114</v>
      </c>
      <c r="N42" s="73">
        <v>45652</v>
      </c>
      <c r="O42" s="73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481</v>
      </c>
      <c r="S42" s="60"/>
    </row>
    <row r="43" spans="1:19" hidden="1">
      <c r="A43" s="62" t="s">
        <v>1365</v>
      </c>
      <c r="B43" s="60" t="str">
        <f>IFERROR(VLOOKUP(Proc[[#This Row],[App]],Table2[],3,0),"open")</f>
        <v>ok</v>
      </c>
      <c r="C43" s="62" t="s">
        <v>369</v>
      </c>
      <c r="D43" t="s">
        <v>1316</v>
      </c>
      <c r="E43" t="s">
        <v>1361</v>
      </c>
      <c r="F43" s="105" t="s">
        <v>1361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1</v>
      </c>
      <c r="K43" s="60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3">
        <v>45646.435798611114</v>
      </c>
      <c r="N43" s="73">
        <v>45652</v>
      </c>
      <c r="O43" s="73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481</v>
      </c>
      <c r="S43" s="60"/>
    </row>
    <row r="44" spans="1:19" hidden="1">
      <c r="A44" s="62" t="s">
        <v>1365</v>
      </c>
      <c r="B44" s="60" t="str">
        <f>IFERROR(VLOOKUP(Proc[[#This Row],[App]],Table2[],3,0),"open")</f>
        <v>ok</v>
      </c>
      <c r="C44" s="62" t="s">
        <v>369</v>
      </c>
      <c r="D44" t="s">
        <v>1317</v>
      </c>
      <c r="E44" t="s">
        <v>1361</v>
      </c>
      <c r="F44" s="105" t="s">
        <v>1361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1</v>
      </c>
      <c r="K44" s="60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3">
        <v>45646.435798611114</v>
      </c>
      <c r="N44" s="73">
        <v>45652</v>
      </c>
      <c r="O44" s="73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481</v>
      </c>
      <c r="S44" s="60"/>
    </row>
    <row r="45" spans="1:19" hidden="1">
      <c r="A45" s="62" t="s">
        <v>1365</v>
      </c>
      <c r="B45" s="60" t="str">
        <f>IFERROR(VLOOKUP(Proc[[#This Row],[App]],Table2[],3,0),"open")</f>
        <v>ok</v>
      </c>
      <c r="C45" s="62" t="s">
        <v>369</v>
      </c>
      <c r="D45" t="s">
        <v>1318</v>
      </c>
      <c r="E45" t="s">
        <v>1362</v>
      </c>
      <c r="F45" s="105" t="s">
        <v>1362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1</v>
      </c>
      <c r="K45" s="60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3">
        <v>45646.435798611114</v>
      </c>
      <c r="N45" s="73">
        <v>45652</v>
      </c>
      <c r="O45" s="73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481</v>
      </c>
      <c r="S45" s="60"/>
    </row>
    <row r="46" spans="1:19" hidden="1">
      <c r="A46" s="62" t="s">
        <v>1365</v>
      </c>
      <c r="B46" s="60" t="str">
        <f>IFERROR(VLOOKUP(Proc[[#This Row],[App]],Table2[],3,0),"open")</f>
        <v>ok</v>
      </c>
      <c r="C46" s="62" t="s">
        <v>369</v>
      </c>
      <c r="D46" t="s">
        <v>1319</v>
      </c>
      <c r="E46" t="s">
        <v>1362</v>
      </c>
      <c r="F46" s="105" t="s">
        <v>1362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1</v>
      </c>
      <c r="K46" s="60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3">
        <v>45646.435798611114</v>
      </c>
      <c r="N46" s="73">
        <v>45652</v>
      </c>
      <c r="O46" s="73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481</v>
      </c>
      <c r="S46" s="60"/>
    </row>
    <row r="47" spans="1:19" hidden="1">
      <c r="A47" s="62" t="s">
        <v>1365</v>
      </c>
      <c r="B47" s="60" t="str">
        <f>IFERROR(VLOOKUP(Proc[[#This Row],[App]],Table2[],3,0),"open")</f>
        <v>ok</v>
      </c>
      <c r="C47" s="62" t="s">
        <v>369</v>
      </c>
      <c r="D47" t="s">
        <v>1320</v>
      </c>
      <c r="E47" t="s">
        <v>1362</v>
      </c>
      <c r="F47" s="105" t="s">
        <v>1362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1</v>
      </c>
      <c r="K47" s="60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3">
        <v>45646.435798611114</v>
      </c>
      <c r="N47" s="73">
        <v>45652</v>
      </c>
      <c r="O47" s="73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481</v>
      </c>
      <c r="S47" s="60"/>
    </row>
    <row r="48" spans="1:19" hidden="1">
      <c r="A48" s="62" t="s">
        <v>1365</v>
      </c>
      <c r="B48" s="60" t="str">
        <f>IFERROR(VLOOKUP(Proc[[#This Row],[App]],Table2[],3,0),"open")</f>
        <v>ok</v>
      </c>
      <c r="C48" s="62" t="s">
        <v>369</v>
      </c>
      <c r="D48" t="s">
        <v>1321</v>
      </c>
      <c r="E48" t="s">
        <v>1362</v>
      </c>
      <c r="F48" s="105" t="s">
        <v>1362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1</v>
      </c>
      <c r="K48" s="60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3">
        <v>45646.435798611114</v>
      </c>
      <c r="N48" s="73">
        <v>45652</v>
      </c>
      <c r="O48" s="73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481</v>
      </c>
      <c r="S48" s="60"/>
    </row>
    <row r="49" spans="1:19" hidden="1">
      <c r="A49" s="62" t="s">
        <v>1365</v>
      </c>
      <c r="B49" s="60" t="str">
        <f>IFERROR(VLOOKUP(Proc[[#This Row],[App]],Table2[],3,0),"open")</f>
        <v>ok</v>
      </c>
      <c r="C49" s="62" t="s">
        <v>369</v>
      </c>
      <c r="D49" t="s">
        <v>1322</v>
      </c>
      <c r="E49" t="s">
        <v>1363</v>
      </c>
      <c r="F49" s="105" t="s">
        <v>1363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1</v>
      </c>
      <c r="K49" s="60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3">
        <v>45646.435798611114</v>
      </c>
      <c r="N49" s="73">
        <v>45652</v>
      </c>
      <c r="O49" s="73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481</v>
      </c>
      <c r="S49" s="60"/>
    </row>
    <row r="50" spans="1:19" hidden="1">
      <c r="A50" s="62" t="s">
        <v>1365</v>
      </c>
      <c r="B50" s="60" t="str">
        <f>IFERROR(VLOOKUP(Proc[[#This Row],[App]],Table2[],3,0),"open")</f>
        <v>ok</v>
      </c>
      <c r="C50" s="62" t="s">
        <v>369</v>
      </c>
      <c r="D50" t="s">
        <v>1323</v>
      </c>
      <c r="E50" t="s">
        <v>1363</v>
      </c>
      <c r="F50" s="105" t="s">
        <v>1363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1</v>
      </c>
      <c r="K50" s="60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3">
        <v>45646.435798611114</v>
      </c>
      <c r="N50" s="73">
        <v>45652</v>
      </c>
      <c r="O50" s="73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481</v>
      </c>
      <c r="S50" s="60"/>
    </row>
    <row r="51" spans="1:19" hidden="1">
      <c r="A51" s="62" t="s">
        <v>1365</v>
      </c>
      <c r="B51" s="60" t="str">
        <f>IFERROR(VLOOKUP(Proc[[#This Row],[App]],Table2[],3,0),"open")</f>
        <v>ok</v>
      </c>
      <c r="C51" s="62" t="s">
        <v>369</v>
      </c>
      <c r="D51" t="s">
        <v>1324</v>
      </c>
      <c r="E51" t="s">
        <v>1360</v>
      </c>
      <c r="F51" s="105" t="s">
        <v>1360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1</v>
      </c>
      <c r="K51" s="60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3">
        <v>45646.435798611114</v>
      </c>
      <c r="N51" s="73">
        <v>45652</v>
      </c>
      <c r="O51" s="73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481</v>
      </c>
      <c r="S51" s="60"/>
    </row>
    <row r="52" spans="1:19" hidden="1">
      <c r="A52" s="62" t="s">
        <v>1365</v>
      </c>
      <c r="B52" s="60" t="str">
        <f>IFERROR(VLOOKUP(Proc[[#This Row],[App]],Table2[],3,0),"open")</f>
        <v>ok</v>
      </c>
      <c r="C52" s="62" t="s">
        <v>369</v>
      </c>
      <c r="D52" t="s">
        <v>1325</v>
      </c>
      <c r="E52" t="s">
        <v>1363</v>
      </c>
      <c r="F52" s="105" t="s">
        <v>1363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1</v>
      </c>
      <c r="K52" s="60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3">
        <v>45646.435798611114</v>
      </c>
      <c r="N52" s="73">
        <v>45652</v>
      </c>
      <c r="O52" s="73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481</v>
      </c>
      <c r="S52" s="60"/>
    </row>
    <row r="53" spans="1:19" hidden="1">
      <c r="A53" s="62" t="s">
        <v>1365</v>
      </c>
      <c r="B53" s="60" t="str">
        <f>IFERROR(VLOOKUP(Proc[[#This Row],[App]],Table2[],3,0),"open")</f>
        <v>ok</v>
      </c>
      <c r="C53" s="62" t="s">
        <v>369</v>
      </c>
      <c r="D53" t="s">
        <v>1326</v>
      </c>
      <c r="E53" t="s">
        <v>1363</v>
      </c>
      <c r="F53" s="105" t="s">
        <v>1363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1</v>
      </c>
      <c r="K53" s="60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3">
        <v>45646.435798611114</v>
      </c>
      <c r="N53" s="73">
        <v>45652</v>
      </c>
      <c r="O53" s="73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481</v>
      </c>
      <c r="S53" s="60"/>
    </row>
    <row r="54" spans="1:19" hidden="1">
      <c r="A54" s="62" t="s">
        <v>1365</v>
      </c>
      <c r="B54" s="60" t="str">
        <f>IFERROR(VLOOKUP(Proc[[#This Row],[App]],Table2[],3,0),"open")</f>
        <v>ok</v>
      </c>
      <c r="C54" s="62" t="s">
        <v>369</v>
      </c>
      <c r="D54" t="s">
        <v>1327</v>
      </c>
      <c r="E54" t="s">
        <v>1364</v>
      </c>
      <c r="F54" s="105" t="s">
        <v>1364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1</v>
      </c>
      <c r="K54" s="60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3">
        <v>45646.435798611114</v>
      </c>
      <c r="N54" s="73">
        <v>45652</v>
      </c>
      <c r="O54" s="73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481</v>
      </c>
      <c r="S54" s="60"/>
    </row>
    <row r="55" spans="1:19" hidden="1">
      <c r="A55" s="62" t="s">
        <v>1365</v>
      </c>
      <c r="B55" s="60" t="str">
        <f>IFERROR(VLOOKUP(Proc[[#This Row],[App]],Table2[],3,0),"open")</f>
        <v>ok</v>
      </c>
      <c r="C55" s="62" t="s">
        <v>369</v>
      </c>
      <c r="D55" t="s">
        <v>1328</v>
      </c>
      <c r="E55" t="s">
        <v>1358</v>
      </c>
      <c r="F55" s="105" t="s">
        <v>1358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1</v>
      </c>
      <c r="K55" s="60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3">
        <v>45646.435798611114</v>
      </c>
      <c r="N55" s="73">
        <v>45652</v>
      </c>
      <c r="O55" s="73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481</v>
      </c>
      <c r="S55" s="60"/>
    </row>
    <row r="56" spans="1:19" hidden="1">
      <c r="A56" s="62" t="s">
        <v>1365</v>
      </c>
      <c r="B56" s="60" t="str">
        <f>IFERROR(VLOOKUP(Proc[[#This Row],[App]],Table2[],3,0),"open")</f>
        <v>ok</v>
      </c>
      <c r="C56" s="62" t="s">
        <v>369</v>
      </c>
      <c r="D56" t="s">
        <v>1329</v>
      </c>
      <c r="E56" t="s">
        <v>1359</v>
      </c>
      <c r="F56" s="105" t="s">
        <v>1359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1</v>
      </c>
      <c r="K56" s="60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3">
        <v>45646.435798611114</v>
      </c>
      <c r="N56" s="73">
        <v>45652</v>
      </c>
      <c r="O56" s="73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481</v>
      </c>
      <c r="S56" s="60"/>
    </row>
    <row r="57" spans="1:19" hidden="1">
      <c r="A57" s="62" t="s">
        <v>1365</v>
      </c>
      <c r="B57" s="60" t="str">
        <f>IFERROR(VLOOKUP(Proc[[#This Row],[App]],Table2[],3,0),"open")</f>
        <v>ok</v>
      </c>
      <c r="C57" s="62" t="s">
        <v>369</v>
      </c>
      <c r="D57" t="s">
        <v>1330</v>
      </c>
      <c r="E57" t="s">
        <v>1360</v>
      </c>
      <c r="F57" s="105" t="s">
        <v>1360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1</v>
      </c>
      <c r="K57" s="60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3">
        <v>45646.435798611114</v>
      </c>
      <c r="N57" s="73">
        <v>45652</v>
      </c>
      <c r="O57" s="73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481</v>
      </c>
      <c r="S57" s="60"/>
    </row>
    <row r="58" spans="1:19" hidden="1">
      <c r="A58" s="62" t="s">
        <v>1365</v>
      </c>
      <c r="B58" s="60" t="str">
        <f>IFERROR(VLOOKUP(Proc[[#This Row],[App]],Table2[],3,0),"open")</f>
        <v>ok</v>
      </c>
      <c r="C58" s="62" t="s">
        <v>369</v>
      </c>
      <c r="D58" t="s">
        <v>1331</v>
      </c>
      <c r="E58" t="s">
        <v>1360</v>
      </c>
      <c r="F58" s="105" t="s">
        <v>1360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1</v>
      </c>
      <c r="K58" s="60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3">
        <v>45646.435798611114</v>
      </c>
      <c r="N58" s="73">
        <v>45652</v>
      </c>
      <c r="O58" s="73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481</v>
      </c>
      <c r="S58" s="60"/>
    </row>
    <row r="59" spans="1:19" hidden="1">
      <c r="A59" s="62" t="s">
        <v>1365</v>
      </c>
      <c r="B59" s="60" t="str">
        <f>IFERROR(VLOOKUP(Proc[[#This Row],[App]],Table2[],3,0),"open")</f>
        <v>ok</v>
      </c>
      <c r="C59" s="62" t="s">
        <v>369</v>
      </c>
      <c r="D59" t="s">
        <v>1332</v>
      </c>
      <c r="E59" t="s">
        <v>1360</v>
      </c>
      <c r="F59" s="105" t="s">
        <v>1360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1</v>
      </c>
      <c r="K59" s="60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3">
        <v>45646.435798611114</v>
      </c>
      <c r="N59" s="73">
        <v>45652</v>
      </c>
      <c r="O59" s="73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481</v>
      </c>
      <c r="S59" s="60"/>
    </row>
    <row r="60" spans="1:19" hidden="1">
      <c r="A60" s="62" t="s">
        <v>1365</v>
      </c>
      <c r="B60" s="60" t="str">
        <f>IFERROR(VLOOKUP(Proc[[#This Row],[App]],Table2[],3,0),"open")</f>
        <v>ok</v>
      </c>
      <c r="C60" s="62" t="s">
        <v>369</v>
      </c>
      <c r="D60" t="s">
        <v>1333</v>
      </c>
      <c r="E60" t="s">
        <v>1360</v>
      </c>
      <c r="F60" s="105" t="s">
        <v>1360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1</v>
      </c>
      <c r="K60" s="60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3">
        <v>45646.435798611114</v>
      </c>
      <c r="N60" s="73">
        <v>45652</v>
      </c>
      <c r="O60" s="73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481</v>
      </c>
      <c r="S60" s="60"/>
    </row>
    <row r="61" spans="1:19" hidden="1">
      <c r="A61" s="62" t="s">
        <v>1365</v>
      </c>
      <c r="B61" s="60" t="str">
        <f>IFERROR(VLOOKUP(Proc[[#This Row],[App]],Table2[],3,0),"open")</f>
        <v>ok</v>
      </c>
      <c r="C61" s="62" t="s">
        <v>369</v>
      </c>
      <c r="D61" t="s">
        <v>1334</v>
      </c>
      <c r="E61" t="s">
        <v>1360</v>
      </c>
      <c r="F61" s="105" t="s">
        <v>1360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1</v>
      </c>
      <c r="K61" s="60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3">
        <v>45646.435798611114</v>
      </c>
      <c r="N61" s="73">
        <v>45652</v>
      </c>
      <c r="O61" s="73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481</v>
      </c>
      <c r="S61" s="60"/>
    </row>
    <row r="62" spans="1:19" hidden="1">
      <c r="A62" s="62" t="s">
        <v>1365</v>
      </c>
      <c r="B62" s="60" t="str">
        <f>IFERROR(VLOOKUP(Proc[[#This Row],[App]],Table2[],3,0),"open")</f>
        <v>ok</v>
      </c>
      <c r="C62" s="62" t="s">
        <v>369</v>
      </c>
      <c r="D62" t="s">
        <v>1335</v>
      </c>
      <c r="E62" t="s">
        <v>1360</v>
      </c>
      <c r="F62" s="105" t="s">
        <v>1360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1421</v>
      </c>
      <c r="J62" s="60" t="b">
        <f>Proc[[#This Row],[Requested]]=Proc[[#This Row],[CurrentParent]]</f>
        <v>1</v>
      </c>
      <c r="K62" s="60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3">
        <v>45646.435798611114</v>
      </c>
      <c r="N62" s="73">
        <v>45652</v>
      </c>
      <c r="O62" s="73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481</v>
      </c>
      <c r="S62" s="60"/>
    </row>
    <row r="63" spans="1:19" hidden="1">
      <c r="A63" s="62" t="s">
        <v>1365</v>
      </c>
      <c r="B63" s="60" t="str">
        <f>IFERROR(VLOOKUP(Proc[[#This Row],[App]],Table2[],3,0),"open")</f>
        <v>ok</v>
      </c>
      <c r="C63" s="62" t="s">
        <v>369</v>
      </c>
      <c r="D63" t="s">
        <v>1336</v>
      </c>
      <c r="E63" t="s">
        <v>1360</v>
      </c>
      <c r="F63" s="105" t="s">
        <v>1360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1</v>
      </c>
      <c r="K63" s="60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3">
        <v>45646.435798611114</v>
      </c>
      <c r="N63" s="73">
        <v>45652</v>
      </c>
      <c r="O63" s="73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481</v>
      </c>
      <c r="S63" s="60"/>
    </row>
    <row r="64" spans="1:19" hidden="1">
      <c r="A64" s="62" t="s">
        <v>1365</v>
      </c>
      <c r="B64" s="60" t="str">
        <f>IFERROR(VLOOKUP(Proc[[#This Row],[App]],Table2[],3,0),"open")</f>
        <v>ok</v>
      </c>
      <c r="C64" s="62" t="s">
        <v>369</v>
      </c>
      <c r="D64" t="s">
        <v>1337</v>
      </c>
      <c r="E64" t="s">
        <v>1360</v>
      </c>
      <c r="F64" s="105" t="s">
        <v>1360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1</v>
      </c>
      <c r="K64" s="60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3">
        <v>45646.435798611114</v>
      </c>
      <c r="N64" s="73">
        <v>45652</v>
      </c>
      <c r="O64" s="73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481</v>
      </c>
      <c r="S64" s="60"/>
    </row>
    <row r="65" spans="1:19" hidden="1">
      <c r="A65" s="62" t="s">
        <v>1365</v>
      </c>
      <c r="B65" s="60" t="str">
        <f>IFERROR(VLOOKUP(Proc[[#This Row],[App]],Table2[],3,0),"open")</f>
        <v>ok</v>
      </c>
      <c r="C65" s="62" t="s">
        <v>369</v>
      </c>
      <c r="D65" t="s">
        <v>1338</v>
      </c>
      <c r="E65" t="s">
        <v>1360</v>
      </c>
      <c r="F65" s="105" t="s">
        <v>1360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1</v>
      </c>
      <c r="K65" s="60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3">
        <v>45646.435798611114</v>
      </c>
      <c r="N65" s="73">
        <v>45652</v>
      </c>
      <c r="O65" s="73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481</v>
      </c>
      <c r="S65" s="60"/>
    </row>
    <row r="66" spans="1:19" hidden="1">
      <c r="A66" s="62" t="s">
        <v>1365</v>
      </c>
      <c r="B66" s="60" t="str">
        <f>IFERROR(VLOOKUP(Proc[[#This Row],[App]],Table2[],3,0),"open")</f>
        <v>ok</v>
      </c>
      <c r="C66" s="62" t="s">
        <v>369</v>
      </c>
      <c r="D66" t="s">
        <v>1339</v>
      </c>
      <c r="E66" t="s">
        <v>1360</v>
      </c>
      <c r="F66" s="105" t="s">
        <v>1360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1</v>
      </c>
      <c r="K66" s="60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3">
        <v>45646.435798611114</v>
      </c>
      <c r="N66" s="73">
        <v>45652</v>
      </c>
      <c r="O66" s="73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481</v>
      </c>
      <c r="S66" s="60"/>
    </row>
    <row r="67" spans="1:19" hidden="1">
      <c r="A67" s="62" t="s">
        <v>1365</v>
      </c>
      <c r="B67" s="60" t="str">
        <f>IFERROR(VLOOKUP(Proc[[#This Row],[App]],Table2[],3,0),"open")</f>
        <v>ok</v>
      </c>
      <c r="C67" s="62" t="s">
        <v>369</v>
      </c>
      <c r="D67" t="s">
        <v>1340</v>
      </c>
      <c r="E67" t="s">
        <v>1360</v>
      </c>
      <c r="F67" s="105" t="s">
        <v>1360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1</v>
      </c>
      <c r="K67" s="60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3">
        <v>45646.435798611114</v>
      </c>
      <c r="N67" s="73">
        <v>45652</v>
      </c>
      <c r="O67" s="73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481</v>
      </c>
      <c r="S67" s="60"/>
    </row>
    <row r="68" spans="1:19" hidden="1">
      <c r="A68" s="62" t="s">
        <v>1365</v>
      </c>
      <c r="B68" s="60" t="str">
        <f>IFERROR(VLOOKUP(Proc[[#This Row],[App]],Table2[],3,0),"open")</f>
        <v>ok</v>
      </c>
      <c r="C68" s="62" t="s">
        <v>369</v>
      </c>
      <c r="D68" t="s">
        <v>1341</v>
      </c>
      <c r="E68" t="s">
        <v>1361</v>
      </c>
      <c r="F68" s="105" t="s">
        <v>1361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1</v>
      </c>
      <c r="K68" s="60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3">
        <v>45646.435798611114</v>
      </c>
      <c r="N68" s="73">
        <v>45652</v>
      </c>
      <c r="O68" s="73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481</v>
      </c>
      <c r="S68" s="60"/>
    </row>
    <row r="69" spans="1:19" hidden="1">
      <c r="A69" s="62" t="s">
        <v>1365</v>
      </c>
      <c r="B69" s="60" t="str">
        <f>IFERROR(VLOOKUP(Proc[[#This Row],[App]],Table2[],3,0),"open")</f>
        <v>ok</v>
      </c>
      <c r="C69" s="62" t="s">
        <v>369</v>
      </c>
      <c r="D69" t="s">
        <v>1342</v>
      </c>
      <c r="E69" t="s">
        <v>1361</v>
      </c>
      <c r="F69" s="105" t="s">
        <v>1361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1</v>
      </c>
      <c r="K69" s="60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3">
        <v>45646.435798611114</v>
      </c>
      <c r="N69" s="73">
        <v>45652</v>
      </c>
      <c r="O69" s="73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481</v>
      </c>
      <c r="S69" s="60"/>
    </row>
    <row r="70" spans="1:19" hidden="1">
      <c r="A70" s="62" t="s">
        <v>1365</v>
      </c>
      <c r="B70" s="60" t="str">
        <f>IFERROR(VLOOKUP(Proc[[#This Row],[App]],Table2[],3,0),"open")</f>
        <v>ok</v>
      </c>
      <c r="C70" s="62" t="s">
        <v>369</v>
      </c>
      <c r="D70" t="s">
        <v>1343</v>
      </c>
      <c r="E70" t="s">
        <v>1361</v>
      </c>
      <c r="F70" s="105" t="s">
        <v>1361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1</v>
      </c>
      <c r="K70" s="60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3">
        <v>45646.435798611114</v>
      </c>
      <c r="N70" s="73">
        <v>45652</v>
      </c>
      <c r="O70" s="73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481</v>
      </c>
      <c r="S70" s="60"/>
    </row>
    <row r="71" spans="1:19" hidden="1">
      <c r="A71" s="62" t="s">
        <v>1365</v>
      </c>
      <c r="B71" s="60" t="str">
        <f>IFERROR(VLOOKUP(Proc[[#This Row],[App]],Table2[],3,0),"open")</f>
        <v>ok</v>
      </c>
      <c r="C71" s="62" t="s">
        <v>369</v>
      </c>
      <c r="D71" t="s">
        <v>1344</v>
      </c>
      <c r="E71" t="s">
        <v>1361</v>
      </c>
      <c r="F71" s="105" t="s">
        <v>1361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1</v>
      </c>
      <c r="K71" s="60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3">
        <v>45646.435798611114</v>
      </c>
      <c r="N71" s="73">
        <v>45652</v>
      </c>
      <c r="O71" s="73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481</v>
      </c>
      <c r="S71" s="60"/>
    </row>
    <row r="72" spans="1:19" hidden="1">
      <c r="A72" s="62" t="s">
        <v>1365</v>
      </c>
      <c r="B72" s="60" t="str">
        <f>IFERROR(VLOOKUP(Proc[[#This Row],[App]],Table2[],3,0),"open")</f>
        <v>ok</v>
      </c>
      <c r="C72" s="62" t="s">
        <v>369</v>
      </c>
      <c r="D72" t="s">
        <v>1345</v>
      </c>
      <c r="E72" t="s">
        <v>1361</v>
      </c>
      <c r="F72" s="105" t="s">
        <v>1361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1</v>
      </c>
      <c r="K72" s="60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3">
        <v>45646.435798611114</v>
      </c>
      <c r="N72" s="73">
        <v>45652</v>
      </c>
      <c r="O72" s="73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481</v>
      </c>
      <c r="S72" s="60"/>
    </row>
    <row r="73" spans="1:19" hidden="1">
      <c r="A73" s="62" t="s">
        <v>1365</v>
      </c>
      <c r="B73" s="60" t="str">
        <f>IFERROR(VLOOKUP(Proc[[#This Row],[App]],Table2[],3,0),"open")</f>
        <v>ok</v>
      </c>
      <c r="C73" s="62" t="s">
        <v>369</v>
      </c>
      <c r="D73" t="s">
        <v>1346</v>
      </c>
      <c r="E73" t="s">
        <v>1361</v>
      </c>
      <c r="F73" s="105" t="s">
        <v>1361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1</v>
      </c>
      <c r="K73" s="60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3">
        <v>45646.435798611114</v>
      </c>
      <c r="N73" s="73">
        <v>45652</v>
      </c>
      <c r="O73" s="73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481</v>
      </c>
      <c r="S73" s="60"/>
    </row>
    <row r="74" spans="1:19" hidden="1">
      <c r="A74" s="62" t="s">
        <v>1365</v>
      </c>
      <c r="B74" s="60" t="str">
        <f>IFERROR(VLOOKUP(Proc[[#This Row],[App]],Table2[],3,0),"open")</f>
        <v>ok</v>
      </c>
      <c r="C74" s="62" t="s">
        <v>369</v>
      </c>
      <c r="D74" t="s">
        <v>1347</v>
      </c>
      <c r="E74" t="s">
        <v>1361</v>
      </c>
      <c r="F74" s="105" t="s">
        <v>1361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1</v>
      </c>
      <c r="K74" s="60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3">
        <v>45646.435798611114</v>
      </c>
      <c r="N74" s="73">
        <v>45652</v>
      </c>
      <c r="O74" s="73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481</v>
      </c>
      <c r="S74" s="60"/>
    </row>
    <row r="75" spans="1:19" hidden="1">
      <c r="A75" s="62" t="s">
        <v>1365</v>
      </c>
      <c r="B75" s="60" t="str">
        <f>IFERROR(VLOOKUP(Proc[[#This Row],[App]],Table2[],3,0),"open")</f>
        <v>ok</v>
      </c>
      <c r="C75" s="62" t="s">
        <v>369</v>
      </c>
      <c r="D75" t="s">
        <v>1348</v>
      </c>
      <c r="E75" t="s">
        <v>1361</v>
      </c>
      <c r="F75" s="105" t="s">
        <v>1361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1</v>
      </c>
      <c r="K75" s="60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3">
        <v>45646.435798611114</v>
      </c>
      <c r="N75" s="73">
        <v>45652</v>
      </c>
      <c r="O75" s="73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481</v>
      </c>
      <c r="S75" s="60"/>
    </row>
    <row r="76" spans="1:19" hidden="1">
      <c r="A76" s="62" t="s">
        <v>1365</v>
      </c>
      <c r="B76" s="60" t="str">
        <f>IFERROR(VLOOKUP(Proc[[#This Row],[App]],Table2[],3,0),"open")</f>
        <v>ok</v>
      </c>
      <c r="C76" s="62" t="s">
        <v>369</v>
      </c>
      <c r="D76" t="s">
        <v>1349</v>
      </c>
      <c r="E76" t="s">
        <v>1362</v>
      </c>
      <c r="F76" s="105" t="s">
        <v>1362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1</v>
      </c>
      <c r="K76" s="60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3">
        <v>45646.435798611114</v>
      </c>
      <c r="N76" s="73">
        <v>45652</v>
      </c>
      <c r="O76" s="73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481</v>
      </c>
      <c r="S76" s="60"/>
    </row>
    <row r="77" spans="1:19" hidden="1">
      <c r="A77" s="62" t="s">
        <v>1365</v>
      </c>
      <c r="B77" s="60" t="str">
        <f>IFERROR(VLOOKUP(Proc[[#This Row],[App]],Table2[],3,0),"open")</f>
        <v>ok</v>
      </c>
      <c r="C77" s="62" t="s">
        <v>369</v>
      </c>
      <c r="D77" t="s">
        <v>1350</v>
      </c>
      <c r="E77" t="s">
        <v>1362</v>
      </c>
      <c r="F77" s="105" t="s">
        <v>1362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1</v>
      </c>
      <c r="K77" s="60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3">
        <v>45646.435798611114</v>
      </c>
      <c r="N77" s="73">
        <v>45652</v>
      </c>
      <c r="O77" s="73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481</v>
      </c>
      <c r="S77" s="60"/>
    </row>
    <row r="78" spans="1:19" hidden="1">
      <c r="A78" s="62" t="s">
        <v>1365</v>
      </c>
      <c r="B78" s="60" t="str">
        <f>IFERROR(VLOOKUP(Proc[[#This Row],[App]],Table2[],3,0),"open")</f>
        <v>ok</v>
      </c>
      <c r="C78" s="62" t="s">
        <v>369</v>
      </c>
      <c r="D78" t="s">
        <v>1351</v>
      </c>
      <c r="E78" t="s">
        <v>1362</v>
      </c>
      <c r="F78" s="105" t="s">
        <v>1362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1</v>
      </c>
      <c r="K78" s="60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3">
        <v>45646.435798611114</v>
      </c>
      <c r="N78" s="73">
        <v>45652</v>
      </c>
      <c r="O78" s="73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481</v>
      </c>
      <c r="S78" s="60"/>
    </row>
    <row r="79" spans="1:19" hidden="1">
      <c r="A79" s="62" t="s">
        <v>1365</v>
      </c>
      <c r="B79" s="60" t="str">
        <f>IFERROR(VLOOKUP(Proc[[#This Row],[App]],Table2[],3,0),"open")</f>
        <v>ok</v>
      </c>
      <c r="C79" s="62" t="s">
        <v>369</v>
      </c>
      <c r="D79" t="s">
        <v>1352</v>
      </c>
      <c r="E79" t="s">
        <v>1362</v>
      </c>
      <c r="F79" s="105" t="s">
        <v>1362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1</v>
      </c>
      <c r="K79" s="60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3">
        <v>45646.435798611114</v>
      </c>
      <c r="N79" s="73">
        <v>45652</v>
      </c>
      <c r="O79" s="73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481</v>
      </c>
      <c r="S79" s="60"/>
    </row>
    <row r="80" spans="1:19" hidden="1">
      <c r="A80" s="62" t="s">
        <v>1365</v>
      </c>
      <c r="B80" s="60" t="str">
        <f>IFERROR(VLOOKUP(Proc[[#This Row],[App]],Table2[],3,0),"open")</f>
        <v>ok</v>
      </c>
      <c r="C80" s="62" t="s">
        <v>369</v>
      </c>
      <c r="D80" t="s">
        <v>1353</v>
      </c>
      <c r="E80" t="s">
        <v>1363</v>
      </c>
      <c r="F80" s="105" t="s">
        <v>1363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1</v>
      </c>
      <c r="K80" s="60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3">
        <v>45646.435798611114</v>
      </c>
      <c r="N80" s="73">
        <v>45652</v>
      </c>
      <c r="O80" s="73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481</v>
      </c>
      <c r="S80" s="60"/>
    </row>
    <row r="81" spans="1:19" hidden="1">
      <c r="A81" s="62" t="s">
        <v>1365</v>
      </c>
      <c r="B81" s="60" t="str">
        <f>IFERROR(VLOOKUP(Proc[[#This Row],[App]],Table2[],3,0),"open")</f>
        <v>ok</v>
      </c>
      <c r="C81" s="62" t="s">
        <v>369</v>
      </c>
      <c r="D81" t="s">
        <v>1354</v>
      </c>
      <c r="E81" t="s">
        <v>1363</v>
      </c>
      <c r="F81" s="105" t="s">
        <v>1363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1</v>
      </c>
      <c r="K81" s="60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3">
        <v>45646.435798611114</v>
      </c>
      <c r="N81" s="73">
        <v>45652</v>
      </c>
      <c r="O81" s="73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481</v>
      </c>
      <c r="S81" s="60"/>
    </row>
    <row r="82" spans="1:19" hidden="1">
      <c r="A82" s="62" t="s">
        <v>1365</v>
      </c>
      <c r="B82" s="60" t="str">
        <f>IFERROR(VLOOKUP(Proc[[#This Row],[App]],Table2[],3,0),"open")</f>
        <v>ok</v>
      </c>
      <c r="C82" s="62" t="s">
        <v>369</v>
      </c>
      <c r="D82" t="s">
        <v>1355</v>
      </c>
      <c r="E82" t="s">
        <v>1360</v>
      </c>
      <c r="F82" s="105" t="s">
        <v>1360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1</v>
      </c>
      <c r="K82" s="60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3">
        <v>45646.435798611114</v>
      </c>
      <c r="N82" s="73">
        <v>45652</v>
      </c>
      <c r="O82" s="73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481</v>
      </c>
      <c r="S82" s="60"/>
    </row>
    <row r="83" spans="1:19" hidden="1">
      <c r="A83" s="62" t="s">
        <v>1365</v>
      </c>
      <c r="B83" s="60" t="str">
        <f>IFERROR(VLOOKUP(Proc[[#This Row],[App]],Table2[],3,0),"open")</f>
        <v>ok</v>
      </c>
      <c r="C83" s="62" t="s">
        <v>369</v>
      </c>
      <c r="D83" t="s">
        <v>1356</v>
      </c>
      <c r="E83" t="s">
        <v>1363</v>
      </c>
      <c r="F83" s="105" t="s">
        <v>1363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1</v>
      </c>
      <c r="K83" s="60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3">
        <v>45646.435798611114</v>
      </c>
      <c r="N83" s="73">
        <v>45652</v>
      </c>
      <c r="O83" s="73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481</v>
      </c>
      <c r="S83" s="60"/>
    </row>
    <row r="84" spans="1:19" hidden="1">
      <c r="A84" s="62" t="s">
        <v>1365</v>
      </c>
      <c r="B84" s="60" t="str">
        <f>IFERROR(VLOOKUP(Proc[[#This Row],[App]],Table2[],3,0),"open")</f>
        <v>ok</v>
      </c>
      <c r="C84" s="62" t="s">
        <v>369</v>
      </c>
      <c r="D84" t="s">
        <v>1357</v>
      </c>
      <c r="E84" t="s">
        <v>1363</v>
      </c>
      <c r="F84" s="105" t="s">
        <v>1363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1</v>
      </c>
      <c r="K84" s="60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3">
        <v>45646.435798611114</v>
      </c>
      <c r="N84" s="73">
        <v>45652</v>
      </c>
      <c r="O84" s="73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481</v>
      </c>
      <c r="S84" s="60"/>
    </row>
    <row r="85" spans="1:19" hidden="1">
      <c r="A85" s="62" t="s">
        <v>1365</v>
      </c>
      <c r="B85" s="60" t="str">
        <f>IFERROR(VLOOKUP(Proc[[#This Row],[App]],Table2[],3,0),"open")</f>
        <v>ok</v>
      </c>
      <c r="C85" s="62" t="s">
        <v>369</v>
      </c>
      <c r="D85" t="s">
        <v>514</v>
      </c>
      <c r="E85" t="s">
        <v>1364</v>
      </c>
      <c r="F85" s="105" t="s">
        <v>1364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1</v>
      </c>
      <c r="K85" s="60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3">
        <v>45646.435798611114</v>
      </c>
      <c r="N85" s="73">
        <v>45652</v>
      </c>
      <c r="O85" s="73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481</v>
      </c>
      <c r="S85" s="60"/>
    </row>
    <row r="86" spans="1:19" hidden="1">
      <c r="A86" t="s">
        <v>1389</v>
      </c>
      <c r="B86" s="60" t="str">
        <f>IFERROR(VLOOKUP(Proc[[#This Row],[App]],Table2[],3,0),"open")</f>
        <v>ok</v>
      </c>
      <c r="C86" t="s">
        <v>369</v>
      </c>
      <c r="D86" t="s">
        <v>1387</v>
      </c>
      <c r="E86" t="s">
        <v>1250</v>
      </c>
      <c r="F86" s="105" t="s">
        <v>1250</v>
      </c>
      <c r="G86" t="s">
        <v>400</v>
      </c>
      <c r="H86" s="60" t="str">
        <f>IF(Proc[[#This Row],[type]]="LFF (MDG-F)",MID(Proc[[#This Row],[Obj]],13,10),"")</f>
        <v/>
      </c>
      <c r="I86" t="s">
        <v>1420</v>
      </c>
      <c r="J86" s="60" t="b">
        <f>Proc[[#This Row],[Requested]]=Proc[[#This Row],[CurrentParent]]</f>
        <v>1</v>
      </c>
      <c r="K86" s="60" t="str">
        <f>IF(Proc[[#This Row],[Author]]="Marcela Urrego",VLOOKUP(LEFT(Proc[[#This Row],[Requested]],1),Table3[#All],2,0),VLOOKUP(Proc[[#This Row],[Author]],Table4[],2,0))</f>
        <v>MGF</v>
      </c>
      <c r="L86" s="60" t="s">
        <v>401</v>
      </c>
      <c r="M86" s="73">
        <v>45646.551979166667</v>
      </c>
      <c r="N86" s="73">
        <v>45652</v>
      </c>
      <c r="O86" s="73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1076</v>
      </c>
      <c r="S86" s="60"/>
    </row>
    <row r="87" spans="1:19" hidden="1">
      <c r="A87" s="62" t="s">
        <v>1389</v>
      </c>
      <c r="B87" s="60" t="str">
        <f>IFERROR(VLOOKUP(Proc[[#This Row],[App]],Table2[],3,0),"open")</f>
        <v>ok</v>
      </c>
      <c r="C87" s="62" t="s">
        <v>369</v>
      </c>
      <c r="D87" t="s">
        <v>1388</v>
      </c>
      <c r="E87" t="s">
        <v>1251</v>
      </c>
      <c r="F87" s="105" t="s">
        <v>1251</v>
      </c>
      <c r="G87" s="62" t="s">
        <v>400</v>
      </c>
      <c r="H87" s="60" t="str">
        <f>IF(Proc[[#This Row],[type]]="LFF (MDG-F)",MID(Proc[[#This Row],[Obj]],13,10),"")</f>
        <v/>
      </c>
      <c r="I87" t="s">
        <v>1198</v>
      </c>
      <c r="J87" s="60" t="b">
        <f>Proc[[#This Row],[Requested]]=Proc[[#This Row],[CurrentParent]]</f>
        <v>1</v>
      </c>
      <c r="K87" s="60" t="str">
        <f>IF(Proc[[#This Row],[Author]]="Marcela Urrego",VLOOKUP(LEFT(Proc[[#This Row],[Requested]],1),Table3[#All],2,0),VLOOKUP(Proc[[#This Row],[Author]],Table4[],2,0))</f>
        <v>MGF</v>
      </c>
      <c r="L87" s="60" t="s">
        <v>401</v>
      </c>
      <c r="M87" s="73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137</v>
      </c>
      <c r="R87" s="64" t="s">
        <v>1076</v>
      </c>
      <c r="S87" s="60"/>
    </row>
    <row r="88" spans="1:19" hidden="1">
      <c r="A88" s="62" t="s">
        <v>1389</v>
      </c>
      <c r="B88" s="60" t="str">
        <f>IFERROR(VLOOKUP(Proc[[#This Row],[App]],Table2[],3,0),"open")</f>
        <v>ok</v>
      </c>
      <c r="C88" s="62" t="s">
        <v>369</v>
      </c>
      <c r="D88" t="s">
        <v>1387</v>
      </c>
      <c r="E88" t="s">
        <v>850</v>
      </c>
      <c r="F88" s="105" t="s">
        <v>850</v>
      </c>
      <c r="G88" s="62" t="s">
        <v>400</v>
      </c>
      <c r="H88" s="60" t="str">
        <f>IF(Proc[[#This Row],[type]]="LFF (MDG-F)",MID(Proc[[#This Row],[Obj]],13,10),"")</f>
        <v/>
      </c>
      <c r="I88" t="s">
        <v>1420</v>
      </c>
      <c r="J88" s="60" t="b">
        <f>Proc[[#This Row],[Requested]]=Proc[[#This Row],[CurrentParent]]</f>
        <v>1</v>
      </c>
      <c r="K88" s="60" t="str">
        <f>IF(Proc[[#This Row],[Author]]="Marcela Urrego",VLOOKUP(LEFT(Proc[[#This Row],[Requested]],1),Table3[#All],2,0),VLOOKUP(Proc[[#This Row],[Author]],Table4[],2,0))</f>
        <v>MGF</v>
      </c>
      <c r="L88" s="60" t="s">
        <v>401</v>
      </c>
      <c r="M88" s="73">
        <v>45646.551979166667</v>
      </c>
      <c r="N88" s="73">
        <v>45652</v>
      </c>
      <c r="O88" s="73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1076</v>
      </c>
      <c r="S88" s="60"/>
    </row>
    <row r="89" spans="1:19" hidden="1">
      <c r="A89" s="62" t="s">
        <v>1366</v>
      </c>
      <c r="B89" s="60" t="str">
        <f>IFERROR(VLOOKUP(Proc[[#This Row],[App]],Table2[],3,0),"open")</f>
        <v>ok</v>
      </c>
      <c r="C89" s="62" t="s">
        <v>369</v>
      </c>
      <c r="D89" t="s">
        <v>1367</v>
      </c>
      <c r="E89" t="s">
        <v>565</v>
      </c>
      <c r="F89" s="105" t="s">
        <v>565</v>
      </c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1</v>
      </c>
      <c r="K89" s="60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3">
        <v>45647.538819444446</v>
      </c>
      <c r="N89" s="73">
        <v>45652</v>
      </c>
      <c r="O89" s="73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489</v>
      </c>
      <c r="S89" s="60"/>
    </row>
    <row r="90" spans="1:19" hidden="1">
      <c r="A90" s="62" t="s">
        <v>1366</v>
      </c>
      <c r="B90" s="60" t="str">
        <f>IFERROR(VLOOKUP(Proc[[#This Row],[App]],Table2[],3,0),"open")</f>
        <v>ok</v>
      </c>
      <c r="C90" s="62" t="s">
        <v>369</v>
      </c>
      <c r="D90" t="s">
        <v>1368</v>
      </c>
      <c r="E90" t="s">
        <v>1044</v>
      </c>
      <c r="F90" s="105" t="s">
        <v>1044</v>
      </c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1</v>
      </c>
      <c r="K90" s="60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3">
        <v>45647.538819444446</v>
      </c>
      <c r="N90" s="73">
        <v>45652</v>
      </c>
      <c r="O90" s="73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489</v>
      </c>
      <c r="S90" s="60"/>
    </row>
    <row r="91" spans="1:19" hidden="1">
      <c r="A91" s="62" t="s">
        <v>1366</v>
      </c>
      <c r="B91" s="60" t="str">
        <f>IFERROR(VLOOKUP(Proc[[#This Row],[App]],Table2[],3,0),"open")</f>
        <v>ok</v>
      </c>
      <c r="C91" s="62" t="s">
        <v>369</v>
      </c>
      <c r="D91" t="s">
        <v>1369</v>
      </c>
      <c r="E91" t="s">
        <v>1044</v>
      </c>
      <c r="F91" s="105" t="s">
        <v>1044</v>
      </c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1</v>
      </c>
      <c r="K91" s="60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3">
        <v>45647.538819444446</v>
      </c>
      <c r="N91" s="73">
        <v>45652</v>
      </c>
      <c r="O91" s="73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489</v>
      </c>
      <c r="S91" s="60"/>
    </row>
    <row r="92" spans="1:19" hidden="1">
      <c r="A92" s="62" t="s">
        <v>1366</v>
      </c>
      <c r="B92" s="60" t="str">
        <f>IFERROR(VLOOKUP(Proc[[#This Row],[App]],Table2[],3,0),"open")</f>
        <v>ok</v>
      </c>
      <c r="C92" s="62" t="s">
        <v>369</v>
      </c>
      <c r="D92" t="s">
        <v>1370</v>
      </c>
      <c r="E92" t="s">
        <v>1044</v>
      </c>
      <c r="F92" s="105" t="s">
        <v>1044</v>
      </c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1</v>
      </c>
      <c r="K92" s="60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3">
        <v>45647.538819444446</v>
      </c>
      <c r="N92" s="73">
        <v>45652</v>
      </c>
      <c r="O92" s="73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489</v>
      </c>
      <c r="S92" s="60"/>
    </row>
    <row r="93" spans="1:19" hidden="1">
      <c r="A93" s="62" t="s">
        <v>1366</v>
      </c>
      <c r="B93" s="60" t="str">
        <f>IFERROR(VLOOKUP(Proc[[#This Row],[App]],Table2[],3,0),"open")</f>
        <v>ok</v>
      </c>
      <c r="C93" s="62" t="s">
        <v>369</v>
      </c>
      <c r="D93" t="s">
        <v>1371</v>
      </c>
      <c r="E93" t="s">
        <v>1044</v>
      </c>
      <c r="F93" s="105" t="s">
        <v>1044</v>
      </c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1</v>
      </c>
      <c r="K93" s="60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3">
        <v>45647.538819444446</v>
      </c>
      <c r="N93" s="73">
        <v>45652</v>
      </c>
      <c r="O93" s="73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489</v>
      </c>
      <c r="S93" s="60"/>
    </row>
    <row r="94" spans="1:19" hidden="1">
      <c r="A94" s="62" t="s">
        <v>1366</v>
      </c>
      <c r="B94" s="60" t="str">
        <f>IFERROR(VLOOKUP(Proc[[#This Row],[App]],Table2[],3,0),"open")</f>
        <v>ok</v>
      </c>
      <c r="C94" s="62" t="s">
        <v>369</v>
      </c>
      <c r="D94" t="s">
        <v>1372</v>
      </c>
      <c r="E94" t="s">
        <v>1044</v>
      </c>
      <c r="F94" s="105" t="s">
        <v>1044</v>
      </c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1</v>
      </c>
      <c r="K94" s="60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3">
        <v>45647.538819444446</v>
      </c>
      <c r="N94" s="73">
        <v>45652</v>
      </c>
      <c r="O94" s="73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489</v>
      </c>
      <c r="S94" s="60"/>
    </row>
    <row r="95" spans="1:19" hidden="1">
      <c r="A95" s="62" t="s">
        <v>1366</v>
      </c>
      <c r="B95" s="60" t="str">
        <f>IFERROR(VLOOKUP(Proc[[#This Row],[App]],Table2[],3,0),"open")</f>
        <v>ok</v>
      </c>
      <c r="C95" s="62" t="s">
        <v>369</v>
      </c>
      <c r="D95" t="s">
        <v>1373</v>
      </c>
      <c r="E95" t="s">
        <v>1044</v>
      </c>
      <c r="F95" s="105" t="s">
        <v>1044</v>
      </c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1</v>
      </c>
      <c r="K95" s="60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3">
        <v>45647.538819444446</v>
      </c>
      <c r="N95" s="73">
        <v>45652</v>
      </c>
      <c r="O95" s="73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489</v>
      </c>
      <c r="S95" s="60"/>
    </row>
    <row r="96" spans="1:19" hidden="1">
      <c r="A96" s="62" t="s">
        <v>1366</v>
      </c>
      <c r="B96" s="60" t="str">
        <f>IFERROR(VLOOKUP(Proc[[#This Row],[App]],Table2[],3,0),"open")</f>
        <v>ok</v>
      </c>
      <c r="C96" s="62" t="s">
        <v>369</v>
      </c>
      <c r="D96" t="s">
        <v>1374</v>
      </c>
      <c r="E96" t="s">
        <v>1044</v>
      </c>
      <c r="F96" s="105" t="s">
        <v>1044</v>
      </c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1</v>
      </c>
      <c r="K96" s="60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3">
        <v>45647.538819444446</v>
      </c>
      <c r="N96" s="73">
        <v>45652</v>
      </c>
      <c r="O96" s="73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489</v>
      </c>
      <c r="S96" s="60"/>
    </row>
    <row r="97" spans="1:19" hidden="1">
      <c r="A97" s="62" t="s">
        <v>1366</v>
      </c>
      <c r="B97" s="60" t="str">
        <f>IFERROR(VLOOKUP(Proc[[#This Row],[App]],Table2[],3,0),"open")</f>
        <v>ok</v>
      </c>
      <c r="C97" s="62" t="s">
        <v>369</v>
      </c>
      <c r="D97" t="s">
        <v>1375</v>
      </c>
      <c r="E97" t="s">
        <v>1044</v>
      </c>
      <c r="F97" s="105" t="s">
        <v>1044</v>
      </c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1</v>
      </c>
      <c r="K97" s="60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3">
        <v>45647.538819444446</v>
      </c>
      <c r="N97" s="73">
        <v>45652</v>
      </c>
      <c r="O97" s="73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489</v>
      </c>
      <c r="S97" s="60"/>
    </row>
    <row r="98" spans="1:19" hidden="1">
      <c r="A98" s="62" t="s">
        <v>1366</v>
      </c>
      <c r="B98" s="60" t="str">
        <f>IFERROR(VLOOKUP(Proc[[#This Row],[App]],Table2[],3,0),"open")</f>
        <v>ok</v>
      </c>
      <c r="C98" s="62" t="s">
        <v>369</v>
      </c>
      <c r="D98" t="s">
        <v>1376</v>
      </c>
      <c r="E98" t="s">
        <v>1044</v>
      </c>
      <c r="F98" s="105" t="s">
        <v>1044</v>
      </c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1</v>
      </c>
      <c r="K98" s="60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3">
        <v>45647.538819444446</v>
      </c>
      <c r="N98" s="73">
        <v>45652</v>
      </c>
      <c r="O98" s="73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489</v>
      </c>
      <c r="S98" s="60"/>
    </row>
    <row r="99" spans="1:19" hidden="1">
      <c r="A99" s="62" t="s">
        <v>1366</v>
      </c>
      <c r="B99" s="60" t="str">
        <f>IFERROR(VLOOKUP(Proc[[#This Row],[App]],Table2[],3,0),"open")</f>
        <v>ok</v>
      </c>
      <c r="C99" s="62" t="s">
        <v>369</v>
      </c>
      <c r="D99" t="s">
        <v>1377</v>
      </c>
      <c r="E99" t="s">
        <v>1044</v>
      </c>
      <c r="F99" s="105" t="s">
        <v>1044</v>
      </c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1</v>
      </c>
      <c r="K99" s="60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3">
        <v>45647.538819444446</v>
      </c>
      <c r="N99" s="73">
        <v>45652</v>
      </c>
      <c r="O99" s="73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489</v>
      </c>
      <c r="S99" s="60"/>
    </row>
    <row r="100" spans="1:19" hidden="1">
      <c r="A100" s="62" t="s">
        <v>1366</v>
      </c>
      <c r="B100" s="60" t="str">
        <f>IFERROR(VLOOKUP(Proc[[#This Row],[App]],Table2[],3,0),"open")</f>
        <v>ok</v>
      </c>
      <c r="C100" s="62" t="s">
        <v>369</v>
      </c>
      <c r="D100" t="s">
        <v>1378</v>
      </c>
      <c r="E100" t="s">
        <v>1044</v>
      </c>
      <c r="F100" s="105" t="s">
        <v>1044</v>
      </c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1</v>
      </c>
      <c r="K100" s="60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3">
        <v>45647.538819444446</v>
      </c>
      <c r="N100" s="73">
        <v>45652</v>
      </c>
      <c r="O100" s="73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489</v>
      </c>
      <c r="S100" s="60"/>
    </row>
    <row r="101" spans="1:19" hidden="1">
      <c r="A101" s="62" t="s">
        <v>1366</v>
      </c>
      <c r="B101" s="60" t="str">
        <f>IFERROR(VLOOKUP(Proc[[#This Row],[App]],Table2[],3,0),"open")</f>
        <v>ok</v>
      </c>
      <c r="C101" s="62" t="s">
        <v>369</v>
      </c>
      <c r="D101" t="s">
        <v>1379</v>
      </c>
      <c r="E101" t="s">
        <v>1044</v>
      </c>
      <c r="F101" s="105" t="s">
        <v>1044</v>
      </c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1</v>
      </c>
      <c r="K101" s="60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3">
        <v>45647.538819444446</v>
      </c>
      <c r="N101" s="73">
        <v>45652</v>
      </c>
      <c r="O101" s="73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489</v>
      </c>
      <c r="S101" s="60"/>
    </row>
    <row r="102" spans="1:19" hidden="1">
      <c r="A102" s="62" t="s">
        <v>1366</v>
      </c>
      <c r="B102" s="60" t="str">
        <f>IFERROR(VLOOKUP(Proc[[#This Row],[App]],Table2[],3,0),"open")</f>
        <v>ok</v>
      </c>
      <c r="C102" s="62" t="s">
        <v>369</v>
      </c>
      <c r="D102" t="s">
        <v>1380</v>
      </c>
      <c r="E102" t="s">
        <v>1044</v>
      </c>
      <c r="F102" s="105" t="s">
        <v>1044</v>
      </c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1</v>
      </c>
      <c r="K102" s="60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3">
        <v>45647.538819444446</v>
      </c>
      <c r="N102" s="73">
        <v>45652</v>
      </c>
      <c r="O102" s="73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489</v>
      </c>
      <c r="S102" s="60"/>
    </row>
    <row r="103" spans="1:19" hidden="1">
      <c r="A103" s="62" t="s">
        <v>1366</v>
      </c>
      <c r="B103" s="60" t="str">
        <f>IFERROR(VLOOKUP(Proc[[#This Row],[App]],Table2[],3,0),"open")</f>
        <v>ok</v>
      </c>
      <c r="C103" s="62" t="s">
        <v>369</v>
      </c>
      <c r="D103" t="s">
        <v>1381</v>
      </c>
      <c r="E103" t="s">
        <v>1044</v>
      </c>
      <c r="F103" s="105" t="s">
        <v>1044</v>
      </c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1</v>
      </c>
      <c r="K103" s="60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3">
        <v>45647.538819444446</v>
      </c>
      <c r="N103" s="73">
        <v>45652</v>
      </c>
      <c r="O103" s="73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489</v>
      </c>
      <c r="S103" s="60"/>
    </row>
    <row r="104" spans="1:19" hidden="1">
      <c r="A104" s="62" t="s">
        <v>1366</v>
      </c>
      <c r="B104" s="60" t="str">
        <f>IFERROR(VLOOKUP(Proc[[#This Row],[App]],Table2[],3,0),"open")</f>
        <v>ok</v>
      </c>
      <c r="C104" s="62" t="s">
        <v>369</v>
      </c>
      <c r="D104" t="s">
        <v>1382</v>
      </c>
      <c r="E104" t="s">
        <v>1044</v>
      </c>
      <c r="F104" s="105" t="s">
        <v>1044</v>
      </c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1</v>
      </c>
      <c r="K104" s="60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3">
        <v>45647.538819444446</v>
      </c>
      <c r="N104" s="73">
        <v>45652</v>
      </c>
      <c r="O104" s="73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489</v>
      </c>
      <c r="S104" s="60"/>
    </row>
    <row r="105" spans="1:19" hidden="1">
      <c r="A105" s="62" t="s">
        <v>1366</v>
      </c>
      <c r="B105" s="60" t="str">
        <f>IFERROR(VLOOKUP(Proc[[#This Row],[App]],Table2[],3,0),"open")</f>
        <v>ok</v>
      </c>
      <c r="C105" s="62" t="s">
        <v>369</v>
      </c>
      <c r="D105" t="s">
        <v>1383</v>
      </c>
      <c r="E105" t="s">
        <v>1044</v>
      </c>
      <c r="F105" s="105" t="s">
        <v>1044</v>
      </c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1</v>
      </c>
      <c r="K105" s="60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3">
        <v>45647.538819444446</v>
      </c>
      <c r="N105" s="73">
        <v>45652</v>
      </c>
      <c r="O105" s="73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489</v>
      </c>
      <c r="S105" s="60"/>
    </row>
    <row r="106" spans="1:19" hidden="1">
      <c r="A106" t="s">
        <v>1366</v>
      </c>
      <c r="B106" s="60" t="str">
        <f>IFERROR(VLOOKUP(Proc[[#This Row],[App]],Table2[],3,0),"open")</f>
        <v>ok</v>
      </c>
      <c r="C106" s="62" t="s">
        <v>369</v>
      </c>
      <c r="D106" t="s">
        <v>1384</v>
      </c>
      <c r="E106" t="s">
        <v>1044</v>
      </c>
      <c r="F106" s="105" t="s">
        <v>1044</v>
      </c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1</v>
      </c>
      <c r="K106" s="60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3">
        <v>45647.538819444446</v>
      </c>
      <c r="N106" s="73">
        <v>45652</v>
      </c>
      <c r="O106" s="73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489</v>
      </c>
      <c r="S106" s="60"/>
    </row>
    <row r="107" spans="1:19" hidden="1">
      <c r="A107" s="62" t="s">
        <v>1366</v>
      </c>
      <c r="B107" s="60" t="str">
        <f>IFERROR(VLOOKUP(Proc[[#This Row],[App]],Table2[],3,0),"open")</f>
        <v>ok</v>
      </c>
      <c r="C107" s="62" t="s">
        <v>369</v>
      </c>
      <c r="D107" t="s">
        <v>1385</v>
      </c>
      <c r="E107" t="s">
        <v>1044</v>
      </c>
      <c r="F107" s="105" t="s">
        <v>1044</v>
      </c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1</v>
      </c>
      <c r="K107" s="60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3">
        <v>45647.538819444446</v>
      </c>
      <c r="N107" s="73">
        <v>45652</v>
      </c>
      <c r="O107" s="73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489</v>
      </c>
      <c r="S107" s="60"/>
    </row>
    <row r="108" spans="1:19" hidden="1">
      <c r="A108" s="62" t="s">
        <v>1366</v>
      </c>
      <c r="B108" s="60" t="str">
        <f>IFERROR(VLOOKUP(Proc[[#This Row],[App]],Table2[],3,0),"open")</f>
        <v>ok</v>
      </c>
      <c r="C108" s="62" t="s">
        <v>369</v>
      </c>
      <c r="D108" t="s">
        <v>1386</v>
      </c>
      <c r="E108" t="s">
        <v>1044</v>
      </c>
      <c r="F108" s="105" t="s">
        <v>1044</v>
      </c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1</v>
      </c>
      <c r="K108" s="60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3">
        <v>45647.538819444446</v>
      </c>
      <c r="N108" s="73">
        <v>45652</v>
      </c>
      <c r="O108" s="73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489</v>
      </c>
      <c r="S108" s="60"/>
    </row>
    <row r="109" spans="1:19" hidden="1">
      <c r="A109" t="s">
        <v>1416</v>
      </c>
      <c r="B109" s="60" t="str">
        <f>IFERROR(VLOOKUP(Proc[[#This Row],[App]],Table2[],3,0),"open")</f>
        <v>ok</v>
      </c>
      <c r="C109" s="62" t="s">
        <v>369</v>
      </c>
      <c r="D109" t="s">
        <v>1390</v>
      </c>
      <c r="E109" t="s">
        <v>1391</v>
      </c>
      <c r="F109" s="105" t="s">
        <v>1391</v>
      </c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1</v>
      </c>
      <c r="K109" s="60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3">
        <v>45649.394259259258</v>
      </c>
      <c r="N109" s="73">
        <v>45652</v>
      </c>
      <c r="O109" s="73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830</v>
      </c>
      <c r="S109" s="60"/>
    </row>
    <row r="110" spans="1:19" hidden="1">
      <c r="A110" s="62" t="s">
        <v>1416</v>
      </c>
      <c r="B110" s="60" t="str">
        <f>IFERROR(VLOOKUP(Proc[[#This Row],[App]],Table2[],3,0),"open")</f>
        <v>ok</v>
      </c>
      <c r="C110" s="62" t="s">
        <v>369</v>
      </c>
      <c r="D110" t="s">
        <v>1392</v>
      </c>
      <c r="E110" t="s">
        <v>1391</v>
      </c>
      <c r="F110" s="105" t="s">
        <v>1391</v>
      </c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1</v>
      </c>
      <c r="K110" s="60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3">
        <v>45649.394259259258</v>
      </c>
      <c r="N110" s="73">
        <v>45652</v>
      </c>
      <c r="O110" s="73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830</v>
      </c>
      <c r="S110" s="60"/>
    </row>
    <row r="111" spans="1:19" hidden="1">
      <c r="A111" s="62" t="s">
        <v>1416</v>
      </c>
      <c r="B111" s="60" t="str">
        <f>IFERROR(VLOOKUP(Proc[[#This Row],[App]],Table2[],3,0),"open")</f>
        <v>ok</v>
      </c>
      <c r="C111" s="62" t="s">
        <v>369</v>
      </c>
      <c r="D111" t="s">
        <v>1393</v>
      </c>
      <c r="E111" t="s">
        <v>1391</v>
      </c>
      <c r="F111" s="105" t="s">
        <v>1391</v>
      </c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1</v>
      </c>
      <c r="K111" s="60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3">
        <v>45649.394259259258</v>
      </c>
      <c r="N111" s="73">
        <v>45652</v>
      </c>
      <c r="O111" s="73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830</v>
      </c>
      <c r="S111" s="60"/>
    </row>
    <row r="112" spans="1:19" hidden="1">
      <c r="A112" s="62" t="s">
        <v>1416</v>
      </c>
      <c r="B112" s="60" t="str">
        <f>IFERROR(VLOOKUP(Proc[[#This Row],[App]],Table2[],3,0),"open")</f>
        <v>ok</v>
      </c>
      <c r="C112" s="62" t="s">
        <v>369</v>
      </c>
      <c r="D112" t="s">
        <v>1394</v>
      </c>
      <c r="E112" t="s">
        <v>1391</v>
      </c>
      <c r="F112" s="105" t="s">
        <v>1391</v>
      </c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1</v>
      </c>
      <c r="K112" s="60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3">
        <v>45649.394259259258</v>
      </c>
      <c r="N112" s="73">
        <v>45652</v>
      </c>
      <c r="O112" s="73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830</v>
      </c>
      <c r="S112" s="60"/>
    </row>
    <row r="113" spans="1:19" hidden="1">
      <c r="A113" s="62" t="s">
        <v>1416</v>
      </c>
      <c r="B113" s="60" t="str">
        <f>IFERROR(VLOOKUP(Proc[[#This Row],[App]],Table2[],3,0),"open")</f>
        <v>ok</v>
      </c>
      <c r="C113" s="62" t="s">
        <v>369</v>
      </c>
      <c r="D113" t="s">
        <v>1395</v>
      </c>
      <c r="E113" t="s">
        <v>1391</v>
      </c>
      <c r="F113" s="105" t="s">
        <v>1391</v>
      </c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1</v>
      </c>
      <c r="K113" s="60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3">
        <v>45649.394259259258</v>
      </c>
      <c r="N113" s="73">
        <v>45652</v>
      </c>
      <c r="O113" s="73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830</v>
      </c>
      <c r="S113" s="60"/>
    </row>
    <row r="114" spans="1:19" hidden="1">
      <c r="A114" s="62" t="s">
        <v>1416</v>
      </c>
      <c r="B114" s="60" t="str">
        <f>IFERROR(VLOOKUP(Proc[[#This Row],[App]],Table2[],3,0),"open")</f>
        <v>ok</v>
      </c>
      <c r="C114" s="62" t="s">
        <v>369</v>
      </c>
      <c r="D114" t="s">
        <v>1396</v>
      </c>
      <c r="E114" t="s">
        <v>1391</v>
      </c>
      <c r="F114" s="105" t="s">
        <v>1391</v>
      </c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1</v>
      </c>
      <c r="K114" s="60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3">
        <v>45649.394259259258</v>
      </c>
      <c r="N114" s="73">
        <v>45652</v>
      </c>
      <c r="O114" s="73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830</v>
      </c>
      <c r="S114" s="60"/>
    </row>
    <row r="115" spans="1:19" hidden="1">
      <c r="A115" s="62" t="s">
        <v>1416</v>
      </c>
      <c r="B115" s="60" t="str">
        <f>IFERROR(VLOOKUP(Proc[[#This Row],[App]],Table2[],3,0),"open")</f>
        <v>ok</v>
      </c>
      <c r="C115" s="62" t="s">
        <v>369</v>
      </c>
      <c r="D115" t="s">
        <v>1397</v>
      </c>
      <c r="E115" t="s">
        <v>1391</v>
      </c>
      <c r="F115" s="105" t="s">
        <v>1391</v>
      </c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1</v>
      </c>
      <c r="K115" s="60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3">
        <v>45649.394259259258</v>
      </c>
      <c r="N115" s="73">
        <v>45652</v>
      </c>
      <c r="O115" s="73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830</v>
      </c>
      <c r="S115" s="60"/>
    </row>
    <row r="116" spans="1:19" hidden="1">
      <c r="A116" s="62" t="s">
        <v>1416</v>
      </c>
      <c r="B116" s="60" t="str">
        <f>IFERROR(VLOOKUP(Proc[[#This Row],[App]],Table2[],3,0),"open")</f>
        <v>ok</v>
      </c>
      <c r="C116" s="62" t="s">
        <v>369</v>
      </c>
      <c r="D116" t="s">
        <v>1398</v>
      </c>
      <c r="E116" t="s">
        <v>1391</v>
      </c>
      <c r="F116" s="105" t="s">
        <v>1391</v>
      </c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1</v>
      </c>
      <c r="K116" s="60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3">
        <v>45649.394259259258</v>
      </c>
      <c r="N116" s="73">
        <v>45652</v>
      </c>
      <c r="O116" s="73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830</v>
      </c>
      <c r="S116" s="60"/>
    </row>
    <row r="117" spans="1:19" hidden="1">
      <c r="A117" s="62" t="s">
        <v>1416</v>
      </c>
      <c r="B117" s="60" t="str">
        <f>IFERROR(VLOOKUP(Proc[[#This Row],[App]],Table2[],3,0),"open")</f>
        <v>ok</v>
      </c>
      <c r="C117" s="62" t="s">
        <v>369</v>
      </c>
      <c r="D117" t="s">
        <v>1399</v>
      </c>
      <c r="E117" t="s">
        <v>1391</v>
      </c>
      <c r="F117" s="105" t="s">
        <v>1391</v>
      </c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1</v>
      </c>
      <c r="K117" s="60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3">
        <v>45649.394259259258</v>
      </c>
      <c r="N117" s="73">
        <v>45652</v>
      </c>
      <c r="O117" s="73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830</v>
      </c>
      <c r="S117" s="60"/>
    </row>
    <row r="118" spans="1:19" hidden="1">
      <c r="A118" s="62" t="s">
        <v>1416</v>
      </c>
      <c r="B118" s="60" t="str">
        <f>IFERROR(VLOOKUP(Proc[[#This Row],[App]],Table2[],3,0),"open")</f>
        <v>ok</v>
      </c>
      <c r="C118" s="62" t="s">
        <v>369</v>
      </c>
      <c r="D118" t="s">
        <v>1400</v>
      </c>
      <c r="E118" t="s">
        <v>1391</v>
      </c>
      <c r="F118" s="105" t="s">
        <v>1391</v>
      </c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1</v>
      </c>
      <c r="K118" s="60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3">
        <v>45649.394259259258</v>
      </c>
      <c r="N118" s="73">
        <v>45652</v>
      </c>
      <c r="O118" s="73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830</v>
      </c>
      <c r="S118" s="60"/>
    </row>
    <row r="119" spans="1:19" hidden="1">
      <c r="A119" s="62" t="s">
        <v>1416</v>
      </c>
      <c r="B119" s="60" t="str">
        <f>IFERROR(VLOOKUP(Proc[[#This Row],[App]],Table2[],3,0),"open")</f>
        <v>ok</v>
      </c>
      <c r="C119" s="62" t="s">
        <v>369</v>
      </c>
      <c r="D119" t="s">
        <v>1401</v>
      </c>
      <c r="E119" t="s">
        <v>1391</v>
      </c>
      <c r="F119" s="105" t="s">
        <v>1391</v>
      </c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1</v>
      </c>
      <c r="K119" s="60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3">
        <v>45649.394259259258</v>
      </c>
      <c r="N119" s="73">
        <v>45652</v>
      </c>
      <c r="O119" s="73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830</v>
      </c>
      <c r="S119" s="60"/>
    </row>
    <row r="120" spans="1:19" hidden="1">
      <c r="A120" s="62" t="s">
        <v>1416</v>
      </c>
      <c r="B120" s="60" t="str">
        <f>IFERROR(VLOOKUP(Proc[[#This Row],[App]],Table2[],3,0),"open")</f>
        <v>ok</v>
      </c>
      <c r="C120" s="62" t="s">
        <v>369</v>
      </c>
      <c r="D120" t="s">
        <v>1402</v>
      </c>
      <c r="E120" t="s">
        <v>416</v>
      </c>
      <c r="F120" s="105" t="s">
        <v>416</v>
      </c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1</v>
      </c>
      <c r="K120" s="60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3">
        <v>45649.394259259258</v>
      </c>
      <c r="N120" s="73">
        <v>45652</v>
      </c>
      <c r="O120" s="73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830</v>
      </c>
      <c r="S120" s="60"/>
    </row>
    <row r="121" spans="1:19" hidden="1">
      <c r="A121" s="62" t="s">
        <v>1416</v>
      </c>
      <c r="B121" s="60" t="str">
        <f>IFERROR(VLOOKUP(Proc[[#This Row],[App]],Table2[],3,0),"open")</f>
        <v>ok</v>
      </c>
      <c r="C121" s="62" t="s">
        <v>369</v>
      </c>
      <c r="D121" t="s">
        <v>1403</v>
      </c>
      <c r="E121" t="s">
        <v>1404</v>
      </c>
      <c r="F121" s="105" t="s">
        <v>1404</v>
      </c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1</v>
      </c>
      <c r="K121" s="60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3">
        <v>45649.394259259258</v>
      </c>
      <c r="N121" s="73">
        <v>45652</v>
      </c>
      <c r="O121" s="73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830</v>
      </c>
      <c r="S121" s="60"/>
    </row>
    <row r="122" spans="1:19" hidden="1">
      <c r="A122" s="62" t="s">
        <v>1416</v>
      </c>
      <c r="B122" s="60" t="str">
        <f>IFERROR(VLOOKUP(Proc[[#This Row],[App]],Table2[],3,0),"open")</f>
        <v>ok</v>
      </c>
      <c r="C122" s="62" t="s">
        <v>369</v>
      </c>
      <c r="D122" t="s">
        <v>1405</v>
      </c>
      <c r="E122" t="s">
        <v>1404</v>
      </c>
      <c r="F122" s="105" t="s">
        <v>1404</v>
      </c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1</v>
      </c>
      <c r="K122" s="60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3">
        <v>45649.394259259258</v>
      </c>
      <c r="N122" s="73">
        <v>45652</v>
      </c>
      <c r="O122" s="73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830</v>
      </c>
      <c r="S122" s="60"/>
    </row>
    <row r="123" spans="1:19" hidden="1">
      <c r="A123" s="62" t="s">
        <v>1416</v>
      </c>
      <c r="B123" s="60" t="str">
        <f>IFERROR(VLOOKUP(Proc[[#This Row],[App]],Table2[],3,0),"open")</f>
        <v>ok</v>
      </c>
      <c r="C123" s="62" t="s">
        <v>369</v>
      </c>
      <c r="D123" t="s">
        <v>1406</v>
      </c>
      <c r="E123" t="s">
        <v>1404</v>
      </c>
      <c r="F123" s="105" t="s">
        <v>1404</v>
      </c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1</v>
      </c>
      <c r="K123" s="60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3">
        <v>45649.394259259258</v>
      </c>
      <c r="N123" s="73">
        <v>45652</v>
      </c>
      <c r="O123" s="73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830</v>
      </c>
      <c r="S123" s="60"/>
    </row>
    <row r="124" spans="1:19" hidden="1">
      <c r="A124" s="62" t="s">
        <v>1416</v>
      </c>
      <c r="B124" s="60" t="str">
        <f>IFERROR(VLOOKUP(Proc[[#This Row],[App]],Table2[],3,0),"open")</f>
        <v>ok</v>
      </c>
      <c r="C124" s="62" t="s">
        <v>369</v>
      </c>
      <c r="D124" t="s">
        <v>1407</v>
      </c>
      <c r="E124" t="s">
        <v>1404</v>
      </c>
      <c r="F124" s="105" t="s">
        <v>1404</v>
      </c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1</v>
      </c>
      <c r="K124" s="60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3">
        <v>45649.394259259258</v>
      </c>
      <c r="N124" s="73">
        <v>45652</v>
      </c>
      <c r="O124" s="73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830</v>
      </c>
      <c r="S124" s="60"/>
    </row>
    <row r="125" spans="1:19" hidden="1">
      <c r="A125" s="62" t="s">
        <v>1416</v>
      </c>
      <c r="B125" s="60" t="str">
        <f>IFERROR(VLOOKUP(Proc[[#This Row],[App]],Table2[],3,0),"open")</f>
        <v>ok</v>
      </c>
      <c r="C125" s="62" t="s">
        <v>369</v>
      </c>
      <c r="D125" t="s">
        <v>1408</v>
      </c>
      <c r="E125" t="s">
        <v>1409</v>
      </c>
      <c r="F125" s="105" t="s">
        <v>1409</v>
      </c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1</v>
      </c>
      <c r="K125" s="60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3">
        <v>45649.394259259258</v>
      </c>
      <c r="N125" s="73">
        <v>45652</v>
      </c>
      <c r="O125" s="73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830</v>
      </c>
      <c r="S125" s="60"/>
    </row>
    <row r="126" spans="1:19" hidden="1">
      <c r="A126" s="62" t="s">
        <v>1416</v>
      </c>
      <c r="B126" s="60" t="str">
        <f>IFERROR(VLOOKUP(Proc[[#This Row],[App]],Table2[],3,0),"open")</f>
        <v>ok</v>
      </c>
      <c r="C126" s="62" t="s">
        <v>369</v>
      </c>
      <c r="D126" t="s">
        <v>1410</v>
      </c>
      <c r="E126" t="s">
        <v>1411</v>
      </c>
      <c r="F126" s="105" t="s">
        <v>1411</v>
      </c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1</v>
      </c>
      <c r="K126" s="60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3">
        <v>45649.394259259258</v>
      </c>
      <c r="N126" s="73">
        <v>45652</v>
      </c>
      <c r="O126" s="73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830</v>
      </c>
      <c r="S126" s="60"/>
    </row>
    <row r="127" spans="1:19" hidden="1">
      <c r="A127" s="62" t="s">
        <v>1416</v>
      </c>
      <c r="B127" s="60" t="str">
        <f>IFERROR(VLOOKUP(Proc[[#This Row],[App]],Table2[],3,0),"open")</f>
        <v>ok</v>
      </c>
      <c r="C127" s="62" t="s">
        <v>369</v>
      </c>
      <c r="D127" t="s">
        <v>1412</v>
      </c>
      <c r="E127" t="s">
        <v>1411</v>
      </c>
      <c r="F127" s="105" t="s">
        <v>1411</v>
      </c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1</v>
      </c>
      <c r="K127" s="60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3">
        <v>45649.394259259258</v>
      </c>
      <c r="N127" s="73">
        <v>45652</v>
      </c>
      <c r="O127" s="73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830</v>
      </c>
      <c r="S127" s="60"/>
    </row>
    <row r="128" spans="1:19" hidden="1">
      <c r="A128" s="62" t="s">
        <v>1416</v>
      </c>
      <c r="B128" s="60" t="str">
        <f>IFERROR(VLOOKUP(Proc[[#This Row],[App]],Table2[],3,0),"open")</f>
        <v>ok</v>
      </c>
      <c r="C128" s="62" t="s">
        <v>369</v>
      </c>
      <c r="D128" t="s">
        <v>1413</v>
      </c>
      <c r="E128" t="s">
        <v>1237</v>
      </c>
      <c r="F128" s="105" t="s">
        <v>1237</v>
      </c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1</v>
      </c>
      <c r="K128" s="60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3">
        <v>45649.394259259258</v>
      </c>
      <c r="N128" s="73">
        <v>45652</v>
      </c>
      <c r="O128" s="73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830</v>
      </c>
      <c r="S128" s="60"/>
    </row>
    <row r="129" spans="1:19" hidden="1">
      <c r="A129" s="62" t="s">
        <v>1416</v>
      </c>
      <c r="B129" s="60" t="str">
        <f>IFERROR(VLOOKUP(Proc[[#This Row],[App]],Table2[],3,0),"open")</f>
        <v>ok</v>
      </c>
      <c r="C129" s="62" t="s">
        <v>369</v>
      </c>
      <c r="D129" t="s">
        <v>1414</v>
      </c>
      <c r="E129" t="s">
        <v>1415</v>
      </c>
      <c r="F129" s="105" t="s">
        <v>1415</v>
      </c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1</v>
      </c>
      <c r="K129" s="60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3">
        <v>45649.394259259258</v>
      </c>
      <c r="N129" s="73">
        <v>45652</v>
      </c>
      <c r="O129" s="73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830</v>
      </c>
      <c r="S129" s="60"/>
    </row>
    <row r="130" spans="1:19" hidden="1">
      <c r="A130" t="s">
        <v>1419</v>
      </c>
      <c r="B130" s="60" t="str">
        <f>IFERROR(VLOOKUP(Proc[[#This Row],[App]],Table2[],3,0),"open")</f>
        <v>ok</v>
      </c>
      <c r="C130" s="62" t="s">
        <v>369</v>
      </c>
      <c r="D130" t="s">
        <v>1417</v>
      </c>
      <c r="E130" t="s">
        <v>735</v>
      </c>
      <c r="F130" s="105" t="s">
        <v>735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1</v>
      </c>
      <c r="K130" s="60" t="str">
        <f>IF(Proc[[#This Row],[Author]]="Marcela Urrego",VLOOKUP(LEFT(Proc[[#This Row],[Requested]],1),Table3[#All],2,0),VLOOKUP(Proc[[#This Row],[Author]],Table4[],2,0))</f>
        <v>MGF</v>
      </c>
      <c r="L130" s="60" t="s">
        <v>401</v>
      </c>
      <c r="M130" s="73">
        <v>45649.402777777781</v>
      </c>
      <c r="N130" s="73">
        <v>45652</v>
      </c>
      <c r="O130" s="73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1076</v>
      </c>
      <c r="S130" s="60"/>
    </row>
    <row r="131" spans="1:19" hidden="1">
      <c r="A131" t="s">
        <v>1419</v>
      </c>
      <c r="B131" s="60" t="str">
        <f>IFERROR(VLOOKUP(Proc[[#This Row],[App]],Table2[],3,0),"open")</f>
        <v>ok</v>
      </c>
      <c r="C131" s="62" t="s">
        <v>369</v>
      </c>
      <c r="D131" t="s">
        <v>1418</v>
      </c>
      <c r="E131" t="s">
        <v>735</v>
      </c>
      <c r="F131" s="105" t="s">
        <v>735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1</v>
      </c>
      <c r="K131" s="60" t="str">
        <f>IF(Proc[[#This Row],[Author]]="Marcela Urrego",VLOOKUP(LEFT(Proc[[#This Row],[Requested]],1),Table3[#All],2,0),VLOOKUP(Proc[[#This Row],[Author]],Table4[],2,0))</f>
        <v>MGF</v>
      </c>
      <c r="L131" s="60" t="s">
        <v>401</v>
      </c>
      <c r="M131" s="73">
        <v>45649.402777777781</v>
      </c>
      <c r="N131" s="73">
        <v>45652</v>
      </c>
      <c r="O131" s="73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1076</v>
      </c>
      <c r="S131" s="60"/>
    </row>
    <row r="132" spans="1:19" hidden="1">
      <c r="A132" t="s">
        <v>1451</v>
      </c>
      <c r="B132" s="60" t="str">
        <f>IFERROR(VLOOKUP(Proc[[#This Row],[App]],Table2[],3,0),"open")</f>
        <v>ok</v>
      </c>
      <c r="C132" t="s">
        <v>369</v>
      </c>
      <c r="D132" s="45" t="s">
        <v>1422</v>
      </c>
      <c r="E132" s="45" t="s">
        <v>774</v>
      </c>
      <c r="F132" s="105" t="s">
        <v>774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1</v>
      </c>
      <c r="K132" s="60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3">
        <v>45652.450636574074</v>
      </c>
      <c r="N132" s="73">
        <v>45659</v>
      </c>
      <c r="O132" s="73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489</v>
      </c>
      <c r="S132" s="60"/>
    </row>
    <row r="133" spans="1:19" hidden="1">
      <c r="A133" s="62" t="s">
        <v>1451</v>
      </c>
      <c r="B133" s="60" t="str">
        <f>IFERROR(VLOOKUP(Proc[[#This Row],[App]],Table2[],3,0),"open")</f>
        <v>ok</v>
      </c>
      <c r="C133" s="62" t="s">
        <v>369</v>
      </c>
      <c r="D133" s="45" t="s">
        <v>1423</v>
      </c>
      <c r="E133" s="45" t="s">
        <v>774</v>
      </c>
      <c r="F133" s="105" t="s">
        <v>774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1</v>
      </c>
      <c r="K133" s="60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3">
        <v>45652.450636574074</v>
      </c>
      <c r="N133" s="73">
        <v>45659</v>
      </c>
      <c r="O133" s="73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489</v>
      </c>
      <c r="S133" s="60"/>
    </row>
    <row r="134" spans="1:19" hidden="1">
      <c r="A134" s="62" t="s">
        <v>1451</v>
      </c>
      <c r="B134" s="60" t="str">
        <f>IFERROR(VLOOKUP(Proc[[#This Row],[App]],Table2[],3,0),"open")</f>
        <v>ok</v>
      </c>
      <c r="C134" s="62" t="s">
        <v>369</v>
      </c>
      <c r="D134" s="45" t="s">
        <v>1424</v>
      </c>
      <c r="E134" s="45" t="s">
        <v>524</v>
      </c>
      <c r="F134" s="105" t="s">
        <v>524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1</v>
      </c>
      <c r="K134" s="60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3">
        <v>45652.450636574074</v>
      </c>
      <c r="N134" s="73">
        <v>45659</v>
      </c>
      <c r="O134" s="73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489</v>
      </c>
      <c r="S134" s="60"/>
    </row>
    <row r="135" spans="1:19" hidden="1">
      <c r="A135" s="62" t="s">
        <v>1451</v>
      </c>
      <c r="B135" s="60" t="str">
        <f>IFERROR(VLOOKUP(Proc[[#This Row],[App]],Table2[],3,0),"open")</f>
        <v>ok</v>
      </c>
      <c r="C135" s="62" t="s">
        <v>369</v>
      </c>
      <c r="D135" s="45" t="s">
        <v>1425</v>
      </c>
      <c r="E135" s="45" t="s">
        <v>547</v>
      </c>
      <c r="F135" s="105" t="s">
        <v>547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1</v>
      </c>
      <c r="K135" s="60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3">
        <v>45652.450636574074</v>
      </c>
      <c r="N135" s="73">
        <v>45659</v>
      </c>
      <c r="O135" s="73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489</v>
      </c>
      <c r="S135" s="60"/>
    </row>
    <row r="136" spans="1:19" hidden="1">
      <c r="A136" s="62" t="s">
        <v>1451</v>
      </c>
      <c r="B136" s="60" t="str">
        <f>IFERROR(VLOOKUP(Proc[[#This Row],[App]],Table2[],3,0),"open")</f>
        <v>ok</v>
      </c>
      <c r="C136" s="62" t="s">
        <v>369</v>
      </c>
      <c r="D136" s="45" t="s">
        <v>1426</v>
      </c>
      <c r="E136" s="45" t="s">
        <v>547</v>
      </c>
      <c r="F136" s="105" t="s">
        <v>547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1</v>
      </c>
      <c r="K136" s="60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3">
        <v>45652.450636574074</v>
      </c>
      <c r="N136" s="73">
        <v>45659</v>
      </c>
      <c r="O136" s="73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489</v>
      </c>
      <c r="S136" s="60"/>
    </row>
    <row r="137" spans="1:19" hidden="1">
      <c r="A137" s="62" t="s">
        <v>1451</v>
      </c>
      <c r="B137" s="60" t="str">
        <f>IFERROR(VLOOKUP(Proc[[#This Row],[App]],Table2[],3,0),"open")</f>
        <v>ok</v>
      </c>
      <c r="C137" s="62" t="s">
        <v>369</v>
      </c>
      <c r="D137" s="45" t="s">
        <v>1427</v>
      </c>
      <c r="E137" s="45" t="s">
        <v>1428</v>
      </c>
      <c r="F137" s="105" t="s">
        <v>1428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1</v>
      </c>
      <c r="K137" s="60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3">
        <v>45652.450636574074</v>
      </c>
      <c r="N137" s="73">
        <v>45659</v>
      </c>
      <c r="O137" s="73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489</v>
      </c>
      <c r="S137" s="60"/>
    </row>
    <row r="138" spans="1:19" hidden="1">
      <c r="A138" s="62" t="s">
        <v>1451</v>
      </c>
      <c r="B138" s="60" t="str">
        <f>IFERROR(VLOOKUP(Proc[[#This Row],[App]],Table2[],3,0),"open")</f>
        <v>ok</v>
      </c>
      <c r="C138" s="62" t="s">
        <v>369</v>
      </c>
      <c r="D138" s="45" t="s">
        <v>1429</v>
      </c>
      <c r="E138" s="45" t="s">
        <v>1090</v>
      </c>
      <c r="F138" s="105" t="s">
        <v>1090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1</v>
      </c>
      <c r="K138" s="60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3">
        <v>45652.450636574074</v>
      </c>
      <c r="N138" s="73">
        <v>45659</v>
      </c>
      <c r="O138" s="73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489</v>
      </c>
      <c r="S138" s="60"/>
    </row>
    <row r="139" spans="1:19" hidden="1">
      <c r="A139" s="62" t="s">
        <v>1451</v>
      </c>
      <c r="B139" s="60" t="str">
        <f>IFERROR(VLOOKUP(Proc[[#This Row],[App]],Table2[],3,0),"open")</f>
        <v>ok</v>
      </c>
      <c r="C139" s="62" t="s">
        <v>369</v>
      </c>
      <c r="D139" s="45" t="s">
        <v>1430</v>
      </c>
      <c r="E139" s="45" t="s">
        <v>1431</v>
      </c>
      <c r="F139" s="105" t="s">
        <v>1431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1</v>
      </c>
      <c r="K139" s="60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3">
        <v>45652.450636574074</v>
      </c>
      <c r="N139" s="73">
        <v>45659</v>
      </c>
      <c r="O139" s="73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489</v>
      </c>
      <c r="S139" s="60"/>
    </row>
    <row r="140" spans="1:19" hidden="1">
      <c r="A140" s="62" t="s">
        <v>1451</v>
      </c>
      <c r="B140" s="60" t="str">
        <f>IFERROR(VLOOKUP(Proc[[#This Row],[App]],Table2[],3,0),"open")</f>
        <v>ok</v>
      </c>
      <c r="C140" s="62" t="s">
        <v>369</v>
      </c>
      <c r="D140" s="45" t="s">
        <v>1432</v>
      </c>
      <c r="E140" s="45" t="s">
        <v>1433</v>
      </c>
      <c r="F140" s="105" t="s">
        <v>1433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1</v>
      </c>
      <c r="K140" s="60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3">
        <v>45652.450636574074</v>
      </c>
      <c r="N140" s="73">
        <v>45659</v>
      </c>
      <c r="O140" s="73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489</v>
      </c>
      <c r="S140" s="60"/>
    </row>
    <row r="141" spans="1:19" hidden="1">
      <c r="A141" s="62" t="s">
        <v>1451</v>
      </c>
      <c r="B141" s="60" t="str">
        <f>IFERROR(VLOOKUP(Proc[[#This Row],[App]],Table2[],3,0),"open")</f>
        <v>ok</v>
      </c>
      <c r="C141" s="62" t="s">
        <v>369</v>
      </c>
      <c r="D141" s="45" t="s">
        <v>1434</v>
      </c>
      <c r="E141" s="45" t="s">
        <v>1433</v>
      </c>
      <c r="F141" s="105" t="s">
        <v>1433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1</v>
      </c>
      <c r="K141" s="60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3">
        <v>45652.450636574074</v>
      </c>
      <c r="N141" s="73">
        <v>45659</v>
      </c>
      <c r="O141" s="73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489</v>
      </c>
      <c r="S141" s="60"/>
    </row>
    <row r="142" spans="1:19" hidden="1">
      <c r="A142" s="62" t="s">
        <v>1451</v>
      </c>
      <c r="B142" s="60" t="str">
        <f>IFERROR(VLOOKUP(Proc[[#This Row],[App]],Table2[],3,0),"open")</f>
        <v>ok</v>
      </c>
      <c r="C142" s="62" t="s">
        <v>369</v>
      </c>
      <c r="D142" s="45" t="s">
        <v>1435</v>
      </c>
      <c r="E142" s="45" t="s">
        <v>524</v>
      </c>
      <c r="F142" s="105" t="s">
        <v>524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1</v>
      </c>
      <c r="K142" s="60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3">
        <v>45652.450636574074</v>
      </c>
      <c r="N142" s="73">
        <v>45659</v>
      </c>
      <c r="O142" s="73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489</v>
      </c>
      <c r="S142" s="60"/>
    </row>
    <row r="143" spans="1:19" hidden="1">
      <c r="A143" s="62" t="s">
        <v>1451</v>
      </c>
      <c r="B143" s="60" t="str">
        <f>IFERROR(VLOOKUP(Proc[[#This Row],[App]],Table2[],3,0),"open")</f>
        <v>ok</v>
      </c>
      <c r="C143" s="62" t="s">
        <v>369</v>
      </c>
      <c r="D143" s="45" t="s">
        <v>1436</v>
      </c>
      <c r="E143" s="45" t="s">
        <v>546</v>
      </c>
      <c r="F143" s="105" t="s">
        <v>546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1</v>
      </c>
      <c r="K143" s="60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3">
        <v>45652.450636574074</v>
      </c>
      <c r="N143" s="73">
        <v>45659</v>
      </c>
      <c r="O143" s="73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489</v>
      </c>
      <c r="S143" s="60"/>
    </row>
    <row r="144" spans="1:19" hidden="1">
      <c r="A144" s="62" t="s">
        <v>1451</v>
      </c>
      <c r="B144" s="60" t="str">
        <f>IFERROR(VLOOKUP(Proc[[#This Row],[App]],Table2[],3,0),"open")</f>
        <v>ok</v>
      </c>
      <c r="C144" s="62" t="s">
        <v>369</v>
      </c>
      <c r="D144" s="45" t="s">
        <v>1437</v>
      </c>
      <c r="E144" s="45" t="s">
        <v>524</v>
      </c>
      <c r="F144" s="105" t="s">
        <v>524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1</v>
      </c>
      <c r="K144" s="60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3">
        <v>45652.450636574074</v>
      </c>
      <c r="N144" s="73">
        <v>45659</v>
      </c>
      <c r="O144" s="73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489</v>
      </c>
      <c r="S144" s="60"/>
    </row>
    <row r="145" spans="1:19" hidden="1">
      <c r="A145" s="62" t="s">
        <v>1451</v>
      </c>
      <c r="B145" s="60" t="str">
        <f>IFERROR(VLOOKUP(Proc[[#This Row],[App]],Table2[],3,0),"open")</f>
        <v>ok</v>
      </c>
      <c r="C145" s="62" t="s">
        <v>369</v>
      </c>
      <c r="D145" s="45" t="s">
        <v>1438</v>
      </c>
      <c r="E145" s="45" t="s">
        <v>524</v>
      </c>
      <c r="F145" s="105" t="s">
        <v>524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1</v>
      </c>
      <c r="K145" s="60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3">
        <v>45652.450636574074</v>
      </c>
      <c r="N145" s="73">
        <v>45659</v>
      </c>
      <c r="O145" s="73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489</v>
      </c>
      <c r="S145" s="60"/>
    </row>
    <row r="146" spans="1:19" hidden="1">
      <c r="A146" s="62" t="s">
        <v>1451</v>
      </c>
      <c r="B146" s="60" t="str">
        <f>IFERROR(VLOOKUP(Proc[[#This Row],[App]],Table2[],3,0),"open")</f>
        <v>ok</v>
      </c>
      <c r="C146" s="62" t="s">
        <v>369</v>
      </c>
      <c r="D146" s="45" t="s">
        <v>1439</v>
      </c>
      <c r="E146" s="45" t="s">
        <v>524</v>
      </c>
      <c r="F146" s="105" t="s">
        <v>524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1</v>
      </c>
      <c r="K146" s="60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3">
        <v>45652.450636574074</v>
      </c>
      <c r="N146" s="73">
        <v>45659</v>
      </c>
      <c r="O146" s="73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489</v>
      </c>
      <c r="S146" s="60"/>
    </row>
    <row r="147" spans="1:19" hidden="1">
      <c r="A147" s="62" t="s">
        <v>1451</v>
      </c>
      <c r="B147" s="60" t="str">
        <f>IFERROR(VLOOKUP(Proc[[#This Row],[App]],Table2[],3,0),"open")</f>
        <v>ok</v>
      </c>
      <c r="C147" s="62" t="s">
        <v>369</v>
      </c>
      <c r="D147" s="45" t="s">
        <v>1440</v>
      </c>
      <c r="E147" s="45" t="s">
        <v>565</v>
      </c>
      <c r="F147" s="105" t="s">
        <v>565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1</v>
      </c>
      <c r="K147" s="60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3">
        <v>45652.450636574074</v>
      </c>
      <c r="N147" s="73">
        <v>45659</v>
      </c>
      <c r="O147" s="73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489</v>
      </c>
      <c r="S147" s="60"/>
    </row>
    <row r="148" spans="1:19" hidden="1">
      <c r="A148" s="62" t="s">
        <v>1451</v>
      </c>
      <c r="B148" s="60" t="str">
        <f>IFERROR(VLOOKUP(Proc[[#This Row],[App]],Table2[],3,0),"open")</f>
        <v>ok</v>
      </c>
      <c r="C148" s="62" t="s">
        <v>369</v>
      </c>
      <c r="D148" s="45" t="s">
        <v>1441</v>
      </c>
      <c r="E148" s="45" t="s">
        <v>524</v>
      </c>
      <c r="F148" s="105" t="s">
        <v>524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1</v>
      </c>
      <c r="K148" s="60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3">
        <v>45652.450636574074</v>
      </c>
      <c r="N148" s="73">
        <v>45659</v>
      </c>
      <c r="O148" s="73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489</v>
      </c>
      <c r="S148" s="60"/>
    </row>
    <row r="149" spans="1:19" hidden="1">
      <c r="A149" s="62" t="s">
        <v>1451</v>
      </c>
      <c r="B149" s="60" t="str">
        <f>IFERROR(VLOOKUP(Proc[[#This Row],[App]],Table2[],3,0),"open")</f>
        <v>ok</v>
      </c>
      <c r="C149" s="62" t="s">
        <v>369</v>
      </c>
      <c r="D149" s="62" t="s">
        <v>1442</v>
      </c>
      <c r="E149" s="62" t="s">
        <v>524</v>
      </c>
      <c r="F149" s="105" t="s">
        <v>524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1</v>
      </c>
      <c r="K149" s="60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3">
        <v>45652.450636574074</v>
      </c>
      <c r="N149" s="73">
        <v>45659</v>
      </c>
      <c r="O149" s="73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489</v>
      </c>
      <c r="S149" s="60"/>
    </row>
    <row r="150" spans="1:19" hidden="1">
      <c r="A150" s="62" t="s">
        <v>1451</v>
      </c>
      <c r="B150" s="60" t="str">
        <f>IFERROR(VLOOKUP(Proc[[#This Row],[App]],Table2[],3,0),"open")</f>
        <v>ok</v>
      </c>
      <c r="C150" s="62" t="s">
        <v>369</v>
      </c>
      <c r="D150" s="62" t="s">
        <v>1443</v>
      </c>
      <c r="E150" s="62" t="s">
        <v>524</v>
      </c>
      <c r="F150" s="105" t="s">
        <v>524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1</v>
      </c>
      <c r="K150" s="60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3">
        <v>45652.450636574074</v>
      </c>
      <c r="N150" s="73">
        <v>45659</v>
      </c>
      <c r="O150" s="73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489</v>
      </c>
      <c r="S150" s="60"/>
    </row>
    <row r="151" spans="1:19" hidden="1">
      <c r="A151" s="62" t="s">
        <v>1451</v>
      </c>
      <c r="B151" s="60" t="str">
        <f>IFERROR(VLOOKUP(Proc[[#This Row],[App]],Table2[],3,0),"open")</f>
        <v>ok</v>
      </c>
      <c r="C151" s="62" t="s">
        <v>369</v>
      </c>
      <c r="D151" s="62" t="s">
        <v>1444</v>
      </c>
      <c r="E151" s="62" t="s">
        <v>524</v>
      </c>
      <c r="F151" s="105" t="s">
        <v>524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1</v>
      </c>
      <c r="K151" s="60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3">
        <v>45652.450636574074</v>
      </c>
      <c r="N151" s="73">
        <v>45659</v>
      </c>
      <c r="O151" s="73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489</v>
      </c>
      <c r="S151" s="60"/>
    </row>
    <row r="152" spans="1:19" hidden="1">
      <c r="A152" s="62" t="s">
        <v>1451</v>
      </c>
      <c r="B152" s="60" t="str">
        <f>IFERROR(VLOOKUP(Proc[[#This Row],[App]],Table2[],3,0),"open")</f>
        <v>ok</v>
      </c>
      <c r="C152" s="62" t="s">
        <v>369</v>
      </c>
      <c r="D152" s="62" t="s">
        <v>1445</v>
      </c>
      <c r="E152" s="62" t="s">
        <v>524</v>
      </c>
      <c r="F152" s="105" t="s">
        <v>524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1</v>
      </c>
      <c r="K152" s="60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3">
        <v>45652.450636574074</v>
      </c>
      <c r="N152" s="73">
        <v>45659</v>
      </c>
      <c r="O152" s="73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489</v>
      </c>
      <c r="S152" s="60"/>
    </row>
    <row r="153" spans="1:19" hidden="1">
      <c r="A153" s="62" t="s">
        <v>1451</v>
      </c>
      <c r="B153" s="60" t="str">
        <f>IFERROR(VLOOKUP(Proc[[#This Row],[App]],Table2[],3,0),"open")</f>
        <v>ok</v>
      </c>
      <c r="C153" s="62" t="s">
        <v>369</v>
      </c>
      <c r="D153" s="62" t="s">
        <v>1446</v>
      </c>
      <c r="E153" s="62" t="s">
        <v>1447</v>
      </c>
      <c r="F153" s="105" t="s">
        <v>1447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1</v>
      </c>
      <c r="K153" s="60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3">
        <v>45652.450636574074</v>
      </c>
      <c r="N153" s="73">
        <v>45659</v>
      </c>
      <c r="O153" s="73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489</v>
      </c>
      <c r="S153" s="60"/>
    </row>
    <row r="154" spans="1:19" hidden="1">
      <c r="A154" s="62" t="s">
        <v>1451</v>
      </c>
      <c r="B154" s="60" t="str">
        <f>IFERROR(VLOOKUP(Proc[[#This Row],[App]],Table2[],3,0),"open")</f>
        <v>ok</v>
      </c>
      <c r="C154" s="62" t="s">
        <v>369</v>
      </c>
      <c r="D154" s="62" t="s">
        <v>1448</v>
      </c>
      <c r="E154" s="62" t="s">
        <v>524</v>
      </c>
      <c r="F154" s="105" t="s">
        <v>524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1</v>
      </c>
      <c r="K154" s="60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3">
        <v>45652.450636574074</v>
      </c>
      <c r="N154" s="73">
        <v>45659</v>
      </c>
      <c r="O154" s="73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489</v>
      </c>
      <c r="S154" s="60"/>
    </row>
    <row r="155" spans="1:19" hidden="1">
      <c r="A155" s="62" t="s">
        <v>1451</v>
      </c>
      <c r="B155" s="60" t="str">
        <f>IFERROR(VLOOKUP(Proc[[#This Row],[App]],Table2[],3,0),"open")</f>
        <v>ok</v>
      </c>
      <c r="C155" s="62" t="s">
        <v>369</v>
      </c>
      <c r="D155" s="62" t="s">
        <v>1449</v>
      </c>
      <c r="E155" s="62" t="s">
        <v>524</v>
      </c>
      <c r="F155" s="105" t="s">
        <v>524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1</v>
      </c>
      <c r="K155" s="60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3">
        <v>45652.450636574074</v>
      </c>
      <c r="N155" s="73">
        <v>45659</v>
      </c>
      <c r="O155" s="73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489</v>
      </c>
      <c r="S155" s="60"/>
    </row>
    <row r="156" spans="1:19" hidden="1">
      <c r="A156" s="62" t="s">
        <v>1451</v>
      </c>
      <c r="B156" s="60" t="str">
        <f>IFERROR(VLOOKUP(Proc[[#This Row],[App]],Table2[],3,0),"open")</f>
        <v>ok</v>
      </c>
      <c r="C156" s="62" t="s">
        <v>369</v>
      </c>
      <c r="D156" s="62" t="s">
        <v>1450</v>
      </c>
      <c r="E156" s="62" t="s">
        <v>524</v>
      </c>
      <c r="F156" s="105" t="s">
        <v>524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1</v>
      </c>
      <c r="K156" s="60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3">
        <v>45652.450636574074</v>
      </c>
      <c r="N156" s="73">
        <v>45659</v>
      </c>
      <c r="O156" s="73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489</v>
      </c>
      <c r="S156" s="60"/>
    </row>
    <row r="157" spans="1:19" hidden="1">
      <c r="A157" s="62" t="s">
        <v>1454</v>
      </c>
      <c r="B157" s="60" t="str">
        <f>IFERROR(VLOOKUP(Proc[[#This Row],[App]],Table2[],3,0),"open")</f>
        <v>ok</v>
      </c>
      <c r="C157" s="62" t="s">
        <v>369</v>
      </c>
      <c r="D157" t="s">
        <v>1452</v>
      </c>
      <c r="E157" t="s">
        <v>531</v>
      </c>
      <c r="F157" s="105" t="s">
        <v>531</v>
      </c>
      <c r="G157" t="s">
        <v>400</v>
      </c>
      <c r="H157" s="60" t="str">
        <f>IF(Proc[[#This Row],[type]]="LFF (MDG-F)",MID(Proc[[#This Row],[Obj]],13,10),"")</f>
        <v/>
      </c>
      <c r="I157" t="s">
        <v>1493</v>
      </c>
      <c r="J157" s="60" t="b">
        <f>Proc[[#This Row],[Requested]]=Proc[[#This Row],[CurrentParent]]</f>
        <v>1</v>
      </c>
      <c r="K157" s="60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3">
        <v>45659.374143518522</v>
      </c>
      <c r="N157" s="73">
        <v>45671</v>
      </c>
      <c r="O157" s="73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515</v>
      </c>
      <c r="S157" s="60"/>
    </row>
    <row r="158" spans="1:19" hidden="1">
      <c r="A158" s="62" t="s">
        <v>1454</v>
      </c>
      <c r="B158" s="60" t="str">
        <f>IFERROR(VLOOKUP(Proc[[#This Row],[App]],Table2[],3,0),"open")</f>
        <v>ok</v>
      </c>
      <c r="C158" s="62" t="s">
        <v>369</v>
      </c>
      <c r="D158" t="s">
        <v>1453</v>
      </c>
      <c r="E158" t="s">
        <v>531</v>
      </c>
      <c r="F158" s="105" t="s">
        <v>531</v>
      </c>
      <c r="G158" s="62" t="s">
        <v>400</v>
      </c>
      <c r="H158" s="60" t="str">
        <f>IF(Proc[[#This Row],[type]]="LFF (MDG-F)",MID(Proc[[#This Row],[Obj]],13,10),"")</f>
        <v/>
      </c>
      <c r="I158" s="62" t="s">
        <v>1493</v>
      </c>
      <c r="J158" s="60" t="b">
        <f>Proc[[#This Row],[Requested]]=Proc[[#This Row],[CurrentParent]]</f>
        <v>1</v>
      </c>
      <c r="K158" s="60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3">
        <v>45659.374143518522</v>
      </c>
      <c r="N158" s="73">
        <v>45671</v>
      </c>
      <c r="O158" s="73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515</v>
      </c>
      <c r="S158" s="60"/>
    </row>
    <row r="159" spans="1:19" hidden="1">
      <c r="A159" t="s">
        <v>1455</v>
      </c>
      <c r="B159" s="60" t="str">
        <f>IFERROR(VLOOKUP(Proc[[#This Row],[App]],Table2[],3,0),"open")</f>
        <v>ok</v>
      </c>
      <c r="C159" s="62" t="s">
        <v>369</v>
      </c>
      <c r="D159" t="s">
        <v>1387</v>
      </c>
      <c r="E159" t="s">
        <v>850</v>
      </c>
      <c r="F159" s="105" t="s">
        <v>850</v>
      </c>
      <c r="G159" s="62" t="s">
        <v>400</v>
      </c>
      <c r="H159" s="60" t="str">
        <f>IF(Proc[[#This Row],[type]]="LFF (MDG-F)",MID(Proc[[#This Row],[Obj]],13,10),"")</f>
        <v/>
      </c>
      <c r="I159" s="62" t="s">
        <v>1493</v>
      </c>
      <c r="J159" s="60" t="b">
        <f>Proc[[#This Row],[Requested]]=Proc[[#This Row],[CurrentParent]]</f>
        <v>1</v>
      </c>
      <c r="K159" s="60" t="str">
        <f>IF(Proc[[#This Row],[Author]]="Marcela Urrego",VLOOKUP(LEFT(Proc[[#This Row],[Requested]],1),Table3[#All],2,0),VLOOKUP(Proc[[#This Row],[Author]],Table4[],2,0))</f>
        <v>MGF</v>
      </c>
      <c r="L159" s="60" t="s">
        <v>401</v>
      </c>
      <c r="M159" s="73">
        <v>45660.525243055556</v>
      </c>
      <c r="N159" s="73">
        <v>45671</v>
      </c>
      <c r="O159" s="73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1076</v>
      </c>
      <c r="S159" s="60"/>
    </row>
    <row r="160" spans="1:19" hidden="1">
      <c r="A160" t="s">
        <v>1460</v>
      </c>
      <c r="B160" s="60" t="str">
        <f>IFERROR(VLOOKUP(Proc[[#This Row],[App]],Table2[],3,0),"open")</f>
        <v>ok</v>
      </c>
      <c r="C160" s="62" t="s">
        <v>369</v>
      </c>
      <c r="D160" t="s">
        <v>1456</v>
      </c>
      <c r="E160" t="s">
        <v>1458</v>
      </c>
      <c r="F160" s="105" t="s">
        <v>1458</v>
      </c>
      <c r="G160" s="62" t="s">
        <v>400</v>
      </c>
      <c r="H160" s="60" t="str">
        <f>IF(Proc[[#This Row],[type]]="LFF (MDG-F)",MID(Proc[[#This Row],[Obj]],13,10),"")</f>
        <v/>
      </c>
      <c r="I160" s="62" t="s">
        <v>1493</v>
      </c>
      <c r="J160" s="60" t="b">
        <f>Proc[[#This Row],[Requested]]=Proc[[#This Row],[CurrentParent]]</f>
        <v>1</v>
      </c>
      <c r="K160" s="60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3">
        <v>45663.631412037037</v>
      </c>
      <c r="N160" s="73">
        <v>45671</v>
      </c>
      <c r="O160" s="73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1459</v>
      </c>
      <c r="S160" s="60"/>
    </row>
    <row r="161" spans="1:19" hidden="1">
      <c r="A161" s="62" t="s">
        <v>1460</v>
      </c>
      <c r="B161" s="60" t="str">
        <f>IFERROR(VLOOKUP(Proc[[#This Row],[App]],Table2[],3,0),"open")</f>
        <v>ok</v>
      </c>
      <c r="C161" s="62" t="s">
        <v>369</v>
      </c>
      <c r="D161" t="s">
        <v>1457</v>
      </c>
      <c r="E161" t="s">
        <v>859</v>
      </c>
      <c r="F161" s="105" t="s">
        <v>859</v>
      </c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1</v>
      </c>
      <c r="K161" s="60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3">
        <v>45663.631412037037</v>
      </c>
      <c r="N161" s="73">
        <v>45671</v>
      </c>
      <c r="O161" s="73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1459</v>
      </c>
      <c r="S161" s="60"/>
    </row>
    <row r="162" spans="1:19" hidden="1">
      <c r="A162" t="s">
        <v>1461</v>
      </c>
      <c r="B162" s="60" t="str">
        <f>IFERROR(VLOOKUP(Proc[[#This Row],[App]],Table2[],3,0),"open")</f>
        <v>ok</v>
      </c>
      <c r="C162" s="62" t="s">
        <v>369</v>
      </c>
      <c r="D162" t="s">
        <v>1462</v>
      </c>
      <c r="E162" t="s">
        <v>427</v>
      </c>
      <c r="F162" s="105" t="s">
        <v>427</v>
      </c>
      <c r="G162" s="62" t="s">
        <v>400</v>
      </c>
      <c r="H162" s="60" t="str">
        <f>IF(Proc[[#This Row],[type]]="LFF (MDG-F)",MID(Proc[[#This Row],[Obj]],13,10),"")</f>
        <v/>
      </c>
      <c r="I162" t="s">
        <v>1493</v>
      </c>
      <c r="J162" s="60" t="b">
        <f>Proc[[#This Row],[Requested]]=Proc[[#This Row],[CurrentParent]]</f>
        <v>1</v>
      </c>
      <c r="K162" s="60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3">
        <v>45663.702314814815</v>
      </c>
      <c r="N162" s="73">
        <v>45671</v>
      </c>
      <c r="O162" s="73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1459</v>
      </c>
      <c r="S162" s="60"/>
    </row>
    <row r="163" spans="1:19" hidden="1">
      <c r="A163" s="62" t="s">
        <v>1461</v>
      </c>
      <c r="B163" s="60" t="str">
        <f>IFERROR(VLOOKUP(Proc[[#This Row],[App]],Table2[],3,0),"open")</f>
        <v>ok</v>
      </c>
      <c r="C163" s="62" t="s">
        <v>369</v>
      </c>
      <c r="D163" t="s">
        <v>1463</v>
      </c>
      <c r="E163" t="s">
        <v>425</v>
      </c>
      <c r="F163" s="105" t="s">
        <v>425</v>
      </c>
      <c r="G163" s="62" t="s">
        <v>400</v>
      </c>
      <c r="H163" s="60" t="str">
        <f>IF(Proc[[#This Row],[type]]="LFF (MDG-F)",MID(Proc[[#This Row],[Obj]],13,10),"")</f>
        <v/>
      </c>
      <c r="I163" t="s">
        <v>1493</v>
      </c>
      <c r="J163" s="60" t="b">
        <f>Proc[[#This Row],[Requested]]=Proc[[#This Row],[CurrentParent]]</f>
        <v>1</v>
      </c>
      <c r="K163" s="60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3">
        <v>45663.702314814815</v>
      </c>
      <c r="N163" s="73">
        <v>45671</v>
      </c>
      <c r="O163" s="73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1459</v>
      </c>
      <c r="S163" s="60"/>
    </row>
    <row r="164" spans="1:19" hidden="1">
      <c r="A164" t="s">
        <v>1488</v>
      </c>
      <c r="B164" s="60" t="str">
        <f>IFERROR(VLOOKUP(Proc[[#This Row],[App]],Table2[],3,0),"open")</f>
        <v>ok</v>
      </c>
      <c r="C164" s="62" t="s">
        <v>369</v>
      </c>
      <c r="D164" s="65" t="s">
        <v>1487</v>
      </c>
      <c r="E164" s="65" t="s">
        <v>626</v>
      </c>
      <c r="F164" s="105" t="s">
        <v>626</v>
      </c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1</v>
      </c>
      <c r="K164" s="60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3">
        <v>45664.385011574072</v>
      </c>
      <c r="N164" s="73">
        <v>45666</v>
      </c>
      <c r="O164" s="73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549</v>
      </c>
      <c r="S164" s="60"/>
    </row>
    <row r="165" spans="1:19" hidden="1">
      <c r="A165" s="62" t="s">
        <v>1486</v>
      </c>
      <c r="B165" s="60" t="str">
        <f>IFERROR(VLOOKUP(Proc[[#This Row],[App]],Table2[],3,0),"open")</f>
        <v>ok</v>
      </c>
      <c r="C165" s="62" t="s">
        <v>369</v>
      </c>
      <c r="D165" t="s">
        <v>1485</v>
      </c>
      <c r="E165" t="s">
        <v>631</v>
      </c>
      <c r="F165" s="105" t="s">
        <v>631</v>
      </c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1</v>
      </c>
      <c r="K165" s="60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3">
        <v>45664.390173611115</v>
      </c>
      <c r="N165" s="73">
        <v>45666</v>
      </c>
      <c r="O165" s="73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549</v>
      </c>
      <c r="S165" s="60"/>
    </row>
    <row r="166" spans="1:19" hidden="1">
      <c r="A166" s="62" t="s">
        <v>1486</v>
      </c>
      <c r="B166" s="60" t="str">
        <f>IFERROR(VLOOKUP(Proc[[#This Row],[App]],Table2[],3,0),"open")</f>
        <v>ok</v>
      </c>
      <c r="C166" s="62" t="s">
        <v>369</v>
      </c>
      <c r="D166" t="s">
        <v>625</v>
      </c>
      <c r="E166" t="s">
        <v>631</v>
      </c>
      <c r="F166" s="105" t="s">
        <v>631</v>
      </c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1</v>
      </c>
      <c r="K166" s="60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3">
        <v>45664.390173611115</v>
      </c>
      <c r="N166" s="73">
        <v>45666</v>
      </c>
      <c r="O166" s="73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549</v>
      </c>
      <c r="S166" s="60"/>
    </row>
    <row r="167" spans="1:19" hidden="1">
      <c r="A167" s="62" t="s">
        <v>1484</v>
      </c>
      <c r="B167" s="60" t="str">
        <f>IFERROR(VLOOKUP(Proc[[#This Row],[App]],Table2[],3,0),"open")</f>
        <v>ok</v>
      </c>
      <c r="C167" s="62" t="s">
        <v>369</v>
      </c>
      <c r="D167" t="s">
        <v>1464</v>
      </c>
      <c r="E167" t="s">
        <v>1020</v>
      </c>
      <c r="F167" s="105" t="s">
        <v>1020</v>
      </c>
      <c r="G167" s="62" t="s">
        <v>400</v>
      </c>
      <c r="H167" s="60" t="str">
        <f>IF(Proc[[#This Row],[type]]="LFF (MDG-F)",MID(Proc[[#This Row],[Obj]],13,10),"")</f>
        <v/>
      </c>
      <c r="I167" t="s">
        <v>1493</v>
      </c>
      <c r="J167" s="60" t="b">
        <f>Proc[[#This Row],[Requested]]=Proc[[#This Row],[CurrentParent]]</f>
        <v>1</v>
      </c>
      <c r="K167" s="60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3">
        <v>45664.540486111109</v>
      </c>
      <c r="N167" s="73">
        <v>45671</v>
      </c>
      <c r="O167" s="73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494</v>
      </c>
      <c r="S167" s="60"/>
    </row>
    <row r="168" spans="1:19" hidden="1">
      <c r="A168" s="62" t="s">
        <v>1484</v>
      </c>
      <c r="B168" s="60" t="str">
        <f>IFERROR(VLOOKUP(Proc[[#This Row],[App]],Table2[],3,0),"open")</f>
        <v>ok</v>
      </c>
      <c r="C168" s="62" t="s">
        <v>369</v>
      </c>
      <c r="D168" t="s">
        <v>1465</v>
      </c>
      <c r="E168" t="s">
        <v>1021</v>
      </c>
      <c r="F168" s="105" t="s">
        <v>1021</v>
      </c>
      <c r="G168" s="62" t="s">
        <v>400</v>
      </c>
      <c r="H168" s="60" t="str">
        <f>IF(Proc[[#This Row],[type]]="LFF (MDG-F)",MID(Proc[[#This Row],[Obj]],13,10),"")</f>
        <v/>
      </c>
      <c r="I168" t="s">
        <v>1493</v>
      </c>
      <c r="J168" s="60" t="b">
        <f>Proc[[#This Row],[Requested]]=Proc[[#This Row],[CurrentParent]]</f>
        <v>1</v>
      </c>
      <c r="K168" s="60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3">
        <v>45664.540486111109</v>
      </c>
      <c r="N168" s="73">
        <v>45671</v>
      </c>
      <c r="O168" s="73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494</v>
      </c>
      <c r="S168" s="60"/>
    </row>
    <row r="169" spans="1:19" hidden="1">
      <c r="A169" s="62" t="s">
        <v>1484</v>
      </c>
      <c r="B169" s="60" t="str">
        <f>IFERROR(VLOOKUP(Proc[[#This Row],[App]],Table2[],3,0),"open")</f>
        <v>ok</v>
      </c>
      <c r="C169" s="62" t="s">
        <v>369</v>
      </c>
      <c r="D169" t="s">
        <v>1466</v>
      </c>
      <c r="E169" t="s">
        <v>1022</v>
      </c>
      <c r="F169" s="105" t="s">
        <v>1022</v>
      </c>
      <c r="G169" s="62" t="s">
        <v>400</v>
      </c>
      <c r="H169" s="60" t="str">
        <f>IF(Proc[[#This Row],[type]]="LFF (MDG-F)",MID(Proc[[#This Row],[Obj]],13,10),"")</f>
        <v/>
      </c>
      <c r="I169" t="s">
        <v>1493</v>
      </c>
      <c r="J169" s="60" t="b">
        <f>Proc[[#This Row],[Requested]]=Proc[[#This Row],[CurrentParent]]</f>
        <v>1</v>
      </c>
      <c r="K169" s="60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3">
        <v>45664.540486111109</v>
      </c>
      <c r="N169" s="73">
        <v>45671</v>
      </c>
      <c r="O169" s="73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494</v>
      </c>
      <c r="S169" s="60"/>
    </row>
    <row r="170" spans="1:19" hidden="1">
      <c r="A170" s="62" t="s">
        <v>1484</v>
      </c>
      <c r="B170" s="60" t="str">
        <f>IFERROR(VLOOKUP(Proc[[#This Row],[App]],Table2[],3,0),"open")</f>
        <v>ok</v>
      </c>
      <c r="C170" s="62" t="s">
        <v>369</v>
      </c>
      <c r="D170" t="s">
        <v>1467</v>
      </c>
      <c r="E170" t="s">
        <v>508</v>
      </c>
      <c r="F170" s="105" t="s">
        <v>508</v>
      </c>
      <c r="G170" s="62" t="s">
        <v>400</v>
      </c>
      <c r="H170" s="60" t="str">
        <f>IF(Proc[[#This Row],[type]]="LFF (MDG-F)",MID(Proc[[#This Row],[Obj]],13,10),"")</f>
        <v/>
      </c>
      <c r="I170" t="s">
        <v>1493</v>
      </c>
      <c r="J170" s="60" t="b">
        <f>Proc[[#This Row],[Requested]]=Proc[[#This Row],[CurrentParent]]</f>
        <v>1</v>
      </c>
      <c r="K170" s="60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3">
        <v>45664.540486111109</v>
      </c>
      <c r="N170" s="73">
        <v>45671</v>
      </c>
      <c r="O170" s="73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494</v>
      </c>
      <c r="S170" s="60"/>
    </row>
    <row r="171" spans="1:19" hidden="1">
      <c r="A171" s="62" t="s">
        <v>1484</v>
      </c>
      <c r="B171" s="60" t="str">
        <f>IFERROR(VLOOKUP(Proc[[#This Row],[App]],Table2[],3,0),"open")</f>
        <v>ok</v>
      </c>
      <c r="C171" s="62" t="s">
        <v>369</v>
      </c>
      <c r="D171" t="s">
        <v>1468</v>
      </c>
      <c r="E171" t="s">
        <v>495</v>
      </c>
      <c r="F171" s="105" t="s">
        <v>495</v>
      </c>
      <c r="G171" s="62" t="s">
        <v>400</v>
      </c>
      <c r="H171" s="60" t="str">
        <f>IF(Proc[[#This Row],[type]]="LFF (MDG-F)",MID(Proc[[#This Row],[Obj]],13,10),"")</f>
        <v/>
      </c>
      <c r="I171" t="s">
        <v>1493</v>
      </c>
      <c r="J171" s="60" t="b">
        <f>Proc[[#This Row],[Requested]]=Proc[[#This Row],[CurrentParent]]</f>
        <v>1</v>
      </c>
      <c r="K171" s="60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3">
        <v>45664.540486111109</v>
      </c>
      <c r="N171" s="73">
        <v>45671</v>
      </c>
      <c r="O171" s="73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494</v>
      </c>
      <c r="S171" s="60"/>
    </row>
    <row r="172" spans="1:19" hidden="1">
      <c r="A172" s="62" t="s">
        <v>1484</v>
      </c>
      <c r="B172" s="60" t="str">
        <f>IFERROR(VLOOKUP(Proc[[#This Row],[App]],Table2[],3,0),"open")</f>
        <v>ok</v>
      </c>
      <c r="C172" s="62" t="s">
        <v>369</v>
      </c>
      <c r="D172" t="s">
        <v>1469</v>
      </c>
      <c r="E172" t="s">
        <v>1023</v>
      </c>
      <c r="F172" s="105" t="s">
        <v>1023</v>
      </c>
      <c r="G172" s="62" t="s">
        <v>400</v>
      </c>
      <c r="H172" s="60" t="str">
        <f>IF(Proc[[#This Row],[type]]="LFF (MDG-F)",MID(Proc[[#This Row],[Obj]],13,10),"")</f>
        <v/>
      </c>
      <c r="I172" t="s">
        <v>1493</v>
      </c>
      <c r="J172" s="60" t="b">
        <f>Proc[[#This Row],[Requested]]=Proc[[#This Row],[CurrentParent]]</f>
        <v>1</v>
      </c>
      <c r="K172" s="60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3">
        <v>45664.540486111109</v>
      </c>
      <c r="N172" s="73">
        <v>45671</v>
      </c>
      <c r="O172" s="73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494</v>
      </c>
      <c r="S172" s="60"/>
    </row>
    <row r="173" spans="1:19" hidden="1">
      <c r="A173" s="62" t="s">
        <v>1484</v>
      </c>
      <c r="B173" s="60" t="str">
        <f>IFERROR(VLOOKUP(Proc[[#This Row],[App]],Table2[],3,0),"open")</f>
        <v>ok</v>
      </c>
      <c r="C173" s="62" t="s">
        <v>369</v>
      </c>
      <c r="D173" t="s">
        <v>1470</v>
      </c>
      <c r="E173" t="s">
        <v>538</v>
      </c>
      <c r="F173" s="105" t="s">
        <v>538</v>
      </c>
      <c r="G173" s="62" t="s">
        <v>400</v>
      </c>
      <c r="H173" s="60" t="str">
        <f>IF(Proc[[#This Row],[type]]="LFF (MDG-F)",MID(Proc[[#This Row],[Obj]],13,10),"")</f>
        <v/>
      </c>
      <c r="I173" t="s">
        <v>1493</v>
      </c>
      <c r="J173" s="60" t="b">
        <f>Proc[[#This Row],[Requested]]=Proc[[#This Row],[CurrentParent]]</f>
        <v>1</v>
      </c>
      <c r="K173" s="60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3">
        <v>45664.540486111109</v>
      </c>
      <c r="N173" s="73">
        <v>45671</v>
      </c>
      <c r="O173" s="73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494</v>
      </c>
      <c r="S173" s="60"/>
    </row>
    <row r="174" spans="1:19" hidden="1">
      <c r="A174" s="62" t="s">
        <v>1484</v>
      </c>
      <c r="B174" s="60" t="str">
        <f>IFERROR(VLOOKUP(Proc[[#This Row],[App]],Table2[],3,0),"open")</f>
        <v>ok</v>
      </c>
      <c r="C174" s="62" t="s">
        <v>369</v>
      </c>
      <c r="D174" t="s">
        <v>1471</v>
      </c>
      <c r="E174" t="s">
        <v>1024</v>
      </c>
      <c r="F174" s="105" t="s">
        <v>1024</v>
      </c>
      <c r="G174" s="62" t="s">
        <v>400</v>
      </c>
      <c r="H174" s="60" t="str">
        <f>IF(Proc[[#This Row],[type]]="LFF (MDG-F)",MID(Proc[[#This Row],[Obj]],13,10),"")</f>
        <v/>
      </c>
      <c r="I174" t="s">
        <v>1493</v>
      </c>
      <c r="J174" s="60" t="b">
        <f>Proc[[#This Row],[Requested]]=Proc[[#This Row],[CurrentParent]]</f>
        <v>1</v>
      </c>
      <c r="K174" s="60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3">
        <v>45664.540486111109</v>
      </c>
      <c r="N174" s="73">
        <v>45671</v>
      </c>
      <c r="O174" s="73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494</v>
      </c>
      <c r="S174" s="60"/>
    </row>
    <row r="175" spans="1:19" hidden="1">
      <c r="A175" s="62" t="s">
        <v>1484</v>
      </c>
      <c r="B175" s="60" t="str">
        <f>IFERROR(VLOOKUP(Proc[[#This Row],[App]],Table2[],3,0),"open")</f>
        <v>ok</v>
      </c>
      <c r="C175" s="62" t="s">
        <v>369</v>
      </c>
      <c r="D175" t="s">
        <v>1472</v>
      </c>
      <c r="E175" t="s">
        <v>537</v>
      </c>
      <c r="F175" s="105" t="s">
        <v>537</v>
      </c>
      <c r="G175" s="62" t="s">
        <v>400</v>
      </c>
      <c r="H175" s="60" t="str">
        <f>IF(Proc[[#This Row],[type]]="LFF (MDG-F)",MID(Proc[[#This Row],[Obj]],13,10),"")</f>
        <v/>
      </c>
      <c r="I175" t="s">
        <v>1493</v>
      </c>
      <c r="J175" s="60" t="b">
        <f>Proc[[#This Row],[Requested]]=Proc[[#This Row],[CurrentParent]]</f>
        <v>1</v>
      </c>
      <c r="K175" s="60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3">
        <v>45664.540486111109</v>
      </c>
      <c r="N175" s="73">
        <v>45671</v>
      </c>
      <c r="O175" s="73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494</v>
      </c>
      <c r="S175" s="60"/>
    </row>
    <row r="176" spans="1:19" hidden="1">
      <c r="A176" s="62" t="s">
        <v>1484</v>
      </c>
      <c r="B176" s="60" t="str">
        <f>IFERROR(VLOOKUP(Proc[[#This Row],[App]],Table2[],3,0),"open")</f>
        <v>ok</v>
      </c>
      <c r="C176" s="62" t="s">
        <v>369</v>
      </c>
      <c r="D176" t="s">
        <v>1473</v>
      </c>
      <c r="E176" t="s">
        <v>537</v>
      </c>
      <c r="F176" s="105" t="s">
        <v>537</v>
      </c>
      <c r="G176" s="62" t="s">
        <v>400</v>
      </c>
      <c r="H176" s="60" t="str">
        <f>IF(Proc[[#This Row],[type]]="LFF (MDG-F)",MID(Proc[[#This Row],[Obj]],13,10),"")</f>
        <v/>
      </c>
      <c r="I176" t="s">
        <v>1493</v>
      </c>
      <c r="J176" s="60" t="b">
        <f>Proc[[#This Row],[Requested]]=Proc[[#This Row],[CurrentParent]]</f>
        <v>1</v>
      </c>
      <c r="K176" s="60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3">
        <v>45664.540486111109</v>
      </c>
      <c r="N176" s="73">
        <v>45671</v>
      </c>
      <c r="O176" s="73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494</v>
      </c>
      <c r="S176" s="60"/>
    </row>
    <row r="177" spans="1:19" hidden="1">
      <c r="A177" s="62" t="s">
        <v>1484</v>
      </c>
      <c r="B177" s="60" t="str">
        <f>IFERROR(VLOOKUP(Proc[[#This Row],[App]],Table2[],3,0),"open")</f>
        <v>ok</v>
      </c>
      <c r="C177" s="62" t="s">
        <v>369</v>
      </c>
      <c r="D177" t="s">
        <v>1474</v>
      </c>
      <c r="E177" t="s">
        <v>537</v>
      </c>
      <c r="F177" s="105" t="s">
        <v>537</v>
      </c>
      <c r="G177" s="62" t="s">
        <v>400</v>
      </c>
      <c r="H177" s="60" t="str">
        <f>IF(Proc[[#This Row],[type]]="LFF (MDG-F)",MID(Proc[[#This Row],[Obj]],13,10),"")</f>
        <v/>
      </c>
      <c r="I177" t="s">
        <v>1493</v>
      </c>
      <c r="J177" s="60" t="b">
        <f>Proc[[#This Row],[Requested]]=Proc[[#This Row],[CurrentParent]]</f>
        <v>1</v>
      </c>
      <c r="K177" s="60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3">
        <v>45664.540486111109</v>
      </c>
      <c r="N177" s="73">
        <v>45671</v>
      </c>
      <c r="O177" s="73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494</v>
      </c>
      <c r="S177" s="60"/>
    </row>
    <row r="178" spans="1:19" hidden="1">
      <c r="A178" s="62" t="s">
        <v>1484</v>
      </c>
      <c r="B178" s="60" t="str">
        <f>IFERROR(VLOOKUP(Proc[[#This Row],[App]],Table2[],3,0),"open")</f>
        <v>ok</v>
      </c>
      <c r="C178" s="62" t="s">
        <v>369</v>
      </c>
      <c r="D178" t="s">
        <v>1475</v>
      </c>
      <c r="E178" t="s">
        <v>537</v>
      </c>
      <c r="F178" s="105" t="s">
        <v>537</v>
      </c>
      <c r="G178" s="62" t="s">
        <v>400</v>
      </c>
      <c r="H178" s="60" t="str">
        <f>IF(Proc[[#This Row],[type]]="LFF (MDG-F)",MID(Proc[[#This Row],[Obj]],13,10),"")</f>
        <v/>
      </c>
      <c r="I178" t="s">
        <v>1493</v>
      </c>
      <c r="J178" s="60" t="b">
        <f>Proc[[#This Row],[Requested]]=Proc[[#This Row],[CurrentParent]]</f>
        <v>1</v>
      </c>
      <c r="K178" s="60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3">
        <v>45664.540486111109</v>
      </c>
      <c r="N178" s="73">
        <v>45671</v>
      </c>
      <c r="O178" s="73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494</v>
      </c>
      <c r="S178" s="60"/>
    </row>
    <row r="179" spans="1:19" hidden="1">
      <c r="A179" s="62" t="s">
        <v>1484</v>
      </c>
      <c r="B179" s="60" t="str">
        <f>IFERROR(VLOOKUP(Proc[[#This Row],[App]],Table2[],3,0),"open")</f>
        <v>ok</v>
      </c>
      <c r="C179" s="62" t="s">
        <v>369</v>
      </c>
      <c r="D179" t="s">
        <v>1476</v>
      </c>
      <c r="E179" t="s">
        <v>537</v>
      </c>
      <c r="F179" s="105" t="s">
        <v>537</v>
      </c>
      <c r="G179" s="62" t="s">
        <v>400</v>
      </c>
      <c r="H179" s="60" t="str">
        <f>IF(Proc[[#This Row],[type]]="LFF (MDG-F)",MID(Proc[[#This Row],[Obj]],13,10),"")</f>
        <v/>
      </c>
      <c r="I179" t="s">
        <v>1493</v>
      </c>
      <c r="J179" s="60" t="b">
        <f>Proc[[#This Row],[Requested]]=Proc[[#This Row],[CurrentParent]]</f>
        <v>1</v>
      </c>
      <c r="K179" s="60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3">
        <v>45664.540486111109</v>
      </c>
      <c r="N179" s="73">
        <v>45671</v>
      </c>
      <c r="O179" s="73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494</v>
      </c>
      <c r="S179" s="60"/>
    </row>
    <row r="180" spans="1:19" hidden="1">
      <c r="A180" s="62" t="s">
        <v>1484</v>
      </c>
      <c r="B180" s="60" t="str">
        <f>IFERROR(VLOOKUP(Proc[[#This Row],[App]],Table2[],3,0),"open")</f>
        <v>ok</v>
      </c>
      <c r="C180" s="62" t="s">
        <v>369</v>
      </c>
      <c r="D180" t="s">
        <v>1477</v>
      </c>
      <c r="E180" t="s">
        <v>1019</v>
      </c>
      <c r="F180" s="105" t="s">
        <v>1019</v>
      </c>
      <c r="G180" s="62" t="s">
        <v>400</v>
      </c>
      <c r="H180" s="60" t="str">
        <f>IF(Proc[[#This Row],[type]]="LFF (MDG-F)",MID(Proc[[#This Row],[Obj]],13,10),"")</f>
        <v/>
      </c>
      <c r="I180" t="s">
        <v>1493</v>
      </c>
      <c r="J180" s="60" t="b">
        <f>Proc[[#This Row],[Requested]]=Proc[[#This Row],[CurrentParent]]</f>
        <v>1</v>
      </c>
      <c r="K180" s="60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3">
        <v>45664.540486111109</v>
      </c>
      <c r="N180" s="73">
        <v>45671</v>
      </c>
      <c r="O180" s="73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494</v>
      </c>
      <c r="S180" s="60"/>
    </row>
    <row r="181" spans="1:19" hidden="1">
      <c r="A181" s="62" t="s">
        <v>1484</v>
      </c>
      <c r="B181" s="60" t="str">
        <f>IFERROR(VLOOKUP(Proc[[#This Row],[App]],Table2[],3,0),"open")</f>
        <v>ok</v>
      </c>
      <c r="C181" s="62" t="s">
        <v>369</v>
      </c>
      <c r="D181" t="s">
        <v>1478</v>
      </c>
      <c r="E181" t="s">
        <v>1019</v>
      </c>
      <c r="F181" s="105" t="s">
        <v>1019</v>
      </c>
      <c r="G181" s="62" t="s">
        <v>400</v>
      </c>
      <c r="H181" s="60" t="str">
        <f>IF(Proc[[#This Row],[type]]="LFF (MDG-F)",MID(Proc[[#This Row],[Obj]],13,10),"")</f>
        <v/>
      </c>
      <c r="I181" t="s">
        <v>1493</v>
      </c>
      <c r="J181" s="60" t="b">
        <f>Proc[[#This Row],[Requested]]=Proc[[#This Row],[CurrentParent]]</f>
        <v>1</v>
      </c>
      <c r="K181" s="60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3">
        <v>45664.540486111109</v>
      </c>
      <c r="N181" s="73">
        <v>45671</v>
      </c>
      <c r="O181" s="73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494</v>
      </c>
      <c r="S181" s="60"/>
    </row>
    <row r="182" spans="1:19" hidden="1">
      <c r="A182" s="62" t="s">
        <v>1484</v>
      </c>
      <c r="B182" s="60" t="str">
        <f>IFERROR(VLOOKUP(Proc[[#This Row],[App]],Table2[],3,0),"open")</f>
        <v>ok</v>
      </c>
      <c r="C182" s="62" t="s">
        <v>369</v>
      </c>
      <c r="D182" t="s">
        <v>1479</v>
      </c>
      <c r="E182" t="s">
        <v>1019</v>
      </c>
      <c r="F182" s="105" t="s">
        <v>1019</v>
      </c>
      <c r="G182" s="62" t="s">
        <v>400</v>
      </c>
      <c r="H182" s="60" t="str">
        <f>IF(Proc[[#This Row],[type]]="LFF (MDG-F)",MID(Proc[[#This Row],[Obj]],13,10),"")</f>
        <v/>
      </c>
      <c r="I182" t="s">
        <v>1493</v>
      </c>
      <c r="J182" s="60" t="b">
        <f>Proc[[#This Row],[Requested]]=Proc[[#This Row],[CurrentParent]]</f>
        <v>1</v>
      </c>
      <c r="K182" s="60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3">
        <v>45664.540486111109</v>
      </c>
      <c r="N182" s="73">
        <v>45671</v>
      </c>
      <c r="O182" s="73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494</v>
      </c>
      <c r="S182" s="60"/>
    </row>
    <row r="183" spans="1:19" hidden="1">
      <c r="A183" s="62" t="s">
        <v>1484</v>
      </c>
      <c r="B183" s="60" t="str">
        <f>IFERROR(VLOOKUP(Proc[[#This Row],[App]],Table2[],3,0),"open")</f>
        <v>ok</v>
      </c>
      <c r="C183" s="62" t="s">
        <v>369</v>
      </c>
      <c r="D183" t="s">
        <v>1480</v>
      </c>
      <c r="E183" t="s">
        <v>1019</v>
      </c>
      <c r="F183" s="105" t="s">
        <v>1019</v>
      </c>
      <c r="G183" s="62" t="s">
        <v>400</v>
      </c>
      <c r="H183" s="60" t="str">
        <f>IF(Proc[[#This Row],[type]]="LFF (MDG-F)",MID(Proc[[#This Row],[Obj]],13,10),"")</f>
        <v/>
      </c>
      <c r="I183" t="s">
        <v>1493</v>
      </c>
      <c r="J183" s="60" t="b">
        <f>Proc[[#This Row],[Requested]]=Proc[[#This Row],[CurrentParent]]</f>
        <v>1</v>
      </c>
      <c r="K183" s="60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3">
        <v>45664.540486111109</v>
      </c>
      <c r="N183" s="73">
        <v>45671</v>
      </c>
      <c r="O183" s="73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494</v>
      </c>
      <c r="S183" s="60"/>
    </row>
    <row r="184" spans="1:19" hidden="1">
      <c r="A184" t="s">
        <v>1484</v>
      </c>
      <c r="B184" s="60" t="str">
        <f>IFERROR(VLOOKUP(Proc[[#This Row],[App]],Table2[],3,0),"open")</f>
        <v>ok</v>
      </c>
      <c r="C184" s="62" t="s">
        <v>369</v>
      </c>
      <c r="D184" t="s">
        <v>1481</v>
      </c>
      <c r="E184" t="s">
        <v>1019</v>
      </c>
      <c r="F184" s="105" t="s">
        <v>1019</v>
      </c>
      <c r="G184" s="62" t="s">
        <v>400</v>
      </c>
      <c r="H184" s="60" t="str">
        <f>IF(Proc[[#This Row],[type]]="LFF (MDG-F)",MID(Proc[[#This Row],[Obj]],13,10),"")</f>
        <v/>
      </c>
      <c r="I184" t="s">
        <v>1493</v>
      </c>
      <c r="J184" s="60" t="b">
        <f>Proc[[#This Row],[Requested]]=Proc[[#This Row],[CurrentParent]]</f>
        <v>1</v>
      </c>
      <c r="K184" s="60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3">
        <v>45664.540486111109</v>
      </c>
      <c r="N184" s="73">
        <v>45671</v>
      </c>
      <c r="O184" s="73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494</v>
      </c>
      <c r="S184" s="60"/>
    </row>
    <row r="185" spans="1:19" hidden="1">
      <c r="A185" s="62" t="s">
        <v>1484</v>
      </c>
      <c r="B185" s="60" t="str">
        <f>IFERROR(VLOOKUP(Proc[[#This Row],[App]],Table2[],3,0),"open")</f>
        <v>ok</v>
      </c>
      <c r="C185" s="62" t="s">
        <v>369</v>
      </c>
      <c r="D185" t="s">
        <v>1482</v>
      </c>
      <c r="E185" t="s">
        <v>1019</v>
      </c>
      <c r="F185" s="105" t="s">
        <v>1019</v>
      </c>
      <c r="G185" s="62" t="s">
        <v>400</v>
      </c>
      <c r="H185" s="60" t="str">
        <f>IF(Proc[[#This Row],[type]]="LFF (MDG-F)",MID(Proc[[#This Row],[Obj]],13,10),"")</f>
        <v/>
      </c>
      <c r="I185" t="s">
        <v>1493</v>
      </c>
      <c r="J185" s="60" t="b">
        <f>Proc[[#This Row],[Requested]]=Proc[[#This Row],[CurrentParent]]</f>
        <v>1</v>
      </c>
      <c r="K185" s="60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3">
        <v>45664.540486111109</v>
      </c>
      <c r="N185" s="73">
        <v>45671</v>
      </c>
      <c r="O185" s="73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494</v>
      </c>
      <c r="S185" s="60"/>
    </row>
    <row r="186" spans="1:19" hidden="1">
      <c r="A186" t="s">
        <v>1484</v>
      </c>
      <c r="B186" s="60" t="str">
        <f>IFERROR(VLOOKUP(Proc[[#This Row],[App]],Table2[],3,0),"open")</f>
        <v>ok</v>
      </c>
      <c r="C186" s="62" t="s">
        <v>369</v>
      </c>
      <c r="D186" s="74" t="s">
        <v>1483</v>
      </c>
      <c r="E186" s="74" t="s">
        <v>1019</v>
      </c>
      <c r="F186" s="105" t="s">
        <v>1019</v>
      </c>
      <c r="G186" s="62" t="s">
        <v>400</v>
      </c>
      <c r="H186" s="60" t="str">
        <f>IF(Proc[[#This Row],[type]]="LFF (MDG-F)",MID(Proc[[#This Row],[Obj]],13,10),"")</f>
        <v/>
      </c>
      <c r="I186" t="s">
        <v>1493</v>
      </c>
      <c r="J186" s="60" t="b">
        <f>Proc[[#This Row],[Requested]]=Proc[[#This Row],[CurrentParent]]</f>
        <v>1</v>
      </c>
      <c r="K186" s="60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3">
        <v>45664.540486111109</v>
      </c>
      <c r="N186" s="73">
        <v>45671</v>
      </c>
      <c r="O186" s="73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494</v>
      </c>
      <c r="S186" s="60"/>
    </row>
    <row r="187" spans="1:19" hidden="1">
      <c r="A187" t="s">
        <v>1492</v>
      </c>
      <c r="B187" s="60" t="str">
        <f>IFERROR(VLOOKUP(Proc[[#This Row],[App]],Table2[],3,0),"open")</f>
        <v>ok</v>
      </c>
      <c r="C187" s="62" t="s">
        <v>369</v>
      </c>
      <c r="D187" s="62" t="s">
        <v>1489</v>
      </c>
      <c r="E187" t="s">
        <v>1447</v>
      </c>
      <c r="F187" s="105" t="s">
        <v>1447</v>
      </c>
      <c r="G187" s="62" t="s">
        <v>400</v>
      </c>
      <c r="H187" s="60" t="str">
        <f>IF(Proc[[#This Row],[type]]="LFF (MDG-F)",MID(Proc[[#This Row],[Obj]],13,10),"")</f>
        <v/>
      </c>
      <c r="I187" t="s">
        <v>1493</v>
      </c>
      <c r="J187" s="60" t="b">
        <f>Proc[[#This Row],[Requested]]=Proc[[#This Row],[CurrentParent]]</f>
        <v>1</v>
      </c>
      <c r="K187" s="60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3">
        <v>45664.6015162037</v>
      </c>
      <c r="N187" s="73">
        <v>45671</v>
      </c>
      <c r="O187" s="73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972</v>
      </c>
      <c r="S187" s="60"/>
    </row>
    <row r="188" spans="1:19" hidden="1">
      <c r="A188" s="62" t="s">
        <v>1492</v>
      </c>
      <c r="B188" s="60" t="str">
        <f>IFERROR(VLOOKUP(Proc[[#This Row],[App]],Table2[],3,0),"open")</f>
        <v>ok</v>
      </c>
      <c r="C188" s="62" t="s">
        <v>369</v>
      </c>
      <c r="D188" t="s">
        <v>1490</v>
      </c>
      <c r="E188" t="s">
        <v>1044</v>
      </c>
      <c r="F188" s="105" t="s">
        <v>1044</v>
      </c>
      <c r="G188" s="62" t="s">
        <v>400</v>
      </c>
      <c r="H188" s="60" t="str">
        <f>IF(Proc[[#This Row],[type]]="LFF (MDG-F)",MID(Proc[[#This Row],[Obj]],13,10),"")</f>
        <v/>
      </c>
      <c r="I188" t="s">
        <v>1493</v>
      </c>
      <c r="J188" s="60" t="b">
        <f>Proc[[#This Row],[Requested]]=Proc[[#This Row],[CurrentParent]]</f>
        <v>1</v>
      </c>
      <c r="K188" s="60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3">
        <v>45664.6015162037</v>
      </c>
      <c r="N188" s="73">
        <v>45671</v>
      </c>
      <c r="O188" s="73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972</v>
      </c>
      <c r="S188" s="60"/>
    </row>
    <row r="189" spans="1:19" hidden="1">
      <c r="A189" s="62" t="s">
        <v>1492</v>
      </c>
      <c r="B189" s="60" t="str">
        <f>IFERROR(VLOOKUP(Proc[[#This Row],[App]],Table2[],3,0),"open")</f>
        <v>ok</v>
      </c>
      <c r="C189" s="62" t="s">
        <v>369</v>
      </c>
      <c r="D189" t="s">
        <v>1491</v>
      </c>
      <c r="E189" t="s">
        <v>652</v>
      </c>
      <c r="F189" s="105" t="s">
        <v>652</v>
      </c>
      <c r="G189" s="62" t="s">
        <v>400</v>
      </c>
      <c r="H189" s="60" t="str">
        <f>IF(Proc[[#This Row],[type]]="LFF (MDG-F)",MID(Proc[[#This Row],[Obj]],13,10),"")</f>
        <v/>
      </c>
      <c r="I189" t="s">
        <v>1493</v>
      </c>
      <c r="J189" s="60" t="b">
        <f>Proc[[#This Row],[Requested]]=Proc[[#This Row],[CurrentParent]]</f>
        <v>1</v>
      </c>
      <c r="K189" s="60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3">
        <v>45664.6015162037</v>
      </c>
      <c r="N189" s="73">
        <v>45671</v>
      </c>
      <c r="O189" s="73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972</v>
      </c>
      <c r="S189" s="60"/>
    </row>
    <row r="190" spans="1:19" hidden="1">
      <c r="A190" t="s">
        <v>1511</v>
      </c>
      <c r="B190" s="60" t="str">
        <f>IFERROR(VLOOKUP(Proc[[#This Row],[App]],Table2[],3,0),"open")</f>
        <v>ok</v>
      </c>
      <c r="C190" t="s">
        <v>369</v>
      </c>
      <c r="D190" t="s">
        <v>1510</v>
      </c>
      <c r="E190" t="s">
        <v>417</v>
      </c>
      <c r="F190" s="105" t="s">
        <v>417</v>
      </c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1</v>
      </c>
      <c r="K190" s="60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3">
        <v>45665.392372685186</v>
      </c>
      <c r="N190" s="73">
        <v>45667</v>
      </c>
      <c r="O190" s="73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972</v>
      </c>
      <c r="S190" s="60"/>
    </row>
    <row r="191" spans="1:19" hidden="1">
      <c r="A191" s="62" t="s">
        <v>1509</v>
      </c>
      <c r="B191" s="60" t="str">
        <f>IFERROR(VLOOKUP(Proc[[#This Row],[App]],Table2[],3,0),"open")</f>
        <v>ok</v>
      </c>
      <c r="C191" s="62" t="s">
        <v>369</v>
      </c>
      <c r="D191" t="s">
        <v>459</v>
      </c>
      <c r="E191" t="s">
        <v>631</v>
      </c>
      <c r="F191" s="105" t="s">
        <v>631</v>
      </c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1</v>
      </c>
      <c r="K191" s="60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3">
        <v>45665.41238425926</v>
      </c>
      <c r="N191" s="73">
        <v>45671</v>
      </c>
      <c r="O191" s="73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549</v>
      </c>
      <c r="S191" s="60"/>
    </row>
    <row r="192" spans="1:19" hidden="1">
      <c r="A192" s="62" t="s">
        <v>1508</v>
      </c>
      <c r="B192" s="60" t="str">
        <f>IFERROR(VLOOKUP(Proc[[#This Row],[App]],Table2[],3,0),"open")</f>
        <v>ok</v>
      </c>
      <c r="C192" s="62" t="s">
        <v>369</v>
      </c>
      <c r="D192" t="s">
        <v>1503</v>
      </c>
      <c r="E192" t="s">
        <v>626</v>
      </c>
      <c r="F192" s="105" t="s">
        <v>626</v>
      </c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1</v>
      </c>
      <c r="K192" s="60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3">
        <v>45665.425729166665</v>
      </c>
      <c r="N192" s="73">
        <v>45671</v>
      </c>
      <c r="O192" s="73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549</v>
      </c>
      <c r="S192" s="60"/>
    </row>
    <row r="193" spans="1:19" hidden="1">
      <c r="A193" s="62" t="s">
        <v>1508</v>
      </c>
      <c r="B193" s="60" t="str">
        <f>IFERROR(VLOOKUP(Proc[[#This Row],[App]],Table2[],3,0),"open")</f>
        <v>ok</v>
      </c>
      <c r="C193" s="62" t="s">
        <v>369</v>
      </c>
      <c r="D193" t="s">
        <v>1504</v>
      </c>
      <c r="E193" t="s">
        <v>626</v>
      </c>
      <c r="F193" s="105" t="s">
        <v>626</v>
      </c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1</v>
      </c>
      <c r="K193" s="60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3">
        <v>45665.425729166665</v>
      </c>
      <c r="N193" s="73">
        <v>45671</v>
      </c>
      <c r="O193" s="73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549</v>
      </c>
      <c r="S193" s="60"/>
    </row>
    <row r="194" spans="1:19" hidden="1">
      <c r="A194" t="s">
        <v>1508</v>
      </c>
      <c r="B194" s="60" t="str">
        <f>IFERROR(VLOOKUP(Proc[[#This Row],[App]],Table2[],3,0),"open")</f>
        <v>ok</v>
      </c>
      <c r="C194" s="62" t="s">
        <v>369</v>
      </c>
      <c r="D194" t="s">
        <v>1505</v>
      </c>
      <c r="E194" t="s">
        <v>626</v>
      </c>
      <c r="F194" s="105" t="s">
        <v>626</v>
      </c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1</v>
      </c>
      <c r="K194" s="60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3">
        <v>45665.425729166665</v>
      </c>
      <c r="N194" s="73">
        <v>45671</v>
      </c>
      <c r="O194" s="73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549</v>
      </c>
      <c r="S194" s="60"/>
    </row>
    <row r="195" spans="1:19" hidden="1">
      <c r="A195" s="62" t="s">
        <v>1508</v>
      </c>
      <c r="B195" s="60" t="str">
        <f>IFERROR(VLOOKUP(Proc[[#This Row],[App]],Table2[],3,0),"open")</f>
        <v>ok</v>
      </c>
      <c r="C195" s="62" t="s">
        <v>369</v>
      </c>
      <c r="D195" t="s">
        <v>1506</v>
      </c>
      <c r="E195" t="s">
        <v>626</v>
      </c>
      <c r="F195" s="105" t="s">
        <v>626</v>
      </c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1</v>
      </c>
      <c r="K195" s="60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3">
        <v>45665.425729166665</v>
      </c>
      <c r="N195" s="73">
        <v>45671</v>
      </c>
      <c r="O195" s="73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549</v>
      </c>
      <c r="S195" s="60"/>
    </row>
    <row r="196" spans="1:19" hidden="1">
      <c r="A196" t="s">
        <v>1508</v>
      </c>
      <c r="B196" s="60" t="str">
        <f>IFERROR(VLOOKUP(Proc[[#This Row],[App]],Table2[],3,0),"open")</f>
        <v>ok</v>
      </c>
      <c r="C196" s="62" t="s">
        <v>369</v>
      </c>
      <c r="D196" t="s">
        <v>1507</v>
      </c>
      <c r="E196" t="s">
        <v>626</v>
      </c>
      <c r="F196" s="105" t="s">
        <v>626</v>
      </c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1</v>
      </c>
      <c r="K196" s="60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3">
        <v>45665.425729166665</v>
      </c>
      <c r="N196" s="73">
        <v>45671</v>
      </c>
      <c r="O196" s="73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549</v>
      </c>
      <c r="S196" s="60"/>
    </row>
    <row r="197" spans="1:19" hidden="1">
      <c r="A197" s="62" t="s">
        <v>1500</v>
      </c>
      <c r="B197" s="60" t="str">
        <f>IFERROR(VLOOKUP(Proc[[#This Row],[App]],Table2[],3,0),"open")</f>
        <v>ok</v>
      </c>
      <c r="C197" s="62" t="s">
        <v>369</v>
      </c>
      <c r="D197" t="s">
        <v>1494</v>
      </c>
      <c r="E197" t="s">
        <v>1498</v>
      </c>
      <c r="F197" s="105" t="s">
        <v>1498</v>
      </c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1</v>
      </c>
      <c r="K197" s="60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3">
        <v>45665.54210648148</v>
      </c>
      <c r="N197" s="73">
        <v>45667</v>
      </c>
      <c r="O197" s="73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972</v>
      </c>
      <c r="S197" s="60"/>
    </row>
    <row r="198" spans="1:19" hidden="1">
      <c r="A198" s="62" t="s">
        <v>1500</v>
      </c>
      <c r="B198" s="60" t="str">
        <f>IFERROR(VLOOKUP(Proc[[#This Row],[App]],Table2[],3,0),"open")</f>
        <v>ok</v>
      </c>
      <c r="C198" s="62" t="s">
        <v>369</v>
      </c>
      <c r="D198" t="s">
        <v>1495</v>
      </c>
      <c r="E198" t="s">
        <v>468</v>
      </c>
      <c r="F198" s="105" t="s">
        <v>468</v>
      </c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1</v>
      </c>
      <c r="K198" s="60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3">
        <v>45665.54210648148</v>
      </c>
      <c r="N198" s="73">
        <v>45667</v>
      </c>
      <c r="O198" s="73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972</v>
      </c>
      <c r="S198" s="60"/>
    </row>
    <row r="199" spans="1:19" hidden="1">
      <c r="A199" s="62" t="s">
        <v>1500</v>
      </c>
      <c r="B199" s="60" t="str">
        <f>IFERROR(VLOOKUP(Proc[[#This Row],[App]],Table2[],3,0),"open")</f>
        <v>ok</v>
      </c>
      <c r="C199" s="62" t="s">
        <v>369</v>
      </c>
      <c r="D199" t="s">
        <v>1496</v>
      </c>
      <c r="E199" t="s">
        <v>1499</v>
      </c>
      <c r="F199" s="105" t="s">
        <v>1499</v>
      </c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1</v>
      </c>
      <c r="K199" s="60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3">
        <v>45665.54210648148</v>
      </c>
      <c r="N199" s="73">
        <v>45667</v>
      </c>
      <c r="O199" s="73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972</v>
      </c>
      <c r="S199" s="60"/>
    </row>
    <row r="200" spans="1:19" hidden="1">
      <c r="A200" s="62" t="s">
        <v>1500</v>
      </c>
      <c r="B200" s="60" t="str">
        <f>IFERROR(VLOOKUP(Proc[[#This Row],[App]],Table2[],3,0),"open")</f>
        <v>ok</v>
      </c>
      <c r="C200" s="62" t="s">
        <v>369</v>
      </c>
      <c r="D200" t="s">
        <v>1497</v>
      </c>
      <c r="E200" t="s">
        <v>501</v>
      </c>
      <c r="F200" s="105" t="s">
        <v>501</v>
      </c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1</v>
      </c>
      <c r="K200" s="60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3">
        <v>45665.54210648148</v>
      </c>
      <c r="N200" s="73">
        <v>45667</v>
      </c>
      <c r="O200" s="73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972</v>
      </c>
      <c r="S200" s="60"/>
    </row>
    <row r="201" spans="1:19" hidden="1">
      <c r="A201" t="s">
        <v>1502</v>
      </c>
      <c r="B201" s="60" t="str">
        <f>IFERROR(VLOOKUP(Proc[[#This Row],[App]],Table2[],3,0),"open")</f>
        <v>ok</v>
      </c>
      <c r="C201" s="62" t="s">
        <v>369</v>
      </c>
      <c r="D201" t="s">
        <v>1516</v>
      </c>
      <c r="E201" t="s">
        <v>419</v>
      </c>
      <c r="F201" s="105" t="s">
        <v>419</v>
      </c>
      <c r="G201" s="62" t="s">
        <v>400</v>
      </c>
      <c r="H201" s="60" t="str">
        <f>IF(Proc[[#This Row],[type]]="LFF (MDG-F)",MID(Proc[[#This Row],[Obj]],13,10),"")</f>
        <v/>
      </c>
      <c r="I201" t="s">
        <v>1639</v>
      </c>
      <c r="J201" s="60" t="b">
        <f>Proc[[#This Row],[Requested]]=Proc[[#This Row],[CurrentParent]]</f>
        <v>1</v>
      </c>
      <c r="K201" s="60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3">
        <v>45665.586886574078</v>
      </c>
      <c r="N201" s="73">
        <v>45687</v>
      </c>
      <c r="O201" s="73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1076</v>
      </c>
      <c r="S201" s="60"/>
    </row>
    <row r="202" spans="1:19" hidden="1">
      <c r="A202" t="s">
        <v>1502</v>
      </c>
      <c r="B202" s="60" t="str">
        <f>IFERROR(VLOOKUP(Proc[[#This Row],[App]],Table2[],3,0),"open")</f>
        <v>ok</v>
      </c>
      <c r="C202" s="62" t="s">
        <v>369</v>
      </c>
      <c r="D202" t="s">
        <v>1501</v>
      </c>
      <c r="E202" t="s">
        <v>411</v>
      </c>
      <c r="F202" s="105" t="s">
        <v>411</v>
      </c>
      <c r="G202" t="s">
        <v>406</v>
      </c>
      <c r="H202" s="60" t="str">
        <f>IF(Proc[[#This Row],[type]]="LFF (MDG-F)",MID(Proc[[#This Row],[Obj]],13,10),"")</f>
        <v>TW91C02001</v>
      </c>
      <c r="I202" t="s">
        <v>1640</v>
      </c>
      <c r="J202" s="60" t="b">
        <f>Proc[[#This Row],[Requested]]=Proc[[#This Row],[CurrentParent]]</f>
        <v>1</v>
      </c>
      <c r="K202" s="60" t="str">
        <f>IF(Proc[[#This Row],[Author]]="Marcela Urrego",VLOOKUP(LEFT(Proc[[#This Row],[Requested]],1),Table3[#All],2,0),VLOOKUP(Proc[[#This Row],[Author]],Table4[],2,0))</f>
        <v>MGF</v>
      </c>
      <c r="L202" s="60" t="s">
        <v>401</v>
      </c>
      <c r="M202" s="73">
        <v>45665.586886574078</v>
      </c>
      <c r="N202" s="73">
        <v>45687</v>
      </c>
      <c r="O202" s="73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1076</v>
      </c>
      <c r="S202" s="60"/>
    </row>
    <row r="203" spans="1:19" hidden="1">
      <c r="A203" t="s">
        <v>1512</v>
      </c>
      <c r="B203" s="60" t="str">
        <f>IFERROR(VLOOKUP(Proc[[#This Row],[App]],Table2[],3,0),"open")</f>
        <v>ok</v>
      </c>
      <c r="C203" s="62" t="s">
        <v>369</v>
      </c>
      <c r="D203" t="s">
        <v>1513</v>
      </c>
      <c r="E203" t="s">
        <v>1514</v>
      </c>
      <c r="F203" s="105" t="s">
        <v>1514</v>
      </c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1</v>
      </c>
      <c r="K203" s="60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3">
        <v>45666.329097222224</v>
      </c>
      <c r="N203" s="73">
        <v>45671</v>
      </c>
      <c r="O203" s="73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1515</v>
      </c>
      <c r="S203" s="60"/>
    </row>
    <row r="204" spans="1:19" hidden="1">
      <c r="A204" t="s">
        <v>1517</v>
      </c>
      <c r="B204" s="60" t="str">
        <f>IFERROR(VLOOKUP(Proc[[#This Row],[App]],Table2[],3,0),"open")</f>
        <v>ok</v>
      </c>
      <c r="C204" s="62" t="s">
        <v>369</v>
      </c>
      <c r="D204" t="s">
        <v>1518</v>
      </c>
      <c r="E204" t="s">
        <v>424</v>
      </c>
      <c r="F204" s="105" t="s">
        <v>424</v>
      </c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1</v>
      </c>
      <c r="K204" s="60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3">
        <v>45666.638773148145</v>
      </c>
      <c r="N204" s="73">
        <v>45671</v>
      </c>
      <c r="O204" s="73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1459</v>
      </c>
      <c r="S204" s="60"/>
    </row>
    <row r="205" spans="1:19" hidden="1">
      <c r="A205" s="62" t="s">
        <v>1517</v>
      </c>
      <c r="B205" s="60" t="str">
        <f>IFERROR(VLOOKUP(Proc[[#This Row],[App]],Table2[],3,0),"open")</f>
        <v>ok</v>
      </c>
      <c r="C205" s="62" t="s">
        <v>369</v>
      </c>
      <c r="D205" t="s">
        <v>1519</v>
      </c>
      <c r="E205" t="s">
        <v>425</v>
      </c>
      <c r="F205" s="105" t="s">
        <v>425</v>
      </c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1</v>
      </c>
      <c r="K205" s="60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3">
        <v>45666.638773148145</v>
      </c>
      <c r="N205" s="73">
        <v>45671</v>
      </c>
      <c r="O205" s="73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1459</v>
      </c>
      <c r="S205" s="60"/>
    </row>
    <row r="206" spans="1:19" hidden="1">
      <c r="A206" s="62" t="s">
        <v>1523</v>
      </c>
      <c r="B206" s="60" t="str">
        <f>IFERROR(VLOOKUP(Proc[[#This Row],[App]],Table2[],3,0),"open")</f>
        <v>ok</v>
      </c>
      <c r="C206" s="62" t="s">
        <v>369</v>
      </c>
      <c r="D206" t="s">
        <v>1520</v>
      </c>
      <c r="E206" t="s">
        <v>496</v>
      </c>
      <c r="F206" s="105" t="s">
        <v>496</v>
      </c>
      <c r="G206" s="62" t="s">
        <v>400</v>
      </c>
      <c r="H206" s="60" t="str">
        <f>IF(Proc[[#This Row],[type]]="LFF (MDG-F)",MID(Proc[[#This Row],[Obj]],13,10),"")</f>
        <v/>
      </c>
      <c r="I206" s="62" t="s">
        <v>1493</v>
      </c>
      <c r="J206" s="60" t="b">
        <f>Proc[[#This Row],[Requested]]=Proc[[#This Row],[CurrentParent]]</f>
        <v>1</v>
      </c>
      <c r="K206" s="60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3">
        <v>45667.399548611109</v>
      </c>
      <c r="N206" s="73">
        <v>45671</v>
      </c>
      <c r="O206" s="73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972</v>
      </c>
      <c r="S206" s="60"/>
    </row>
    <row r="207" spans="1:19" hidden="1">
      <c r="A207" s="62" t="s">
        <v>1523</v>
      </c>
      <c r="B207" s="60" t="str">
        <f>IFERROR(VLOOKUP(Proc[[#This Row],[App]],Table2[],3,0),"open")</f>
        <v>ok</v>
      </c>
      <c r="C207" s="62" t="s">
        <v>369</v>
      </c>
      <c r="D207" t="s">
        <v>1521</v>
      </c>
      <c r="E207" t="s">
        <v>1522</v>
      </c>
      <c r="F207" s="105" t="s">
        <v>1522</v>
      </c>
      <c r="G207" s="62" t="s">
        <v>400</v>
      </c>
      <c r="H207" s="60" t="str">
        <f>IF(Proc[[#This Row],[type]]="LFF (MDG-F)",MID(Proc[[#This Row],[Obj]],13,10),"")</f>
        <v/>
      </c>
      <c r="I207" s="62" t="s">
        <v>1493</v>
      </c>
      <c r="J207" s="60" t="b">
        <f>Proc[[#This Row],[Requested]]=Proc[[#This Row],[CurrentParent]]</f>
        <v>1</v>
      </c>
      <c r="K207" s="60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3">
        <v>45667.399548611109</v>
      </c>
      <c r="N207" s="73">
        <v>45671</v>
      </c>
      <c r="O207" s="73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972</v>
      </c>
      <c r="S207" s="60"/>
    </row>
    <row r="208" spans="1:19" hidden="1">
      <c r="A208" t="s">
        <v>1547</v>
      </c>
      <c r="B208" s="60" t="str">
        <f>IFERROR(VLOOKUP(Proc[[#This Row],[App]],Table2[],3,0),"open")</f>
        <v>ok</v>
      </c>
      <c r="C208" t="s">
        <v>369</v>
      </c>
      <c r="D208" t="s">
        <v>1524</v>
      </c>
      <c r="E208" t="s">
        <v>631</v>
      </c>
      <c r="F208" s="105" t="s">
        <v>631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1640</v>
      </c>
      <c r="J208" s="60" t="b">
        <f>Proc[[#This Row],[Requested]]=Proc[[#This Row],[CurrentParent]]</f>
        <v>1</v>
      </c>
      <c r="K208" s="60" t="str">
        <f>IF(Proc[[#This Row],[Author]]="Marcela Urrego",VLOOKUP(LEFT(Proc[[#This Row],[Requested]],1),Table3[#All],2,0),VLOOKUP(Proc[[#This Row],[Author]],Table4[],2,0))</f>
        <v>MGF</v>
      </c>
      <c r="L208" s="60" t="s">
        <v>509</v>
      </c>
      <c r="M208" s="73">
        <v>45671.398553240739</v>
      </c>
      <c r="N208" s="73">
        <v>45688</v>
      </c>
      <c r="O208" s="73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549</v>
      </c>
      <c r="S208" s="60"/>
    </row>
    <row r="209" spans="1:19" hidden="1">
      <c r="A209" s="62" t="s">
        <v>1547</v>
      </c>
      <c r="B209" s="60" t="str">
        <f>IFERROR(VLOOKUP(Proc[[#This Row],[App]],Table2[],3,0),"open")</f>
        <v>ok</v>
      </c>
      <c r="C209" s="62" t="s">
        <v>369</v>
      </c>
      <c r="D209" t="s">
        <v>1525</v>
      </c>
      <c r="E209" t="s">
        <v>631</v>
      </c>
      <c r="F209" s="105" t="s">
        <v>631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1640</v>
      </c>
      <c r="J209" s="60" t="b">
        <f>Proc[[#This Row],[Requested]]=Proc[[#This Row],[CurrentParent]]</f>
        <v>1</v>
      </c>
      <c r="K209" s="60" t="str">
        <f>IF(Proc[[#This Row],[Author]]="Marcela Urrego",VLOOKUP(LEFT(Proc[[#This Row],[Requested]],1),Table3[#All],2,0),VLOOKUP(Proc[[#This Row],[Author]],Table4[],2,0))</f>
        <v>MGF</v>
      </c>
      <c r="L209" s="60" t="s">
        <v>509</v>
      </c>
      <c r="M209" s="73">
        <v>45671.398553240739</v>
      </c>
      <c r="N209" s="73">
        <v>45688</v>
      </c>
      <c r="O209" s="73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549</v>
      </c>
      <c r="S209" s="60"/>
    </row>
    <row r="210" spans="1:19" hidden="1">
      <c r="A210" s="62" t="s">
        <v>1547</v>
      </c>
      <c r="B210" s="60" t="str">
        <f>IFERROR(VLOOKUP(Proc[[#This Row],[App]],Table2[],3,0),"open")</f>
        <v>ok</v>
      </c>
      <c r="C210" s="62" t="s">
        <v>369</v>
      </c>
      <c r="D210" t="s">
        <v>1526</v>
      </c>
      <c r="E210" t="s">
        <v>631</v>
      </c>
      <c r="F210" s="105" t="s">
        <v>631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1640</v>
      </c>
      <c r="J210" s="60" t="b">
        <f>Proc[[#This Row],[Requested]]=Proc[[#This Row],[CurrentParent]]</f>
        <v>1</v>
      </c>
      <c r="K210" s="60" t="str">
        <f>IF(Proc[[#This Row],[Author]]="Marcela Urrego",VLOOKUP(LEFT(Proc[[#This Row],[Requested]],1),Table3[#All],2,0),VLOOKUP(Proc[[#This Row],[Author]],Table4[],2,0))</f>
        <v>MGF</v>
      </c>
      <c r="L210" s="60" t="s">
        <v>509</v>
      </c>
      <c r="M210" s="73">
        <v>45671.398553240739</v>
      </c>
      <c r="N210" s="73">
        <v>45688</v>
      </c>
      <c r="O210" s="73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549</v>
      </c>
      <c r="S210" s="60"/>
    </row>
    <row r="211" spans="1:19" hidden="1">
      <c r="A211" s="62" t="s">
        <v>1547</v>
      </c>
      <c r="B211" s="60" t="str">
        <f>IFERROR(VLOOKUP(Proc[[#This Row],[App]],Table2[],3,0),"open")</f>
        <v>ok</v>
      </c>
      <c r="C211" s="62" t="s">
        <v>369</v>
      </c>
      <c r="D211" t="s">
        <v>1527</v>
      </c>
      <c r="E211" t="s">
        <v>631</v>
      </c>
      <c r="F211" s="105" t="s">
        <v>631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1640</v>
      </c>
      <c r="J211" s="60" t="b">
        <f>Proc[[#This Row],[Requested]]=Proc[[#This Row],[CurrentParent]]</f>
        <v>1</v>
      </c>
      <c r="K211" s="60" t="str">
        <f>IF(Proc[[#This Row],[Author]]="Marcela Urrego",VLOOKUP(LEFT(Proc[[#This Row],[Requested]],1),Table3[#All],2,0),VLOOKUP(Proc[[#This Row],[Author]],Table4[],2,0))</f>
        <v>MGF</v>
      </c>
      <c r="L211" s="60" t="s">
        <v>509</v>
      </c>
      <c r="M211" s="73">
        <v>45671.398553240739</v>
      </c>
      <c r="N211" s="73">
        <v>45688</v>
      </c>
      <c r="O211" s="73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549</v>
      </c>
      <c r="S211" s="60"/>
    </row>
    <row r="212" spans="1:19" hidden="1">
      <c r="A212" s="62" t="s">
        <v>1547</v>
      </c>
      <c r="B212" s="60" t="str">
        <f>IFERROR(VLOOKUP(Proc[[#This Row],[App]],Table2[],3,0),"open")</f>
        <v>ok</v>
      </c>
      <c r="C212" s="62" t="s">
        <v>369</v>
      </c>
      <c r="D212" t="s">
        <v>1528</v>
      </c>
      <c r="E212" t="s">
        <v>631</v>
      </c>
      <c r="F212" s="105" t="s">
        <v>631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1640</v>
      </c>
      <c r="J212" s="60" t="b">
        <f>Proc[[#This Row],[Requested]]=Proc[[#This Row],[CurrentParent]]</f>
        <v>1</v>
      </c>
      <c r="K212" s="60" t="str">
        <f>IF(Proc[[#This Row],[Author]]="Marcela Urrego",VLOOKUP(LEFT(Proc[[#This Row],[Requested]],1),Table3[#All],2,0),VLOOKUP(Proc[[#This Row],[Author]],Table4[],2,0))</f>
        <v>MGF</v>
      </c>
      <c r="L212" s="60" t="s">
        <v>509</v>
      </c>
      <c r="M212" s="73">
        <v>45671.398553240739</v>
      </c>
      <c r="N212" s="73">
        <v>45688</v>
      </c>
      <c r="O212" s="73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549</v>
      </c>
      <c r="S212" s="60"/>
    </row>
    <row r="213" spans="1:19" hidden="1">
      <c r="A213" s="62" t="s">
        <v>1547</v>
      </c>
      <c r="B213" s="60" t="str">
        <f>IFERROR(VLOOKUP(Proc[[#This Row],[App]],Table2[],3,0),"open")</f>
        <v>ok</v>
      </c>
      <c r="C213" s="62" t="s">
        <v>369</v>
      </c>
      <c r="D213" t="s">
        <v>1529</v>
      </c>
      <c r="E213" t="s">
        <v>631</v>
      </c>
      <c r="F213" s="105" t="s">
        <v>631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1640</v>
      </c>
      <c r="J213" s="60" t="b">
        <f>Proc[[#This Row],[Requested]]=Proc[[#This Row],[CurrentParent]]</f>
        <v>1</v>
      </c>
      <c r="K213" s="60" t="str">
        <f>IF(Proc[[#This Row],[Author]]="Marcela Urrego",VLOOKUP(LEFT(Proc[[#This Row],[Requested]],1),Table3[#All],2,0),VLOOKUP(Proc[[#This Row],[Author]],Table4[],2,0))</f>
        <v>MGF</v>
      </c>
      <c r="L213" s="60" t="s">
        <v>509</v>
      </c>
      <c r="M213" s="73">
        <v>45671.398553240739</v>
      </c>
      <c r="N213" s="73">
        <v>45688</v>
      </c>
      <c r="O213" s="73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549</v>
      </c>
      <c r="S213" s="60"/>
    </row>
    <row r="214" spans="1:19" hidden="1">
      <c r="A214" s="62" t="s">
        <v>1547</v>
      </c>
      <c r="B214" s="60" t="str">
        <f>IFERROR(VLOOKUP(Proc[[#This Row],[App]],Table2[],3,0),"open")</f>
        <v>ok</v>
      </c>
      <c r="C214" s="62" t="s">
        <v>377</v>
      </c>
      <c r="D214" t="s">
        <v>512</v>
      </c>
      <c r="E214" t="s">
        <v>631</v>
      </c>
      <c r="F214" s="105" t="s">
        <v>631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446</v>
      </c>
      <c r="J214" s="60" t="b">
        <f>Proc[[#This Row],[Requested]]=Proc[[#This Row],[CurrentParent]]</f>
        <v>1</v>
      </c>
      <c r="K214" s="60" t="str">
        <f>IF(Proc[[#This Row],[Author]]="Marcela Urrego",VLOOKUP(LEFT(Proc[[#This Row],[Requested]],1),Table3[#All],2,0),VLOOKUP(Proc[[#This Row],[Author]],Table4[],2,0))</f>
        <v>MGF</v>
      </c>
      <c r="L214" s="60" t="s">
        <v>509</v>
      </c>
      <c r="M214" s="73">
        <v>45671.398553240739</v>
      </c>
      <c r="O214" s="73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549</v>
      </c>
      <c r="S214" s="60"/>
    </row>
    <row r="215" spans="1:19" hidden="1">
      <c r="A215" s="62" t="s">
        <v>1547</v>
      </c>
      <c r="B215" s="60" t="str">
        <f>IFERROR(VLOOKUP(Proc[[#This Row],[App]],Table2[],3,0),"open")</f>
        <v>ok</v>
      </c>
      <c r="C215" s="62" t="s">
        <v>369</v>
      </c>
      <c r="D215" t="s">
        <v>1530</v>
      </c>
      <c r="E215" t="s">
        <v>631</v>
      </c>
      <c r="F215" s="105" t="s">
        <v>631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1640</v>
      </c>
      <c r="J215" s="60" t="b">
        <f>Proc[[#This Row],[Requested]]=Proc[[#This Row],[CurrentParent]]</f>
        <v>1</v>
      </c>
      <c r="K215" s="60" t="str">
        <f>IF(Proc[[#This Row],[Author]]="Marcela Urrego",VLOOKUP(LEFT(Proc[[#This Row],[Requested]],1),Table3[#All],2,0),VLOOKUP(Proc[[#This Row],[Author]],Table4[],2,0))</f>
        <v>MGF</v>
      </c>
      <c r="L215" s="60" t="s">
        <v>509</v>
      </c>
      <c r="M215" s="73">
        <v>45671.398553240739</v>
      </c>
      <c r="N215" s="73">
        <v>45688</v>
      </c>
      <c r="O215" s="73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549</v>
      </c>
      <c r="S215" s="60"/>
    </row>
    <row r="216" spans="1:19" hidden="1">
      <c r="A216" s="62" t="s">
        <v>1547</v>
      </c>
      <c r="B216" s="60" t="str">
        <f>IFERROR(VLOOKUP(Proc[[#This Row],[App]],Table2[],3,0),"open")</f>
        <v>ok</v>
      </c>
      <c r="C216" s="62" t="s">
        <v>377</v>
      </c>
      <c r="D216" t="s">
        <v>513</v>
      </c>
      <c r="E216" t="s">
        <v>631</v>
      </c>
      <c r="F216" s="105" t="s">
        <v>631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446</v>
      </c>
      <c r="J216" s="60" t="b">
        <f>Proc[[#This Row],[Requested]]=Proc[[#This Row],[CurrentParent]]</f>
        <v>1</v>
      </c>
      <c r="K216" s="60" t="str">
        <f>IF(Proc[[#This Row],[Author]]="Marcela Urrego",VLOOKUP(LEFT(Proc[[#This Row],[Requested]],1),Table3[#All],2,0),VLOOKUP(Proc[[#This Row],[Author]],Table4[],2,0))</f>
        <v>MGF</v>
      </c>
      <c r="L216" s="60" t="s">
        <v>509</v>
      </c>
      <c r="M216" s="73">
        <v>45671.398553240739</v>
      </c>
      <c r="O216" s="73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549</v>
      </c>
      <c r="S216" s="60"/>
    </row>
    <row r="217" spans="1:19" hidden="1">
      <c r="A217" s="62" t="s">
        <v>1547</v>
      </c>
      <c r="B217" s="60" t="str">
        <f>IFERROR(VLOOKUP(Proc[[#This Row],[App]],Table2[],3,0),"open")</f>
        <v>ok</v>
      </c>
      <c r="C217" s="62" t="s">
        <v>369</v>
      </c>
      <c r="D217" t="s">
        <v>1531</v>
      </c>
      <c r="E217" t="s">
        <v>631</v>
      </c>
      <c r="F217" s="105" t="s">
        <v>631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1640</v>
      </c>
      <c r="J217" s="60" t="b">
        <f>Proc[[#This Row],[Requested]]=Proc[[#This Row],[CurrentParent]]</f>
        <v>1</v>
      </c>
      <c r="K217" s="60" t="str">
        <f>IF(Proc[[#This Row],[Author]]="Marcela Urrego",VLOOKUP(LEFT(Proc[[#This Row],[Requested]],1),Table3[#All],2,0),VLOOKUP(Proc[[#This Row],[Author]],Table4[],2,0))</f>
        <v>MGF</v>
      </c>
      <c r="L217" s="60" t="s">
        <v>509</v>
      </c>
      <c r="M217" s="73">
        <v>45671.398553240739</v>
      </c>
      <c r="N217" s="73">
        <v>45688</v>
      </c>
      <c r="O217" s="73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549</v>
      </c>
      <c r="S217" s="60"/>
    </row>
    <row r="218" spans="1:19" hidden="1">
      <c r="A218" s="62" t="s">
        <v>1547</v>
      </c>
      <c r="B218" s="60" t="str">
        <f>IFERROR(VLOOKUP(Proc[[#This Row],[App]],Table2[],3,0),"open")</f>
        <v>ok</v>
      </c>
      <c r="C218" s="62" t="s">
        <v>369</v>
      </c>
      <c r="D218" t="s">
        <v>1532</v>
      </c>
      <c r="E218" t="s">
        <v>631</v>
      </c>
      <c r="F218" s="105" t="s">
        <v>631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1640</v>
      </c>
      <c r="J218" s="60" t="b">
        <f>Proc[[#This Row],[Requested]]=Proc[[#This Row],[CurrentParent]]</f>
        <v>1</v>
      </c>
      <c r="K218" s="60" t="str">
        <f>IF(Proc[[#This Row],[Author]]="Marcela Urrego",VLOOKUP(LEFT(Proc[[#This Row],[Requested]],1),Table3[#All],2,0),VLOOKUP(Proc[[#This Row],[Author]],Table4[],2,0))</f>
        <v>MGF</v>
      </c>
      <c r="L218" s="60" t="s">
        <v>509</v>
      </c>
      <c r="M218" s="73">
        <v>45671.398553240739</v>
      </c>
      <c r="N218" s="73">
        <v>45688</v>
      </c>
      <c r="O218" s="73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549</v>
      </c>
      <c r="S218" s="60"/>
    </row>
    <row r="219" spans="1:19" hidden="1">
      <c r="A219" s="62" t="s">
        <v>1547</v>
      </c>
      <c r="B219" s="60" t="str">
        <f>IFERROR(VLOOKUP(Proc[[#This Row],[App]],Table2[],3,0),"open")</f>
        <v>ok</v>
      </c>
      <c r="C219" s="62" t="s">
        <v>369</v>
      </c>
      <c r="D219" t="s">
        <v>1533</v>
      </c>
      <c r="E219" t="s">
        <v>631</v>
      </c>
      <c r="F219" s="105" t="s">
        <v>631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1640</v>
      </c>
      <c r="J219" s="60" t="b">
        <f>Proc[[#This Row],[Requested]]=Proc[[#This Row],[CurrentParent]]</f>
        <v>1</v>
      </c>
      <c r="K219" s="60" t="str">
        <f>IF(Proc[[#This Row],[Author]]="Marcela Urrego",VLOOKUP(LEFT(Proc[[#This Row],[Requested]],1),Table3[#All],2,0),VLOOKUP(Proc[[#This Row],[Author]],Table4[],2,0))</f>
        <v>MGF</v>
      </c>
      <c r="L219" s="60" t="s">
        <v>509</v>
      </c>
      <c r="M219" s="73">
        <v>45671.398553240739</v>
      </c>
      <c r="N219" s="73">
        <v>45688</v>
      </c>
      <c r="O219" s="73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549</v>
      </c>
      <c r="S219" s="60"/>
    </row>
    <row r="220" spans="1:19" hidden="1">
      <c r="A220" s="62" t="s">
        <v>1547</v>
      </c>
      <c r="B220" s="60" t="str">
        <f>IFERROR(VLOOKUP(Proc[[#This Row],[App]],Table2[],3,0),"open")</f>
        <v>ok</v>
      </c>
      <c r="C220" s="62" t="s">
        <v>377</v>
      </c>
      <c r="D220" t="s">
        <v>1534</v>
      </c>
      <c r="E220" t="s">
        <v>631</v>
      </c>
      <c r="F220" s="105" t="s">
        <v>631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446</v>
      </c>
      <c r="J220" s="60" t="b">
        <f>Proc[[#This Row],[Requested]]=Proc[[#This Row],[CurrentParent]]</f>
        <v>1</v>
      </c>
      <c r="K220" s="60" t="str">
        <f>IF(Proc[[#This Row],[Author]]="Marcela Urrego",VLOOKUP(LEFT(Proc[[#This Row],[Requested]],1),Table3[#All],2,0),VLOOKUP(Proc[[#This Row],[Author]],Table4[],2,0))</f>
        <v>MGF</v>
      </c>
      <c r="L220" s="60" t="s">
        <v>509</v>
      </c>
      <c r="M220" s="73">
        <v>45671.398553240739</v>
      </c>
      <c r="O220" s="73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549</v>
      </c>
      <c r="S220" s="60"/>
    </row>
    <row r="221" spans="1:19" hidden="1">
      <c r="A221" s="62" t="s">
        <v>1547</v>
      </c>
      <c r="B221" s="60" t="str">
        <f>IFERROR(VLOOKUP(Proc[[#This Row],[App]],Table2[],3,0),"open")</f>
        <v>ok</v>
      </c>
      <c r="C221" s="62" t="s">
        <v>369</v>
      </c>
      <c r="D221" t="s">
        <v>1535</v>
      </c>
      <c r="E221" t="s">
        <v>631</v>
      </c>
      <c r="F221" s="105" t="s">
        <v>631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1640</v>
      </c>
      <c r="J221" s="60" t="b">
        <f>Proc[[#This Row],[Requested]]=Proc[[#This Row],[CurrentParent]]</f>
        <v>1</v>
      </c>
      <c r="K221" s="60" t="str">
        <f>IF(Proc[[#This Row],[Author]]="Marcela Urrego",VLOOKUP(LEFT(Proc[[#This Row],[Requested]],1),Table3[#All],2,0),VLOOKUP(Proc[[#This Row],[Author]],Table4[],2,0))</f>
        <v>MGF</v>
      </c>
      <c r="L221" s="60" t="s">
        <v>509</v>
      </c>
      <c r="M221" s="73">
        <v>45671.398553240739</v>
      </c>
      <c r="N221" s="73">
        <v>45688</v>
      </c>
      <c r="O221" s="73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549</v>
      </c>
      <c r="S221" s="60"/>
    </row>
    <row r="222" spans="1:19" hidden="1">
      <c r="A222" s="62" t="s">
        <v>1547</v>
      </c>
      <c r="B222" s="60" t="str">
        <f>IFERROR(VLOOKUP(Proc[[#This Row],[App]],Table2[],3,0),"open")</f>
        <v>ok</v>
      </c>
      <c r="C222" s="62" t="s">
        <v>369</v>
      </c>
      <c r="D222" t="s">
        <v>1536</v>
      </c>
      <c r="E222" t="s">
        <v>631</v>
      </c>
      <c r="F222" s="105" t="s">
        <v>631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1640</v>
      </c>
      <c r="J222" s="60" t="b">
        <f>Proc[[#This Row],[Requested]]=Proc[[#This Row],[CurrentParent]]</f>
        <v>1</v>
      </c>
      <c r="K222" s="60" t="str">
        <f>IF(Proc[[#This Row],[Author]]="Marcela Urrego",VLOOKUP(LEFT(Proc[[#This Row],[Requested]],1),Table3[#All],2,0),VLOOKUP(Proc[[#This Row],[Author]],Table4[],2,0))</f>
        <v>MGF</v>
      </c>
      <c r="L222" s="60" t="s">
        <v>509</v>
      </c>
      <c r="M222" s="73">
        <v>45671.398553240739</v>
      </c>
      <c r="N222" s="73">
        <v>45688</v>
      </c>
      <c r="O222" s="73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549</v>
      </c>
      <c r="S222" s="60"/>
    </row>
    <row r="223" spans="1:19" hidden="1">
      <c r="A223" s="62" t="s">
        <v>1547</v>
      </c>
      <c r="B223" s="60" t="str">
        <f>IFERROR(VLOOKUP(Proc[[#This Row],[App]],Table2[],3,0),"open")</f>
        <v>ok</v>
      </c>
      <c r="C223" s="62" t="s">
        <v>369</v>
      </c>
      <c r="D223" t="s">
        <v>1537</v>
      </c>
      <c r="E223" t="s">
        <v>631</v>
      </c>
      <c r="F223" s="105" t="s">
        <v>631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1640</v>
      </c>
      <c r="J223" s="60" t="b">
        <f>Proc[[#This Row],[Requested]]=Proc[[#This Row],[CurrentParent]]</f>
        <v>1</v>
      </c>
      <c r="K223" s="60" t="str">
        <f>IF(Proc[[#This Row],[Author]]="Marcela Urrego",VLOOKUP(LEFT(Proc[[#This Row],[Requested]],1),Table3[#All],2,0),VLOOKUP(Proc[[#This Row],[Author]],Table4[],2,0))</f>
        <v>MGF</v>
      </c>
      <c r="L223" s="60" t="s">
        <v>509</v>
      </c>
      <c r="M223" s="73">
        <v>45671.398553240739</v>
      </c>
      <c r="N223" s="73">
        <v>45688</v>
      </c>
      <c r="O223" s="73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549</v>
      </c>
      <c r="S223" s="60"/>
    </row>
    <row r="224" spans="1:19" hidden="1">
      <c r="A224" s="62" t="s">
        <v>1547</v>
      </c>
      <c r="B224" s="60" t="str">
        <f>IFERROR(VLOOKUP(Proc[[#This Row],[App]],Table2[],3,0),"open")</f>
        <v>ok</v>
      </c>
      <c r="C224" s="62" t="s">
        <v>369</v>
      </c>
      <c r="D224" t="s">
        <v>1538</v>
      </c>
      <c r="E224" t="s">
        <v>631</v>
      </c>
      <c r="F224" s="105" t="s">
        <v>631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1640</v>
      </c>
      <c r="J224" s="60" t="b">
        <f>Proc[[#This Row],[Requested]]=Proc[[#This Row],[CurrentParent]]</f>
        <v>1</v>
      </c>
      <c r="K224" s="60" t="str">
        <f>IF(Proc[[#This Row],[Author]]="Marcela Urrego",VLOOKUP(LEFT(Proc[[#This Row],[Requested]],1),Table3[#All],2,0),VLOOKUP(Proc[[#This Row],[Author]],Table4[],2,0))</f>
        <v>MGF</v>
      </c>
      <c r="L224" s="60" t="s">
        <v>509</v>
      </c>
      <c r="M224" s="73">
        <v>45671.398553240739</v>
      </c>
      <c r="N224" s="73">
        <v>45688</v>
      </c>
      <c r="O224" s="73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549</v>
      </c>
      <c r="S224" s="60"/>
    </row>
    <row r="225" spans="1:19" hidden="1">
      <c r="A225" s="62" t="s">
        <v>1547</v>
      </c>
      <c r="B225" s="60" t="str">
        <f>IFERROR(VLOOKUP(Proc[[#This Row],[App]],Table2[],3,0),"open")</f>
        <v>ok</v>
      </c>
      <c r="C225" s="62" t="s">
        <v>369</v>
      </c>
      <c r="D225" t="s">
        <v>1539</v>
      </c>
      <c r="E225" t="s">
        <v>631</v>
      </c>
      <c r="F225" s="105" t="s">
        <v>631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1640</v>
      </c>
      <c r="J225" s="60" t="b">
        <f>Proc[[#This Row],[Requested]]=Proc[[#This Row],[CurrentParent]]</f>
        <v>1</v>
      </c>
      <c r="K225" s="60" t="str">
        <f>IF(Proc[[#This Row],[Author]]="Marcela Urrego",VLOOKUP(LEFT(Proc[[#This Row],[Requested]],1),Table3[#All],2,0),VLOOKUP(Proc[[#This Row],[Author]],Table4[],2,0))</f>
        <v>MGF</v>
      </c>
      <c r="L225" s="60" t="s">
        <v>509</v>
      </c>
      <c r="M225" s="73">
        <v>45671.398553240739</v>
      </c>
      <c r="N225" s="73">
        <v>45688</v>
      </c>
      <c r="O225" s="73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549</v>
      </c>
      <c r="S225" s="60"/>
    </row>
    <row r="226" spans="1:19" hidden="1">
      <c r="A226" s="62" t="s">
        <v>1547</v>
      </c>
      <c r="B226" s="60" t="str">
        <f>IFERROR(VLOOKUP(Proc[[#This Row],[App]],Table2[],3,0),"open")</f>
        <v>ok</v>
      </c>
      <c r="C226" s="62" t="s">
        <v>369</v>
      </c>
      <c r="D226" t="s">
        <v>1540</v>
      </c>
      <c r="E226" t="s">
        <v>631</v>
      </c>
      <c r="F226" s="105" t="s">
        <v>631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1640</v>
      </c>
      <c r="J226" s="60" t="b">
        <f>Proc[[#This Row],[Requested]]=Proc[[#This Row],[CurrentParent]]</f>
        <v>1</v>
      </c>
      <c r="K226" s="60" t="str">
        <f>IF(Proc[[#This Row],[Author]]="Marcela Urrego",VLOOKUP(LEFT(Proc[[#This Row],[Requested]],1),Table3[#All],2,0),VLOOKUP(Proc[[#This Row],[Author]],Table4[],2,0))</f>
        <v>MGF</v>
      </c>
      <c r="L226" s="60" t="s">
        <v>509</v>
      </c>
      <c r="M226" s="73">
        <v>45671.398553240739</v>
      </c>
      <c r="N226" s="73">
        <v>45688</v>
      </c>
      <c r="O226" s="73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549</v>
      </c>
      <c r="S226" s="60"/>
    </row>
    <row r="227" spans="1:19" hidden="1">
      <c r="A227" s="62" t="s">
        <v>1547</v>
      </c>
      <c r="B227" s="60" t="str">
        <f>IFERROR(VLOOKUP(Proc[[#This Row],[App]],Table2[],3,0),"open")</f>
        <v>ok</v>
      </c>
      <c r="C227" s="62" t="s">
        <v>369</v>
      </c>
      <c r="D227" t="s">
        <v>1541</v>
      </c>
      <c r="E227" t="s">
        <v>631</v>
      </c>
      <c r="F227" s="105" t="s">
        <v>631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1640</v>
      </c>
      <c r="J227" s="60" t="b">
        <f>Proc[[#This Row],[Requested]]=Proc[[#This Row],[CurrentParent]]</f>
        <v>1</v>
      </c>
      <c r="K227" s="60" t="str">
        <f>IF(Proc[[#This Row],[Author]]="Marcela Urrego",VLOOKUP(LEFT(Proc[[#This Row],[Requested]],1),Table3[#All],2,0),VLOOKUP(Proc[[#This Row],[Author]],Table4[],2,0))</f>
        <v>MGF</v>
      </c>
      <c r="L227" s="60" t="s">
        <v>509</v>
      </c>
      <c r="M227" s="73">
        <v>45671.398553240739</v>
      </c>
      <c r="N227" s="73">
        <v>45688</v>
      </c>
      <c r="O227" s="73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549</v>
      </c>
      <c r="S227" s="60"/>
    </row>
    <row r="228" spans="1:19" hidden="1">
      <c r="A228" s="62" t="s">
        <v>1547</v>
      </c>
      <c r="B228" s="60" t="str">
        <f>IFERROR(VLOOKUP(Proc[[#This Row],[App]],Table2[],3,0),"open")</f>
        <v>ok</v>
      </c>
      <c r="C228" s="62" t="s">
        <v>377</v>
      </c>
      <c r="D228" t="s">
        <v>455</v>
      </c>
      <c r="E228" t="s">
        <v>631</v>
      </c>
      <c r="F228" s="105" t="s">
        <v>631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446</v>
      </c>
      <c r="J228" s="60" t="b">
        <f>Proc[[#This Row],[Requested]]=Proc[[#This Row],[CurrentParent]]</f>
        <v>1</v>
      </c>
      <c r="K228" s="60" t="str">
        <f>IF(Proc[[#This Row],[Author]]="Marcela Urrego",VLOOKUP(LEFT(Proc[[#This Row],[Requested]],1),Table3[#All],2,0),VLOOKUP(Proc[[#This Row],[Author]],Table4[],2,0))</f>
        <v>MGF</v>
      </c>
      <c r="L228" s="60" t="s">
        <v>509</v>
      </c>
      <c r="M228" s="73">
        <v>45671.398553240739</v>
      </c>
      <c r="O228" s="73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549</v>
      </c>
      <c r="S228" s="60"/>
    </row>
    <row r="229" spans="1:19" hidden="1">
      <c r="A229" s="62" t="s">
        <v>1547</v>
      </c>
      <c r="B229" s="60" t="str">
        <f>IFERROR(VLOOKUP(Proc[[#This Row],[App]],Table2[],3,0),"open")</f>
        <v>ok</v>
      </c>
      <c r="C229" s="62" t="s">
        <v>369</v>
      </c>
      <c r="D229" t="s">
        <v>1542</v>
      </c>
      <c r="E229" t="s">
        <v>631</v>
      </c>
      <c r="F229" s="105" t="s">
        <v>631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1640</v>
      </c>
      <c r="J229" s="60" t="b">
        <f>Proc[[#This Row],[Requested]]=Proc[[#This Row],[CurrentParent]]</f>
        <v>1</v>
      </c>
      <c r="K229" s="60" t="str">
        <f>IF(Proc[[#This Row],[Author]]="Marcela Urrego",VLOOKUP(LEFT(Proc[[#This Row],[Requested]],1),Table3[#All],2,0),VLOOKUP(Proc[[#This Row],[Author]],Table4[],2,0))</f>
        <v>MGF</v>
      </c>
      <c r="L229" s="60" t="s">
        <v>509</v>
      </c>
      <c r="M229" s="73">
        <v>45671.398553240739</v>
      </c>
      <c r="N229" s="73">
        <v>45688</v>
      </c>
      <c r="O229" s="73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549</v>
      </c>
      <c r="S229" s="60"/>
    </row>
    <row r="230" spans="1:19" hidden="1">
      <c r="A230" s="62" t="s">
        <v>1547</v>
      </c>
      <c r="B230" s="60" t="str">
        <f>IFERROR(VLOOKUP(Proc[[#This Row],[App]],Table2[],3,0),"open")</f>
        <v>ok</v>
      </c>
      <c r="C230" s="62" t="s">
        <v>377</v>
      </c>
      <c r="D230" t="s">
        <v>456</v>
      </c>
      <c r="E230" t="s">
        <v>631</v>
      </c>
      <c r="F230" s="105" t="s">
        <v>631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446</v>
      </c>
      <c r="J230" s="60" t="b">
        <f>Proc[[#This Row],[Requested]]=Proc[[#This Row],[CurrentParent]]</f>
        <v>1</v>
      </c>
      <c r="K230" s="60" t="str">
        <f>IF(Proc[[#This Row],[Author]]="Marcela Urrego",VLOOKUP(LEFT(Proc[[#This Row],[Requested]],1),Table3[#All],2,0),VLOOKUP(Proc[[#This Row],[Author]],Table4[],2,0))</f>
        <v>MGF</v>
      </c>
      <c r="L230" s="60" t="s">
        <v>509</v>
      </c>
      <c r="M230" s="73">
        <v>45671.398553240739</v>
      </c>
      <c r="O230" s="73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549</v>
      </c>
      <c r="S230" s="60"/>
    </row>
    <row r="231" spans="1:19" hidden="1">
      <c r="A231" s="62" t="s">
        <v>1547</v>
      </c>
      <c r="B231" s="60" t="str">
        <f>IFERROR(VLOOKUP(Proc[[#This Row],[App]],Table2[],3,0),"open")</f>
        <v>ok</v>
      </c>
      <c r="C231" s="62" t="s">
        <v>369</v>
      </c>
      <c r="D231" t="s">
        <v>1543</v>
      </c>
      <c r="E231" t="s">
        <v>631</v>
      </c>
      <c r="F231" s="105" t="s">
        <v>631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1640</v>
      </c>
      <c r="J231" s="60" t="b">
        <f>Proc[[#This Row],[Requested]]=Proc[[#This Row],[CurrentParent]]</f>
        <v>1</v>
      </c>
      <c r="K231" s="60" t="str">
        <f>IF(Proc[[#This Row],[Author]]="Marcela Urrego",VLOOKUP(LEFT(Proc[[#This Row],[Requested]],1),Table3[#All],2,0),VLOOKUP(Proc[[#This Row],[Author]],Table4[],2,0))</f>
        <v>MGF</v>
      </c>
      <c r="L231" s="60" t="s">
        <v>509</v>
      </c>
      <c r="M231" s="73">
        <v>45671.398553240739</v>
      </c>
      <c r="N231" s="73">
        <v>45688</v>
      </c>
      <c r="O231" s="73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549</v>
      </c>
      <c r="S231" s="60"/>
    </row>
    <row r="232" spans="1:19" hidden="1">
      <c r="A232" s="62" t="s">
        <v>1547</v>
      </c>
      <c r="B232" s="60" t="str">
        <f>IFERROR(VLOOKUP(Proc[[#This Row],[App]],Table2[],3,0),"open")</f>
        <v>ok</v>
      </c>
      <c r="C232" s="62" t="s">
        <v>369</v>
      </c>
      <c r="D232" t="s">
        <v>1544</v>
      </c>
      <c r="E232" t="s">
        <v>631</v>
      </c>
      <c r="F232" s="105" t="s">
        <v>631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1640</v>
      </c>
      <c r="J232" s="60" t="b">
        <f>Proc[[#This Row],[Requested]]=Proc[[#This Row],[CurrentParent]]</f>
        <v>1</v>
      </c>
      <c r="K232" s="60" t="str">
        <f>IF(Proc[[#This Row],[Author]]="Marcela Urrego",VLOOKUP(LEFT(Proc[[#This Row],[Requested]],1),Table3[#All],2,0),VLOOKUP(Proc[[#This Row],[Author]],Table4[],2,0))</f>
        <v>MGF</v>
      </c>
      <c r="L232" s="60" t="s">
        <v>509</v>
      </c>
      <c r="M232" s="73">
        <v>45671.398553240739</v>
      </c>
      <c r="N232" s="73">
        <v>45688</v>
      </c>
      <c r="O232" s="73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549</v>
      </c>
      <c r="S232" s="60"/>
    </row>
    <row r="233" spans="1:19" hidden="1">
      <c r="A233" s="62" t="s">
        <v>1547</v>
      </c>
      <c r="B233" s="60" t="str">
        <f>IFERROR(VLOOKUP(Proc[[#This Row],[App]],Table2[],3,0),"open")</f>
        <v>ok</v>
      </c>
      <c r="C233" s="62" t="s">
        <v>369</v>
      </c>
      <c r="D233" t="s">
        <v>1545</v>
      </c>
      <c r="E233" t="s">
        <v>631</v>
      </c>
      <c r="F233" s="105" t="s">
        <v>631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1640</v>
      </c>
      <c r="J233" s="60" t="b">
        <f>Proc[[#This Row],[Requested]]=Proc[[#This Row],[CurrentParent]]</f>
        <v>1</v>
      </c>
      <c r="K233" s="60" t="str">
        <f>IF(Proc[[#This Row],[Author]]="Marcela Urrego",VLOOKUP(LEFT(Proc[[#This Row],[Requested]],1),Table3[#All],2,0),VLOOKUP(Proc[[#This Row],[Author]],Table4[],2,0))</f>
        <v>MGF</v>
      </c>
      <c r="L233" s="60" t="s">
        <v>509</v>
      </c>
      <c r="M233" s="73">
        <v>45671.398553240739</v>
      </c>
      <c r="N233" s="73">
        <v>45688</v>
      </c>
      <c r="O233" s="73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549</v>
      </c>
      <c r="S233" s="60"/>
    </row>
    <row r="234" spans="1:19" hidden="1">
      <c r="A234" s="62" t="s">
        <v>1547</v>
      </c>
      <c r="B234" s="60" t="str">
        <f>IFERROR(VLOOKUP(Proc[[#This Row],[App]],Table2[],3,0),"open")</f>
        <v>ok</v>
      </c>
      <c r="C234" s="62" t="s">
        <v>377</v>
      </c>
      <c r="D234" t="s">
        <v>1546</v>
      </c>
      <c r="E234" t="s">
        <v>631</v>
      </c>
      <c r="F234" s="105" t="s">
        <v>631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446</v>
      </c>
      <c r="J234" s="60" t="b">
        <f>Proc[[#This Row],[Requested]]=Proc[[#This Row],[CurrentParent]]</f>
        <v>1</v>
      </c>
      <c r="K234" s="60" t="str">
        <f>IF(Proc[[#This Row],[Author]]="Marcela Urrego",VLOOKUP(LEFT(Proc[[#This Row],[Requested]],1),Table3[#All],2,0),VLOOKUP(Proc[[#This Row],[Author]],Table4[],2,0))</f>
        <v>MGF</v>
      </c>
      <c r="L234" s="60" t="s">
        <v>509</v>
      </c>
      <c r="M234" s="73">
        <v>45671.398553240739</v>
      </c>
      <c r="O234" s="73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549</v>
      </c>
      <c r="S234" s="60"/>
    </row>
    <row r="235" spans="1:19" hidden="1">
      <c r="A235" t="s">
        <v>1558</v>
      </c>
      <c r="B235" s="60" t="str">
        <f>IFERROR(VLOOKUP(Proc[[#This Row],[App]],Table2[],3,0),"open")</f>
        <v>ok</v>
      </c>
      <c r="C235" t="s">
        <v>369</v>
      </c>
      <c r="D235" t="s">
        <v>1548</v>
      </c>
      <c r="E235" t="s">
        <v>419</v>
      </c>
      <c r="F235" s="105" t="s">
        <v>419</v>
      </c>
      <c r="G235" t="s">
        <v>400</v>
      </c>
      <c r="H235" s="60" t="str">
        <f>IF(Proc[[#This Row],[type]]="LFF (MDG-F)",MID(Proc[[#This Row],[Obj]],13,10),"")</f>
        <v/>
      </c>
      <c r="I235" s="62" t="s">
        <v>1639</v>
      </c>
      <c r="J235" s="60" t="b">
        <f>Proc[[#This Row],[Requested]]=Proc[[#This Row],[CurrentParent]]</f>
        <v>1</v>
      </c>
      <c r="K235" s="60" t="str">
        <f>IF(Proc[[#This Row],[Author]]="Marcela Urrego",VLOOKUP(LEFT(Proc[[#This Row],[Requested]],1),Table3[#All],2,0),VLOOKUP(Proc[[#This Row],[Author]],Table4[],2,0))</f>
        <v>MGF</v>
      </c>
      <c r="L235" s="60" t="s">
        <v>509</v>
      </c>
      <c r="M235" s="73">
        <v>45672.564884259256</v>
      </c>
      <c r="N235" s="73">
        <v>45688</v>
      </c>
      <c r="O235" s="73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1076</v>
      </c>
      <c r="S235" s="60"/>
    </row>
    <row r="236" spans="1:19" hidden="1">
      <c r="A236" s="62" t="s">
        <v>1558</v>
      </c>
      <c r="B236" s="60" t="str">
        <f>IFERROR(VLOOKUP(Proc[[#This Row],[App]],Table2[],3,0),"open")</f>
        <v>ok</v>
      </c>
      <c r="C236" s="62" t="s">
        <v>369</v>
      </c>
      <c r="D236" t="s">
        <v>1549</v>
      </c>
      <c r="E236" t="s">
        <v>419</v>
      </c>
      <c r="F236" s="105" t="s">
        <v>419</v>
      </c>
      <c r="G236" s="62" t="s">
        <v>400</v>
      </c>
      <c r="H236" s="60" t="str">
        <f>IF(Proc[[#This Row],[type]]="LFF (MDG-F)",MID(Proc[[#This Row],[Obj]],13,10),"")</f>
        <v/>
      </c>
      <c r="I236" s="62" t="s">
        <v>1639</v>
      </c>
      <c r="J236" s="60" t="b">
        <f>Proc[[#This Row],[Requested]]=Proc[[#This Row],[CurrentParent]]</f>
        <v>1</v>
      </c>
      <c r="K236" s="60" t="str">
        <f>IF(Proc[[#This Row],[Author]]="Marcela Urrego",VLOOKUP(LEFT(Proc[[#This Row],[Requested]],1),Table3[#All],2,0),VLOOKUP(Proc[[#This Row],[Author]],Table4[],2,0))</f>
        <v>MGF</v>
      </c>
      <c r="L236" s="60" t="s">
        <v>509</v>
      </c>
      <c r="M236" s="73">
        <v>45672.564884259256</v>
      </c>
      <c r="N236" s="73">
        <v>45688</v>
      </c>
      <c r="O236" s="73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1076</v>
      </c>
      <c r="S236" s="60"/>
    </row>
    <row r="237" spans="1:19" hidden="1">
      <c r="A237" s="62" t="s">
        <v>1558</v>
      </c>
      <c r="B237" s="60" t="str">
        <f>IFERROR(VLOOKUP(Proc[[#This Row],[App]],Table2[],3,0),"open")</f>
        <v>ok</v>
      </c>
      <c r="C237" s="62" t="s">
        <v>369</v>
      </c>
      <c r="D237" t="s">
        <v>1550</v>
      </c>
      <c r="E237" t="s">
        <v>418</v>
      </c>
      <c r="F237" s="105" t="s">
        <v>418</v>
      </c>
      <c r="G237" s="62" t="s">
        <v>400</v>
      </c>
      <c r="H237" s="60" t="str">
        <f>IF(Proc[[#This Row],[type]]="LFF (MDG-F)",MID(Proc[[#This Row],[Obj]],13,10),"")</f>
        <v/>
      </c>
      <c r="I237" s="62" t="s">
        <v>1639</v>
      </c>
      <c r="J237" s="60" t="b">
        <f>Proc[[#This Row],[Requested]]=Proc[[#This Row],[CurrentParent]]</f>
        <v>1</v>
      </c>
      <c r="K237" s="60" t="str">
        <f>IF(Proc[[#This Row],[Author]]="Marcela Urrego",VLOOKUP(LEFT(Proc[[#This Row],[Requested]],1),Table3[#All],2,0),VLOOKUP(Proc[[#This Row],[Author]],Table4[],2,0))</f>
        <v>MGF</v>
      </c>
      <c r="L237" s="60" t="s">
        <v>509</v>
      </c>
      <c r="M237" s="73">
        <v>45672.564884259256</v>
      </c>
      <c r="N237" s="73">
        <v>45688</v>
      </c>
      <c r="O237" s="73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1076</v>
      </c>
      <c r="S237" s="60"/>
    </row>
    <row r="238" spans="1:19" hidden="1">
      <c r="A238" s="62" t="s">
        <v>1558</v>
      </c>
      <c r="B238" s="60" t="str">
        <f>IFERROR(VLOOKUP(Proc[[#This Row],[App]],Table2[],3,0),"open")</f>
        <v>ok</v>
      </c>
      <c r="C238" s="62" t="s">
        <v>369</v>
      </c>
      <c r="D238" t="s">
        <v>1551</v>
      </c>
      <c r="E238" t="s">
        <v>756</v>
      </c>
      <c r="F238" s="105" t="s">
        <v>756</v>
      </c>
      <c r="G238" s="62" t="s">
        <v>400</v>
      </c>
      <c r="H238" s="60" t="str">
        <f>IF(Proc[[#This Row],[type]]="LFF (MDG-F)",MID(Proc[[#This Row],[Obj]],13,10),"")</f>
        <v/>
      </c>
      <c r="I238" s="62" t="s">
        <v>1639</v>
      </c>
      <c r="J238" s="60" t="b">
        <f>Proc[[#This Row],[Requested]]=Proc[[#This Row],[CurrentParent]]</f>
        <v>1</v>
      </c>
      <c r="K238" s="60" t="str">
        <f>IF(Proc[[#This Row],[Author]]="Marcela Urrego",VLOOKUP(LEFT(Proc[[#This Row],[Requested]],1),Table3[#All],2,0),VLOOKUP(Proc[[#This Row],[Author]],Table4[],2,0))</f>
        <v>MGF</v>
      </c>
      <c r="L238" s="60" t="s">
        <v>509</v>
      </c>
      <c r="M238" s="73">
        <v>45672.564884259256</v>
      </c>
      <c r="N238" s="73">
        <v>45688</v>
      </c>
      <c r="O238" s="73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1076</v>
      </c>
      <c r="S238" s="60"/>
    </row>
    <row r="239" spans="1:19" hidden="1">
      <c r="A239" s="62" t="s">
        <v>1558</v>
      </c>
      <c r="B239" s="60" t="str">
        <f>IFERROR(VLOOKUP(Proc[[#This Row],[App]],Table2[],3,0),"open")</f>
        <v>ok</v>
      </c>
      <c r="C239" s="62" t="s">
        <v>369</v>
      </c>
      <c r="D239" t="s">
        <v>1552</v>
      </c>
      <c r="E239" t="s">
        <v>419</v>
      </c>
      <c r="F239" s="105" t="s">
        <v>419</v>
      </c>
      <c r="G239" s="62" t="s">
        <v>400</v>
      </c>
      <c r="H239" s="60" t="str">
        <f>IF(Proc[[#This Row],[type]]="LFF (MDG-F)",MID(Proc[[#This Row],[Obj]],13,10),"")</f>
        <v/>
      </c>
      <c r="I239" t="s">
        <v>1638</v>
      </c>
      <c r="J239" s="60" t="b">
        <f>Proc[[#This Row],[Requested]]=Proc[[#This Row],[CurrentParent]]</f>
        <v>1</v>
      </c>
      <c r="K239" s="60" t="str">
        <f>IF(Proc[[#This Row],[Author]]="Marcela Urrego",VLOOKUP(LEFT(Proc[[#This Row],[Requested]],1),Table3[#All],2,0),VLOOKUP(Proc[[#This Row],[Author]],Table4[],2,0))</f>
        <v>MGF</v>
      </c>
      <c r="L239" s="60" t="s">
        <v>509</v>
      </c>
      <c r="M239" s="73">
        <v>45672.564884259256</v>
      </c>
      <c r="N239" s="73">
        <v>45688</v>
      </c>
      <c r="O239" s="73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1076</v>
      </c>
      <c r="S239" s="60"/>
    </row>
    <row r="240" spans="1:19" hidden="1">
      <c r="A240" s="62" t="s">
        <v>1558</v>
      </c>
      <c r="B240" s="60" t="str">
        <f>IFERROR(VLOOKUP(Proc[[#This Row],[App]],Table2[],3,0),"open")</f>
        <v>ok</v>
      </c>
      <c r="C240" s="62" t="s">
        <v>369</v>
      </c>
      <c r="D240" t="s">
        <v>1553</v>
      </c>
      <c r="E240" t="s">
        <v>419</v>
      </c>
      <c r="F240" s="105" t="s">
        <v>419</v>
      </c>
      <c r="G240" s="62" t="s">
        <v>400</v>
      </c>
      <c r="H240" s="60" t="str">
        <f>IF(Proc[[#This Row],[type]]="LFF (MDG-F)",MID(Proc[[#This Row],[Obj]],13,10),"")</f>
        <v/>
      </c>
      <c r="I240" s="62" t="s">
        <v>1638</v>
      </c>
      <c r="J240" s="60" t="b">
        <f>Proc[[#This Row],[Requested]]=Proc[[#This Row],[CurrentParent]]</f>
        <v>1</v>
      </c>
      <c r="K240" s="60" t="str">
        <f>IF(Proc[[#This Row],[Author]]="Marcela Urrego",VLOOKUP(LEFT(Proc[[#This Row],[Requested]],1),Table3[#All],2,0),VLOOKUP(Proc[[#This Row],[Author]],Table4[],2,0))</f>
        <v>MGF</v>
      </c>
      <c r="L240" s="60" t="s">
        <v>509</v>
      </c>
      <c r="M240" s="73">
        <v>45672.564884259256</v>
      </c>
      <c r="N240" s="73">
        <v>45688</v>
      </c>
      <c r="O240" s="73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1076</v>
      </c>
      <c r="S240" s="60"/>
    </row>
    <row r="241" spans="1:19" hidden="1">
      <c r="A241" s="62" t="s">
        <v>1558</v>
      </c>
      <c r="B241" s="60" t="str">
        <f>IFERROR(VLOOKUP(Proc[[#This Row],[App]],Table2[],3,0),"open")</f>
        <v>ok</v>
      </c>
      <c r="C241" s="62" t="s">
        <v>369</v>
      </c>
      <c r="D241" t="s">
        <v>1554</v>
      </c>
      <c r="E241" t="s">
        <v>418</v>
      </c>
      <c r="F241" s="105" t="s">
        <v>418</v>
      </c>
      <c r="G241" s="62" t="s">
        <v>400</v>
      </c>
      <c r="H241" s="60" t="str">
        <f>IF(Proc[[#This Row],[type]]="LFF (MDG-F)",MID(Proc[[#This Row],[Obj]],13,10),"")</f>
        <v/>
      </c>
      <c r="I241" s="62" t="s">
        <v>1638</v>
      </c>
      <c r="J241" s="60" t="b">
        <f>Proc[[#This Row],[Requested]]=Proc[[#This Row],[CurrentParent]]</f>
        <v>1</v>
      </c>
      <c r="K241" s="60" t="str">
        <f>IF(Proc[[#This Row],[Author]]="Marcela Urrego",VLOOKUP(LEFT(Proc[[#This Row],[Requested]],1),Table3[#All],2,0),VLOOKUP(Proc[[#This Row],[Author]],Table4[],2,0))</f>
        <v>MGF</v>
      </c>
      <c r="L241" s="60" t="s">
        <v>509</v>
      </c>
      <c r="M241" s="73">
        <v>45672.564884259256</v>
      </c>
      <c r="N241" s="73">
        <v>45688</v>
      </c>
      <c r="O241" s="73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1076</v>
      </c>
      <c r="S241" s="60"/>
    </row>
    <row r="242" spans="1:19" hidden="1">
      <c r="A242" s="62" t="s">
        <v>1558</v>
      </c>
      <c r="B242" s="60" t="str">
        <f>IFERROR(VLOOKUP(Proc[[#This Row],[App]],Table2[],3,0),"open")</f>
        <v>ok</v>
      </c>
      <c r="C242" s="62" t="s">
        <v>369</v>
      </c>
      <c r="D242" t="s">
        <v>1555</v>
      </c>
      <c r="E242" t="s">
        <v>418</v>
      </c>
      <c r="F242" s="105" t="s">
        <v>418</v>
      </c>
      <c r="G242" s="62" t="s">
        <v>400</v>
      </c>
      <c r="H242" s="60" t="str">
        <f>IF(Proc[[#This Row],[type]]="LFF (MDG-F)",MID(Proc[[#This Row],[Obj]],13,10),"")</f>
        <v/>
      </c>
      <c r="I242" s="62" t="s">
        <v>1638</v>
      </c>
      <c r="J242" s="60" t="b">
        <f>Proc[[#This Row],[Requested]]=Proc[[#This Row],[CurrentParent]]</f>
        <v>1</v>
      </c>
      <c r="K242" s="60" t="str">
        <f>IF(Proc[[#This Row],[Author]]="Marcela Urrego",VLOOKUP(LEFT(Proc[[#This Row],[Requested]],1),Table3[#All],2,0),VLOOKUP(Proc[[#This Row],[Author]],Table4[],2,0))</f>
        <v>MGF</v>
      </c>
      <c r="L242" s="60" t="s">
        <v>509</v>
      </c>
      <c r="M242" s="73">
        <v>45672.564884259256</v>
      </c>
      <c r="N242" s="73">
        <v>45688</v>
      </c>
      <c r="O242" s="73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1076</v>
      </c>
      <c r="S242" s="60"/>
    </row>
    <row r="243" spans="1:19" hidden="1">
      <c r="A243" s="62" t="s">
        <v>1558</v>
      </c>
      <c r="B243" s="60" t="str">
        <f>IFERROR(VLOOKUP(Proc[[#This Row],[App]],Table2[],3,0),"open")</f>
        <v>ok</v>
      </c>
      <c r="C243" s="62" t="s">
        <v>369</v>
      </c>
      <c r="D243" t="s">
        <v>1556</v>
      </c>
      <c r="E243" t="s">
        <v>418</v>
      </c>
      <c r="F243" s="105" t="s">
        <v>418</v>
      </c>
      <c r="G243" s="62" t="s">
        <v>400</v>
      </c>
      <c r="H243" s="60" t="str">
        <f>IF(Proc[[#This Row],[type]]="LFF (MDG-F)",MID(Proc[[#This Row],[Obj]],13,10),"")</f>
        <v/>
      </c>
      <c r="I243" s="62" t="s">
        <v>1639</v>
      </c>
      <c r="J243" s="60" t="b">
        <f>Proc[[#This Row],[Requested]]=Proc[[#This Row],[CurrentParent]]</f>
        <v>1</v>
      </c>
      <c r="K243" s="60" t="str">
        <f>IF(Proc[[#This Row],[Author]]="Marcela Urrego",VLOOKUP(LEFT(Proc[[#This Row],[Requested]],1),Table3[#All],2,0),VLOOKUP(Proc[[#This Row],[Author]],Table4[],2,0))</f>
        <v>MGF</v>
      </c>
      <c r="L243" s="60" t="s">
        <v>509</v>
      </c>
      <c r="M243" s="73">
        <v>45672.564884259256</v>
      </c>
      <c r="N243" s="73">
        <v>45688</v>
      </c>
      <c r="O243" s="73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1076</v>
      </c>
      <c r="S243" s="60"/>
    </row>
    <row r="244" spans="1:19" hidden="1">
      <c r="A244" s="62" t="s">
        <v>1558</v>
      </c>
      <c r="B244" s="60" t="str">
        <f>IFERROR(VLOOKUP(Proc[[#This Row],[App]],Table2[],3,0),"open")</f>
        <v>ok</v>
      </c>
      <c r="C244" s="62" t="s">
        <v>369</v>
      </c>
      <c r="D244" t="s">
        <v>1557</v>
      </c>
      <c r="E244" t="s">
        <v>1018</v>
      </c>
      <c r="F244" s="105" t="s">
        <v>1018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1637</v>
      </c>
      <c r="J244" s="60" t="b">
        <f>Proc[[#This Row],[Requested]]=Proc[[#This Row],[CurrentParent]]</f>
        <v>1</v>
      </c>
      <c r="K244" s="60" t="str">
        <f>IF(Proc[[#This Row],[Author]]="Marcela Urrego",VLOOKUP(LEFT(Proc[[#This Row],[Requested]],1),Table3[#All],2,0),VLOOKUP(Proc[[#This Row],[Author]],Table4[],2,0))</f>
        <v>MGF</v>
      </c>
      <c r="L244" s="60" t="s">
        <v>509</v>
      </c>
      <c r="M244" s="73">
        <v>45672.564884259256</v>
      </c>
      <c r="N244" s="73">
        <v>45688</v>
      </c>
      <c r="O244" s="73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1076</v>
      </c>
      <c r="S244" s="60"/>
    </row>
    <row r="245" spans="1:19" hidden="1">
      <c r="A245" t="s">
        <v>1563</v>
      </c>
      <c r="B245" s="60" t="str">
        <f>IFERROR(VLOOKUP(Proc[[#This Row],[App]],Table2[],3,0),"open")</f>
        <v>ok</v>
      </c>
      <c r="C245" s="62" t="s">
        <v>369</v>
      </c>
      <c r="D245" t="s">
        <v>1559</v>
      </c>
      <c r="E245" t="s">
        <v>565</v>
      </c>
      <c r="F245" s="105" t="s">
        <v>565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1</v>
      </c>
      <c r="K245" s="60" t="str">
        <f>IF(Proc[[#This Row],[Author]]="Marcela Urrego",VLOOKUP(LEFT(Proc[[#This Row],[Requested]],1),Table3[#All],2,0),VLOOKUP(Proc[[#This Row],[Author]],Table4[],2,0))</f>
        <v>LS</v>
      </c>
      <c r="L245" s="60" t="s">
        <v>509</v>
      </c>
      <c r="M245" s="73">
        <v>45672.662546296298</v>
      </c>
      <c r="N245" s="73">
        <v>45674</v>
      </c>
      <c r="O245" s="73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972</v>
      </c>
      <c r="S245" s="60"/>
    </row>
    <row r="246" spans="1:19" hidden="1">
      <c r="A246" s="62" t="s">
        <v>1563</v>
      </c>
      <c r="B246" s="60" t="str">
        <f>IFERROR(VLOOKUP(Proc[[#This Row],[App]],Table2[],3,0),"open")</f>
        <v>ok</v>
      </c>
      <c r="C246" s="62" t="s">
        <v>369</v>
      </c>
      <c r="D246" t="s">
        <v>1560</v>
      </c>
      <c r="E246" t="s">
        <v>503</v>
      </c>
      <c r="F246" s="105" t="s">
        <v>503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1</v>
      </c>
      <c r="K246" s="60" t="str">
        <f>IF(Proc[[#This Row],[Author]]="Marcela Urrego",VLOOKUP(LEFT(Proc[[#This Row],[Requested]],1),Table3[#All],2,0),VLOOKUP(Proc[[#This Row],[Author]],Table4[],2,0))</f>
        <v>LS</v>
      </c>
      <c r="L246" s="60" t="s">
        <v>509</v>
      </c>
      <c r="M246" s="73">
        <v>45672.662546296298</v>
      </c>
      <c r="N246" s="73">
        <v>45674</v>
      </c>
      <c r="O246" s="73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972</v>
      </c>
      <c r="S246" s="60"/>
    </row>
    <row r="247" spans="1:19" hidden="1">
      <c r="A247" s="62" t="s">
        <v>1563</v>
      </c>
      <c r="B247" s="60" t="str">
        <f>IFERROR(VLOOKUP(Proc[[#This Row],[App]],Table2[],3,0),"open")</f>
        <v>ok</v>
      </c>
      <c r="C247" s="62" t="s">
        <v>369</v>
      </c>
      <c r="D247" t="s">
        <v>1561</v>
      </c>
      <c r="E247" t="s">
        <v>503</v>
      </c>
      <c r="F247" s="105" t="s">
        <v>503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1</v>
      </c>
      <c r="K247" s="60" t="str">
        <f>IF(Proc[[#This Row],[Author]]="Marcela Urrego",VLOOKUP(LEFT(Proc[[#This Row],[Requested]],1),Table3[#All],2,0),VLOOKUP(Proc[[#This Row],[Author]],Table4[],2,0))</f>
        <v>LS</v>
      </c>
      <c r="L247" s="60" t="s">
        <v>509</v>
      </c>
      <c r="M247" s="73">
        <v>45672.662546296298</v>
      </c>
      <c r="N247" s="73">
        <v>45674</v>
      </c>
      <c r="O247" s="73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972</v>
      </c>
      <c r="S247" s="60"/>
    </row>
    <row r="248" spans="1:19" hidden="1">
      <c r="A248" s="62" t="s">
        <v>1563</v>
      </c>
      <c r="B248" s="60" t="str">
        <f>IFERROR(VLOOKUP(Proc[[#This Row],[App]],Table2[],3,0),"open")</f>
        <v>ok</v>
      </c>
      <c r="C248" s="62" t="s">
        <v>369</v>
      </c>
      <c r="D248" t="s">
        <v>1562</v>
      </c>
      <c r="E248" t="s">
        <v>1044</v>
      </c>
      <c r="F248" s="105" t="s">
        <v>1044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1</v>
      </c>
      <c r="K248" s="60" t="str">
        <f>IF(Proc[[#This Row],[Author]]="Marcela Urrego",VLOOKUP(LEFT(Proc[[#This Row],[Requested]],1),Table3[#All],2,0),VLOOKUP(Proc[[#This Row],[Author]],Table4[],2,0))</f>
        <v>LS</v>
      </c>
      <c r="L248" s="60" t="s">
        <v>509</v>
      </c>
      <c r="M248" s="73">
        <v>45672.662546296298</v>
      </c>
      <c r="N248" s="73">
        <v>45674</v>
      </c>
      <c r="O248" s="73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972</v>
      </c>
      <c r="S248" s="60"/>
    </row>
    <row r="249" spans="1:19" hidden="1">
      <c r="A249" t="s">
        <v>1565</v>
      </c>
      <c r="B249" s="60" t="str">
        <f>IFERROR(VLOOKUP(Proc[[#This Row],[App]],Table2[],3,0),"open")</f>
        <v>ok</v>
      </c>
      <c r="C249" s="62" t="s">
        <v>369</v>
      </c>
      <c r="D249" t="s">
        <v>1564</v>
      </c>
      <c r="E249" t="s">
        <v>426</v>
      </c>
      <c r="F249" s="105" t="s">
        <v>426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1637</v>
      </c>
      <c r="J249" s="60" t="b">
        <f>Proc[[#This Row],[Requested]]=Proc[[#This Row],[CurrentParent]]</f>
        <v>1</v>
      </c>
      <c r="K249" s="60" t="str">
        <f>IF(Proc[[#This Row],[Author]]="Marcela Urrego",VLOOKUP(LEFT(Proc[[#This Row],[Requested]],1),Table3[#All],2,0),VLOOKUP(Proc[[#This Row],[Author]],Table4[],2,0))</f>
        <v>MGF</v>
      </c>
      <c r="L249" s="60" t="s">
        <v>509</v>
      </c>
      <c r="M249" s="73">
        <v>45674.472696759258</v>
      </c>
      <c r="N249" s="73">
        <v>45688</v>
      </c>
      <c r="O249" s="73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1076</v>
      </c>
      <c r="S249" s="60"/>
    </row>
    <row r="250" spans="1:19" hidden="1">
      <c r="A250" t="s">
        <v>1566</v>
      </c>
      <c r="B250" s="60" t="str">
        <f>IFERROR(VLOOKUP(Proc[[#This Row],[App]],Table2[],3,0),"open")</f>
        <v>ok</v>
      </c>
      <c r="C250" s="62" t="s">
        <v>369</v>
      </c>
      <c r="D250" t="s">
        <v>1567</v>
      </c>
      <c r="E250" t="s">
        <v>1573</v>
      </c>
      <c r="F250" s="105" t="s">
        <v>1573</v>
      </c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1</v>
      </c>
      <c r="K250" s="60" t="str">
        <f>IF(Proc[[#This Row],[Author]]="Marcela Urrego",VLOOKUP(LEFT(Proc[[#This Row],[Requested]],1),Table3[#All],2,0),VLOOKUP(Proc[[#This Row],[Author]],Table4[],2,0))</f>
        <v>LS</v>
      </c>
      <c r="L250" s="60" t="s">
        <v>509</v>
      </c>
      <c r="M250" s="73">
        <v>45674.56994212963</v>
      </c>
      <c r="N250" s="73">
        <v>45678</v>
      </c>
      <c r="O250" s="73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972</v>
      </c>
      <c r="S250" s="60"/>
    </row>
    <row r="251" spans="1:19" hidden="1">
      <c r="A251" s="62" t="s">
        <v>1566</v>
      </c>
      <c r="B251" s="60" t="str">
        <f>IFERROR(VLOOKUP(Proc[[#This Row],[App]],Table2[],3,0),"open")</f>
        <v>ok</v>
      </c>
      <c r="C251" s="62" t="s">
        <v>369</v>
      </c>
      <c r="D251" t="s">
        <v>1568</v>
      </c>
      <c r="E251" t="s">
        <v>1573</v>
      </c>
      <c r="F251" s="105" t="s">
        <v>1573</v>
      </c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1</v>
      </c>
      <c r="K251" s="60" t="str">
        <f>IF(Proc[[#This Row],[Author]]="Marcela Urrego",VLOOKUP(LEFT(Proc[[#This Row],[Requested]],1),Table3[#All],2,0),VLOOKUP(Proc[[#This Row],[Author]],Table4[],2,0))</f>
        <v>LS</v>
      </c>
      <c r="L251" s="60" t="s">
        <v>509</v>
      </c>
      <c r="M251" s="73">
        <v>45674.56994212963</v>
      </c>
      <c r="N251" s="73">
        <v>45678</v>
      </c>
      <c r="O251" s="73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972</v>
      </c>
      <c r="S251" s="60"/>
    </row>
    <row r="252" spans="1:19" hidden="1">
      <c r="A252" s="62" t="s">
        <v>1566</v>
      </c>
      <c r="B252" s="60" t="str">
        <f>IFERROR(VLOOKUP(Proc[[#This Row],[App]],Table2[],3,0),"open")</f>
        <v>ok</v>
      </c>
      <c r="C252" s="62" t="s">
        <v>369</v>
      </c>
      <c r="D252" t="s">
        <v>1569</v>
      </c>
      <c r="E252" t="s">
        <v>1573</v>
      </c>
      <c r="F252" s="105" t="s">
        <v>1573</v>
      </c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1</v>
      </c>
      <c r="K252" s="60" t="str">
        <f>IF(Proc[[#This Row],[Author]]="Marcela Urrego",VLOOKUP(LEFT(Proc[[#This Row],[Requested]],1),Table3[#All],2,0),VLOOKUP(Proc[[#This Row],[Author]],Table4[],2,0))</f>
        <v>LS</v>
      </c>
      <c r="L252" s="60" t="s">
        <v>509</v>
      </c>
      <c r="M252" s="73">
        <v>45674.56994212963</v>
      </c>
      <c r="N252" s="73">
        <v>45678</v>
      </c>
      <c r="O252" s="73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972</v>
      </c>
      <c r="S252" s="60"/>
    </row>
    <row r="253" spans="1:19" hidden="1">
      <c r="A253" s="62" t="s">
        <v>1566</v>
      </c>
      <c r="B253" s="60" t="str">
        <f>IFERROR(VLOOKUP(Proc[[#This Row],[App]],Table2[],3,0),"open")</f>
        <v>ok</v>
      </c>
      <c r="C253" s="62" t="s">
        <v>369</v>
      </c>
      <c r="D253" t="s">
        <v>1570</v>
      </c>
      <c r="E253" t="s">
        <v>1574</v>
      </c>
      <c r="F253" s="105" t="s">
        <v>1574</v>
      </c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1</v>
      </c>
      <c r="K253" s="60" t="str">
        <f>IF(Proc[[#This Row],[Author]]="Marcela Urrego",VLOOKUP(LEFT(Proc[[#This Row],[Requested]],1),Table3[#All],2,0),VLOOKUP(Proc[[#This Row],[Author]],Table4[],2,0))</f>
        <v>LS</v>
      </c>
      <c r="L253" s="60" t="s">
        <v>509</v>
      </c>
      <c r="M253" s="73">
        <v>45674.56994212963</v>
      </c>
      <c r="N253" s="73">
        <v>45678</v>
      </c>
      <c r="O253" s="73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972</v>
      </c>
      <c r="S253" s="60"/>
    </row>
    <row r="254" spans="1:19" hidden="1">
      <c r="A254" s="62" t="s">
        <v>1566</v>
      </c>
      <c r="B254" s="60" t="str">
        <f>IFERROR(VLOOKUP(Proc[[#This Row],[App]],Table2[],3,0),"open")</f>
        <v>ok</v>
      </c>
      <c r="C254" s="62" t="s">
        <v>369</v>
      </c>
      <c r="D254" t="s">
        <v>1571</v>
      </c>
      <c r="E254" t="s">
        <v>1575</v>
      </c>
      <c r="F254" s="105" t="s">
        <v>1575</v>
      </c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1</v>
      </c>
      <c r="K254" s="60" t="str">
        <f>IF(Proc[[#This Row],[Author]]="Marcela Urrego",VLOOKUP(LEFT(Proc[[#This Row],[Requested]],1),Table3[#All],2,0),VLOOKUP(Proc[[#This Row],[Author]],Table4[],2,0))</f>
        <v>LS</v>
      </c>
      <c r="L254" s="60" t="s">
        <v>509</v>
      </c>
      <c r="M254" s="73">
        <v>45674.56994212963</v>
      </c>
      <c r="N254" s="73">
        <v>45678</v>
      </c>
      <c r="O254" s="73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972</v>
      </c>
      <c r="S254" s="60"/>
    </row>
    <row r="255" spans="1:19" hidden="1">
      <c r="A255" s="62" t="s">
        <v>1566</v>
      </c>
      <c r="B255" s="60" t="str">
        <f>IFERROR(VLOOKUP(Proc[[#This Row],[App]],Table2[],3,0),"open")</f>
        <v>ok</v>
      </c>
      <c r="C255" s="62" t="s">
        <v>369</v>
      </c>
      <c r="D255" t="s">
        <v>1572</v>
      </c>
      <c r="E255" t="s">
        <v>479</v>
      </c>
      <c r="F255" s="105" t="s">
        <v>479</v>
      </c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1</v>
      </c>
      <c r="K255" s="60" t="str">
        <f>IF(Proc[[#This Row],[Author]]="Marcela Urrego",VLOOKUP(LEFT(Proc[[#This Row],[Requested]],1),Table3[#All],2,0),VLOOKUP(Proc[[#This Row],[Author]],Table4[],2,0))</f>
        <v>LS</v>
      </c>
      <c r="L255" s="60" t="s">
        <v>509</v>
      </c>
      <c r="M255" s="73">
        <v>45674.56994212963</v>
      </c>
      <c r="N255" s="73">
        <v>45678</v>
      </c>
      <c r="O255" s="73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972</v>
      </c>
      <c r="S255" s="60"/>
    </row>
    <row r="256" spans="1:19" hidden="1">
      <c r="A256" t="s">
        <v>1583</v>
      </c>
      <c r="B256" s="60" t="str">
        <f>IFERROR(VLOOKUP(Proc[[#This Row],[App]],Table2[],3,0),"open")</f>
        <v>ok</v>
      </c>
      <c r="C256" t="s">
        <v>369</v>
      </c>
      <c r="D256" t="s">
        <v>1576</v>
      </c>
      <c r="E256" t="s">
        <v>1179</v>
      </c>
      <c r="F256" s="105" t="s">
        <v>1179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1</v>
      </c>
      <c r="K256" s="60" t="str">
        <f>IF(Proc[[#This Row],[Author]]="Marcela Urrego",VLOOKUP(LEFT(Proc[[#This Row],[Requested]],1),Table3[#All],2,0),VLOOKUP(Proc[[#This Row],[Author]],Table4[],2,0))</f>
        <v>LS</v>
      </c>
      <c r="L256" s="60" t="s">
        <v>509</v>
      </c>
      <c r="M256" s="73">
        <v>45677.44258101852</v>
      </c>
      <c r="N256" s="73">
        <v>45680</v>
      </c>
      <c r="O256" s="73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830</v>
      </c>
      <c r="S256" s="60"/>
    </row>
    <row r="257" spans="1:19" hidden="1">
      <c r="A257" s="62" t="s">
        <v>1583</v>
      </c>
      <c r="B257" s="60" t="str">
        <f>IFERROR(VLOOKUP(Proc[[#This Row],[App]],Table2[],3,0),"open")</f>
        <v>ok</v>
      </c>
      <c r="C257" s="62" t="s">
        <v>369</v>
      </c>
      <c r="D257" t="s">
        <v>1577</v>
      </c>
      <c r="E257" t="s">
        <v>1179</v>
      </c>
      <c r="F257" s="105" t="s">
        <v>1179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1</v>
      </c>
      <c r="K257" s="60" t="str">
        <f>IF(Proc[[#This Row],[Author]]="Marcela Urrego",VLOOKUP(LEFT(Proc[[#This Row],[Requested]],1),Table3[#All],2,0),VLOOKUP(Proc[[#This Row],[Author]],Table4[],2,0))</f>
        <v>LS</v>
      </c>
      <c r="L257" s="60" t="s">
        <v>509</v>
      </c>
      <c r="M257" s="73">
        <v>45677.44258101852</v>
      </c>
      <c r="N257" s="73">
        <v>45680</v>
      </c>
      <c r="O257" s="73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830</v>
      </c>
      <c r="S257" s="60"/>
    </row>
    <row r="258" spans="1:19" hidden="1">
      <c r="A258" s="62" t="s">
        <v>1583</v>
      </c>
      <c r="B258" s="60" t="str">
        <f>IFERROR(VLOOKUP(Proc[[#This Row],[App]],Table2[],3,0),"open")</f>
        <v>ok</v>
      </c>
      <c r="C258" s="62" t="s">
        <v>369</v>
      </c>
      <c r="D258" t="s">
        <v>1578</v>
      </c>
      <c r="E258" t="s">
        <v>854</v>
      </c>
      <c r="F258" s="105" t="s">
        <v>854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1</v>
      </c>
      <c r="K258" s="60" t="str">
        <f>IF(Proc[[#This Row],[Author]]="Marcela Urrego",VLOOKUP(LEFT(Proc[[#This Row],[Requested]],1),Table3[#All],2,0),VLOOKUP(Proc[[#This Row],[Author]],Table4[],2,0))</f>
        <v>LS</v>
      </c>
      <c r="L258" s="60" t="s">
        <v>509</v>
      </c>
      <c r="M258" s="73">
        <v>45677.44258101852</v>
      </c>
      <c r="N258" s="73">
        <v>45680</v>
      </c>
      <c r="O258" s="73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830</v>
      </c>
      <c r="S258" s="60"/>
    </row>
    <row r="259" spans="1:19" hidden="1">
      <c r="A259" s="62" t="s">
        <v>1583</v>
      </c>
      <c r="B259" s="60" t="str">
        <f>IFERROR(VLOOKUP(Proc[[#This Row],[App]],Table2[],3,0),"open")</f>
        <v>ok</v>
      </c>
      <c r="C259" s="62" t="s">
        <v>369</v>
      </c>
      <c r="D259" t="s">
        <v>1579</v>
      </c>
      <c r="E259" t="s">
        <v>526</v>
      </c>
      <c r="F259" s="105" t="s">
        <v>526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1</v>
      </c>
      <c r="K259" s="60" t="str">
        <f>IF(Proc[[#This Row],[Author]]="Marcela Urrego",VLOOKUP(LEFT(Proc[[#This Row],[Requested]],1),Table3[#All],2,0),VLOOKUP(Proc[[#This Row],[Author]],Table4[],2,0))</f>
        <v>LS</v>
      </c>
      <c r="L259" s="60" t="s">
        <v>509</v>
      </c>
      <c r="M259" s="73">
        <v>45677.44258101852</v>
      </c>
      <c r="N259" s="73">
        <v>45680</v>
      </c>
      <c r="O259" s="73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830</v>
      </c>
      <c r="S259" s="60"/>
    </row>
    <row r="260" spans="1:19" hidden="1">
      <c r="A260" s="62" t="s">
        <v>1583</v>
      </c>
      <c r="B260" s="60" t="str">
        <f>IFERROR(VLOOKUP(Proc[[#This Row],[App]],Table2[],3,0),"open")</f>
        <v>ok</v>
      </c>
      <c r="C260" s="62" t="s">
        <v>369</v>
      </c>
      <c r="D260" t="s">
        <v>1580</v>
      </c>
      <c r="E260" t="s">
        <v>546</v>
      </c>
      <c r="F260" s="105" t="s">
        <v>546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1</v>
      </c>
      <c r="K260" s="60" t="str">
        <f>IF(Proc[[#This Row],[Author]]="Marcela Urrego",VLOOKUP(LEFT(Proc[[#This Row],[Requested]],1),Table3[#All],2,0),VLOOKUP(Proc[[#This Row],[Author]],Table4[],2,0))</f>
        <v>LS</v>
      </c>
      <c r="L260" s="60" t="s">
        <v>509</v>
      </c>
      <c r="M260" s="73">
        <v>45677.44258101852</v>
      </c>
      <c r="N260" s="73">
        <v>45680</v>
      </c>
      <c r="O260" s="73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830</v>
      </c>
      <c r="S260" s="60"/>
    </row>
    <row r="261" spans="1:19" hidden="1">
      <c r="A261" s="62" t="s">
        <v>1583</v>
      </c>
      <c r="B261" s="60" t="str">
        <f>IFERROR(VLOOKUP(Proc[[#This Row],[App]],Table2[],3,0),"open")</f>
        <v>ok</v>
      </c>
      <c r="C261" s="62" t="s">
        <v>369</v>
      </c>
      <c r="D261" t="s">
        <v>1581</v>
      </c>
      <c r="E261" t="s">
        <v>977</v>
      </c>
      <c r="F261" s="105" t="s">
        <v>977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1</v>
      </c>
      <c r="K261" s="60" t="str">
        <f>IF(Proc[[#This Row],[Author]]="Marcela Urrego",VLOOKUP(LEFT(Proc[[#This Row],[Requested]],1),Table3[#All],2,0),VLOOKUP(Proc[[#This Row],[Author]],Table4[],2,0))</f>
        <v>LS</v>
      </c>
      <c r="L261" s="60" t="s">
        <v>509</v>
      </c>
      <c r="M261" s="73">
        <v>45677.44258101852</v>
      </c>
      <c r="N261" s="73">
        <v>45680</v>
      </c>
      <c r="O261" s="73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830</v>
      </c>
      <c r="S261" s="60"/>
    </row>
    <row r="262" spans="1:19" hidden="1">
      <c r="A262" s="62" t="s">
        <v>1583</v>
      </c>
      <c r="B262" s="60" t="str">
        <f>IFERROR(VLOOKUP(Proc[[#This Row],[App]],Table2[],3,0),"open")</f>
        <v>ok</v>
      </c>
      <c r="C262" s="62" t="s">
        <v>369</v>
      </c>
      <c r="D262" t="s">
        <v>1582</v>
      </c>
      <c r="E262" t="s">
        <v>546</v>
      </c>
      <c r="F262" s="105" t="s">
        <v>546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1</v>
      </c>
      <c r="K262" s="60" t="str">
        <f>IF(Proc[[#This Row],[Author]]="Marcela Urrego",VLOOKUP(LEFT(Proc[[#This Row],[Requested]],1),Table3[#All],2,0),VLOOKUP(Proc[[#This Row],[Author]],Table4[],2,0))</f>
        <v>LS</v>
      </c>
      <c r="L262" s="60" t="s">
        <v>509</v>
      </c>
      <c r="M262" s="73">
        <v>45677.44258101852</v>
      </c>
      <c r="N262" s="73">
        <v>45680</v>
      </c>
      <c r="O262" s="73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830</v>
      </c>
      <c r="S262" s="60"/>
    </row>
    <row r="263" spans="1:19" hidden="1">
      <c r="A263" t="s">
        <v>1587</v>
      </c>
      <c r="B263" s="60" t="str">
        <f>IFERROR(VLOOKUP(Proc[[#This Row],[App]],Table2[],3,0),"open")</f>
        <v>ok</v>
      </c>
      <c r="C263" t="s">
        <v>369</v>
      </c>
      <c r="D263" t="s">
        <v>1584</v>
      </c>
      <c r="E263" t="s">
        <v>1588</v>
      </c>
      <c r="F263" s="105" t="s">
        <v>1588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1637</v>
      </c>
      <c r="J263" s="60" t="b">
        <f>Proc[[#This Row],[Requested]]=Proc[[#This Row],[CurrentParent]]</f>
        <v>1</v>
      </c>
      <c r="K263" s="60" t="str">
        <f>IF(Proc[[#This Row],[Author]]="Marcela Urrego",VLOOKUP(LEFT(Proc[[#This Row],[Requested]],1),Table3[#All],2,0),VLOOKUP(Proc[[#This Row],[Author]],Table4[],2,0))</f>
        <v>MGF</v>
      </c>
      <c r="L263" s="60" t="s">
        <v>509</v>
      </c>
      <c r="M263" s="73">
        <v>45677.556840277779</v>
      </c>
      <c r="N263" s="73">
        <v>45688</v>
      </c>
      <c r="O263" s="73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452</v>
      </c>
      <c r="S263" s="60"/>
    </row>
    <row r="264" spans="1:19" hidden="1">
      <c r="A264" s="62" t="s">
        <v>1587</v>
      </c>
      <c r="B264" s="60" t="str">
        <f>IFERROR(VLOOKUP(Proc[[#This Row],[App]],Table2[],3,0),"open")</f>
        <v>ok</v>
      </c>
      <c r="C264" s="62" t="s">
        <v>369</v>
      </c>
      <c r="D264" t="s">
        <v>1585</v>
      </c>
      <c r="E264" t="s">
        <v>1589</v>
      </c>
      <c r="F264" s="105" t="s">
        <v>1589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1637</v>
      </c>
      <c r="J264" s="60" t="b">
        <f>Proc[[#This Row],[Requested]]=Proc[[#This Row],[CurrentParent]]</f>
        <v>1</v>
      </c>
      <c r="K264" s="60" t="str">
        <f>IF(Proc[[#This Row],[Author]]="Marcela Urrego",VLOOKUP(LEFT(Proc[[#This Row],[Requested]],1),Table3[#All],2,0),VLOOKUP(Proc[[#This Row],[Author]],Table4[],2,0))</f>
        <v>MGF</v>
      </c>
      <c r="L264" s="60" t="s">
        <v>509</v>
      </c>
      <c r="M264" s="73">
        <v>45677.556840277779</v>
      </c>
      <c r="N264" s="73">
        <v>45688</v>
      </c>
      <c r="O264" s="73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452</v>
      </c>
      <c r="S264" s="60"/>
    </row>
    <row r="265" spans="1:19" hidden="1">
      <c r="A265" s="62" t="s">
        <v>1587</v>
      </c>
      <c r="B265" s="60" t="str">
        <f>IFERROR(VLOOKUP(Proc[[#This Row],[App]],Table2[],3,0),"open")</f>
        <v>ok</v>
      </c>
      <c r="C265" s="62" t="s">
        <v>369</v>
      </c>
      <c r="D265" t="s">
        <v>1586</v>
      </c>
      <c r="E265" t="s">
        <v>1590</v>
      </c>
      <c r="F265" s="105" t="s">
        <v>1590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1637</v>
      </c>
      <c r="J265" s="60" t="b">
        <f>Proc[[#This Row],[Requested]]=Proc[[#This Row],[CurrentParent]]</f>
        <v>1</v>
      </c>
      <c r="K265" s="60" t="str">
        <f>IF(Proc[[#This Row],[Author]]="Marcela Urrego",VLOOKUP(LEFT(Proc[[#This Row],[Requested]],1),Table3[#All],2,0),VLOOKUP(Proc[[#This Row],[Author]],Table4[],2,0))</f>
        <v>MGF</v>
      </c>
      <c r="L265" s="60" t="s">
        <v>509</v>
      </c>
      <c r="M265" s="73">
        <v>45677.556840277779</v>
      </c>
      <c r="N265" s="73">
        <v>45688</v>
      </c>
      <c r="O265" s="73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452</v>
      </c>
      <c r="S265" s="60"/>
    </row>
    <row r="266" spans="1:19" hidden="1">
      <c r="A266" t="s">
        <v>1606</v>
      </c>
      <c r="B266" s="60" t="str">
        <f>IFERROR(VLOOKUP(Proc[[#This Row],[App]],Table2[],3,0),"open")</f>
        <v>ok</v>
      </c>
      <c r="C266" s="62" t="s">
        <v>369</v>
      </c>
      <c r="D266" t="s">
        <v>1607</v>
      </c>
      <c r="E266" t="s">
        <v>1144</v>
      </c>
      <c r="F266" s="105" t="s">
        <v>1144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1</v>
      </c>
      <c r="K266" s="60" t="str">
        <f>IF(Proc[[#This Row],[Author]]="Marcela Urrego",VLOOKUP(LEFT(Proc[[#This Row],[Requested]],1),Table3[#All],2,0),VLOOKUP(Proc[[#This Row],[Author]],Table4[],2,0))</f>
        <v>LS</v>
      </c>
      <c r="L266" s="60" t="s">
        <v>509</v>
      </c>
      <c r="M266" s="73">
        <v>45678.433263888888</v>
      </c>
      <c r="N266" s="73">
        <v>45681</v>
      </c>
      <c r="O266" s="73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972</v>
      </c>
      <c r="S266" s="60"/>
    </row>
    <row r="267" spans="1:19" hidden="1">
      <c r="A267" s="62" t="s">
        <v>1606</v>
      </c>
      <c r="B267" s="60" t="str">
        <f>IFERROR(VLOOKUP(Proc[[#This Row],[App]],Table2[],3,0),"open")</f>
        <v>ok</v>
      </c>
      <c r="C267" s="62" t="s">
        <v>369</v>
      </c>
      <c r="D267" t="s">
        <v>1608</v>
      </c>
      <c r="E267" t="s">
        <v>1143</v>
      </c>
      <c r="F267" s="105" t="s">
        <v>1143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1</v>
      </c>
      <c r="K267" s="60" t="str">
        <f>IF(Proc[[#This Row],[Author]]="Marcela Urrego",VLOOKUP(LEFT(Proc[[#This Row],[Requested]],1),Table3[#All],2,0),VLOOKUP(Proc[[#This Row],[Author]],Table4[],2,0))</f>
        <v>LS</v>
      </c>
      <c r="L267" s="60" t="s">
        <v>509</v>
      </c>
      <c r="M267" s="73">
        <v>45678.433263888888</v>
      </c>
      <c r="N267" s="73">
        <v>45681</v>
      </c>
      <c r="O267" s="73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972</v>
      </c>
      <c r="S267" s="60"/>
    </row>
    <row r="268" spans="1:19" hidden="1">
      <c r="A268" s="62" t="s">
        <v>1606</v>
      </c>
      <c r="B268" s="60" t="str">
        <f>IFERROR(VLOOKUP(Proc[[#This Row],[App]],Table2[],3,0),"open")</f>
        <v>ok</v>
      </c>
      <c r="C268" s="62" t="s">
        <v>369</v>
      </c>
      <c r="D268" t="s">
        <v>1609</v>
      </c>
      <c r="E268" t="s">
        <v>480</v>
      </c>
      <c r="F268" s="105" t="s">
        <v>480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1</v>
      </c>
      <c r="K268" s="60" t="str">
        <f>IF(Proc[[#This Row],[Author]]="Marcela Urrego",VLOOKUP(LEFT(Proc[[#This Row],[Requested]],1),Table3[#All],2,0),VLOOKUP(Proc[[#This Row],[Author]],Table4[],2,0))</f>
        <v>LS</v>
      </c>
      <c r="L268" s="60" t="s">
        <v>509</v>
      </c>
      <c r="M268" s="73">
        <v>45678.433263888888</v>
      </c>
      <c r="N268" s="73">
        <v>45681</v>
      </c>
      <c r="O268" s="73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972</v>
      </c>
      <c r="S268" s="60"/>
    </row>
    <row r="269" spans="1:19" hidden="1">
      <c r="A269" s="62" t="s">
        <v>1606</v>
      </c>
      <c r="B269" s="60" t="str">
        <f>IFERROR(VLOOKUP(Proc[[#This Row],[App]],Table2[],3,0),"open")</f>
        <v>ok</v>
      </c>
      <c r="C269" s="62" t="s">
        <v>369</v>
      </c>
      <c r="D269" t="s">
        <v>1610</v>
      </c>
      <c r="E269" t="s">
        <v>622</v>
      </c>
      <c r="F269" s="105" t="s">
        <v>622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1</v>
      </c>
      <c r="K269" s="60" t="str">
        <f>IF(Proc[[#This Row],[Author]]="Marcela Urrego",VLOOKUP(LEFT(Proc[[#This Row],[Requested]],1),Table3[#All],2,0),VLOOKUP(Proc[[#This Row],[Author]],Table4[],2,0))</f>
        <v>LS</v>
      </c>
      <c r="L269" s="60" t="s">
        <v>509</v>
      </c>
      <c r="M269" s="73">
        <v>45678.433263888888</v>
      </c>
      <c r="N269" s="73">
        <v>45681</v>
      </c>
      <c r="O269" s="73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972</v>
      </c>
      <c r="S269" s="60"/>
    </row>
    <row r="270" spans="1:19" hidden="1">
      <c r="A270" s="62" t="s">
        <v>1591</v>
      </c>
      <c r="B270" s="60" t="str">
        <f>IFERROR(VLOOKUP(Proc[[#This Row],[App]],Table2[],3,0),"open")</f>
        <v>ok</v>
      </c>
      <c r="C270" s="62" t="s">
        <v>369</v>
      </c>
      <c r="D270" t="s">
        <v>1592</v>
      </c>
      <c r="E270" t="s">
        <v>1604</v>
      </c>
      <c r="F270" s="105" t="s">
        <v>1604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1</v>
      </c>
      <c r="K270" s="60" t="str">
        <f>IF(Proc[[#This Row],[Author]]="Marcela Urrego",VLOOKUP(LEFT(Proc[[#This Row],[Requested]],1),Table3[#All],2,0),VLOOKUP(Proc[[#This Row],[Author]],Table4[],2,0))</f>
        <v>EL</v>
      </c>
      <c r="L270" s="60" t="s">
        <v>509</v>
      </c>
      <c r="M270" s="73">
        <v>45679.497245370374</v>
      </c>
      <c r="N270" s="73">
        <v>45681</v>
      </c>
      <c r="O270" s="73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1001</v>
      </c>
      <c r="S270" s="60"/>
    </row>
    <row r="271" spans="1:19" hidden="1">
      <c r="A271" s="62" t="s">
        <v>1591</v>
      </c>
      <c r="B271" s="60" t="str">
        <f>IFERROR(VLOOKUP(Proc[[#This Row],[App]],Table2[],3,0),"open")</f>
        <v>ok</v>
      </c>
      <c r="C271" s="62" t="s">
        <v>369</v>
      </c>
      <c r="D271" t="s">
        <v>1593</v>
      </c>
      <c r="E271" t="s">
        <v>1605</v>
      </c>
      <c r="F271" s="105" t="s">
        <v>1605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1</v>
      </c>
      <c r="K271" s="60" t="str">
        <f>IF(Proc[[#This Row],[Author]]="Marcela Urrego",VLOOKUP(LEFT(Proc[[#This Row],[Requested]],1),Table3[#All],2,0),VLOOKUP(Proc[[#This Row],[Author]],Table4[],2,0))</f>
        <v>EL</v>
      </c>
      <c r="L271" s="60" t="s">
        <v>509</v>
      </c>
      <c r="M271" s="73">
        <v>45679.497245370374</v>
      </c>
      <c r="N271" s="73">
        <v>45681</v>
      </c>
      <c r="O271" s="73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1001</v>
      </c>
      <c r="S271" s="60"/>
    </row>
    <row r="272" spans="1:19" hidden="1">
      <c r="A272" s="62" t="s">
        <v>1591</v>
      </c>
      <c r="B272" s="60" t="str">
        <f>IFERROR(VLOOKUP(Proc[[#This Row],[App]],Table2[],3,0),"open")</f>
        <v>ok</v>
      </c>
      <c r="C272" s="62" t="s">
        <v>369</v>
      </c>
      <c r="D272" t="s">
        <v>1594</v>
      </c>
      <c r="E272" t="s">
        <v>1213</v>
      </c>
      <c r="F272" s="105" t="s">
        <v>1213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1</v>
      </c>
      <c r="K272" s="60" t="str">
        <f>IF(Proc[[#This Row],[Author]]="Marcela Urrego",VLOOKUP(LEFT(Proc[[#This Row],[Requested]],1),Table3[#All],2,0),VLOOKUP(Proc[[#This Row],[Author]],Table4[],2,0))</f>
        <v>EL</v>
      </c>
      <c r="L272" s="60" t="s">
        <v>509</v>
      </c>
      <c r="M272" s="73">
        <v>45679.497245370374</v>
      </c>
      <c r="N272" s="73">
        <v>45681</v>
      </c>
      <c r="O272" s="73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1001</v>
      </c>
      <c r="S272" s="60"/>
    </row>
    <row r="273" spans="1:19" hidden="1">
      <c r="A273" s="62" t="s">
        <v>1591</v>
      </c>
      <c r="B273" s="60" t="str">
        <f>IFERROR(VLOOKUP(Proc[[#This Row],[App]],Table2[],3,0),"open")</f>
        <v>ok</v>
      </c>
      <c r="C273" s="62" t="s">
        <v>369</v>
      </c>
      <c r="D273" t="s">
        <v>1595</v>
      </c>
      <c r="E273" t="s">
        <v>1211</v>
      </c>
      <c r="F273" s="105" t="s">
        <v>1211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1</v>
      </c>
      <c r="K273" s="60" t="str">
        <f>IF(Proc[[#This Row],[Author]]="Marcela Urrego",VLOOKUP(LEFT(Proc[[#This Row],[Requested]],1),Table3[#All],2,0),VLOOKUP(Proc[[#This Row],[Author]],Table4[],2,0))</f>
        <v>EL</v>
      </c>
      <c r="L273" s="60" t="s">
        <v>509</v>
      </c>
      <c r="M273" s="73">
        <v>45679.497245370374</v>
      </c>
      <c r="N273" s="73">
        <v>45681</v>
      </c>
      <c r="O273" s="73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1001</v>
      </c>
      <c r="S273" s="60"/>
    </row>
    <row r="274" spans="1:19" hidden="1">
      <c r="A274" s="62" t="s">
        <v>1591</v>
      </c>
      <c r="B274" s="60" t="str">
        <f>IFERROR(VLOOKUP(Proc[[#This Row],[App]],Table2[],3,0),"open")</f>
        <v>ok</v>
      </c>
      <c r="C274" s="62" t="s">
        <v>369</v>
      </c>
      <c r="D274" t="s">
        <v>1596</v>
      </c>
      <c r="E274" t="s">
        <v>1212</v>
      </c>
      <c r="F274" s="105" t="s">
        <v>1212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1</v>
      </c>
      <c r="K274" s="60" t="str">
        <f>IF(Proc[[#This Row],[Author]]="Marcela Urrego",VLOOKUP(LEFT(Proc[[#This Row],[Requested]],1),Table3[#All],2,0),VLOOKUP(Proc[[#This Row],[Author]],Table4[],2,0))</f>
        <v>EL</v>
      </c>
      <c r="L274" s="60" t="s">
        <v>509</v>
      </c>
      <c r="M274" s="73">
        <v>45679.497245370374</v>
      </c>
      <c r="N274" s="73">
        <v>45681</v>
      </c>
      <c r="O274" s="73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1001</v>
      </c>
      <c r="S274" s="60"/>
    </row>
    <row r="275" spans="1:19" hidden="1">
      <c r="A275" s="62" t="s">
        <v>1591</v>
      </c>
      <c r="B275" s="60" t="str">
        <f>IFERROR(VLOOKUP(Proc[[#This Row],[App]],Table2[],3,0),"open")</f>
        <v>ok</v>
      </c>
      <c r="C275" s="62" t="s">
        <v>369</v>
      </c>
      <c r="D275" t="s">
        <v>1597</v>
      </c>
      <c r="E275" t="s">
        <v>1210</v>
      </c>
      <c r="F275" s="105" t="s">
        <v>1210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1</v>
      </c>
      <c r="K275" s="60" t="str">
        <f>IF(Proc[[#This Row],[Author]]="Marcela Urrego",VLOOKUP(LEFT(Proc[[#This Row],[Requested]],1),Table3[#All],2,0),VLOOKUP(Proc[[#This Row],[Author]],Table4[],2,0))</f>
        <v>EL</v>
      </c>
      <c r="L275" s="60" t="s">
        <v>509</v>
      </c>
      <c r="M275" s="73">
        <v>45679.497245370374</v>
      </c>
      <c r="N275" s="73">
        <v>45681</v>
      </c>
      <c r="O275" s="73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1001</v>
      </c>
      <c r="S275" s="60"/>
    </row>
    <row r="276" spans="1:19" hidden="1">
      <c r="A276" s="62" t="s">
        <v>1591</v>
      </c>
      <c r="B276" s="60" t="str">
        <f>IFERROR(VLOOKUP(Proc[[#This Row],[App]],Table2[],3,0),"open")</f>
        <v>ok</v>
      </c>
      <c r="C276" s="62" t="s">
        <v>369</v>
      </c>
      <c r="D276" t="s">
        <v>1598</v>
      </c>
      <c r="E276" t="s">
        <v>1604</v>
      </c>
      <c r="F276" s="105" t="s">
        <v>1604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1</v>
      </c>
      <c r="K276" s="60" t="str">
        <f>IF(Proc[[#This Row],[Author]]="Marcela Urrego",VLOOKUP(LEFT(Proc[[#This Row],[Requested]],1),Table3[#All],2,0),VLOOKUP(Proc[[#This Row],[Author]],Table4[],2,0))</f>
        <v>EL</v>
      </c>
      <c r="L276" s="60" t="s">
        <v>509</v>
      </c>
      <c r="M276" s="73">
        <v>45679.497245370374</v>
      </c>
      <c r="N276" s="73">
        <v>45681</v>
      </c>
      <c r="O276" s="73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1001</v>
      </c>
      <c r="S276" s="60"/>
    </row>
    <row r="277" spans="1:19" hidden="1">
      <c r="A277" s="62" t="s">
        <v>1591</v>
      </c>
      <c r="B277" s="60" t="str">
        <f>IFERROR(VLOOKUP(Proc[[#This Row],[App]],Table2[],3,0),"open")</f>
        <v>ok</v>
      </c>
      <c r="C277" s="62" t="s">
        <v>369</v>
      </c>
      <c r="D277" t="s">
        <v>1599</v>
      </c>
      <c r="E277" t="s">
        <v>1605</v>
      </c>
      <c r="F277" s="105" t="s">
        <v>1605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1</v>
      </c>
      <c r="K277" s="60" t="str">
        <f>IF(Proc[[#This Row],[Author]]="Marcela Urrego",VLOOKUP(LEFT(Proc[[#This Row],[Requested]],1),Table3[#All],2,0),VLOOKUP(Proc[[#This Row],[Author]],Table4[],2,0))</f>
        <v>EL</v>
      </c>
      <c r="L277" s="60" t="s">
        <v>509</v>
      </c>
      <c r="M277" s="73">
        <v>45679.497245370374</v>
      </c>
      <c r="N277" s="73">
        <v>45681</v>
      </c>
      <c r="O277" s="73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1001</v>
      </c>
      <c r="S277" s="60"/>
    </row>
    <row r="278" spans="1:19" hidden="1">
      <c r="A278" t="s">
        <v>1591</v>
      </c>
      <c r="B278" s="60" t="str">
        <f>IFERROR(VLOOKUP(Proc[[#This Row],[App]],Table2[],3,0),"open")</f>
        <v>ok</v>
      </c>
      <c r="C278" s="62" t="s">
        <v>369</v>
      </c>
      <c r="D278" t="s">
        <v>1600</v>
      </c>
      <c r="E278" t="s">
        <v>1214</v>
      </c>
      <c r="F278" s="105" t="s">
        <v>1214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1</v>
      </c>
      <c r="K278" s="60" t="str">
        <f>IF(Proc[[#This Row],[Author]]="Marcela Urrego",VLOOKUP(LEFT(Proc[[#This Row],[Requested]],1),Table3[#All],2,0),VLOOKUP(Proc[[#This Row],[Author]],Table4[],2,0))</f>
        <v>EL</v>
      </c>
      <c r="L278" s="60" t="s">
        <v>509</v>
      </c>
      <c r="M278" s="73">
        <v>45679.497245370374</v>
      </c>
      <c r="N278" s="73">
        <v>45681</v>
      </c>
      <c r="O278" s="73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1001</v>
      </c>
      <c r="S278" s="60"/>
    </row>
    <row r="279" spans="1:19" hidden="1">
      <c r="A279" s="62" t="s">
        <v>1591</v>
      </c>
      <c r="B279" s="60" t="str">
        <f>IFERROR(VLOOKUP(Proc[[#This Row],[App]],Table2[],3,0),"open")</f>
        <v>ok</v>
      </c>
      <c r="C279" s="62" t="s">
        <v>369</v>
      </c>
      <c r="D279" t="s">
        <v>1601</v>
      </c>
      <c r="E279" t="s">
        <v>1214</v>
      </c>
      <c r="F279" s="105" t="s">
        <v>1214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1</v>
      </c>
      <c r="K279" s="60" t="str">
        <f>IF(Proc[[#This Row],[Author]]="Marcela Urrego",VLOOKUP(LEFT(Proc[[#This Row],[Requested]],1),Table3[#All],2,0),VLOOKUP(Proc[[#This Row],[Author]],Table4[],2,0))</f>
        <v>EL</v>
      </c>
      <c r="L279" s="60" t="s">
        <v>509</v>
      </c>
      <c r="M279" s="73">
        <v>45679.497245370374</v>
      </c>
      <c r="N279" s="73">
        <v>45681</v>
      </c>
      <c r="O279" s="73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1001</v>
      </c>
      <c r="S279" s="60"/>
    </row>
    <row r="280" spans="1:19" hidden="1">
      <c r="A280" s="62" t="s">
        <v>1591</v>
      </c>
      <c r="B280" s="60" t="str">
        <f>IFERROR(VLOOKUP(Proc[[#This Row],[App]],Table2[],3,0),"open")</f>
        <v>ok</v>
      </c>
      <c r="C280" s="62" t="s">
        <v>369</v>
      </c>
      <c r="D280" t="s">
        <v>1602</v>
      </c>
      <c r="E280" t="s">
        <v>1214</v>
      </c>
      <c r="F280" s="105" t="s">
        <v>1214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1</v>
      </c>
      <c r="K280" s="60" t="str">
        <f>IF(Proc[[#This Row],[Author]]="Marcela Urrego",VLOOKUP(LEFT(Proc[[#This Row],[Requested]],1),Table3[#All],2,0),VLOOKUP(Proc[[#This Row],[Author]],Table4[],2,0))</f>
        <v>EL</v>
      </c>
      <c r="L280" s="60" t="s">
        <v>509</v>
      </c>
      <c r="M280" s="73">
        <v>45679.497245370374</v>
      </c>
      <c r="N280" s="73">
        <v>45681</v>
      </c>
      <c r="O280" s="73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1001</v>
      </c>
      <c r="S280" s="60"/>
    </row>
    <row r="281" spans="1:19" hidden="1">
      <c r="A281" s="62" t="s">
        <v>1591</v>
      </c>
      <c r="B281" s="60" t="str">
        <f>IFERROR(VLOOKUP(Proc[[#This Row],[App]],Table2[],3,0),"open")</f>
        <v>ok</v>
      </c>
      <c r="C281" s="62" t="s">
        <v>369</v>
      </c>
      <c r="D281" t="s">
        <v>1603</v>
      </c>
      <c r="E281" t="s">
        <v>1214</v>
      </c>
      <c r="F281" s="105" t="s">
        <v>1214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1</v>
      </c>
      <c r="K281" s="60" t="str">
        <f>IF(Proc[[#This Row],[Author]]="Marcela Urrego",VLOOKUP(LEFT(Proc[[#This Row],[Requested]],1),Table3[#All],2,0),VLOOKUP(Proc[[#This Row],[Author]],Table4[],2,0))</f>
        <v>EL</v>
      </c>
      <c r="L281" s="60" t="s">
        <v>509</v>
      </c>
      <c r="M281" s="73">
        <v>45679.497245370374</v>
      </c>
      <c r="N281" s="73">
        <v>45681</v>
      </c>
      <c r="O281" s="73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1001</v>
      </c>
      <c r="S281" s="60"/>
    </row>
    <row r="282" spans="1:19" hidden="1">
      <c r="A282" t="s">
        <v>1614</v>
      </c>
      <c r="B282" s="60" t="str">
        <f>IFERROR(VLOOKUP(Proc[[#This Row],[App]],Table2[],3,0),"open")</f>
        <v>ok</v>
      </c>
      <c r="C282" t="s">
        <v>369</v>
      </c>
      <c r="D282" t="s">
        <v>1611</v>
      </c>
      <c r="E282" t="s">
        <v>1052</v>
      </c>
      <c r="F282" s="105" t="s">
        <v>1052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1</v>
      </c>
      <c r="K282" s="60" t="str">
        <f>IF(Proc[[#This Row],[Author]]="Marcela Urrego",VLOOKUP(LEFT(Proc[[#This Row],[Requested]],1),Table3[#All],2,0),VLOOKUP(Proc[[#This Row],[Author]],Table4[],2,0))</f>
        <v>HC</v>
      </c>
      <c r="L282" s="60" t="s">
        <v>509</v>
      </c>
      <c r="M282" s="73">
        <v>45680.579351851855</v>
      </c>
      <c r="N282" s="73">
        <v>45681</v>
      </c>
      <c r="O282" s="73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410</v>
      </c>
      <c r="S282" s="60"/>
    </row>
    <row r="283" spans="1:19" hidden="1">
      <c r="A283" s="62" t="s">
        <v>1614</v>
      </c>
      <c r="B283" s="60" t="str">
        <f>IFERROR(VLOOKUP(Proc[[#This Row],[App]],Table2[],3,0),"open")</f>
        <v>ok</v>
      </c>
      <c r="C283" s="62" t="s">
        <v>369</v>
      </c>
      <c r="D283" t="s">
        <v>1612</v>
      </c>
      <c r="E283" t="s">
        <v>1052</v>
      </c>
      <c r="F283" s="105" t="s">
        <v>1052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1</v>
      </c>
      <c r="K283" s="60" t="str">
        <f>IF(Proc[[#This Row],[Author]]="Marcela Urrego",VLOOKUP(LEFT(Proc[[#This Row],[Requested]],1),Table3[#All],2,0),VLOOKUP(Proc[[#This Row],[Author]],Table4[],2,0))</f>
        <v>HC</v>
      </c>
      <c r="L283" s="60" t="s">
        <v>509</v>
      </c>
      <c r="M283" s="73">
        <v>45680.579351851855</v>
      </c>
      <c r="N283" s="73">
        <v>45681</v>
      </c>
      <c r="O283" s="73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410</v>
      </c>
      <c r="S283" s="60"/>
    </row>
    <row r="284" spans="1:19" hidden="1">
      <c r="A284" s="62" t="s">
        <v>1614</v>
      </c>
      <c r="B284" s="60" t="str">
        <f>IFERROR(VLOOKUP(Proc[[#This Row],[App]],Table2[],3,0),"open")</f>
        <v>ok</v>
      </c>
      <c r="C284" s="62" t="s">
        <v>377</v>
      </c>
      <c r="D284" t="s">
        <v>1051</v>
      </c>
      <c r="E284" t="s">
        <v>1052</v>
      </c>
      <c r="F284" s="105" t="s">
        <v>1052</v>
      </c>
      <c r="G284" t="s">
        <v>406</v>
      </c>
      <c r="H284" s="60" t="str">
        <f>IF(Proc[[#This Row],[type]]="LFF (MDG-F)",MID(Proc[[#This Row],[Obj]],13,10),"")</f>
        <v>EG50C01152</v>
      </c>
      <c r="I284" t="s">
        <v>822</v>
      </c>
      <c r="J284" s="60" t="b">
        <f>Proc[[#This Row],[Requested]]=Proc[[#This Row],[CurrentParent]]</f>
        <v>1</v>
      </c>
      <c r="K284" s="60" t="str">
        <f>IF(Proc[[#This Row],[Author]]="Marcela Urrego",VLOOKUP(LEFT(Proc[[#This Row],[Requested]],1),Table3[#All],2,0),VLOOKUP(Proc[[#This Row],[Author]],Table4[],2,0))</f>
        <v>HC</v>
      </c>
      <c r="L284" s="60" t="s">
        <v>509</v>
      </c>
      <c r="M284" s="73">
        <v>45680.579351851855</v>
      </c>
      <c r="O284" s="73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410</v>
      </c>
      <c r="S284" s="60"/>
    </row>
    <row r="285" spans="1:19" hidden="1">
      <c r="A285" s="62" t="s">
        <v>1614</v>
      </c>
      <c r="B285" s="60" t="str">
        <f>IFERROR(VLOOKUP(Proc[[#This Row],[App]],Table2[],3,0),"open")</f>
        <v>ok</v>
      </c>
      <c r="C285" s="62" t="s">
        <v>369</v>
      </c>
      <c r="D285" t="s">
        <v>1613</v>
      </c>
      <c r="E285" t="s">
        <v>1052</v>
      </c>
      <c r="F285" s="105" t="s">
        <v>1052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1</v>
      </c>
      <c r="K285" s="60" t="str">
        <f>IF(Proc[[#This Row],[Author]]="Marcela Urrego",VLOOKUP(LEFT(Proc[[#This Row],[Requested]],1),Table3[#All],2,0),VLOOKUP(Proc[[#This Row],[Author]],Table4[],2,0))</f>
        <v>HC</v>
      </c>
      <c r="L285" s="60" t="s">
        <v>509</v>
      </c>
      <c r="M285" s="73">
        <v>45680.579351851855</v>
      </c>
      <c r="N285" s="73">
        <v>45681</v>
      </c>
      <c r="O285" s="73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410</v>
      </c>
      <c r="S285" s="60"/>
    </row>
    <row r="286" spans="1:19" hidden="1">
      <c r="A286" t="s">
        <v>1615</v>
      </c>
      <c r="B286" s="60" t="str">
        <f>IFERROR(VLOOKUP(Proc[[#This Row],[App]],Table2[],3,0),"open")</f>
        <v>ok</v>
      </c>
      <c r="C286" s="62" t="s">
        <v>369</v>
      </c>
      <c r="D286" t="s">
        <v>1616</v>
      </c>
      <c r="E286" t="s">
        <v>1617</v>
      </c>
      <c r="F286" s="105" t="s">
        <v>1617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1</v>
      </c>
      <c r="K286" s="60" t="str">
        <f>IF(Proc[[#This Row],[Author]]="Marcela Urrego",VLOOKUP(LEFT(Proc[[#This Row],[Requested]],1),Table3[#All],2,0),VLOOKUP(Proc[[#This Row],[Author]],Table4[],2,0))</f>
        <v>HC</v>
      </c>
      <c r="L286" s="60" t="s">
        <v>509</v>
      </c>
      <c r="M286" s="73">
        <v>45680.579351851855</v>
      </c>
      <c r="N286" s="73">
        <v>45681</v>
      </c>
      <c r="O286" s="73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410</v>
      </c>
      <c r="S286" s="60"/>
    </row>
    <row r="287" spans="1:19" hidden="1">
      <c r="A287" t="s">
        <v>1626</v>
      </c>
      <c r="B287" s="60" t="str">
        <f>IFERROR(VLOOKUP(Proc[[#This Row],[App]],Table2[],3,0),"open")</f>
        <v>ok</v>
      </c>
      <c r="C287" t="s">
        <v>369</v>
      </c>
      <c r="D287" t="s">
        <v>1618</v>
      </c>
      <c r="E287" t="s">
        <v>473</v>
      </c>
      <c r="F287" s="105" t="s">
        <v>473</v>
      </c>
      <c r="G287" t="s">
        <v>400</v>
      </c>
      <c r="H287" s="60" t="str">
        <f>IF(Proc[[#This Row],[type]]="LFF (MDG-F)",MID(Proc[[#This Row],[Obj]],13,10),"")</f>
        <v/>
      </c>
      <c r="I287" t="s">
        <v>1637</v>
      </c>
      <c r="J287" s="60" t="b">
        <f>Proc[[#This Row],[Requested]]=Proc[[#This Row],[CurrentParent]]</f>
        <v>1</v>
      </c>
      <c r="K287" s="60" t="str">
        <f>IF(Proc[[#This Row],[Author]]="Marcela Urrego",VLOOKUP(LEFT(Proc[[#This Row],[Requested]],1),Table3[#All],2,0),VLOOKUP(Proc[[#This Row],[Author]],Table4[],2,0))</f>
        <v>MGF</v>
      </c>
      <c r="L287" s="60" t="s">
        <v>509</v>
      </c>
      <c r="M287" s="73">
        <v>45681.36482638889</v>
      </c>
      <c r="N287" s="73">
        <v>45688</v>
      </c>
      <c r="O287" s="73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515</v>
      </c>
      <c r="S287" s="60"/>
    </row>
    <row r="288" spans="1:19" hidden="1">
      <c r="A288" s="62" t="s">
        <v>1626</v>
      </c>
      <c r="B288" s="60" t="str">
        <f>IFERROR(VLOOKUP(Proc[[#This Row],[App]],Table2[],3,0),"open")</f>
        <v>ok</v>
      </c>
      <c r="C288" s="62" t="s">
        <v>369</v>
      </c>
      <c r="D288" t="s">
        <v>475</v>
      </c>
      <c r="E288" t="s">
        <v>474</v>
      </c>
      <c r="F288" s="105" t="s">
        <v>474</v>
      </c>
      <c r="G288" s="62" t="s">
        <v>400</v>
      </c>
      <c r="H288" s="60" t="str">
        <f>IF(Proc[[#This Row],[type]]="LFF (MDG-F)",MID(Proc[[#This Row],[Obj]],13,10),"")</f>
        <v/>
      </c>
      <c r="I288" s="62" t="s">
        <v>1637</v>
      </c>
      <c r="J288" s="60" t="b">
        <f>Proc[[#This Row],[Requested]]=Proc[[#This Row],[CurrentParent]]</f>
        <v>1</v>
      </c>
      <c r="K288" s="60" t="str">
        <f>IF(Proc[[#This Row],[Author]]="Marcela Urrego",VLOOKUP(LEFT(Proc[[#This Row],[Requested]],1),Table3[#All],2,0),VLOOKUP(Proc[[#This Row],[Author]],Table4[],2,0))</f>
        <v>MGF</v>
      </c>
      <c r="L288" s="60" t="s">
        <v>509</v>
      </c>
      <c r="M288" s="73">
        <v>45681.36482638889</v>
      </c>
      <c r="N288" s="73">
        <v>45688</v>
      </c>
      <c r="O288" s="73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515</v>
      </c>
      <c r="S288" s="60"/>
    </row>
    <row r="289" spans="1:19" hidden="1">
      <c r="A289" s="62" t="s">
        <v>1626</v>
      </c>
      <c r="B289" s="60" t="str">
        <f>IFERROR(VLOOKUP(Proc[[#This Row],[App]],Table2[],3,0),"open")</f>
        <v>ok</v>
      </c>
      <c r="C289" s="62" t="s">
        <v>369</v>
      </c>
      <c r="D289" t="s">
        <v>1619</v>
      </c>
      <c r="E289" t="s">
        <v>1221</v>
      </c>
      <c r="F289" s="105" t="s">
        <v>1221</v>
      </c>
      <c r="G289" s="62" t="s">
        <v>400</v>
      </c>
      <c r="H289" s="60" t="str">
        <f>IF(Proc[[#This Row],[type]]="LFF (MDG-F)",MID(Proc[[#This Row],[Obj]],13,10),"")</f>
        <v/>
      </c>
      <c r="I289" s="62" t="s">
        <v>1637</v>
      </c>
      <c r="J289" s="60" t="b">
        <f>Proc[[#This Row],[Requested]]=Proc[[#This Row],[CurrentParent]]</f>
        <v>1</v>
      </c>
      <c r="K289" s="60" t="str">
        <f>IF(Proc[[#This Row],[Author]]="Marcela Urrego",VLOOKUP(LEFT(Proc[[#This Row],[Requested]],1),Table3[#All],2,0),VLOOKUP(Proc[[#This Row],[Author]],Table4[],2,0))</f>
        <v>MGF</v>
      </c>
      <c r="L289" s="60" t="s">
        <v>509</v>
      </c>
      <c r="M289" s="73">
        <v>45681.36482638889</v>
      </c>
      <c r="N289" s="73">
        <v>45688</v>
      </c>
      <c r="O289" s="73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515</v>
      </c>
      <c r="S289" s="60"/>
    </row>
    <row r="290" spans="1:19" hidden="1">
      <c r="A290" s="62" t="s">
        <v>1626</v>
      </c>
      <c r="B290" s="60" t="str">
        <f>IFERROR(VLOOKUP(Proc[[#This Row],[App]],Table2[],3,0),"open")</f>
        <v>ok</v>
      </c>
      <c r="C290" s="62" t="s">
        <v>369</v>
      </c>
      <c r="D290" t="s">
        <v>1620</v>
      </c>
      <c r="E290" t="s">
        <v>1221</v>
      </c>
      <c r="F290" s="105" t="s">
        <v>1221</v>
      </c>
      <c r="G290" s="62" t="s">
        <v>400</v>
      </c>
      <c r="H290" s="60" t="str">
        <f>IF(Proc[[#This Row],[type]]="LFF (MDG-F)",MID(Proc[[#This Row],[Obj]],13,10),"")</f>
        <v/>
      </c>
      <c r="I290" s="62" t="s">
        <v>1637</v>
      </c>
      <c r="J290" s="60" t="b">
        <f>Proc[[#This Row],[Requested]]=Proc[[#This Row],[CurrentParent]]</f>
        <v>1</v>
      </c>
      <c r="K290" s="60" t="str">
        <f>IF(Proc[[#This Row],[Author]]="Marcela Urrego",VLOOKUP(LEFT(Proc[[#This Row],[Requested]],1),Table3[#All],2,0),VLOOKUP(Proc[[#This Row],[Author]],Table4[],2,0))</f>
        <v>MGF</v>
      </c>
      <c r="L290" s="60" t="s">
        <v>509</v>
      </c>
      <c r="M290" s="73">
        <v>45681.36482638889</v>
      </c>
      <c r="N290" s="73">
        <v>45688</v>
      </c>
      <c r="O290" s="73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515</v>
      </c>
      <c r="S290" s="60"/>
    </row>
    <row r="291" spans="1:19" hidden="1">
      <c r="A291" s="62" t="s">
        <v>1626</v>
      </c>
      <c r="B291" s="60" t="str">
        <f>IFERROR(VLOOKUP(Proc[[#This Row],[App]],Table2[],3,0),"open")</f>
        <v>ok</v>
      </c>
      <c r="C291" s="62" t="s">
        <v>369</v>
      </c>
      <c r="D291" t="s">
        <v>1621</v>
      </c>
      <c r="E291" t="s">
        <v>1221</v>
      </c>
      <c r="F291" s="105" t="s">
        <v>1221</v>
      </c>
      <c r="G291" s="62" t="s">
        <v>400</v>
      </c>
      <c r="H291" s="60" t="str">
        <f>IF(Proc[[#This Row],[type]]="LFF (MDG-F)",MID(Proc[[#This Row],[Obj]],13,10),"")</f>
        <v/>
      </c>
      <c r="I291" s="62" t="s">
        <v>1637</v>
      </c>
      <c r="J291" s="60" t="b">
        <f>Proc[[#This Row],[Requested]]=Proc[[#This Row],[CurrentParent]]</f>
        <v>1</v>
      </c>
      <c r="K291" s="60" t="str">
        <f>IF(Proc[[#This Row],[Author]]="Marcela Urrego",VLOOKUP(LEFT(Proc[[#This Row],[Requested]],1),Table3[#All],2,0),VLOOKUP(Proc[[#This Row],[Author]],Table4[],2,0))</f>
        <v>MGF</v>
      </c>
      <c r="L291" s="60" t="s">
        <v>509</v>
      </c>
      <c r="M291" s="73">
        <v>45681.36482638889</v>
      </c>
      <c r="N291" s="73">
        <v>45688</v>
      </c>
      <c r="O291" s="73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515</v>
      </c>
      <c r="S291" s="60"/>
    </row>
    <row r="292" spans="1:19" hidden="1">
      <c r="A292" s="62" t="s">
        <v>1626</v>
      </c>
      <c r="B292" s="60" t="str">
        <f>IFERROR(VLOOKUP(Proc[[#This Row],[App]],Table2[],3,0),"open")</f>
        <v>ok</v>
      </c>
      <c r="C292" s="62" t="s">
        <v>369</v>
      </c>
      <c r="D292" t="s">
        <v>1622</v>
      </c>
      <c r="E292" t="s">
        <v>1221</v>
      </c>
      <c r="F292" s="105" t="s">
        <v>1221</v>
      </c>
      <c r="G292" s="62" t="s">
        <v>400</v>
      </c>
      <c r="H292" s="60" t="str">
        <f>IF(Proc[[#This Row],[type]]="LFF (MDG-F)",MID(Proc[[#This Row],[Obj]],13,10),"")</f>
        <v/>
      </c>
      <c r="I292" s="62" t="s">
        <v>1637</v>
      </c>
      <c r="J292" s="60" t="b">
        <f>Proc[[#This Row],[Requested]]=Proc[[#This Row],[CurrentParent]]</f>
        <v>1</v>
      </c>
      <c r="K292" s="60" t="str">
        <f>IF(Proc[[#This Row],[Author]]="Marcela Urrego",VLOOKUP(LEFT(Proc[[#This Row],[Requested]],1),Table3[#All],2,0),VLOOKUP(Proc[[#This Row],[Author]],Table4[],2,0))</f>
        <v>MGF</v>
      </c>
      <c r="L292" s="60" t="s">
        <v>509</v>
      </c>
      <c r="M292" s="73">
        <v>45681.36482638889</v>
      </c>
      <c r="N292" s="73">
        <v>45688</v>
      </c>
      <c r="O292" s="73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515</v>
      </c>
      <c r="S292" s="60"/>
    </row>
    <row r="293" spans="1:19" hidden="1">
      <c r="A293" s="62" t="s">
        <v>1626</v>
      </c>
      <c r="B293" s="60" t="str">
        <f>IFERROR(VLOOKUP(Proc[[#This Row],[App]],Table2[],3,0),"open")</f>
        <v>ok</v>
      </c>
      <c r="C293" s="62" t="s">
        <v>369</v>
      </c>
      <c r="D293" t="s">
        <v>1623</v>
      </c>
      <c r="E293" t="s">
        <v>1221</v>
      </c>
      <c r="F293" s="105" t="s">
        <v>1221</v>
      </c>
      <c r="G293" s="62" t="s">
        <v>400</v>
      </c>
      <c r="H293" s="60" t="str">
        <f>IF(Proc[[#This Row],[type]]="LFF (MDG-F)",MID(Proc[[#This Row],[Obj]],13,10),"")</f>
        <v/>
      </c>
      <c r="I293" s="62" t="s">
        <v>1637</v>
      </c>
      <c r="J293" s="60" t="b">
        <f>Proc[[#This Row],[Requested]]=Proc[[#This Row],[CurrentParent]]</f>
        <v>1</v>
      </c>
      <c r="K293" s="60" t="str">
        <f>IF(Proc[[#This Row],[Author]]="Marcela Urrego",VLOOKUP(LEFT(Proc[[#This Row],[Requested]],1),Table3[#All],2,0),VLOOKUP(Proc[[#This Row],[Author]],Table4[],2,0))</f>
        <v>MGF</v>
      </c>
      <c r="L293" s="60" t="s">
        <v>509</v>
      </c>
      <c r="M293" s="73">
        <v>45681.36482638889</v>
      </c>
      <c r="N293" s="73">
        <v>45688</v>
      </c>
      <c r="O293" s="73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515</v>
      </c>
      <c r="S293" s="60"/>
    </row>
    <row r="294" spans="1:19" hidden="1">
      <c r="A294" s="62" t="s">
        <v>1626</v>
      </c>
      <c r="B294" s="60" t="str">
        <f>IFERROR(VLOOKUP(Proc[[#This Row],[App]],Table2[],3,0),"open")</f>
        <v>ok</v>
      </c>
      <c r="C294" s="62" t="s">
        <v>369</v>
      </c>
      <c r="D294" t="s">
        <v>1624</v>
      </c>
      <c r="E294" t="s">
        <v>2417</v>
      </c>
      <c r="F294" s="105" t="s">
        <v>2417</v>
      </c>
      <c r="G294" s="62" t="s">
        <v>400</v>
      </c>
      <c r="H294" s="60" t="str">
        <f>IF(Proc[[#This Row],[type]]="LFF (MDG-F)",MID(Proc[[#This Row],[Obj]],13,10),"")</f>
        <v/>
      </c>
      <c r="I294" s="62" t="s">
        <v>1637</v>
      </c>
      <c r="J294" s="60" t="b">
        <f>Proc[[#This Row],[Requested]]=Proc[[#This Row],[CurrentParent]]</f>
        <v>1</v>
      </c>
      <c r="K294" s="60" t="str">
        <f>IF(Proc[[#This Row],[Author]]="Marcela Urrego",VLOOKUP(LEFT(Proc[[#This Row],[Requested]],1),Table3[#All],2,0),VLOOKUP(Proc[[#This Row],[Author]],Table4[],2,0))</f>
        <v>MGF</v>
      </c>
      <c r="L294" s="60" t="s">
        <v>509</v>
      </c>
      <c r="M294" s="73">
        <v>45681.36482638889</v>
      </c>
      <c r="N294" s="73">
        <v>45688</v>
      </c>
      <c r="O294" s="73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515</v>
      </c>
      <c r="S294" s="60"/>
    </row>
    <row r="295" spans="1:19" hidden="1">
      <c r="A295" s="62" t="s">
        <v>1626</v>
      </c>
      <c r="B295" s="60" t="str">
        <f>IFERROR(VLOOKUP(Proc[[#This Row],[App]],Table2[],3,0),"open")</f>
        <v>ok</v>
      </c>
      <c r="C295" s="62" t="s">
        <v>369</v>
      </c>
      <c r="D295" t="s">
        <v>1625</v>
      </c>
      <c r="E295" t="s">
        <v>2046</v>
      </c>
      <c r="F295" s="105" t="s">
        <v>2046</v>
      </c>
      <c r="G295" s="62" t="s">
        <v>400</v>
      </c>
      <c r="H295" s="60" t="str">
        <f>IF(Proc[[#This Row],[type]]="LFF (MDG-F)",MID(Proc[[#This Row],[Obj]],13,10),"")</f>
        <v/>
      </c>
      <c r="I295" s="62" t="s">
        <v>1637</v>
      </c>
      <c r="J295" s="60" t="b">
        <f>Proc[[#This Row],[Requested]]=Proc[[#This Row],[CurrentParent]]</f>
        <v>1</v>
      </c>
      <c r="K295" s="60" t="str">
        <f>IF(Proc[[#This Row],[Author]]="Marcela Urrego",VLOOKUP(LEFT(Proc[[#This Row],[Requested]],1),Table3[#All],2,0),VLOOKUP(Proc[[#This Row],[Author]],Table4[],2,0))</f>
        <v>MGF</v>
      </c>
      <c r="L295" s="60" t="s">
        <v>509</v>
      </c>
      <c r="M295" s="73">
        <v>45681.36482638889</v>
      </c>
      <c r="N295" s="73">
        <v>45688</v>
      </c>
      <c r="O295" s="73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515</v>
      </c>
      <c r="S295" s="60"/>
    </row>
    <row r="296" spans="1:19" hidden="1">
      <c r="A296" t="s">
        <v>1627</v>
      </c>
      <c r="B296" s="32" t="str">
        <f>IFERROR(VLOOKUP(Proc[[#This Row],[App]],Table2[],3,0),"open")</f>
        <v>ok</v>
      </c>
      <c r="C296" s="63" t="s">
        <v>369</v>
      </c>
      <c r="D296" t="s">
        <v>1628</v>
      </c>
      <c r="E296" t="s">
        <v>1634</v>
      </c>
      <c r="F296" s="62" t="s">
        <v>1634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1637</v>
      </c>
      <c r="J296" s="60" t="b">
        <f>Proc[[#This Row],[Requested]]=Proc[[#This Row],[CurrentParent]]</f>
        <v>1</v>
      </c>
      <c r="K296" s="60" t="str">
        <f>IF(Proc[[#This Row],[Author]]="Marcela Urrego",VLOOKUP(LEFT(Proc[[#This Row],[Requested]],1),Table3[#All],2,0),VLOOKUP(Proc[[#This Row],[Author]],Table4[],2,0))</f>
        <v>MGF</v>
      </c>
      <c r="L296" s="60" t="s">
        <v>509</v>
      </c>
      <c r="M296" s="73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112</v>
      </c>
      <c r="R296" s="64" t="s">
        <v>1076</v>
      </c>
      <c r="S296" s="60"/>
    </row>
    <row r="297" spans="1:19" hidden="1">
      <c r="A297" s="62" t="s">
        <v>1627</v>
      </c>
      <c r="B297" s="60" t="str">
        <f>IFERROR(VLOOKUP(Proc[[#This Row],[App]],Table2[],3,0),"open")</f>
        <v>ok</v>
      </c>
      <c r="C297" s="63" t="s">
        <v>369</v>
      </c>
      <c r="D297" t="s">
        <v>1629</v>
      </c>
      <c r="E297" t="s">
        <v>946</v>
      </c>
      <c r="F297" s="62" t="s">
        <v>946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1637</v>
      </c>
      <c r="J297" s="60" t="b">
        <f>Proc[[#This Row],[Requested]]=Proc[[#This Row],[CurrentParent]]</f>
        <v>1</v>
      </c>
      <c r="K297" s="60" t="str">
        <f>IF(Proc[[#This Row],[Author]]="Marcela Urrego",VLOOKUP(LEFT(Proc[[#This Row],[Requested]],1),Table3[#All],2,0),VLOOKUP(Proc[[#This Row],[Author]],Table4[],2,0))</f>
        <v>MGF</v>
      </c>
      <c r="L297" s="60" t="s">
        <v>509</v>
      </c>
      <c r="M297" s="73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112</v>
      </c>
      <c r="R297" s="64" t="s">
        <v>1076</v>
      </c>
      <c r="S297" s="60"/>
    </row>
    <row r="298" spans="1:19" hidden="1">
      <c r="A298" s="62" t="s">
        <v>1627</v>
      </c>
      <c r="B298" s="60" t="str">
        <f>IFERROR(VLOOKUP(Proc[[#This Row],[App]],Table2[],3,0),"open")</f>
        <v>ok</v>
      </c>
      <c r="C298" s="63" t="s">
        <v>369</v>
      </c>
      <c r="D298" t="s">
        <v>1630</v>
      </c>
      <c r="E298" t="s">
        <v>1167</v>
      </c>
      <c r="F298" s="62" t="s">
        <v>1167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1637</v>
      </c>
      <c r="J298" s="60" t="b">
        <f>Proc[[#This Row],[Requested]]=Proc[[#This Row],[CurrentParent]]</f>
        <v>1</v>
      </c>
      <c r="K298" s="60" t="str">
        <f>IF(Proc[[#This Row],[Author]]="Marcela Urrego",VLOOKUP(LEFT(Proc[[#This Row],[Requested]],1),Table3[#All],2,0),VLOOKUP(Proc[[#This Row],[Author]],Table4[],2,0))</f>
        <v>MGF</v>
      </c>
      <c r="L298" s="60" t="s">
        <v>509</v>
      </c>
      <c r="M298" s="73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112</v>
      </c>
      <c r="R298" s="64" t="s">
        <v>1076</v>
      </c>
      <c r="S298" s="60"/>
    </row>
    <row r="299" spans="1:19" hidden="1">
      <c r="A299" s="62" t="s">
        <v>1627</v>
      </c>
      <c r="B299" s="60" t="str">
        <f>IFERROR(VLOOKUP(Proc[[#This Row],[App]],Table2[],3,0),"open")</f>
        <v>ok</v>
      </c>
      <c r="C299" s="63" t="s">
        <v>369</v>
      </c>
      <c r="D299" t="s">
        <v>1631</v>
      </c>
      <c r="E299" t="s">
        <v>1167</v>
      </c>
      <c r="F299" s="62" t="s">
        <v>1167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1637</v>
      </c>
      <c r="J299" s="60" t="b">
        <f>Proc[[#This Row],[Requested]]=Proc[[#This Row],[CurrentParent]]</f>
        <v>1</v>
      </c>
      <c r="K299" s="60" t="str">
        <f>IF(Proc[[#This Row],[Author]]="Marcela Urrego",VLOOKUP(LEFT(Proc[[#This Row],[Requested]],1),Table3[#All],2,0),VLOOKUP(Proc[[#This Row],[Author]],Table4[],2,0))</f>
        <v>MGF</v>
      </c>
      <c r="L299" s="60" t="s">
        <v>509</v>
      </c>
      <c r="M299" s="73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112</v>
      </c>
      <c r="R299" s="64" t="s">
        <v>1076</v>
      </c>
      <c r="S299" s="60"/>
    </row>
    <row r="300" spans="1:19" hidden="1">
      <c r="A300" s="62" t="s">
        <v>1627</v>
      </c>
      <c r="B300" s="60" t="str">
        <f>IFERROR(VLOOKUP(Proc[[#This Row],[App]],Table2[],3,0),"open")</f>
        <v>ok</v>
      </c>
      <c r="C300" s="63" t="s">
        <v>369</v>
      </c>
      <c r="D300" t="s">
        <v>1632</v>
      </c>
      <c r="E300" t="s">
        <v>1167</v>
      </c>
      <c r="F300" s="62" t="s">
        <v>1167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1637</v>
      </c>
      <c r="J300" s="60" t="b">
        <f>Proc[[#This Row],[Requested]]=Proc[[#This Row],[CurrentParent]]</f>
        <v>1</v>
      </c>
      <c r="K300" s="60" t="str">
        <f>IF(Proc[[#This Row],[Author]]="Marcela Urrego",VLOOKUP(LEFT(Proc[[#This Row],[Requested]],1),Table3[#All],2,0),VLOOKUP(Proc[[#This Row],[Author]],Table4[],2,0))</f>
        <v>MGF</v>
      </c>
      <c r="L300" s="60" t="s">
        <v>509</v>
      </c>
      <c r="M300" s="73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112</v>
      </c>
      <c r="R300" s="64" t="s">
        <v>1076</v>
      </c>
      <c r="S300" s="60"/>
    </row>
    <row r="301" spans="1:19" hidden="1">
      <c r="A301" s="62" t="s">
        <v>1627</v>
      </c>
      <c r="B301" s="60" t="str">
        <f>IFERROR(VLOOKUP(Proc[[#This Row],[App]],Table2[],3,0),"open")</f>
        <v>ok</v>
      </c>
      <c r="C301" s="63" t="s">
        <v>369</v>
      </c>
      <c r="D301" t="s">
        <v>1633</v>
      </c>
      <c r="E301" t="s">
        <v>1635</v>
      </c>
      <c r="F301" s="62" t="s">
        <v>1635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1637</v>
      </c>
      <c r="J301" s="60" t="b">
        <f>Proc[[#This Row],[Requested]]=Proc[[#This Row],[CurrentParent]]</f>
        <v>1</v>
      </c>
      <c r="K301" s="60" t="str">
        <f>IF(Proc[[#This Row],[Author]]="Marcela Urrego",VLOOKUP(LEFT(Proc[[#This Row],[Requested]],1),Table3[#All],2,0),VLOOKUP(Proc[[#This Row],[Author]],Table4[],2,0))</f>
        <v>MGF</v>
      </c>
      <c r="L301" s="60" t="s">
        <v>509</v>
      </c>
      <c r="M301" s="73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112</v>
      </c>
      <c r="R301" s="64" t="s">
        <v>1076</v>
      </c>
      <c r="S301" s="60"/>
    </row>
    <row r="302" spans="1:19" hidden="1">
      <c r="A302" s="62" t="s">
        <v>1627</v>
      </c>
      <c r="B302" s="60" t="str">
        <f>IFERROR(VLOOKUP(Proc[[#This Row],[App]],Table2[],3,0),"open")</f>
        <v>ok</v>
      </c>
      <c r="C302" s="63" t="s">
        <v>369</v>
      </c>
      <c r="D302" t="s">
        <v>754</v>
      </c>
      <c r="E302" t="s">
        <v>552</v>
      </c>
      <c r="F302" s="62" t="s">
        <v>552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1637</v>
      </c>
      <c r="J302" s="60" t="b">
        <f>Proc[[#This Row],[Requested]]=Proc[[#This Row],[CurrentParent]]</f>
        <v>1</v>
      </c>
      <c r="K302" s="60" t="str">
        <f>IF(Proc[[#This Row],[Author]]="Marcela Urrego",VLOOKUP(LEFT(Proc[[#This Row],[Requested]],1),Table3[#All],2,0),VLOOKUP(Proc[[#This Row],[Author]],Table4[],2,0))</f>
        <v>MGF</v>
      </c>
      <c r="L302" s="60" t="s">
        <v>509</v>
      </c>
      <c r="M302" s="73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112</v>
      </c>
      <c r="R302" s="64" t="s">
        <v>1076</v>
      </c>
      <c r="S302" s="60"/>
    </row>
    <row r="303" spans="1:19" hidden="1">
      <c r="A303" s="62" t="s">
        <v>1627</v>
      </c>
      <c r="B303" s="60" t="str">
        <f>IFERROR(VLOOKUP(Proc[[#This Row],[App]],Table2[],3,0),"open")</f>
        <v>ok</v>
      </c>
      <c r="C303" s="63" t="s">
        <v>369</v>
      </c>
      <c r="D303" t="s">
        <v>751</v>
      </c>
      <c r="E303" t="s">
        <v>1636</v>
      </c>
      <c r="F303" s="62" t="s">
        <v>1636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1637</v>
      </c>
      <c r="J303" s="60" t="b">
        <f>Proc[[#This Row],[Requested]]=Proc[[#This Row],[CurrentParent]]</f>
        <v>1</v>
      </c>
      <c r="K303" s="60" t="str">
        <f>IF(Proc[[#This Row],[Author]]="Marcela Urrego",VLOOKUP(LEFT(Proc[[#This Row],[Requested]],1),Table3[#All],2,0),VLOOKUP(Proc[[#This Row],[Author]],Table4[],2,0))</f>
        <v>MGF</v>
      </c>
      <c r="L303" s="60" t="s">
        <v>509</v>
      </c>
      <c r="M303" s="73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112</v>
      </c>
      <c r="R303" s="64" t="s">
        <v>1076</v>
      </c>
      <c r="S303" s="60"/>
    </row>
    <row r="304" spans="1:19" hidden="1">
      <c r="A304" s="62" t="s">
        <v>1627</v>
      </c>
      <c r="B304" s="60" t="str">
        <f>IFERROR(VLOOKUP(Proc[[#This Row],[App]],Table2[],3,0),"open")</f>
        <v>ok</v>
      </c>
      <c r="C304" s="63" t="s">
        <v>369</v>
      </c>
      <c r="D304" t="s">
        <v>752</v>
      </c>
      <c r="E304" t="s">
        <v>1636</v>
      </c>
      <c r="F304" s="62" t="s">
        <v>1636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1637</v>
      </c>
      <c r="J304" s="60" t="b">
        <f>Proc[[#This Row],[Requested]]=Proc[[#This Row],[CurrentParent]]</f>
        <v>1</v>
      </c>
      <c r="K304" s="60" t="str">
        <f>IF(Proc[[#This Row],[Author]]="Marcela Urrego",VLOOKUP(LEFT(Proc[[#This Row],[Requested]],1),Table3[#All],2,0),VLOOKUP(Proc[[#This Row],[Author]],Table4[],2,0))</f>
        <v>MGF</v>
      </c>
      <c r="L304" s="60" t="s">
        <v>509</v>
      </c>
      <c r="M304" s="73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112</v>
      </c>
      <c r="R304" s="64" t="s">
        <v>1076</v>
      </c>
      <c r="S304" s="60"/>
    </row>
    <row r="305" spans="1:19" hidden="1">
      <c r="A305" s="62" t="s">
        <v>1627</v>
      </c>
      <c r="B305" s="60" t="str">
        <f>IFERROR(VLOOKUP(Proc[[#This Row],[App]],Table2[],3,0),"open")</f>
        <v>ok</v>
      </c>
      <c r="C305" s="63" t="s">
        <v>369</v>
      </c>
      <c r="D305" t="s">
        <v>753</v>
      </c>
      <c r="E305" t="s">
        <v>1634</v>
      </c>
      <c r="F305" s="62" t="s">
        <v>1634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1637</v>
      </c>
      <c r="J305" s="60" t="b">
        <f>Proc[[#This Row],[Requested]]=Proc[[#This Row],[CurrentParent]]</f>
        <v>1</v>
      </c>
      <c r="K305" s="60" t="str">
        <f>IF(Proc[[#This Row],[Author]]="Marcela Urrego",VLOOKUP(LEFT(Proc[[#This Row],[Requested]],1),Table3[#All],2,0),VLOOKUP(Proc[[#This Row],[Author]],Table4[],2,0))</f>
        <v>MGF</v>
      </c>
      <c r="L305" s="60" t="s">
        <v>509</v>
      </c>
      <c r="M305" s="73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112</v>
      </c>
      <c r="R305" s="64" t="s">
        <v>1076</v>
      </c>
      <c r="S305" s="60"/>
    </row>
    <row r="306" spans="1:19" hidden="1">
      <c r="A306" s="62" t="s">
        <v>1627</v>
      </c>
      <c r="B306" s="60" t="str">
        <f>IFERROR(VLOOKUP(Proc[[#This Row],[App]],Table2[],3,0),"open")</f>
        <v>ok</v>
      </c>
      <c r="C306" s="63" t="s">
        <v>369</v>
      </c>
      <c r="D306" t="s">
        <v>755</v>
      </c>
      <c r="E306" t="s">
        <v>1166</v>
      </c>
      <c r="F306" s="62" t="s">
        <v>1166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1637</v>
      </c>
      <c r="J306" s="60" t="b">
        <f>Proc[[#This Row],[Requested]]=Proc[[#This Row],[CurrentParent]]</f>
        <v>1</v>
      </c>
      <c r="K306" s="60" t="str">
        <f>IF(Proc[[#This Row],[Author]]="Marcela Urrego",VLOOKUP(LEFT(Proc[[#This Row],[Requested]],1),Table3[#All],2,0),VLOOKUP(Proc[[#This Row],[Author]],Table4[],2,0))</f>
        <v>MGF</v>
      </c>
      <c r="L306" s="60" t="s">
        <v>509</v>
      </c>
      <c r="M306" s="73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112</v>
      </c>
      <c r="R306" s="64" t="s">
        <v>1076</v>
      </c>
      <c r="S306" s="60"/>
    </row>
    <row r="307" spans="1:19" hidden="1">
      <c r="A307" t="s">
        <v>1641</v>
      </c>
      <c r="B307" s="60" t="str">
        <f>IFERROR(VLOOKUP(Proc[[#This Row],[App]],Table2[],3,0),"open")</f>
        <v>ok</v>
      </c>
      <c r="C307" t="s">
        <v>369</v>
      </c>
      <c r="D307" t="s">
        <v>1642</v>
      </c>
      <c r="E307" t="s">
        <v>1643</v>
      </c>
      <c r="F307" s="105" t="s">
        <v>1643</v>
      </c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1</v>
      </c>
      <c r="K307" s="60" t="str">
        <f>IF(Proc[[#This Row],[Author]]="Marcela Urrego",VLOOKUP(LEFT(Proc[[#This Row],[Requested]],1),Table3[#All],2,0),VLOOKUP(Proc[[#This Row],[Author]],Table4[],2,0))</f>
        <v>LS</v>
      </c>
      <c r="L307" s="60" t="s">
        <v>509</v>
      </c>
      <c r="M307" s="73">
        <v>45681.610185185185</v>
      </c>
      <c r="N307" s="73">
        <v>45688</v>
      </c>
      <c r="O307" s="73">
        <v>45688</v>
      </c>
      <c r="P307" s="69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9" t="s">
        <v>1262</v>
      </c>
      <c r="S307" s="60"/>
    </row>
    <row r="308" spans="1:19" hidden="1">
      <c r="A308" t="s">
        <v>1644</v>
      </c>
      <c r="B308" s="60" t="str">
        <f>IFERROR(VLOOKUP(Proc[[#This Row],[App]],Table2[],3,0),"open")</f>
        <v>ok</v>
      </c>
      <c r="C308" s="62" t="s">
        <v>369</v>
      </c>
      <c r="D308" t="s">
        <v>1645</v>
      </c>
      <c r="E308" t="s">
        <v>1234</v>
      </c>
      <c r="F308" s="105" t="s">
        <v>1234</v>
      </c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1</v>
      </c>
      <c r="K308" s="60" t="str">
        <f>IF(Proc[[#This Row],[Author]]="Marcela Urrego",VLOOKUP(LEFT(Proc[[#This Row],[Requested]],1),Table3[#All],2,0),VLOOKUP(Proc[[#This Row],[Author]],Table4[],2,0))</f>
        <v>LS</v>
      </c>
      <c r="L308" s="60" t="s">
        <v>509</v>
      </c>
      <c r="M308" s="73">
        <v>45685.33834490741</v>
      </c>
      <c r="N308" s="73">
        <v>45688</v>
      </c>
      <c r="O308" s="73">
        <v>45688</v>
      </c>
      <c r="P308" s="69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9" t="s">
        <v>972</v>
      </c>
      <c r="S308" s="60"/>
    </row>
    <row r="309" spans="1:19" hidden="1">
      <c r="A309" s="62" t="s">
        <v>1644</v>
      </c>
      <c r="B309" s="60" t="str">
        <f>IFERROR(VLOOKUP(Proc[[#This Row],[App]],Table2[],3,0),"open")</f>
        <v>ok</v>
      </c>
      <c r="C309" s="62" t="s">
        <v>369</v>
      </c>
      <c r="D309" t="s">
        <v>1646</v>
      </c>
      <c r="E309" t="s">
        <v>1233</v>
      </c>
      <c r="F309" s="105" t="s">
        <v>1233</v>
      </c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1</v>
      </c>
      <c r="K309" s="60" t="str">
        <f>IF(Proc[[#This Row],[Author]]="Marcela Urrego",VLOOKUP(LEFT(Proc[[#This Row],[Requested]],1),Table3[#All],2,0),VLOOKUP(Proc[[#This Row],[Author]],Table4[],2,0))</f>
        <v>LS</v>
      </c>
      <c r="L309" s="60" t="s">
        <v>509</v>
      </c>
      <c r="M309" s="73">
        <v>45685.33834490741</v>
      </c>
      <c r="N309" s="73">
        <v>45688</v>
      </c>
      <c r="O309" s="73">
        <v>45688</v>
      </c>
      <c r="P309" s="69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9" t="s">
        <v>972</v>
      </c>
      <c r="S309" s="60"/>
    </row>
    <row r="310" spans="1:19" hidden="1">
      <c r="A310" s="62" t="s">
        <v>1644</v>
      </c>
      <c r="B310" s="60" t="str">
        <f>IFERROR(VLOOKUP(Proc[[#This Row],[App]],Table2[],3,0),"open")</f>
        <v>ok</v>
      </c>
      <c r="C310" s="62" t="s">
        <v>369</v>
      </c>
      <c r="D310" t="s">
        <v>1647</v>
      </c>
      <c r="E310" t="s">
        <v>1650</v>
      </c>
      <c r="F310" s="105" t="s">
        <v>1650</v>
      </c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1</v>
      </c>
      <c r="K310" s="60" t="str">
        <f>IF(Proc[[#This Row],[Author]]="Marcela Urrego",VLOOKUP(LEFT(Proc[[#This Row],[Requested]],1),Table3[#All],2,0),VLOOKUP(Proc[[#This Row],[Author]],Table4[],2,0))</f>
        <v>LS</v>
      </c>
      <c r="L310" s="60" t="s">
        <v>509</v>
      </c>
      <c r="M310" s="73">
        <v>45685.33834490741</v>
      </c>
      <c r="N310" s="73">
        <v>45688</v>
      </c>
      <c r="O310" s="73">
        <v>45688</v>
      </c>
      <c r="P310" s="69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9" t="s">
        <v>972</v>
      </c>
      <c r="S310" s="60"/>
    </row>
    <row r="311" spans="1:19" hidden="1">
      <c r="A311" s="62" t="s">
        <v>1644</v>
      </c>
      <c r="B311" s="60" t="str">
        <f>IFERROR(VLOOKUP(Proc[[#This Row],[App]],Table2[],3,0),"open")</f>
        <v>ok</v>
      </c>
      <c r="C311" s="62" t="s">
        <v>369</v>
      </c>
      <c r="D311" t="s">
        <v>1652</v>
      </c>
      <c r="E311" t="s">
        <v>499</v>
      </c>
      <c r="F311" s="105" t="s">
        <v>499</v>
      </c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1</v>
      </c>
      <c r="K311" s="60" t="str">
        <f>IF(Proc[[#This Row],[Author]]="Marcela Urrego",VLOOKUP(LEFT(Proc[[#This Row],[Requested]],1),Table3[#All],2,0),VLOOKUP(Proc[[#This Row],[Author]],Table4[],2,0))</f>
        <v>LS</v>
      </c>
      <c r="L311" s="60" t="s">
        <v>509</v>
      </c>
      <c r="M311" s="73">
        <v>45685.33834490741</v>
      </c>
      <c r="N311" s="73">
        <v>45688</v>
      </c>
      <c r="O311" s="73">
        <v>45688</v>
      </c>
      <c r="P311" s="69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9" t="s">
        <v>972</v>
      </c>
      <c r="S311" s="60"/>
    </row>
    <row r="312" spans="1:19" hidden="1">
      <c r="A312" s="62" t="s">
        <v>1644</v>
      </c>
      <c r="B312" s="60" t="str">
        <f>IFERROR(VLOOKUP(Proc[[#This Row],[App]],Table2[],3,0),"open")</f>
        <v>ok</v>
      </c>
      <c r="C312" s="62" t="s">
        <v>369</v>
      </c>
      <c r="D312" t="s">
        <v>1648</v>
      </c>
      <c r="E312" t="s">
        <v>429</v>
      </c>
      <c r="F312" s="105" t="s">
        <v>429</v>
      </c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1</v>
      </c>
      <c r="K312" s="60" t="str">
        <f>IF(Proc[[#This Row],[Author]]="Marcela Urrego",VLOOKUP(LEFT(Proc[[#This Row],[Requested]],1),Table3[#All],2,0),VLOOKUP(Proc[[#This Row],[Author]],Table4[],2,0))</f>
        <v>LS</v>
      </c>
      <c r="L312" s="60" t="s">
        <v>509</v>
      </c>
      <c r="M312" s="73">
        <v>45685.33834490741</v>
      </c>
      <c r="N312" s="73">
        <v>45688</v>
      </c>
      <c r="O312" s="73">
        <v>45688</v>
      </c>
      <c r="P312" s="69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9" t="s">
        <v>972</v>
      </c>
      <c r="S312" s="60"/>
    </row>
    <row r="313" spans="1:19" hidden="1">
      <c r="A313" s="62" t="s">
        <v>1644</v>
      </c>
      <c r="B313" s="60" t="str">
        <f>IFERROR(VLOOKUP(Proc[[#This Row],[App]],Table2[],3,0),"open")</f>
        <v>ok</v>
      </c>
      <c r="C313" s="62" t="s">
        <v>369</v>
      </c>
      <c r="D313" t="s">
        <v>1649</v>
      </c>
      <c r="E313" t="s">
        <v>1651</v>
      </c>
      <c r="F313" s="105" t="s">
        <v>1651</v>
      </c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1</v>
      </c>
      <c r="K313" s="60" t="str">
        <f>IF(Proc[[#This Row],[Author]]="Marcela Urrego",VLOOKUP(LEFT(Proc[[#This Row],[Requested]],1),Table3[#All],2,0),VLOOKUP(Proc[[#This Row],[Author]],Table4[],2,0))</f>
        <v>LS</v>
      </c>
      <c r="L313" s="60" t="s">
        <v>509</v>
      </c>
      <c r="M313" s="73">
        <v>45685.33834490741</v>
      </c>
      <c r="N313" s="73">
        <v>45688</v>
      </c>
      <c r="O313" s="73">
        <v>45688</v>
      </c>
      <c r="P313" s="69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9" t="s">
        <v>972</v>
      </c>
      <c r="S313" s="60"/>
    </row>
    <row r="314" spans="1:19" hidden="1">
      <c r="A314" t="s">
        <v>1654</v>
      </c>
      <c r="B314" s="60" t="str">
        <f>IFERROR(VLOOKUP(Proc[[#This Row],[App]],Table2[],3,0),"open")</f>
        <v>ok</v>
      </c>
      <c r="C314" s="62" t="s">
        <v>369</v>
      </c>
      <c r="D314" t="s">
        <v>1653</v>
      </c>
      <c r="E314" t="s">
        <v>1034</v>
      </c>
      <c r="F314" s="105" t="s">
        <v>1034</v>
      </c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1</v>
      </c>
      <c r="K314" s="60" t="str">
        <f>IF(Proc[[#This Row],[Author]]="Marcela Urrego",VLOOKUP(LEFT(Proc[[#This Row],[Requested]],1),Table3[#All],2,0),VLOOKUP(Proc[[#This Row],[Author]],Table4[],2,0))</f>
        <v>HC</v>
      </c>
      <c r="L314" s="60" t="s">
        <v>509</v>
      </c>
      <c r="M314" s="73">
        <v>45685.502604166664</v>
      </c>
      <c r="N314" s="73">
        <v>45688</v>
      </c>
      <c r="O314" s="73">
        <v>45688</v>
      </c>
      <c r="P314" s="69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9" t="s">
        <v>484</v>
      </c>
      <c r="S314" s="60"/>
    </row>
    <row r="315" spans="1:19" hidden="1">
      <c r="A315" t="s">
        <v>1665</v>
      </c>
      <c r="B315" s="60" t="str">
        <f>IFERROR(VLOOKUP(Proc[[#This Row],[App]],Table2[],3,0),"open")</f>
        <v>ok</v>
      </c>
      <c r="C315" s="63" t="s">
        <v>369</v>
      </c>
      <c r="D315" t="s">
        <v>1664</v>
      </c>
      <c r="E315" t="s">
        <v>1667</v>
      </c>
      <c r="F315" s="105" t="s">
        <v>1667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1</v>
      </c>
      <c r="K315" s="60" t="str">
        <f>IF(Proc[[#This Row],[Author]]="Marcela Urrego",VLOOKUP(LEFT(Proc[[#This Row],[Requested]],1),Table3[#All],2,0),VLOOKUP(Proc[[#This Row],[Author]],Table4[],2,0))</f>
        <v>HC</v>
      </c>
      <c r="L315" s="60" t="s">
        <v>509</v>
      </c>
      <c r="M315" s="73">
        <v>45687.53292824074</v>
      </c>
      <c r="P315" s="69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108</v>
      </c>
      <c r="R315" s="64" t="s">
        <v>1666</v>
      </c>
      <c r="S315" s="60"/>
    </row>
    <row r="316" spans="1:19" hidden="1">
      <c r="A316" t="s">
        <v>1657</v>
      </c>
      <c r="B316" s="60" t="str">
        <f>IFERROR(VLOOKUP(Proc[[#This Row],[App]],Table2[],3,0),"open")</f>
        <v>ok</v>
      </c>
      <c r="C316" s="63" t="s">
        <v>369</v>
      </c>
      <c r="D316" t="s">
        <v>1663</v>
      </c>
      <c r="E316" t="s">
        <v>417</v>
      </c>
      <c r="F316" s="105" t="s">
        <v>417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1</v>
      </c>
      <c r="K316" s="60" t="str">
        <f>IF(Proc[[#This Row],[Author]]="Marcela Urrego",VLOOKUP(LEFT(Proc[[#This Row],[Requested]],1),Table3[#All],2,0),VLOOKUP(Proc[[#This Row],[Author]],Table4[],2,0))</f>
        <v>LS</v>
      </c>
      <c r="L316" s="60" t="s">
        <v>509</v>
      </c>
      <c r="M316" s="73">
        <v>45687.600775462961</v>
      </c>
      <c r="N316" s="73">
        <v>45691</v>
      </c>
      <c r="O316" s="73">
        <v>45691</v>
      </c>
      <c r="P316" s="69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9" t="s">
        <v>972</v>
      </c>
      <c r="S316" s="60"/>
    </row>
    <row r="317" spans="1:19" hidden="1">
      <c r="A317" s="62" t="s">
        <v>1657</v>
      </c>
      <c r="B317" s="60" t="str">
        <f>IFERROR(VLOOKUP(Proc[[#This Row],[App]],Table2[],3,0),"open")</f>
        <v>ok</v>
      </c>
      <c r="C317" s="63" t="s">
        <v>369</v>
      </c>
      <c r="D317" t="s">
        <v>1658</v>
      </c>
      <c r="E317" t="s">
        <v>1145</v>
      </c>
      <c r="F317" s="105" t="s">
        <v>1145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1</v>
      </c>
      <c r="K317" s="60" t="str">
        <f>IF(Proc[[#This Row],[Author]]="Marcela Urrego",VLOOKUP(LEFT(Proc[[#This Row],[Requested]],1),Table3[#All],2,0),VLOOKUP(Proc[[#This Row],[Author]],Table4[],2,0))</f>
        <v>LS</v>
      </c>
      <c r="L317" s="60" t="s">
        <v>509</v>
      </c>
      <c r="M317" s="73">
        <v>45687.600775462961</v>
      </c>
      <c r="N317" s="73">
        <v>45691</v>
      </c>
      <c r="O317" s="73">
        <v>45691</v>
      </c>
      <c r="P317" s="69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9" t="s">
        <v>972</v>
      </c>
      <c r="S317" s="60"/>
    </row>
    <row r="318" spans="1:19" hidden="1">
      <c r="A318" s="62" t="s">
        <v>1657</v>
      </c>
      <c r="B318" s="60" t="str">
        <f>IFERROR(VLOOKUP(Proc[[#This Row],[App]],Table2[],3,0),"open")</f>
        <v>ok</v>
      </c>
      <c r="C318" s="63" t="s">
        <v>369</v>
      </c>
      <c r="D318" t="s">
        <v>1659</v>
      </c>
      <c r="E318" t="s">
        <v>1145</v>
      </c>
      <c r="F318" s="105" t="s">
        <v>1145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1</v>
      </c>
      <c r="K318" s="60" t="str">
        <f>IF(Proc[[#This Row],[Author]]="Marcela Urrego",VLOOKUP(LEFT(Proc[[#This Row],[Requested]],1),Table3[#All],2,0),VLOOKUP(Proc[[#This Row],[Author]],Table4[],2,0))</f>
        <v>LS</v>
      </c>
      <c r="L318" s="60" t="s">
        <v>509</v>
      </c>
      <c r="M318" s="73">
        <v>45687.600775462961</v>
      </c>
      <c r="N318" s="73">
        <v>45691</v>
      </c>
      <c r="O318" s="73">
        <v>45691</v>
      </c>
      <c r="P318" s="69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9" t="s">
        <v>972</v>
      </c>
      <c r="S318" s="60"/>
    </row>
    <row r="319" spans="1:19" hidden="1">
      <c r="A319" s="62" t="s">
        <v>1657</v>
      </c>
      <c r="B319" s="60" t="str">
        <f>IFERROR(VLOOKUP(Proc[[#This Row],[App]],Table2[],3,0),"open")</f>
        <v>ok</v>
      </c>
      <c r="C319" s="63" t="s">
        <v>369</v>
      </c>
      <c r="D319" t="s">
        <v>1660</v>
      </c>
      <c r="E319" t="s">
        <v>1145</v>
      </c>
      <c r="F319" s="105" t="s">
        <v>1145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1</v>
      </c>
      <c r="K319" s="60" t="str">
        <f>IF(Proc[[#This Row],[Author]]="Marcela Urrego",VLOOKUP(LEFT(Proc[[#This Row],[Requested]],1),Table3[#All],2,0),VLOOKUP(Proc[[#This Row],[Author]],Table4[],2,0))</f>
        <v>LS</v>
      </c>
      <c r="L319" s="60" t="s">
        <v>509</v>
      </c>
      <c r="M319" s="73">
        <v>45687.600775462961</v>
      </c>
      <c r="N319" s="73">
        <v>45691</v>
      </c>
      <c r="O319" s="73">
        <v>45691</v>
      </c>
      <c r="P319" s="69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9" t="s">
        <v>972</v>
      </c>
      <c r="S319" s="60"/>
    </row>
    <row r="320" spans="1:19" hidden="1">
      <c r="A320" s="62" t="s">
        <v>1657</v>
      </c>
      <c r="B320" s="60" t="str">
        <f>IFERROR(VLOOKUP(Proc[[#This Row],[App]],Table2[],3,0),"open")</f>
        <v>ok</v>
      </c>
      <c r="C320" s="63" t="s">
        <v>369</v>
      </c>
      <c r="D320" t="s">
        <v>1661</v>
      </c>
      <c r="E320" t="s">
        <v>1145</v>
      </c>
      <c r="F320" s="105" t="s">
        <v>1145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1</v>
      </c>
      <c r="K320" s="60" t="str">
        <f>IF(Proc[[#This Row],[Author]]="Marcela Urrego",VLOOKUP(LEFT(Proc[[#This Row],[Requested]],1),Table3[#All],2,0),VLOOKUP(Proc[[#This Row],[Author]],Table4[],2,0))</f>
        <v>LS</v>
      </c>
      <c r="L320" s="60" t="s">
        <v>509</v>
      </c>
      <c r="M320" s="73">
        <v>45687.600775462961</v>
      </c>
      <c r="N320" s="73">
        <v>45691</v>
      </c>
      <c r="O320" s="73">
        <v>45691</v>
      </c>
      <c r="P320" s="69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9" t="s">
        <v>972</v>
      </c>
      <c r="S320" s="60"/>
    </row>
    <row r="321" spans="1:19" hidden="1">
      <c r="A321" s="62" t="s">
        <v>1657</v>
      </c>
      <c r="B321" s="60" t="str">
        <f>IFERROR(VLOOKUP(Proc[[#This Row],[App]],Table2[],3,0),"open")</f>
        <v>ok</v>
      </c>
      <c r="C321" s="63" t="s">
        <v>369</v>
      </c>
      <c r="D321" t="s">
        <v>1662</v>
      </c>
      <c r="E321" t="s">
        <v>1145</v>
      </c>
      <c r="F321" s="105" t="s">
        <v>1145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1</v>
      </c>
      <c r="K321" s="60" t="str">
        <f>IF(Proc[[#This Row],[Author]]="Marcela Urrego",VLOOKUP(LEFT(Proc[[#This Row],[Requested]],1),Table3[#All],2,0),VLOOKUP(Proc[[#This Row],[Author]],Table4[],2,0))</f>
        <v>LS</v>
      </c>
      <c r="L321" s="60" t="s">
        <v>509</v>
      </c>
      <c r="M321" s="73">
        <v>45687.600775462961</v>
      </c>
      <c r="N321" s="73">
        <v>45691</v>
      </c>
      <c r="O321" s="73">
        <v>45691</v>
      </c>
      <c r="P321" s="69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9" t="s">
        <v>972</v>
      </c>
      <c r="S321" s="60"/>
    </row>
    <row r="322" spans="1:19" hidden="1">
      <c r="A322" t="s">
        <v>1655</v>
      </c>
      <c r="B322" s="60" t="str">
        <f>IFERROR(VLOOKUP(Proc[[#This Row],[App]],Table2[],3,0),"open")</f>
        <v>ok</v>
      </c>
      <c r="C322" s="63" t="s">
        <v>369</v>
      </c>
      <c r="D322" t="s">
        <v>1656</v>
      </c>
      <c r="E322" t="s">
        <v>418</v>
      </c>
      <c r="F322" s="105" t="s">
        <v>418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1</v>
      </c>
      <c r="K322" s="60" t="str">
        <f>IF(Proc[[#This Row],[Author]]="Marcela Urrego",VLOOKUP(LEFT(Proc[[#This Row],[Requested]],1),Table3[#All],2,0),VLOOKUP(Proc[[#This Row],[Author]],Table4[],2,0))</f>
        <v>MGF</v>
      </c>
      <c r="L322" s="60" t="s">
        <v>509</v>
      </c>
      <c r="M322" s="73">
        <v>45687.614363425928</v>
      </c>
      <c r="N322" s="73">
        <v>45691</v>
      </c>
      <c r="O322" s="73">
        <v>45691</v>
      </c>
      <c r="P322" s="69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9" t="s">
        <v>1076</v>
      </c>
      <c r="S322" s="60"/>
    </row>
    <row r="323" spans="1:19" hidden="1">
      <c r="A323" t="s">
        <v>1686</v>
      </c>
      <c r="B323" s="60" t="str">
        <f>IFERROR(VLOOKUP(Proc[[#This Row],[App]],Table2[],3,0),"open")</f>
        <v>ok</v>
      </c>
      <c r="C323" s="63" t="s">
        <v>369</v>
      </c>
      <c r="D323" t="s">
        <v>1668</v>
      </c>
      <c r="E323" t="s">
        <v>812</v>
      </c>
      <c r="F323" s="105" t="s">
        <v>812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1</v>
      </c>
      <c r="K323" s="60" t="str">
        <f>IF(Proc[[#This Row],[Author]]="Marcela Urrego",VLOOKUP(LEFT(Proc[[#This Row],[Requested]],1),Table3[#All],2,0),VLOOKUP(Proc[[#This Row],[Author]],Table4[],2,0))</f>
        <v>HC</v>
      </c>
      <c r="L323" s="60" t="s">
        <v>509</v>
      </c>
      <c r="M323" s="73">
        <v>45688.524016203701</v>
      </c>
      <c r="N323" s="73">
        <v>45691</v>
      </c>
      <c r="O323" s="73">
        <v>45691</v>
      </c>
      <c r="P323" s="69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9" t="s">
        <v>1013</v>
      </c>
      <c r="S323" s="60"/>
    </row>
    <row r="324" spans="1:19" hidden="1">
      <c r="A324" s="62" t="s">
        <v>1686</v>
      </c>
      <c r="B324" s="60" t="str">
        <f>IFERROR(VLOOKUP(Proc[[#This Row],[App]],Table2[],3,0),"open")</f>
        <v>ok</v>
      </c>
      <c r="C324" s="63" t="s">
        <v>369</v>
      </c>
      <c r="D324" t="s">
        <v>1669</v>
      </c>
      <c r="E324" t="s">
        <v>811</v>
      </c>
      <c r="F324" s="105" t="s">
        <v>811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1</v>
      </c>
      <c r="K324" s="60" t="str">
        <f>IF(Proc[[#This Row],[Author]]="Marcela Urrego",VLOOKUP(LEFT(Proc[[#This Row],[Requested]],1),Table3[#All],2,0),VLOOKUP(Proc[[#This Row],[Author]],Table4[],2,0))</f>
        <v>HC</v>
      </c>
      <c r="L324" s="60" t="s">
        <v>509</v>
      </c>
      <c r="M324" s="73">
        <v>45688.524016203701</v>
      </c>
      <c r="N324" s="73">
        <v>45691</v>
      </c>
      <c r="O324" s="73">
        <v>45691</v>
      </c>
      <c r="P324" s="69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9" t="s">
        <v>1013</v>
      </c>
      <c r="S324" s="60"/>
    </row>
    <row r="325" spans="1:19" hidden="1">
      <c r="A325" s="62" t="s">
        <v>1686</v>
      </c>
      <c r="B325" s="60" t="str">
        <f>IFERROR(VLOOKUP(Proc[[#This Row],[App]],Table2[],3,0),"open")</f>
        <v>ok</v>
      </c>
      <c r="C325" s="63" t="s">
        <v>369</v>
      </c>
      <c r="D325" t="s">
        <v>1670</v>
      </c>
      <c r="E325" t="s">
        <v>555</v>
      </c>
      <c r="F325" s="105" t="s">
        <v>555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1</v>
      </c>
      <c r="K325" s="60" t="str">
        <f>IF(Proc[[#This Row],[Author]]="Marcela Urrego",VLOOKUP(LEFT(Proc[[#This Row],[Requested]],1),Table3[#All],2,0),VLOOKUP(Proc[[#This Row],[Author]],Table4[],2,0))</f>
        <v>HC</v>
      </c>
      <c r="L325" s="60" t="s">
        <v>509</v>
      </c>
      <c r="M325" s="73">
        <v>45688.524016203701</v>
      </c>
      <c r="N325" s="73">
        <v>45691</v>
      </c>
      <c r="O325" s="73">
        <v>45691</v>
      </c>
      <c r="P325" s="69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9" t="s">
        <v>1013</v>
      </c>
      <c r="S325" s="60"/>
    </row>
    <row r="326" spans="1:19" hidden="1">
      <c r="A326" s="62" t="s">
        <v>1686</v>
      </c>
      <c r="B326" s="60" t="str">
        <f>IFERROR(VLOOKUP(Proc[[#This Row],[App]],Table2[],3,0),"open")</f>
        <v>ok</v>
      </c>
      <c r="C326" s="63" t="s">
        <v>369</v>
      </c>
      <c r="D326" t="s">
        <v>1671</v>
      </c>
      <c r="E326" t="s">
        <v>556</v>
      </c>
      <c r="F326" s="105" t="s">
        <v>556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1</v>
      </c>
      <c r="K326" s="60" t="str">
        <f>IF(Proc[[#This Row],[Author]]="Marcela Urrego",VLOOKUP(LEFT(Proc[[#This Row],[Requested]],1),Table3[#All],2,0),VLOOKUP(Proc[[#This Row],[Author]],Table4[],2,0))</f>
        <v>HC</v>
      </c>
      <c r="L326" s="60" t="s">
        <v>509</v>
      </c>
      <c r="M326" s="73">
        <v>45688.524016203701</v>
      </c>
      <c r="N326" s="73">
        <v>45691</v>
      </c>
      <c r="O326" s="73">
        <v>45691</v>
      </c>
      <c r="P326" s="69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9" t="s">
        <v>1013</v>
      </c>
      <c r="S326" s="60"/>
    </row>
    <row r="327" spans="1:19" hidden="1">
      <c r="A327" s="62" t="s">
        <v>1686</v>
      </c>
      <c r="B327" s="60" t="str">
        <f>IFERROR(VLOOKUP(Proc[[#This Row],[App]],Table2[],3,0),"open")</f>
        <v>ok</v>
      </c>
      <c r="C327" s="63" t="s">
        <v>369</v>
      </c>
      <c r="D327" t="s">
        <v>1672</v>
      </c>
      <c r="E327" t="s">
        <v>556</v>
      </c>
      <c r="F327" s="105" t="s">
        <v>556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1</v>
      </c>
      <c r="K327" s="60" t="str">
        <f>IF(Proc[[#This Row],[Author]]="Marcela Urrego",VLOOKUP(LEFT(Proc[[#This Row],[Requested]],1),Table3[#All],2,0),VLOOKUP(Proc[[#This Row],[Author]],Table4[],2,0))</f>
        <v>HC</v>
      </c>
      <c r="L327" s="60" t="s">
        <v>509</v>
      </c>
      <c r="M327" s="73">
        <v>45688.524016203701</v>
      </c>
      <c r="N327" s="73">
        <v>45691</v>
      </c>
      <c r="O327" s="73">
        <v>45691</v>
      </c>
      <c r="P327" s="69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9" t="s">
        <v>1013</v>
      </c>
      <c r="S327" s="60"/>
    </row>
    <row r="328" spans="1:19" hidden="1">
      <c r="A328" s="62" t="s">
        <v>1686</v>
      </c>
      <c r="B328" s="60" t="str">
        <f>IFERROR(VLOOKUP(Proc[[#This Row],[App]],Table2[],3,0),"open")</f>
        <v>ok</v>
      </c>
      <c r="C328" s="63" t="s">
        <v>369</v>
      </c>
      <c r="D328" t="s">
        <v>1673</v>
      </c>
      <c r="E328" t="s">
        <v>991</v>
      </c>
      <c r="F328" s="105" t="s">
        <v>991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1</v>
      </c>
      <c r="K328" s="60" t="str">
        <f>IF(Proc[[#This Row],[Author]]="Marcela Urrego",VLOOKUP(LEFT(Proc[[#This Row],[Requested]],1),Table3[#All],2,0),VLOOKUP(Proc[[#This Row],[Author]],Table4[],2,0))</f>
        <v>HC</v>
      </c>
      <c r="L328" s="60" t="s">
        <v>509</v>
      </c>
      <c r="M328" s="73">
        <v>45688.524016203701</v>
      </c>
      <c r="N328" s="73">
        <v>45691</v>
      </c>
      <c r="O328" s="73">
        <v>45691</v>
      </c>
      <c r="P328" s="69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9" t="s">
        <v>1013</v>
      </c>
      <c r="S328" s="60"/>
    </row>
    <row r="329" spans="1:19" hidden="1">
      <c r="A329" s="62" t="s">
        <v>1686</v>
      </c>
      <c r="B329" s="60" t="str">
        <f>IFERROR(VLOOKUP(Proc[[#This Row],[App]],Table2[],3,0),"open")</f>
        <v>ok</v>
      </c>
      <c r="C329" s="63" t="s">
        <v>369</v>
      </c>
      <c r="D329" t="s">
        <v>1674</v>
      </c>
      <c r="E329" t="s">
        <v>1012</v>
      </c>
      <c r="F329" s="105" t="s">
        <v>1012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1</v>
      </c>
      <c r="K329" s="60" t="str">
        <f>IF(Proc[[#This Row],[Author]]="Marcela Urrego",VLOOKUP(LEFT(Proc[[#This Row],[Requested]],1),Table3[#All],2,0),VLOOKUP(Proc[[#This Row],[Author]],Table4[],2,0))</f>
        <v>HC</v>
      </c>
      <c r="L329" s="60" t="s">
        <v>509</v>
      </c>
      <c r="M329" s="73">
        <v>45688.524016203701</v>
      </c>
      <c r="N329" s="73">
        <v>45691</v>
      </c>
      <c r="O329" s="73">
        <v>45691</v>
      </c>
      <c r="P329" s="69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9" t="s">
        <v>1013</v>
      </c>
      <c r="S329" s="60"/>
    </row>
    <row r="330" spans="1:19" hidden="1">
      <c r="A330" s="62" t="s">
        <v>1686</v>
      </c>
      <c r="B330" s="60" t="str">
        <f>IFERROR(VLOOKUP(Proc[[#This Row],[App]],Table2[],3,0),"open")</f>
        <v>ok</v>
      </c>
      <c r="C330" s="63" t="s">
        <v>369</v>
      </c>
      <c r="D330" t="s">
        <v>1675</v>
      </c>
      <c r="E330" t="s">
        <v>555</v>
      </c>
      <c r="F330" s="105" t="s">
        <v>555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1</v>
      </c>
      <c r="K330" s="60" t="str">
        <f>IF(Proc[[#This Row],[Author]]="Marcela Urrego",VLOOKUP(LEFT(Proc[[#This Row],[Requested]],1),Table3[#All],2,0),VLOOKUP(Proc[[#This Row],[Author]],Table4[],2,0))</f>
        <v>HC</v>
      </c>
      <c r="L330" s="60" t="s">
        <v>509</v>
      </c>
      <c r="M330" s="73">
        <v>45688.524016203701</v>
      </c>
      <c r="N330" s="73">
        <v>45691</v>
      </c>
      <c r="O330" s="73">
        <v>45691</v>
      </c>
      <c r="P330" s="69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9" t="s">
        <v>1013</v>
      </c>
      <c r="S330" s="60"/>
    </row>
    <row r="331" spans="1:19" hidden="1">
      <c r="A331" s="62" t="s">
        <v>1686</v>
      </c>
      <c r="B331" s="60" t="str">
        <f>IFERROR(VLOOKUP(Proc[[#This Row],[App]],Table2[],3,0),"open")</f>
        <v>ok</v>
      </c>
      <c r="C331" s="63" t="s">
        <v>369</v>
      </c>
      <c r="D331" t="s">
        <v>1676</v>
      </c>
      <c r="E331" t="s">
        <v>554</v>
      </c>
      <c r="F331" s="105" t="s">
        <v>554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1</v>
      </c>
      <c r="K331" s="60" t="str">
        <f>IF(Proc[[#This Row],[Author]]="Marcela Urrego",VLOOKUP(LEFT(Proc[[#This Row],[Requested]],1),Table3[#All],2,0),VLOOKUP(Proc[[#This Row],[Author]],Table4[],2,0))</f>
        <v>HC</v>
      </c>
      <c r="L331" s="60" t="s">
        <v>509</v>
      </c>
      <c r="M331" s="73">
        <v>45688.524016203701</v>
      </c>
      <c r="N331" s="73">
        <v>45691</v>
      </c>
      <c r="O331" s="73">
        <v>45691</v>
      </c>
      <c r="P331" s="69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9" t="s">
        <v>1013</v>
      </c>
      <c r="S331" s="60"/>
    </row>
    <row r="332" spans="1:19" hidden="1">
      <c r="A332" s="62" t="s">
        <v>1686</v>
      </c>
      <c r="B332" s="60" t="str">
        <f>IFERROR(VLOOKUP(Proc[[#This Row],[App]],Table2[],3,0),"open")</f>
        <v>ok</v>
      </c>
      <c r="C332" s="63" t="s">
        <v>369</v>
      </c>
      <c r="D332" t="s">
        <v>1677</v>
      </c>
      <c r="E332" t="s">
        <v>554</v>
      </c>
      <c r="F332" s="105" t="s">
        <v>554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1</v>
      </c>
      <c r="K332" s="60" t="str">
        <f>IF(Proc[[#This Row],[Author]]="Marcela Urrego",VLOOKUP(LEFT(Proc[[#This Row],[Requested]],1),Table3[#All],2,0),VLOOKUP(Proc[[#This Row],[Author]],Table4[],2,0))</f>
        <v>HC</v>
      </c>
      <c r="L332" s="60" t="s">
        <v>509</v>
      </c>
      <c r="M332" s="73">
        <v>45688.524016203701</v>
      </c>
      <c r="N332" s="73">
        <v>45691</v>
      </c>
      <c r="O332" s="73">
        <v>45691</v>
      </c>
      <c r="P332" s="69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9" t="s">
        <v>1013</v>
      </c>
      <c r="S332" s="60"/>
    </row>
    <row r="333" spans="1:19" hidden="1">
      <c r="A333" s="62" t="s">
        <v>1686</v>
      </c>
      <c r="B333" s="60" t="str">
        <f>IFERROR(VLOOKUP(Proc[[#This Row],[App]],Table2[],3,0),"open")</f>
        <v>ok</v>
      </c>
      <c r="C333" s="63" t="s">
        <v>369</v>
      </c>
      <c r="D333" t="s">
        <v>1678</v>
      </c>
      <c r="E333" t="s">
        <v>557</v>
      </c>
      <c r="F333" s="105" t="s">
        <v>557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1</v>
      </c>
      <c r="K333" s="60" t="str">
        <f>IF(Proc[[#This Row],[Author]]="Marcela Urrego",VLOOKUP(LEFT(Proc[[#This Row],[Requested]],1),Table3[#All],2,0),VLOOKUP(Proc[[#This Row],[Author]],Table4[],2,0))</f>
        <v>HC</v>
      </c>
      <c r="L333" s="60" t="s">
        <v>509</v>
      </c>
      <c r="M333" s="73">
        <v>45688.524016203701</v>
      </c>
      <c r="N333" s="73">
        <v>45691</v>
      </c>
      <c r="O333" s="73">
        <v>45691</v>
      </c>
      <c r="P333" s="69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9" t="s">
        <v>1013</v>
      </c>
      <c r="S333" s="60"/>
    </row>
    <row r="334" spans="1:19" hidden="1">
      <c r="A334" s="62" t="s">
        <v>1686</v>
      </c>
      <c r="B334" s="60" t="str">
        <f>IFERROR(VLOOKUP(Proc[[#This Row],[App]],Table2[],3,0),"open")</f>
        <v>ok</v>
      </c>
      <c r="C334" s="63" t="s">
        <v>369</v>
      </c>
      <c r="D334" t="s">
        <v>1679</v>
      </c>
      <c r="E334" t="s">
        <v>991</v>
      </c>
      <c r="F334" s="105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1</v>
      </c>
      <c r="K334" s="60" t="str">
        <f>IF(Proc[[#This Row],[Author]]="Marcela Urrego",VLOOKUP(LEFT(Proc[[#This Row],[Requested]],1),Table3[#All],2,0),VLOOKUP(Proc[[#This Row],[Author]],Table4[],2,0))</f>
        <v>HC</v>
      </c>
      <c r="L334" s="60" t="s">
        <v>509</v>
      </c>
      <c r="M334" s="73">
        <v>45688.524016203701</v>
      </c>
      <c r="N334" s="73">
        <v>45691</v>
      </c>
      <c r="O334" s="73">
        <v>45691</v>
      </c>
      <c r="P334" s="69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9" t="s">
        <v>1013</v>
      </c>
      <c r="S334" s="60"/>
    </row>
    <row r="335" spans="1:19" hidden="1">
      <c r="A335" s="62" t="s">
        <v>1686</v>
      </c>
      <c r="B335" s="60" t="str">
        <f>IFERROR(VLOOKUP(Proc[[#This Row],[App]],Table2[],3,0),"open")</f>
        <v>ok</v>
      </c>
      <c r="C335" s="63" t="s">
        <v>369</v>
      </c>
      <c r="D335" t="s">
        <v>1680</v>
      </c>
      <c r="E335" t="s">
        <v>483</v>
      </c>
      <c r="F335" s="105" t="s">
        <v>483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1</v>
      </c>
      <c r="K335" s="60" t="str">
        <f>IF(Proc[[#This Row],[Author]]="Marcela Urrego",VLOOKUP(LEFT(Proc[[#This Row],[Requested]],1),Table3[#All],2,0),VLOOKUP(Proc[[#This Row],[Author]],Table4[],2,0))</f>
        <v>HC</v>
      </c>
      <c r="L335" s="60" t="s">
        <v>509</v>
      </c>
      <c r="M335" s="73">
        <v>45688.524016203701</v>
      </c>
      <c r="N335" s="73">
        <v>45691</v>
      </c>
      <c r="O335" s="73">
        <v>45691</v>
      </c>
      <c r="P335" s="69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9" t="s">
        <v>1013</v>
      </c>
      <c r="S335" s="60"/>
    </row>
    <row r="336" spans="1:19" hidden="1">
      <c r="A336" s="62" t="s">
        <v>1686</v>
      </c>
      <c r="B336" s="60" t="str">
        <f>IFERROR(VLOOKUP(Proc[[#This Row],[App]],Table2[],3,0),"open")</f>
        <v>ok</v>
      </c>
      <c r="C336" s="63" t="s">
        <v>369</v>
      </c>
      <c r="D336" t="s">
        <v>1681</v>
      </c>
      <c r="E336" t="s">
        <v>543</v>
      </c>
      <c r="F336" s="105" t="s">
        <v>543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1</v>
      </c>
      <c r="K336" s="60" t="str">
        <f>IF(Proc[[#This Row],[Author]]="Marcela Urrego",VLOOKUP(LEFT(Proc[[#This Row],[Requested]],1),Table3[#All],2,0),VLOOKUP(Proc[[#This Row],[Author]],Table4[],2,0))</f>
        <v>HC</v>
      </c>
      <c r="L336" s="60" t="s">
        <v>509</v>
      </c>
      <c r="M336" s="73">
        <v>45688.524016203701</v>
      </c>
      <c r="N336" s="73">
        <v>45691</v>
      </c>
      <c r="O336" s="73">
        <v>45691</v>
      </c>
      <c r="P336" s="69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9" t="s">
        <v>1013</v>
      </c>
      <c r="S336" s="60"/>
    </row>
    <row r="337" spans="1:19" hidden="1">
      <c r="A337" s="62" t="s">
        <v>1686</v>
      </c>
      <c r="B337" s="60" t="str">
        <f>IFERROR(VLOOKUP(Proc[[#This Row],[App]],Table2[],3,0),"open")</f>
        <v>ok</v>
      </c>
      <c r="C337" s="63" t="s">
        <v>369</v>
      </c>
      <c r="D337" t="s">
        <v>1682</v>
      </c>
      <c r="E337" t="s">
        <v>1012</v>
      </c>
      <c r="F337" s="105" t="s">
        <v>1012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1</v>
      </c>
      <c r="K337" s="60" t="str">
        <f>IF(Proc[[#This Row],[Author]]="Marcela Urrego",VLOOKUP(LEFT(Proc[[#This Row],[Requested]],1),Table3[#All],2,0),VLOOKUP(Proc[[#This Row],[Author]],Table4[],2,0))</f>
        <v>HC</v>
      </c>
      <c r="L337" s="60" t="s">
        <v>509</v>
      </c>
      <c r="M337" s="73">
        <v>45688.524016203701</v>
      </c>
      <c r="N337" s="73">
        <v>45691</v>
      </c>
      <c r="O337" s="73">
        <v>45691</v>
      </c>
      <c r="P337" s="69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9" t="s">
        <v>1013</v>
      </c>
      <c r="S337" s="60"/>
    </row>
    <row r="338" spans="1:19" hidden="1">
      <c r="A338" s="62" t="s">
        <v>1686</v>
      </c>
      <c r="B338" s="60" t="str">
        <f>IFERROR(VLOOKUP(Proc[[#This Row],[App]],Table2[],3,0),"open")</f>
        <v>ok</v>
      </c>
      <c r="C338" s="63" t="s">
        <v>369</v>
      </c>
      <c r="D338" t="s">
        <v>1683</v>
      </c>
      <c r="E338" t="s">
        <v>554</v>
      </c>
      <c r="F338" s="105" t="s">
        <v>554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1</v>
      </c>
      <c r="K338" s="60" t="str">
        <f>IF(Proc[[#This Row],[Author]]="Marcela Urrego",VLOOKUP(LEFT(Proc[[#This Row],[Requested]],1),Table3[#All],2,0),VLOOKUP(Proc[[#This Row],[Author]],Table4[],2,0))</f>
        <v>HC</v>
      </c>
      <c r="L338" s="60" t="s">
        <v>509</v>
      </c>
      <c r="M338" s="73">
        <v>45688.524016203701</v>
      </c>
      <c r="N338" s="73">
        <v>45691</v>
      </c>
      <c r="O338" s="73">
        <v>45691</v>
      </c>
      <c r="P338" s="69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9" t="s">
        <v>1013</v>
      </c>
      <c r="S338" s="60"/>
    </row>
    <row r="339" spans="1:19" hidden="1">
      <c r="A339" s="62" t="s">
        <v>1686</v>
      </c>
      <c r="B339" s="60" t="str">
        <f>IFERROR(VLOOKUP(Proc[[#This Row],[App]],Table2[],3,0),"open")</f>
        <v>ok</v>
      </c>
      <c r="C339" s="63" t="s">
        <v>369</v>
      </c>
      <c r="D339" t="s">
        <v>1684</v>
      </c>
      <c r="E339" t="s">
        <v>555</v>
      </c>
      <c r="F339" s="105" t="s">
        <v>555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1</v>
      </c>
      <c r="K339" s="60" t="str">
        <f>IF(Proc[[#This Row],[Author]]="Marcela Urrego",VLOOKUP(LEFT(Proc[[#This Row],[Requested]],1),Table3[#All],2,0),VLOOKUP(Proc[[#This Row],[Author]],Table4[],2,0))</f>
        <v>HC</v>
      </c>
      <c r="L339" s="60" t="s">
        <v>509</v>
      </c>
      <c r="M339" s="73">
        <v>45688.524016203701</v>
      </c>
      <c r="N339" s="73">
        <v>45691</v>
      </c>
      <c r="O339" s="73">
        <v>45691</v>
      </c>
      <c r="P339" s="69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9" t="s">
        <v>1013</v>
      </c>
      <c r="S339" s="60"/>
    </row>
    <row r="340" spans="1:19" hidden="1">
      <c r="A340" s="62" t="s">
        <v>1686</v>
      </c>
      <c r="B340" s="60" t="str">
        <f>IFERROR(VLOOKUP(Proc[[#This Row],[App]],Table2[],3,0),"open")</f>
        <v>ok</v>
      </c>
      <c r="C340" s="63" t="s">
        <v>369</v>
      </c>
      <c r="D340" t="s">
        <v>1685</v>
      </c>
      <c r="E340" t="s">
        <v>554</v>
      </c>
      <c r="F340" s="105" t="s">
        <v>554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1</v>
      </c>
      <c r="K340" s="60" t="str">
        <f>IF(Proc[[#This Row],[Author]]="Marcela Urrego",VLOOKUP(LEFT(Proc[[#This Row],[Requested]],1),Table3[#All],2,0),VLOOKUP(Proc[[#This Row],[Author]],Table4[],2,0))</f>
        <v>HC</v>
      </c>
      <c r="L340" s="60" t="s">
        <v>509</v>
      </c>
      <c r="M340" s="73">
        <v>45688.524016203701</v>
      </c>
      <c r="N340" s="73">
        <v>45691</v>
      </c>
      <c r="O340" s="73">
        <v>45691</v>
      </c>
      <c r="P340" s="69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9" t="s">
        <v>1013</v>
      </c>
      <c r="S340" s="60"/>
    </row>
    <row r="341" spans="1:19" hidden="1">
      <c r="A341" t="s">
        <v>1708</v>
      </c>
      <c r="B341" s="60" t="str">
        <f>IFERROR(VLOOKUP(Proc[[#This Row],[App]],Table2[],3,0),"open")</f>
        <v>ok</v>
      </c>
      <c r="C341" t="s">
        <v>369</v>
      </c>
      <c r="D341" t="s">
        <v>1709</v>
      </c>
      <c r="E341" t="s">
        <v>1715</v>
      </c>
      <c r="F341" s="105" t="s">
        <v>1715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1</v>
      </c>
      <c r="K341" s="60" t="str">
        <f>IF(Proc[[#This Row],[Author]]="Marcela Urrego",VLOOKUP(LEFT(Proc[[#This Row],[Requested]],1),Table3[#All],2,0),VLOOKUP(Proc[[#This Row],[Author]],Table4[],2,0))</f>
        <v>LS</v>
      </c>
      <c r="L341" s="60" t="s">
        <v>509</v>
      </c>
      <c r="M341" s="73">
        <v>45688.632743055554</v>
      </c>
      <c r="N341" s="73">
        <v>45692</v>
      </c>
      <c r="O341" s="73">
        <v>45692</v>
      </c>
      <c r="P341" s="69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9" t="s">
        <v>972</v>
      </c>
      <c r="S341" s="60"/>
    </row>
    <row r="342" spans="1:19" hidden="1">
      <c r="A342" t="s">
        <v>1708</v>
      </c>
      <c r="B342" s="60" t="str">
        <f>IFERROR(VLOOKUP(Proc[[#This Row],[App]],Table2[],3,0),"open")</f>
        <v>ok</v>
      </c>
      <c r="C342" s="62" t="s">
        <v>369</v>
      </c>
      <c r="D342" t="s">
        <v>1710</v>
      </c>
      <c r="E342" t="s">
        <v>1716</v>
      </c>
      <c r="F342" s="105" t="s">
        <v>1716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1</v>
      </c>
      <c r="K342" s="60" t="str">
        <f>IF(Proc[[#This Row],[Author]]="Marcela Urrego",VLOOKUP(LEFT(Proc[[#This Row],[Requested]],1),Table3[#All],2,0),VLOOKUP(Proc[[#This Row],[Author]],Table4[],2,0))</f>
        <v>LS</v>
      </c>
      <c r="L342" s="60" t="s">
        <v>509</v>
      </c>
      <c r="M342" s="73">
        <v>45688.632743055554</v>
      </c>
      <c r="N342" s="73">
        <v>45692</v>
      </c>
      <c r="O342" s="73">
        <v>45692</v>
      </c>
      <c r="P342" s="69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9" t="s">
        <v>972</v>
      </c>
      <c r="S342" s="60"/>
    </row>
    <row r="343" spans="1:19" hidden="1">
      <c r="A343" s="62" t="s">
        <v>1708</v>
      </c>
      <c r="B343" s="60" t="str">
        <f>IFERROR(VLOOKUP(Proc[[#This Row],[App]],Table2[],3,0),"open")</f>
        <v>ok</v>
      </c>
      <c r="C343" s="62" t="s">
        <v>369</v>
      </c>
      <c r="D343" t="s">
        <v>1711</v>
      </c>
      <c r="E343" t="s">
        <v>1236</v>
      </c>
      <c r="F343" s="105" t="s">
        <v>1236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1</v>
      </c>
      <c r="K343" s="60" t="str">
        <f>IF(Proc[[#This Row],[Author]]="Marcela Urrego",VLOOKUP(LEFT(Proc[[#This Row],[Requested]],1),Table3[#All],2,0),VLOOKUP(Proc[[#This Row],[Author]],Table4[],2,0))</f>
        <v>LS</v>
      </c>
      <c r="L343" s="60" t="s">
        <v>509</v>
      </c>
      <c r="M343" s="73">
        <v>45688.632743055554</v>
      </c>
      <c r="N343" s="73">
        <v>45692</v>
      </c>
      <c r="O343" s="73">
        <v>45692</v>
      </c>
      <c r="P343" s="69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9" t="s">
        <v>972</v>
      </c>
      <c r="S343" s="60"/>
    </row>
    <row r="344" spans="1:19" hidden="1">
      <c r="A344" s="62" t="s">
        <v>1708</v>
      </c>
      <c r="B344" s="60" t="str">
        <f>IFERROR(VLOOKUP(Proc[[#This Row],[App]],Table2[],3,0),"open")</f>
        <v>ok</v>
      </c>
      <c r="C344" s="62" t="s">
        <v>369</v>
      </c>
      <c r="D344" t="s">
        <v>1712</v>
      </c>
      <c r="E344" t="s">
        <v>525</v>
      </c>
      <c r="F344" s="105" t="s">
        <v>525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1</v>
      </c>
      <c r="K344" s="60" t="str">
        <f>IF(Proc[[#This Row],[Author]]="Marcela Urrego",VLOOKUP(LEFT(Proc[[#This Row],[Requested]],1),Table3[#All],2,0),VLOOKUP(Proc[[#This Row],[Author]],Table4[],2,0))</f>
        <v>LS</v>
      </c>
      <c r="L344" s="60" t="s">
        <v>509</v>
      </c>
      <c r="M344" s="73">
        <v>45688.632743055554</v>
      </c>
      <c r="N344" s="73">
        <v>45692</v>
      </c>
      <c r="O344" s="73">
        <v>45692</v>
      </c>
      <c r="P344" s="69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9" t="s">
        <v>972</v>
      </c>
      <c r="S344" s="60"/>
    </row>
    <row r="345" spans="1:19" hidden="1">
      <c r="A345" s="62" t="s">
        <v>1708</v>
      </c>
      <c r="B345" s="60" t="str">
        <f>IFERROR(VLOOKUP(Proc[[#This Row],[App]],Table2[],3,0),"open")</f>
        <v>ok</v>
      </c>
      <c r="C345" s="62" t="s">
        <v>369</v>
      </c>
      <c r="D345" t="s">
        <v>1713</v>
      </c>
      <c r="E345" t="s">
        <v>525</v>
      </c>
      <c r="F345" s="105" t="s">
        <v>525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1</v>
      </c>
      <c r="K345" s="60" t="str">
        <f>IF(Proc[[#This Row],[Author]]="Marcela Urrego",VLOOKUP(LEFT(Proc[[#This Row],[Requested]],1),Table3[#All],2,0),VLOOKUP(Proc[[#This Row],[Author]],Table4[],2,0))</f>
        <v>LS</v>
      </c>
      <c r="L345" s="60" t="s">
        <v>509</v>
      </c>
      <c r="M345" s="73">
        <v>45688.632743055554</v>
      </c>
      <c r="N345" s="73">
        <v>45692</v>
      </c>
      <c r="O345" s="73">
        <v>45692</v>
      </c>
      <c r="P345" s="69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9" t="s">
        <v>972</v>
      </c>
      <c r="S345" s="60"/>
    </row>
    <row r="346" spans="1:19" hidden="1">
      <c r="A346" t="s">
        <v>1708</v>
      </c>
      <c r="B346" s="60" t="str">
        <f>IFERROR(VLOOKUP(Proc[[#This Row],[App]],Table2[],3,0),"open")</f>
        <v>ok</v>
      </c>
      <c r="C346" s="62" t="s">
        <v>369</v>
      </c>
      <c r="D346" t="s">
        <v>1714</v>
      </c>
      <c r="E346" t="s">
        <v>773</v>
      </c>
      <c r="F346" s="105" t="s">
        <v>773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1</v>
      </c>
      <c r="K346" s="60" t="str">
        <f>IF(Proc[[#This Row],[Author]]="Marcela Urrego",VLOOKUP(LEFT(Proc[[#This Row],[Requested]],1),Table3[#All],2,0),VLOOKUP(Proc[[#This Row],[Author]],Table4[],2,0))</f>
        <v>LS</v>
      </c>
      <c r="L346" s="60" t="s">
        <v>509</v>
      </c>
      <c r="M346" s="73">
        <v>45688.632743055554</v>
      </c>
      <c r="N346" s="73">
        <v>45692</v>
      </c>
      <c r="O346" s="73">
        <v>45692</v>
      </c>
      <c r="P346" s="69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9" t="s">
        <v>972</v>
      </c>
      <c r="S346" s="60"/>
    </row>
    <row r="347" spans="1:19" hidden="1">
      <c r="A347" s="62" t="s">
        <v>1707</v>
      </c>
      <c r="B347" s="60" t="str">
        <f>IFERROR(VLOOKUP(Proc[[#This Row],[App]],Table2[],3,0),"open")</f>
        <v>ok</v>
      </c>
      <c r="C347" s="62" t="s">
        <v>369</v>
      </c>
      <c r="D347" t="s">
        <v>1694</v>
      </c>
      <c r="E347" t="s">
        <v>631</v>
      </c>
      <c r="F347" s="105" t="s">
        <v>631</v>
      </c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1</v>
      </c>
      <c r="K347" s="60" t="str">
        <f>IF(Proc[[#This Row],[Author]]="Marcela Urrego",VLOOKUP(LEFT(Proc[[#This Row],[Requested]],1),Table3[#All],2,0),VLOOKUP(Proc[[#This Row],[Author]],Table4[],2,0))</f>
        <v>MGF</v>
      </c>
      <c r="L347" s="60" t="s">
        <v>509</v>
      </c>
      <c r="M347" s="73">
        <v>45690.78837962963</v>
      </c>
      <c r="N347" s="73">
        <v>45692</v>
      </c>
      <c r="O347" s="73">
        <v>45692</v>
      </c>
      <c r="P347" s="69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9" t="s">
        <v>549</v>
      </c>
      <c r="S347" s="60"/>
    </row>
    <row r="348" spans="1:19" hidden="1">
      <c r="A348" s="62" t="s">
        <v>1707</v>
      </c>
      <c r="B348" s="60" t="str">
        <f>IFERROR(VLOOKUP(Proc[[#This Row],[App]],Table2[],3,0),"open")</f>
        <v>ok</v>
      </c>
      <c r="C348" s="62" t="s">
        <v>369</v>
      </c>
      <c r="D348" t="s">
        <v>1695</v>
      </c>
      <c r="E348" t="s">
        <v>631</v>
      </c>
      <c r="F348" s="105" t="s">
        <v>631</v>
      </c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1</v>
      </c>
      <c r="K348" s="60" t="str">
        <f>IF(Proc[[#This Row],[Author]]="Marcela Urrego",VLOOKUP(LEFT(Proc[[#This Row],[Requested]],1),Table3[#All],2,0),VLOOKUP(Proc[[#This Row],[Author]],Table4[],2,0))</f>
        <v>MGF</v>
      </c>
      <c r="L348" s="60" t="s">
        <v>509</v>
      </c>
      <c r="M348" s="73">
        <v>45690.78837962963</v>
      </c>
      <c r="N348" s="73">
        <v>45692</v>
      </c>
      <c r="O348" s="73">
        <v>45692</v>
      </c>
      <c r="P348" s="69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9" t="s">
        <v>549</v>
      </c>
      <c r="S348" s="60"/>
    </row>
    <row r="349" spans="1:19" hidden="1">
      <c r="A349" s="62" t="s">
        <v>1707</v>
      </c>
      <c r="B349" s="60" t="str">
        <f>IFERROR(VLOOKUP(Proc[[#This Row],[App]],Table2[],3,0),"open")</f>
        <v>ok</v>
      </c>
      <c r="C349" s="62" t="s">
        <v>369</v>
      </c>
      <c r="D349" t="s">
        <v>1696</v>
      </c>
      <c r="E349" t="s">
        <v>631</v>
      </c>
      <c r="F349" s="105" t="s">
        <v>631</v>
      </c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1</v>
      </c>
      <c r="K349" s="60" t="str">
        <f>IF(Proc[[#This Row],[Author]]="Marcela Urrego",VLOOKUP(LEFT(Proc[[#This Row],[Requested]],1),Table3[#All],2,0),VLOOKUP(Proc[[#This Row],[Author]],Table4[],2,0))</f>
        <v>MGF</v>
      </c>
      <c r="L349" s="60" t="s">
        <v>509</v>
      </c>
      <c r="M349" s="73">
        <v>45690.78837962963</v>
      </c>
      <c r="N349" s="73">
        <v>45692</v>
      </c>
      <c r="O349" s="73">
        <v>45692</v>
      </c>
      <c r="P349" s="69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9" t="s">
        <v>549</v>
      </c>
      <c r="S349" s="60"/>
    </row>
    <row r="350" spans="1:19" hidden="1">
      <c r="A350" s="62" t="s">
        <v>1707</v>
      </c>
      <c r="B350" s="60" t="str">
        <f>IFERROR(VLOOKUP(Proc[[#This Row],[App]],Table2[],3,0),"open")</f>
        <v>ok</v>
      </c>
      <c r="C350" s="62" t="s">
        <v>369</v>
      </c>
      <c r="D350" t="s">
        <v>1697</v>
      </c>
      <c r="E350" t="s">
        <v>631</v>
      </c>
      <c r="F350" s="105" t="s">
        <v>631</v>
      </c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1</v>
      </c>
      <c r="K350" s="60" t="str">
        <f>IF(Proc[[#This Row],[Author]]="Marcela Urrego",VLOOKUP(LEFT(Proc[[#This Row],[Requested]],1),Table3[#All],2,0),VLOOKUP(Proc[[#This Row],[Author]],Table4[],2,0))</f>
        <v>MGF</v>
      </c>
      <c r="L350" s="60" t="s">
        <v>509</v>
      </c>
      <c r="M350" s="73">
        <v>45690.78837962963</v>
      </c>
      <c r="N350" s="73">
        <v>45692</v>
      </c>
      <c r="O350" s="73">
        <v>45692</v>
      </c>
      <c r="P350" s="69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9" t="s">
        <v>549</v>
      </c>
      <c r="S350" s="60"/>
    </row>
    <row r="351" spans="1:19" hidden="1">
      <c r="A351" s="62" t="s">
        <v>1707</v>
      </c>
      <c r="B351" s="60" t="str">
        <f>IFERROR(VLOOKUP(Proc[[#This Row],[App]],Table2[],3,0),"open")</f>
        <v>ok</v>
      </c>
      <c r="C351" s="62" t="s">
        <v>369</v>
      </c>
      <c r="D351" t="s">
        <v>1698</v>
      </c>
      <c r="E351" t="s">
        <v>631</v>
      </c>
      <c r="F351" s="105" t="s">
        <v>631</v>
      </c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1</v>
      </c>
      <c r="K351" s="60" t="str">
        <f>IF(Proc[[#This Row],[Author]]="Marcela Urrego",VLOOKUP(LEFT(Proc[[#This Row],[Requested]],1),Table3[#All],2,0),VLOOKUP(Proc[[#This Row],[Author]],Table4[],2,0))</f>
        <v>MGF</v>
      </c>
      <c r="L351" s="60" t="s">
        <v>509</v>
      </c>
      <c r="M351" s="73">
        <v>45690.78837962963</v>
      </c>
      <c r="N351" s="73">
        <v>45692</v>
      </c>
      <c r="O351" s="73">
        <v>45692</v>
      </c>
      <c r="P351" s="69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9" t="s">
        <v>549</v>
      </c>
      <c r="S351" s="60"/>
    </row>
    <row r="352" spans="1:19" hidden="1">
      <c r="A352" s="62" t="s">
        <v>1707</v>
      </c>
      <c r="B352" s="60" t="str">
        <f>IFERROR(VLOOKUP(Proc[[#This Row],[App]],Table2[],3,0),"open")</f>
        <v>ok</v>
      </c>
      <c r="C352" s="62" t="s">
        <v>369</v>
      </c>
      <c r="D352" t="s">
        <v>1699</v>
      </c>
      <c r="E352" t="s">
        <v>631</v>
      </c>
      <c r="F352" s="105" t="s">
        <v>631</v>
      </c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1</v>
      </c>
      <c r="K352" s="60" t="str">
        <f>IF(Proc[[#This Row],[Author]]="Marcela Urrego",VLOOKUP(LEFT(Proc[[#This Row],[Requested]],1),Table3[#All],2,0),VLOOKUP(Proc[[#This Row],[Author]],Table4[],2,0))</f>
        <v>MGF</v>
      </c>
      <c r="L352" s="60" t="s">
        <v>509</v>
      </c>
      <c r="M352" s="73">
        <v>45690.78837962963</v>
      </c>
      <c r="N352" s="73">
        <v>45692</v>
      </c>
      <c r="O352" s="73">
        <v>45692</v>
      </c>
      <c r="P352" s="69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9" t="s">
        <v>549</v>
      </c>
      <c r="S352" s="60"/>
    </row>
    <row r="353" spans="1:19" hidden="1">
      <c r="A353" s="62" t="s">
        <v>1707</v>
      </c>
      <c r="B353" s="60" t="str">
        <f>IFERROR(VLOOKUP(Proc[[#This Row],[App]],Table2[],3,0),"open")</f>
        <v>ok</v>
      </c>
      <c r="C353" s="62" t="s">
        <v>369</v>
      </c>
      <c r="D353" t="s">
        <v>1700</v>
      </c>
      <c r="E353" t="s">
        <v>631</v>
      </c>
      <c r="F353" s="105" t="s">
        <v>631</v>
      </c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1</v>
      </c>
      <c r="K353" s="60" t="str">
        <f>IF(Proc[[#This Row],[Author]]="Marcela Urrego",VLOOKUP(LEFT(Proc[[#This Row],[Requested]],1),Table3[#All],2,0),VLOOKUP(Proc[[#This Row],[Author]],Table4[],2,0))</f>
        <v>MGF</v>
      </c>
      <c r="L353" s="60" t="s">
        <v>509</v>
      </c>
      <c r="M353" s="73">
        <v>45690.78837962963</v>
      </c>
      <c r="N353" s="73">
        <v>45692</v>
      </c>
      <c r="O353" s="73">
        <v>45692</v>
      </c>
      <c r="P353" s="69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9" t="s">
        <v>549</v>
      </c>
      <c r="S353" s="60"/>
    </row>
    <row r="354" spans="1:19" hidden="1">
      <c r="A354" s="62" t="s">
        <v>1707</v>
      </c>
      <c r="B354" s="60" t="str">
        <f>IFERROR(VLOOKUP(Proc[[#This Row],[App]],Table2[],3,0),"open")</f>
        <v>ok</v>
      </c>
      <c r="C354" s="62" t="s">
        <v>369</v>
      </c>
      <c r="D354" t="s">
        <v>1701</v>
      </c>
      <c r="E354" t="s">
        <v>631</v>
      </c>
      <c r="F354" s="105" t="s">
        <v>631</v>
      </c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1</v>
      </c>
      <c r="K354" s="60" t="str">
        <f>IF(Proc[[#This Row],[Author]]="Marcela Urrego",VLOOKUP(LEFT(Proc[[#This Row],[Requested]],1),Table3[#All],2,0),VLOOKUP(Proc[[#This Row],[Author]],Table4[],2,0))</f>
        <v>MGF</v>
      </c>
      <c r="L354" s="60" t="s">
        <v>509</v>
      </c>
      <c r="M354" s="73">
        <v>45690.78837962963</v>
      </c>
      <c r="N354" s="73">
        <v>45692</v>
      </c>
      <c r="O354" s="73">
        <v>45692</v>
      </c>
      <c r="P354" s="69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9" t="s">
        <v>549</v>
      </c>
      <c r="S354" s="60"/>
    </row>
    <row r="355" spans="1:19" hidden="1">
      <c r="A355" s="62" t="s">
        <v>1707</v>
      </c>
      <c r="B355" s="60" t="str">
        <f>IFERROR(VLOOKUP(Proc[[#This Row],[App]],Table2[],3,0),"open")</f>
        <v>ok</v>
      </c>
      <c r="C355" s="62" t="s">
        <v>369</v>
      </c>
      <c r="D355" t="s">
        <v>1702</v>
      </c>
      <c r="E355" t="s">
        <v>631</v>
      </c>
      <c r="F355" s="105" t="s">
        <v>631</v>
      </c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1</v>
      </c>
      <c r="K355" s="60" t="str">
        <f>IF(Proc[[#This Row],[Author]]="Marcela Urrego",VLOOKUP(LEFT(Proc[[#This Row],[Requested]],1),Table3[#All],2,0),VLOOKUP(Proc[[#This Row],[Author]],Table4[],2,0))</f>
        <v>MGF</v>
      </c>
      <c r="L355" s="60" t="s">
        <v>509</v>
      </c>
      <c r="M355" s="73">
        <v>45690.78837962963</v>
      </c>
      <c r="N355" s="73">
        <v>45692</v>
      </c>
      <c r="O355" s="73">
        <v>45692</v>
      </c>
      <c r="P355" s="69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9" t="s">
        <v>549</v>
      </c>
      <c r="S355" s="60"/>
    </row>
    <row r="356" spans="1:19" hidden="1">
      <c r="A356" s="62" t="s">
        <v>1707</v>
      </c>
      <c r="B356" s="60" t="str">
        <f>IFERROR(VLOOKUP(Proc[[#This Row],[App]],Table2[],3,0),"open")</f>
        <v>ok</v>
      </c>
      <c r="C356" t="s">
        <v>369</v>
      </c>
      <c r="D356" t="s">
        <v>1703</v>
      </c>
      <c r="E356" t="s">
        <v>631</v>
      </c>
      <c r="F356" s="105" t="s">
        <v>631</v>
      </c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1</v>
      </c>
      <c r="K356" s="60" t="str">
        <f>IF(Proc[[#This Row],[Author]]="Marcela Urrego",VLOOKUP(LEFT(Proc[[#This Row],[Requested]],1),Table3[#All],2,0),VLOOKUP(Proc[[#This Row],[Author]],Table4[],2,0))</f>
        <v>MGF</v>
      </c>
      <c r="L356" s="60" t="s">
        <v>509</v>
      </c>
      <c r="M356" s="73">
        <v>45690.78837962963</v>
      </c>
      <c r="N356" s="73">
        <v>45692</v>
      </c>
      <c r="O356" s="73">
        <v>45692</v>
      </c>
      <c r="P356" s="69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9" t="s">
        <v>549</v>
      </c>
      <c r="S356" s="60"/>
    </row>
    <row r="357" spans="1:19" hidden="1">
      <c r="A357" s="62" t="s">
        <v>1707</v>
      </c>
      <c r="B357" s="60" t="str">
        <f>IFERROR(VLOOKUP(Proc[[#This Row],[App]],Table2[],3,0),"open")</f>
        <v>ok</v>
      </c>
      <c r="C357" t="s">
        <v>377</v>
      </c>
      <c r="D357" t="s">
        <v>1704</v>
      </c>
      <c r="E357" t="s">
        <v>631</v>
      </c>
      <c r="F357" s="105" t="s">
        <v>631</v>
      </c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1</v>
      </c>
      <c r="K357" s="60" t="str">
        <f>IF(Proc[[#This Row],[Author]]="Marcela Urrego",VLOOKUP(LEFT(Proc[[#This Row],[Requested]],1),Table3[#All],2,0),VLOOKUP(Proc[[#This Row],[Author]],Table4[],2,0))</f>
        <v>MGF</v>
      </c>
      <c r="L357" s="60" t="s">
        <v>509</v>
      </c>
      <c r="M357" s="73">
        <v>45690.78837962963</v>
      </c>
      <c r="N357" s="73">
        <v>45692</v>
      </c>
      <c r="O357" s="73">
        <v>45692</v>
      </c>
      <c r="P357" s="69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9" t="s">
        <v>549</v>
      </c>
      <c r="S357" s="60"/>
    </row>
    <row r="358" spans="1:19" hidden="1">
      <c r="A358" s="62" t="s">
        <v>1707</v>
      </c>
      <c r="B358" s="60" t="str">
        <f>IFERROR(VLOOKUP(Proc[[#This Row],[App]],Table2[],3,0),"open")</f>
        <v>ok</v>
      </c>
      <c r="C358" s="62" t="s">
        <v>369</v>
      </c>
      <c r="D358" t="s">
        <v>1705</v>
      </c>
      <c r="E358" t="s">
        <v>631</v>
      </c>
      <c r="F358" s="105" t="s">
        <v>631</v>
      </c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1</v>
      </c>
      <c r="K358" s="60" t="str">
        <f>IF(Proc[[#This Row],[Author]]="Marcela Urrego",VLOOKUP(LEFT(Proc[[#This Row],[Requested]],1),Table3[#All],2,0),VLOOKUP(Proc[[#This Row],[Author]],Table4[],2,0))</f>
        <v>MGF</v>
      </c>
      <c r="L358" s="60" t="s">
        <v>509</v>
      </c>
      <c r="M358" s="73">
        <v>45690.78837962963</v>
      </c>
      <c r="N358" s="73">
        <v>45692</v>
      </c>
      <c r="O358" s="73">
        <v>45692</v>
      </c>
      <c r="P358" s="69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9" t="s">
        <v>549</v>
      </c>
      <c r="S358" s="60"/>
    </row>
    <row r="359" spans="1:19" hidden="1">
      <c r="A359" t="s">
        <v>1707</v>
      </c>
      <c r="B359" s="60" t="str">
        <f>IFERROR(VLOOKUP(Proc[[#This Row],[App]],Table2[],3,0),"open")</f>
        <v>ok</v>
      </c>
      <c r="C359" s="62" t="s">
        <v>369</v>
      </c>
      <c r="D359" t="s">
        <v>1706</v>
      </c>
      <c r="E359" t="s">
        <v>631</v>
      </c>
      <c r="F359" s="105" t="s">
        <v>631</v>
      </c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1</v>
      </c>
      <c r="K359" s="60" t="str">
        <f>IF(Proc[[#This Row],[Author]]="Marcela Urrego",VLOOKUP(LEFT(Proc[[#This Row],[Requested]],1),Table3[#All],2,0),VLOOKUP(Proc[[#This Row],[Author]],Table4[],2,0))</f>
        <v>MGF</v>
      </c>
      <c r="L359" s="60" t="s">
        <v>509</v>
      </c>
      <c r="M359" s="73">
        <v>45690.78837962963</v>
      </c>
      <c r="N359" s="73">
        <v>45692</v>
      </c>
      <c r="O359" s="73">
        <v>45692</v>
      </c>
      <c r="P359" s="69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9" t="s">
        <v>549</v>
      </c>
      <c r="S359" s="60"/>
    </row>
    <row r="360" spans="1:19" hidden="1">
      <c r="A360" s="62" t="s">
        <v>1689</v>
      </c>
      <c r="B360" s="60" t="str">
        <f>IFERROR(VLOOKUP(Proc[[#This Row],[App]],Table2[],3,0),"open")</f>
        <v>ok</v>
      </c>
      <c r="C360" s="62" t="s">
        <v>369</v>
      </c>
      <c r="D360" t="s">
        <v>1690</v>
      </c>
      <c r="E360" t="s">
        <v>1233</v>
      </c>
      <c r="F360" s="105" t="s">
        <v>1233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1</v>
      </c>
      <c r="K360" s="60" t="str">
        <f>IF(Proc[[#This Row],[Author]]="Marcela Urrego",VLOOKUP(LEFT(Proc[[#This Row],[Requested]],1),Table3[#All],2,0),VLOOKUP(Proc[[#This Row],[Author]],Table4[],2,0))</f>
        <v>LS</v>
      </c>
      <c r="L360" s="60" t="s">
        <v>509</v>
      </c>
      <c r="M360" s="73">
        <v>45691.34474537037</v>
      </c>
      <c r="N360" s="73">
        <v>45692</v>
      </c>
      <c r="O360" s="73">
        <v>45692</v>
      </c>
      <c r="P360" s="69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9" t="s">
        <v>972</v>
      </c>
      <c r="S360" s="60"/>
    </row>
    <row r="361" spans="1:19" hidden="1">
      <c r="A361" s="62" t="s">
        <v>1689</v>
      </c>
      <c r="B361" s="60" t="str">
        <f>IFERROR(VLOOKUP(Proc[[#This Row],[App]],Table2[],3,0),"open")</f>
        <v>ok</v>
      </c>
      <c r="C361" s="62" t="s">
        <v>369</v>
      </c>
      <c r="D361" t="s">
        <v>1691</v>
      </c>
      <c r="E361" t="s">
        <v>1234</v>
      </c>
      <c r="F361" s="105" t="s">
        <v>1234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1</v>
      </c>
      <c r="K361" s="60" t="str">
        <f>IF(Proc[[#This Row],[Author]]="Marcela Urrego",VLOOKUP(LEFT(Proc[[#This Row],[Requested]],1),Table3[#All],2,0),VLOOKUP(Proc[[#This Row],[Author]],Table4[],2,0))</f>
        <v>LS</v>
      </c>
      <c r="L361" s="60" t="s">
        <v>509</v>
      </c>
      <c r="M361" s="73">
        <v>45691.34474537037</v>
      </c>
      <c r="N361" s="73">
        <v>45692</v>
      </c>
      <c r="O361" s="73">
        <v>45692</v>
      </c>
      <c r="P361" s="69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9" t="s">
        <v>972</v>
      </c>
      <c r="S361" s="60"/>
    </row>
    <row r="362" spans="1:19" hidden="1">
      <c r="A362" s="62" t="s">
        <v>1689</v>
      </c>
      <c r="B362" s="60" t="str">
        <f>IFERROR(VLOOKUP(Proc[[#This Row],[App]],Table2[],3,0),"open")</f>
        <v>ok</v>
      </c>
      <c r="C362" s="62" t="s">
        <v>369</v>
      </c>
      <c r="D362" t="s">
        <v>1692</v>
      </c>
      <c r="E362" t="s">
        <v>1235</v>
      </c>
      <c r="F362" s="105" t="s">
        <v>1235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1</v>
      </c>
      <c r="K362" s="60" t="str">
        <f>IF(Proc[[#This Row],[Author]]="Marcela Urrego",VLOOKUP(LEFT(Proc[[#This Row],[Requested]],1),Table3[#All],2,0),VLOOKUP(Proc[[#This Row],[Author]],Table4[],2,0))</f>
        <v>LS</v>
      </c>
      <c r="L362" s="60" t="s">
        <v>509</v>
      </c>
      <c r="M362" s="73">
        <v>45691.34474537037</v>
      </c>
      <c r="N362" s="73">
        <v>45692</v>
      </c>
      <c r="O362" s="73">
        <v>45692</v>
      </c>
      <c r="P362" s="69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9" t="s">
        <v>972</v>
      </c>
      <c r="S362" s="60"/>
    </row>
    <row r="363" spans="1:19" hidden="1">
      <c r="A363" s="62" t="s">
        <v>1689</v>
      </c>
      <c r="B363" s="60" t="str">
        <f>IFERROR(VLOOKUP(Proc[[#This Row],[App]],Table2[],3,0),"open")</f>
        <v>ok</v>
      </c>
      <c r="C363" s="62" t="s">
        <v>369</v>
      </c>
      <c r="D363" t="s">
        <v>1693</v>
      </c>
      <c r="E363" t="s">
        <v>1235</v>
      </c>
      <c r="F363" s="105" t="s">
        <v>1235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1</v>
      </c>
      <c r="K363" s="60" t="str">
        <f>IF(Proc[[#This Row],[Author]]="Marcela Urrego",VLOOKUP(LEFT(Proc[[#This Row],[Requested]],1),Table3[#All],2,0),VLOOKUP(Proc[[#This Row],[Author]],Table4[],2,0))</f>
        <v>LS</v>
      </c>
      <c r="L363" s="60" t="s">
        <v>509</v>
      </c>
      <c r="M363" s="73">
        <v>45691.34474537037</v>
      </c>
      <c r="N363" s="73">
        <v>45692</v>
      </c>
      <c r="O363" s="73">
        <v>45692</v>
      </c>
      <c r="P363" s="69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9" t="s">
        <v>972</v>
      </c>
      <c r="S363" s="60"/>
    </row>
    <row r="364" spans="1:19" hidden="1">
      <c r="A364" s="62" t="s">
        <v>1687</v>
      </c>
      <c r="B364" s="60" t="str">
        <f>IFERROR(VLOOKUP(Proc[[#This Row],[App]],Table2[],3,0),"open")</f>
        <v>ok</v>
      </c>
      <c r="C364" s="62" t="s">
        <v>369</v>
      </c>
      <c r="D364" t="s">
        <v>1688</v>
      </c>
      <c r="E364" t="s">
        <v>631</v>
      </c>
      <c r="F364" s="105" t="s">
        <v>631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1</v>
      </c>
      <c r="K364" s="60" t="str">
        <f>IF(Proc[[#This Row],[Author]]="Marcela Urrego",VLOOKUP(LEFT(Proc[[#This Row],[Requested]],1),Table3[#All],2,0),VLOOKUP(Proc[[#This Row],[Author]],Table4[],2,0))</f>
        <v>MGF</v>
      </c>
      <c r="L364" s="60" t="s">
        <v>509</v>
      </c>
      <c r="M364" s="73">
        <v>45691.389618055553</v>
      </c>
      <c r="N364" s="73">
        <v>45692</v>
      </c>
      <c r="O364" s="73">
        <v>45692</v>
      </c>
      <c r="P364" s="69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9" t="s">
        <v>549</v>
      </c>
      <c r="S364" s="60"/>
    </row>
    <row r="365" spans="1:19" hidden="1">
      <c r="A365" t="s">
        <v>1720</v>
      </c>
      <c r="B365" s="60" t="str">
        <f>IFERROR(VLOOKUP(Proc[[#This Row],[App]],Table2[],3,0),"open")</f>
        <v>ok</v>
      </c>
      <c r="C365" t="s">
        <v>369</v>
      </c>
      <c r="D365" t="s">
        <v>1719</v>
      </c>
      <c r="E365" t="s">
        <v>476</v>
      </c>
      <c r="F365" s="105" t="s">
        <v>476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1</v>
      </c>
      <c r="K365" s="60" t="str">
        <f>IF(Proc[[#This Row],[Author]]="Marcela Urrego",VLOOKUP(LEFT(Proc[[#This Row],[Requested]],1),Table3[#All],2,0),VLOOKUP(Proc[[#This Row],[Author]],Table4[],2,0))</f>
        <v>MGF</v>
      </c>
      <c r="L365" s="60" t="s">
        <v>509</v>
      </c>
      <c r="M365" s="73">
        <v>45691.550567129627</v>
      </c>
      <c r="N365" s="73">
        <v>45693</v>
      </c>
      <c r="O365" s="73">
        <v>45693</v>
      </c>
      <c r="P365" s="69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9" t="s">
        <v>515</v>
      </c>
      <c r="S365" s="60"/>
    </row>
    <row r="366" spans="1:19" hidden="1">
      <c r="A366" s="62" t="s">
        <v>1717</v>
      </c>
      <c r="B366" s="60" t="str">
        <f>IFERROR(VLOOKUP(Proc[[#This Row],[App]],Table2[],3,0),"open")</f>
        <v>ok</v>
      </c>
      <c r="C366" s="62" t="s">
        <v>369</v>
      </c>
      <c r="D366" t="s">
        <v>445</v>
      </c>
      <c r="E366" t="s">
        <v>1232</v>
      </c>
      <c r="F366" s="105" t="s">
        <v>1232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1</v>
      </c>
      <c r="K366" s="60" t="str">
        <f>IF(Proc[[#This Row],[Author]]="Marcela Urrego",VLOOKUP(LEFT(Proc[[#This Row],[Requested]],1),Table3[#All],2,0),VLOOKUP(Proc[[#This Row],[Author]],Table4[],2,0))</f>
        <v>MGF</v>
      </c>
      <c r="L366" s="60" t="s">
        <v>509</v>
      </c>
      <c r="M366" s="73">
        <v>45691.694965277777</v>
      </c>
      <c r="N366" s="73">
        <v>45712</v>
      </c>
      <c r="O366" s="73">
        <v>45712</v>
      </c>
      <c r="P366" s="69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9" t="s">
        <v>1459</v>
      </c>
      <c r="S366" s="60"/>
    </row>
    <row r="367" spans="1:19" hidden="1">
      <c r="A367" s="62" t="s">
        <v>1717</v>
      </c>
      <c r="B367" s="60" t="str">
        <f>IFERROR(VLOOKUP(Proc[[#This Row],[App]],Table2[],3,0),"open")</f>
        <v>ok</v>
      </c>
      <c r="C367" s="62" t="s">
        <v>369</v>
      </c>
      <c r="D367" t="s">
        <v>660</v>
      </c>
      <c r="E367" t="s">
        <v>759</v>
      </c>
      <c r="F367" s="105" t="s">
        <v>759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1</v>
      </c>
      <c r="K367" s="60" t="str">
        <f>IF(Proc[[#This Row],[Author]]="Marcela Urrego",VLOOKUP(LEFT(Proc[[#This Row],[Requested]],1),Table3[#All],2,0),VLOOKUP(Proc[[#This Row],[Author]],Table4[],2,0))</f>
        <v>MGF</v>
      </c>
      <c r="L367" s="60" t="s">
        <v>509</v>
      </c>
      <c r="M367" s="73">
        <v>45691.694965277777</v>
      </c>
      <c r="N367" s="73">
        <v>45712</v>
      </c>
      <c r="O367" s="73">
        <v>45712</v>
      </c>
      <c r="P367" s="69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9" t="s">
        <v>1459</v>
      </c>
      <c r="S367" s="60"/>
    </row>
    <row r="368" spans="1:19" hidden="1">
      <c r="A368" s="62" t="s">
        <v>1717</v>
      </c>
      <c r="B368" s="60" t="str">
        <f>IFERROR(VLOOKUP(Proc[[#This Row],[App]],Table2[],3,0),"open")</f>
        <v>ok</v>
      </c>
      <c r="C368" s="62" t="s">
        <v>369</v>
      </c>
      <c r="D368" t="s">
        <v>432</v>
      </c>
      <c r="E368" t="s">
        <v>1232</v>
      </c>
      <c r="F368" s="105" t="s">
        <v>1232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1</v>
      </c>
      <c r="K368" s="60" t="str">
        <f>IF(Proc[[#This Row],[Author]]="Marcela Urrego",VLOOKUP(LEFT(Proc[[#This Row],[Requested]],1),Table3[#All],2,0),VLOOKUP(Proc[[#This Row],[Author]],Table4[],2,0))</f>
        <v>MGF</v>
      </c>
      <c r="L368" s="60" t="s">
        <v>509</v>
      </c>
      <c r="M368" s="73">
        <v>45691.694965277777</v>
      </c>
      <c r="N368" s="73">
        <v>45712</v>
      </c>
      <c r="O368" s="73">
        <v>45712</v>
      </c>
      <c r="P368" s="69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9" t="s">
        <v>1459</v>
      </c>
      <c r="S368" s="60"/>
    </row>
    <row r="369" spans="1:19" hidden="1">
      <c r="A369" s="62" t="s">
        <v>1717</v>
      </c>
      <c r="B369" s="60" t="str">
        <f>IFERROR(VLOOKUP(Proc[[#This Row],[App]],Table2[],3,0),"open")</f>
        <v>ok</v>
      </c>
      <c r="C369" s="62" t="s">
        <v>369</v>
      </c>
      <c r="D369" t="s">
        <v>431</v>
      </c>
      <c r="E369" t="s">
        <v>1232</v>
      </c>
      <c r="F369" s="105" t="s">
        <v>1232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1</v>
      </c>
      <c r="K369" s="60" t="str">
        <f>IF(Proc[[#This Row],[Author]]="Marcela Urrego",VLOOKUP(LEFT(Proc[[#This Row],[Requested]],1),Table3[#All],2,0),VLOOKUP(Proc[[#This Row],[Author]],Table4[],2,0))</f>
        <v>MGF</v>
      </c>
      <c r="L369" s="60" t="s">
        <v>509</v>
      </c>
      <c r="M369" s="73">
        <v>45691.694965277777</v>
      </c>
      <c r="N369" s="73">
        <v>45712</v>
      </c>
      <c r="O369" s="73">
        <v>45712</v>
      </c>
      <c r="P369" s="69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9" t="s">
        <v>1459</v>
      </c>
      <c r="S369" s="60"/>
    </row>
    <row r="370" spans="1:19" hidden="1">
      <c r="A370" s="62" t="s">
        <v>1717</v>
      </c>
      <c r="B370" s="60" t="str">
        <f>IFERROR(VLOOKUP(Proc[[#This Row],[App]],Table2[],3,0),"open")</f>
        <v>ok</v>
      </c>
      <c r="C370" s="62" t="s">
        <v>369</v>
      </c>
      <c r="D370" t="s">
        <v>428</v>
      </c>
      <c r="E370" t="s">
        <v>1232</v>
      </c>
      <c r="F370" s="105" t="s">
        <v>1232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1</v>
      </c>
      <c r="K370" s="60" t="str">
        <f>IF(Proc[[#This Row],[Author]]="Marcela Urrego",VLOOKUP(LEFT(Proc[[#This Row],[Requested]],1),Table3[#All],2,0),VLOOKUP(Proc[[#This Row],[Author]],Table4[],2,0))</f>
        <v>MGF</v>
      </c>
      <c r="L370" s="60" t="s">
        <v>509</v>
      </c>
      <c r="M370" s="73">
        <v>45691.694965277777</v>
      </c>
      <c r="N370" s="73">
        <v>45712</v>
      </c>
      <c r="O370" s="73">
        <v>45712</v>
      </c>
      <c r="P370" s="69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9" t="s">
        <v>1459</v>
      </c>
      <c r="S370" s="60"/>
    </row>
    <row r="371" spans="1:19" hidden="1">
      <c r="A371" s="62" t="s">
        <v>1717</v>
      </c>
      <c r="B371" s="60" t="str">
        <f>IFERROR(VLOOKUP(Proc[[#This Row],[App]],Table2[],3,0),"open")</f>
        <v>ok</v>
      </c>
      <c r="C371" s="62" t="s">
        <v>369</v>
      </c>
      <c r="D371" t="s">
        <v>444</v>
      </c>
      <c r="E371" t="s">
        <v>1232</v>
      </c>
      <c r="F371" s="105" t="s">
        <v>1232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1</v>
      </c>
      <c r="K371" s="60" t="str">
        <f>IF(Proc[[#This Row],[Author]]="Marcela Urrego",VLOOKUP(LEFT(Proc[[#This Row],[Requested]],1),Table3[#All],2,0),VLOOKUP(Proc[[#This Row],[Author]],Table4[],2,0))</f>
        <v>MGF</v>
      </c>
      <c r="L371" s="60" t="s">
        <v>509</v>
      </c>
      <c r="M371" s="73">
        <v>45691.694965277777</v>
      </c>
      <c r="N371" s="73">
        <v>45712</v>
      </c>
      <c r="O371" s="73">
        <v>45712</v>
      </c>
      <c r="P371" s="69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9" t="s">
        <v>1459</v>
      </c>
      <c r="S371" s="60"/>
    </row>
    <row r="372" spans="1:19" hidden="1">
      <c r="A372" s="62" t="s">
        <v>1717</v>
      </c>
      <c r="B372" s="60" t="str">
        <f>IFERROR(VLOOKUP(Proc[[#This Row],[App]],Table2[],3,0),"open")</f>
        <v>ok</v>
      </c>
      <c r="C372" s="62" t="s">
        <v>369</v>
      </c>
      <c r="D372" t="s">
        <v>440</v>
      </c>
      <c r="E372" t="s">
        <v>1232</v>
      </c>
      <c r="F372" s="105" t="s">
        <v>1232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1</v>
      </c>
      <c r="K372" s="60" t="str">
        <f>IF(Proc[[#This Row],[Author]]="Marcela Urrego",VLOOKUP(LEFT(Proc[[#This Row],[Requested]],1),Table3[#All],2,0),VLOOKUP(Proc[[#This Row],[Author]],Table4[],2,0))</f>
        <v>MGF</v>
      </c>
      <c r="L372" s="60" t="s">
        <v>509</v>
      </c>
      <c r="M372" s="73">
        <v>45691.694965277777</v>
      </c>
      <c r="N372" s="73">
        <v>45712</v>
      </c>
      <c r="O372" s="73">
        <v>45712</v>
      </c>
      <c r="P372" s="69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9" t="s">
        <v>1459</v>
      </c>
      <c r="S372" s="60"/>
    </row>
    <row r="373" spans="1:19" hidden="1">
      <c r="A373" s="62" t="s">
        <v>1717</v>
      </c>
      <c r="B373" s="60" t="str">
        <f>IFERROR(VLOOKUP(Proc[[#This Row],[App]],Table2[],3,0),"open")</f>
        <v>ok</v>
      </c>
      <c r="C373" s="62" t="s">
        <v>369</v>
      </c>
      <c r="D373" t="s">
        <v>442</v>
      </c>
      <c r="E373" t="s">
        <v>1232</v>
      </c>
      <c r="F373" s="105" t="s">
        <v>1232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1</v>
      </c>
      <c r="K373" s="60" t="str">
        <f>IF(Proc[[#This Row],[Author]]="Marcela Urrego",VLOOKUP(LEFT(Proc[[#This Row],[Requested]],1),Table3[#All],2,0),VLOOKUP(Proc[[#This Row],[Author]],Table4[],2,0))</f>
        <v>MGF</v>
      </c>
      <c r="L373" s="60" t="s">
        <v>509</v>
      </c>
      <c r="M373" s="73">
        <v>45691.694965277777</v>
      </c>
      <c r="N373" s="73">
        <v>45712</v>
      </c>
      <c r="O373" s="73">
        <v>45712</v>
      </c>
      <c r="P373" s="69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9" t="s">
        <v>1459</v>
      </c>
      <c r="S373" s="60"/>
    </row>
    <row r="374" spans="1:19" hidden="1">
      <c r="A374" s="62" t="s">
        <v>1717</v>
      </c>
      <c r="B374" s="60" t="str">
        <f>IFERROR(VLOOKUP(Proc[[#This Row],[App]],Table2[],3,0),"open")</f>
        <v>ok</v>
      </c>
      <c r="C374" s="62" t="s">
        <v>369</v>
      </c>
      <c r="D374" t="s">
        <v>441</v>
      </c>
      <c r="E374" t="s">
        <v>1232</v>
      </c>
      <c r="F374" s="105" t="s">
        <v>1232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1</v>
      </c>
      <c r="K374" s="60" t="str">
        <f>IF(Proc[[#This Row],[Author]]="Marcela Urrego",VLOOKUP(LEFT(Proc[[#This Row],[Requested]],1),Table3[#All],2,0),VLOOKUP(Proc[[#This Row],[Author]],Table4[],2,0))</f>
        <v>MGF</v>
      </c>
      <c r="L374" s="60" t="s">
        <v>509</v>
      </c>
      <c r="M374" s="73">
        <v>45691.694965277777</v>
      </c>
      <c r="N374" s="73">
        <v>45712</v>
      </c>
      <c r="O374" s="73">
        <v>45712</v>
      </c>
      <c r="P374" s="69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9" t="s">
        <v>1459</v>
      </c>
      <c r="S374" s="60"/>
    </row>
    <row r="375" spans="1:19" hidden="1">
      <c r="A375" s="62" t="s">
        <v>1717</v>
      </c>
      <c r="B375" s="60" t="str">
        <f>IFERROR(VLOOKUP(Proc[[#This Row],[App]],Table2[],3,0),"open")</f>
        <v>ok</v>
      </c>
      <c r="C375" s="62" t="s">
        <v>369</v>
      </c>
      <c r="D375" t="s">
        <v>437</v>
      </c>
      <c r="E375" t="s">
        <v>1232</v>
      </c>
      <c r="F375" s="105" t="s">
        <v>1232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1</v>
      </c>
      <c r="K375" s="60" t="str">
        <f>IF(Proc[[#This Row],[Author]]="Marcela Urrego",VLOOKUP(LEFT(Proc[[#This Row],[Requested]],1),Table3[#All],2,0),VLOOKUP(Proc[[#This Row],[Author]],Table4[],2,0))</f>
        <v>MGF</v>
      </c>
      <c r="L375" s="60" t="s">
        <v>509</v>
      </c>
      <c r="M375" s="73">
        <v>45691.694965277777</v>
      </c>
      <c r="N375" s="73">
        <v>45712</v>
      </c>
      <c r="O375" s="73">
        <v>45712</v>
      </c>
      <c r="P375" s="69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9" t="s">
        <v>1459</v>
      </c>
      <c r="S375" s="60"/>
    </row>
    <row r="376" spans="1:19" hidden="1">
      <c r="A376" s="62" t="s">
        <v>1717</v>
      </c>
      <c r="B376" s="60" t="str">
        <f>IFERROR(VLOOKUP(Proc[[#This Row],[App]],Table2[],3,0),"open")</f>
        <v>ok</v>
      </c>
      <c r="C376" s="62" t="s">
        <v>369</v>
      </c>
      <c r="D376" t="s">
        <v>439</v>
      </c>
      <c r="E376" t="s">
        <v>1232</v>
      </c>
      <c r="F376" s="105" t="s">
        <v>1232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1</v>
      </c>
      <c r="K376" s="60" t="str">
        <f>IF(Proc[[#This Row],[Author]]="Marcela Urrego",VLOOKUP(LEFT(Proc[[#This Row],[Requested]],1),Table3[#All],2,0),VLOOKUP(Proc[[#This Row],[Author]],Table4[],2,0))</f>
        <v>MGF</v>
      </c>
      <c r="L376" s="60" t="s">
        <v>509</v>
      </c>
      <c r="M376" s="73">
        <v>45691.694965277777</v>
      </c>
      <c r="N376" s="73">
        <v>45712</v>
      </c>
      <c r="O376" s="73">
        <v>45712</v>
      </c>
      <c r="P376" s="69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9" t="s">
        <v>1459</v>
      </c>
      <c r="S376" s="60"/>
    </row>
    <row r="377" spans="1:19" hidden="1">
      <c r="A377" s="62" t="s">
        <v>1717</v>
      </c>
      <c r="B377" s="60" t="str">
        <f>IFERROR(VLOOKUP(Proc[[#This Row],[App]],Table2[],3,0),"open")</f>
        <v>ok</v>
      </c>
      <c r="C377" s="62" t="s">
        <v>369</v>
      </c>
      <c r="D377" t="s">
        <v>1718</v>
      </c>
      <c r="E377" t="s">
        <v>1232</v>
      </c>
      <c r="F377" s="105" t="s">
        <v>1232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1</v>
      </c>
      <c r="K377" s="60" t="str">
        <f>IF(Proc[[#This Row],[Author]]="Marcela Urrego",VLOOKUP(LEFT(Proc[[#This Row],[Requested]],1),Table3[#All],2,0),VLOOKUP(Proc[[#This Row],[Author]],Table4[],2,0))</f>
        <v>MGF</v>
      </c>
      <c r="L377" s="60" t="s">
        <v>509</v>
      </c>
      <c r="M377" s="73">
        <v>45691.694965277777</v>
      </c>
      <c r="N377" s="73">
        <v>45712</v>
      </c>
      <c r="O377" s="73">
        <v>45712</v>
      </c>
      <c r="P377" s="69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9" t="s">
        <v>1459</v>
      </c>
      <c r="S377" s="60"/>
    </row>
    <row r="378" spans="1:19" hidden="1">
      <c r="A378" s="62" t="s">
        <v>1717</v>
      </c>
      <c r="B378" s="60" t="str">
        <f>IFERROR(VLOOKUP(Proc[[#This Row],[App]],Table2[],3,0),"open")</f>
        <v>ok</v>
      </c>
      <c r="C378" s="62" t="s">
        <v>369</v>
      </c>
      <c r="D378" t="s">
        <v>438</v>
      </c>
      <c r="E378" t="s">
        <v>1232</v>
      </c>
      <c r="F378" s="105" t="s">
        <v>1232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1</v>
      </c>
      <c r="K378" s="60" t="str">
        <f>IF(Proc[[#This Row],[Author]]="Marcela Urrego",VLOOKUP(LEFT(Proc[[#This Row],[Requested]],1),Table3[#All],2,0),VLOOKUP(Proc[[#This Row],[Author]],Table4[],2,0))</f>
        <v>MGF</v>
      </c>
      <c r="L378" s="60" t="s">
        <v>509</v>
      </c>
      <c r="M378" s="73">
        <v>45691.694965277777</v>
      </c>
      <c r="N378" s="73">
        <v>45712</v>
      </c>
      <c r="O378" s="73">
        <v>45712</v>
      </c>
      <c r="P378" s="69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9" t="s">
        <v>1459</v>
      </c>
      <c r="S378" s="60"/>
    </row>
    <row r="379" spans="1:19" hidden="1">
      <c r="A379" s="62" t="s">
        <v>1717</v>
      </c>
      <c r="B379" s="60" t="str">
        <f>IFERROR(VLOOKUP(Proc[[#This Row],[App]],Table2[],3,0),"open")</f>
        <v>ok</v>
      </c>
      <c r="C379" s="62" t="s">
        <v>369</v>
      </c>
      <c r="D379" t="s">
        <v>434</v>
      </c>
      <c r="E379" t="s">
        <v>1232</v>
      </c>
      <c r="F379" s="105" t="s">
        <v>1232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1</v>
      </c>
      <c r="K379" s="60" t="str">
        <f>IF(Proc[[#This Row],[Author]]="Marcela Urrego",VLOOKUP(LEFT(Proc[[#This Row],[Requested]],1),Table3[#All],2,0),VLOOKUP(Proc[[#This Row],[Author]],Table4[],2,0))</f>
        <v>MGF</v>
      </c>
      <c r="L379" s="60" t="s">
        <v>509</v>
      </c>
      <c r="M379" s="73">
        <v>45691.694965277777</v>
      </c>
      <c r="N379" s="73">
        <v>45712</v>
      </c>
      <c r="O379" s="73">
        <v>45712</v>
      </c>
      <c r="P379" s="69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9" t="s">
        <v>1459</v>
      </c>
      <c r="S379" s="60"/>
    </row>
    <row r="380" spans="1:19" hidden="1">
      <c r="A380" s="62" t="s">
        <v>1717</v>
      </c>
      <c r="B380" s="60" t="str">
        <f>IFERROR(VLOOKUP(Proc[[#This Row],[App]],Table2[],3,0),"open")</f>
        <v>ok</v>
      </c>
      <c r="C380" s="62" t="s">
        <v>369</v>
      </c>
      <c r="D380" t="s">
        <v>435</v>
      </c>
      <c r="E380" t="s">
        <v>1232</v>
      </c>
      <c r="F380" s="105" t="s">
        <v>1232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1</v>
      </c>
      <c r="K380" s="60" t="str">
        <f>IF(Proc[[#This Row],[Author]]="Marcela Urrego",VLOOKUP(LEFT(Proc[[#This Row],[Requested]],1),Table3[#All],2,0),VLOOKUP(Proc[[#This Row],[Author]],Table4[],2,0))</f>
        <v>MGF</v>
      </c>
      <c r="L380" s="60" t="s">
        <v>509</v>
      </c>
      <c r="M380" s="73">
        <v>45691.694965277777</v>
      </c>
      <c r="N380" s="73">
        <v>45712</v>
      </c>
      <c r="O380" s="73">
        <v>45712</v>
      </c>
      <c r="P380" s="69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9" t="s">
        <v>1459</v>
      </c>
      <c r="S380" s="60"/>
    </row>
    <row r="381" spans="1:19" hidden="1">
      <c r="A381" s="62" t="s">
        <v>1717</v>
      </c>
      <c r="B381" s="60" t="str">
        <f>IFERROR(VLOOKUP(Proc[[#This Row],[App]],Table2[],3,0),"open")</f>
        <v>ok</v>
      </c>
      <c r="C381" s="62" t="s">
        <v>369</v>
      </c>
      <c r="D381" t="s">
        <v>436</v>
      </c>
      <c r="E381" t="s">
        <v>1232</v>
      </c>
      <c r="F381" s="105" t="s">
        <v>1232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1</v>
      </c>
      <c r="K381" s="60" t="str">
        <f>IF(Proc[[#This Row],[Author]]="Marcela Urrego",VLOOKUP(LEFT(Proc[[#This Row],[Requested]],1),Table3[#All],2,0),VLOOKUP(Proc[[#This Row],[Author]],Table4[],2,0))</f>
        <v>MGF</v>
      </c>
      <c r="L381" s="60" t="s">
        <v>509</v>
      </c>
      <c r="M381" s="73">
        <v>45691.694965277777</v>
      </c>
      <c r="N381" s="73">
        <v>45712</v>
      </c>
      <c r="O381" s="73">
        <v>45712</v>
      </c>
      <c r="P381" s="69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9" t="s">
        <v>1459</v>
      </c>
      <c r="S381" s="60"/>
    </row>
    <row r="382" spans="1:19" hidden="1">
      <c r="A382" t="s">
        <v>1717</v>
      </c>
      <c r="B382" s="60" t="str">
        <f>IFERROR(VLOOKUP(Proc[[#This Row],[App]],Table2[],3,0),"open")</f>
        <v>ok</v>
      </c>
      <c r="C382" s="62" t="s">
        <v>369</v>
      </c>
      <c r="D382" t="s">
        <v>433</v>
      </c>
      <c r="E382" t="s">
        <v>1232</v>
      </c>
      <c r="F382" s="105" t="s">
        <v>1232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1</v>
      </c>
      <c r="K382" s="60" t="str">
        <f>IF(Proc[[#This Row],[Author]]="Marcela Urrego",VLOOKUP(LEFT(Proc[[#This Row],[Requested]],1),Table3[#All],2,0),VLOOKUP(Proc[[#This Row],[Author]],Table4[],2,0))</f>
        <v>MGF</v>
      </c>
      <c r="L382" s="60" t="s">
        <v>509</v>
      </c>
      <c r="M382" s="73">
        <v>45691.694965277777</v>
      </c>
      <c r="N382" s="73">
        <v>45712</v>
      </c>
      <c r="O382" s="73">
        <v>45712</v>
      </c>
      <c r="P382" s="69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9" t="s">
        <v>1459</v>
      </c>
      <c r="S382" s="60"/>
    </row>
    <row r="383" spans="1:19" hidden="1">
      <c r="A383" t="s">
        <v>1746</v>
      </c>
      <c r="B383" s="60" t="str">
        <f>IFERROR(VLOOKUP(Proc[[#This Row],[App]],Table2[],3,0),"open")</f>
        <v>ok</v>
      </c>
      <c r="C383" t="s">
        <v>377</v>
      </c>
      <c r="D383" t="s">
        <v>1747</v>
      </c>
      <c r="E383" t="s">
        <v>497</v>
      </c>
      <c r="F383" s="105" t="s">
        <v>497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822</v>
      </c>
      <c r="J383" s="60" t="b">
        <f>Proc[[#This Row],[Requested]]=Proc[[#This Row],[CurrentParent]]</f>
        <v>1</v>
      </c>
      <c r="K383" s="60" t="str">
        <f>IF(Proc[[#This Row],[Author]]="Marcela Urrego",VLOOKUP(LEFT(Proc[[#This Row],[Requested]],1),Table3[#All],2,0),VLOOKUP(Proc[[#This Row],[Author]],Table4[],2,0))</f>
        <v>LS</v>
      </c>
      <c r="L383" s="60" t="s">
        <v>509</v>
      </c>
      <c r="M383" s="73">
        <v>45692.314629629633</v>
      </c>
      <c r="O383" s="73">
        <v>45693</v>
      </c>
      <c r="P383" s="69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9" t="s">
        <v>972</v>
      </c>
      <c r="S383" s="60"/>
    </row>
    <row r="384" spans="1:19" hidden="1">
      <c r="A384" s="62" t="s">
        <v>1746</v>
      </c>
      <c r="B384" s="60" t="str">
        <f>IFERROR(VLOOKUP(Proc[[#This Row],[App]],Table2[],3,0),"open")</f>
        <v>ok</v>
      </c>
      <c r="C384" s="62" t="s">
        <v>369</v>
      </c>
      <c r="D384" t="s">
        <v>1748</v>
      </c>
      <c r="E384" t="s">
        <v>497</v>
      </c>
      <c r="F384" s="105" t="s">
        <v>497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1</v>
      </c>
      <c r="K384" s="60" t="str">
        <f>IF(Proc[[#This Row],[Author]]="Marcela Urrego",VLOOKUP(LEFT(Proc[[#This Row],[Requested]],1),Table3[#All],2,0),VLOOKUP(Proc[[#This Row],[Author]],Table4[],2,0))</f>
        <v>LS</v>
      </c>
      <c r="L384" s="60" t="s">
        <v>509</v>
      </c>
      <c r="M384" s="73">
        <v>45692.314629629633</v>
      </c>
      <c r="N384" s="73">
        <v>45693</v>
      </c>
      <c r="O384" s="73">
        <v>45693</v>
      </c>
      <c r="P384" s="69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9" t="s">
        <v>972</v>
      </c>
      <c r="S384" s="60"/>
    </row>
    <row r="385" spans="1:19" hidden="1">
      <c r="A385" s="62" t="s">
        <v>1746</v>
      </c>
      <c r="B385" s="60" t="str">
        <f>IFERROR(VLOOKUP(Proc[[#This Row],[App]],Table2[],3,0),"open")</f>
        <v>ok</v>
      </c>
      <c r="C385" s="62" t="s">
        <v>369</v>
      </c>
      <c r="D385" t="s">
        <v>1749</v>
      </c>
      <c r="E385" t="s">
        <v>447</v>
      </c>
      <c r="F385" s="105" t="s">
        <v>447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1</v>
      </c>
      <c r="K385" s="60" t="str">
        <f>IF(Proc[[#This Row],[Author]]="Marcela Urrego",VLOOKUP(LEFT(Proc[[#This Row],[Requested]],1),Table3[#All],2,0),VLOOKUP(Proc[[#This Row],[Author]],Table4[],2,0))</f>
        <v>LS</v>
      </c>
      <c r="L385" s="60" t="s">
        <v>509</v>
      </c>
      <c r="M385" s="73">
        <v>45692.314629629633</v>
      </c>
      <c r="N385" s="73">
        <v>45693</v>
      </c>
      <c r="O385" s="73">
        <v>45693</v>
      </c>
      <c r="P385" s="69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9" t="s">
        <v>972</v>
      </c>
      <c r="S385" s="60"/>
    </row>
    <row r="386" spans="1:19" hidden="1">
      <c r="A386" s="62" t="s">
        <v>1746</v>
      </c>
      <c r="B386" s="60" t="str">
        <f>IFERROR(VLOOKUP(Proc[[#This Row],[App]],Table2[],3,0),"open")</f>
        <v>ok</v>
      </c>
      <c r="C386" s="62" t="s">
        <v>369</v>
      </c>
      <c r="D386" t="s">
        <v>1750</v>
      </c>
      <c r="E386" t="s">
        <v>524</v>
      </c>
      <c r="F386" s="105" t="s">
        <v>524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1</v>
      </c>
      <c r="K386" s="60" t="str">
        <f>IF(Proc[[#This Row],[Author]]="Marcela Urrego",VLOOKUP(LEFT(Proc[[#This Row],[Requested]],1),Table3[#All],2,0),VLOOKUP(Proc[[#This Row],[Author]],Table4[],2,0))</f>
        <v>LS</v>
      </c>
      <c r="L386" s="60" t="s">
        <v>509</v>
      </c>
      <c r="M386" s="73">
        <v>45692.314629629633</v>
      </c>
      <c r="N386" s="73">
        <v>45693</v>
      </c>
      <c r="O386" s="73">
        <v>45693</v>
      </c>
      <c r="P386" s="69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9" t="s">
        <v>972</v>
      </c>
      <c r="S386" s="60"/>
    </row>
    <row r="387" spans="1:19" hidden="1">
      <c r="A387" s="62" t="s">
        <v>1744</v>
      </c>
      <c r="B387" s="60" t="str">
        <f>IFERROR(VLOOKUP(Proc[[#This Row],[App]],Table2[],3,0),"open")</f>
        <v>ok</v>
      </c>
      <c r="C387" s="62" t="s">
        <v>369</v>
      </c>
      <c r="D387" t="s">
        <v>1745</v>
      </c>
      <c r="E387" t="s">
        <v>493</v>
      </c>
      <c r="F387" s="105" t="s">
        <v>493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1</v>
      </c>
      <c r="K387" s="60" t="str">
        <f>IF(Proc[[#This Row],[Author]]="Marcela Urrego",VLOOKUP(LEFT(Proc[[#This Row],[Requested]],1),Table3[#All],2,0),VLOOKUP(Proc[[#This Row],[Author]],Table4[],2,0))</f>
        <v>HC</v>
      </c>
      <c r="L387" s="60" t="s">
        <v>509</v>
      </c>
      <c r="M387" s="73">
        <v>45692.351273148146</v>
      </c>
      <c r="N387" s="73">
        <v>45693</v>
      </c>
      <c r="O387" s="73">
        <v>45693</v>
      </c>
      <c r="P387" s="69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9" t="s">
        <v>410</v>
      </c>
      <c r="S387" s="60"/>
    </row>
    <row r="388" spans="1:19" hidden="1">
      <c r="A388" s="62" t="s">
        <v>1743</v>
      </c>
      <c r="B388" s="60" t="str">
        <f>IFERROR(VLOOKUP(Proc[[#This Row],[App]],Table2[],3,0),"open")</f>
        <v>ok</v>
      </c>
      <c r="C388" s="62" t="s">
        <v>377</v>
      </c>
      <c r="D388" t="s">
        <v>1721</v>
      </c>
      <c r="E388" t="s">
        <v>631</v>
      </c>
      <c r="F388" s="105" t="s">
        <v>631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446</v>
      </c>
      <c r="J388" s="60" t="b">
        <f>Proc[[#This Row],[Requested]]=Proc[[#This Row],[CurrentParent]]</f>
        <v>1</v>
      </c>
      <c r="K388" s="60" t="str">
        <f>IF(Proc[[#This Row],[Author]]="Marcela Urrego",VLOOKUP(LEFT(Proc[[#This Row],[Requested]],1),Table3[#All],2,0),VLOOKUP(Proc[[#This Row],[Author]],Table4[],2,0))</f>
        <v>MGF</v>
      </c>
      <c r="L388" s="60" t="s">
        <v>509</v>
      </c>
      <c r="M388" s="73">
        <v>45692.46533564815</v>
      </c>
      <c r="P388" s="69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105</v>
      </c>
      <c r="R388" s="69" t="s">
        <v>549</v>
      </c>
      <c r="S388" s="60"/>
    </row>
    <row r="389" spans="1:19" hidden="1">
      <c r="A389" s="62" t="s">
        <v>1743</v>
      </c>
      <c r="B389" s="60" t="str">
        <f>IFERROR(VLOOKUP(Proc[[#This Row],[App]],Table2[],3,0),"open")</f>
        <v>ok</v>
      </c>
      <c r="C389" s="62" t="s">
        <v>369</v>
      </c>
      <c r="D389" t="s">
        <v>559</v>
      </c>
      <c r="E389" t="s">
        <v>631</v>
      </c>
      <c r="F389" s="105" t="s">
        <v>631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1</v>
      </c>
      <c r="K389" s="60" t="str">
        <f>IF(Proc[[#This Row],[Author]]="Marcela Urrego",VLOOKUP(LEFT(Proc[[#This Row],[Requested]],1),Table3[#All],2,0),VLOOKUP(Proc[[#This Row],[Author]],Table4[],2,0))</f>
        <v>MGF</v>
      </c>
      <c r="L389" s="60" t="s">
        <v>509</v>
      </c>
      <c r="M389" s="73">
        <v>45692.46533564815</v>
      </c>
      <c r="P389" s="69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105</v>
      </c>
      <c r="R389" s="69" t="s">
        <v>549</v>
      </c>
      <c r="S389" s="60"/>
    </row>
    <row r="390" spans="1:19" hidden="1">
      <c r="A390" s="62" t="s">
        <v>1743</v>
      </c>
      <c r="B390" s="60" t="str">
        <f>IFERROR(VLOOKUP(Proc[[#This Row],[App]],Table2[],3,0),"open")</f>
        <v>ok</v>
      </c>
      <c r="C390" s="62" t="s">
        <v>369</v>
      </c>
      <c r="D390" t="s">
        <v>560</v>
      </c>
      <c r="E390" t="s">
        <v>631</v>
      </c>
      <c r="F390" s="105" t="s">
        <v>631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1</v>
      </c>
      <c r="K390" s="60" t="str">
        <f>IF(Proc[[#This Row],[Author]]="Marcela Urrego",VLOOKUP(LEFT(Proc[[#This Row],[Requested]],1),Table3[#All],2,0),VLOOKUP(Proc[[#This Row],[Author]],Table4[],2,0))</f>
        <v>MGF</v>
      </c>
      <c r="L390" s="60" t="s">
        <v>509</v>
      </c>
      <c r="M390" s="73">
        <v>45692.46533564815</v>
      </c>
      <c r="P390" s="69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105</v>
      </c>
      <c r="R390" s="69" t="s">
        <v>549</v>
      </c>
      <c r="S390" s="60"/>
    </row>
    <row r="391" spans="1:19" hidden="1">
      <c r="A391" s="62" t="s">
        <v>1743</v>
      </c>
      <c r="B391" s="60" t="str">
        <f>IFERROR(VLOOKUP(Proc[[#This Row],[App]],Table2[],3,0),"open")</f>
        <v>ok</v>
      </c>
      <c r="C391" s="62" t="s">
        <v>369</v>
      </c>
      <c r="D391" t="s">
        <v>561</v>
      </c>
      <c r="E391" t="s">
        <v>631</v>
      </c>
      <c r="F391" s="105" t="s">
        <v>631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1</v>
      </c>
      <c r="K391" s="60" t="str">
        <f>IF(Proc[[#This Row],[Author]]="Marcela Urrego",VLOOKUP(LEFT(Proc[[#This Row],[Requested]],1),Table3[#All],2,0),VLOOKUP(Proc[[#This Row],[Author]],Table4[],2,0))</f>
        <v>MGF</v>
      </c>
      <c r="L391" s="60" t="s">
        <v>509</v>
      </c>
      <c r="M391" s="73">
        <v>45692.46533564815</v>
      </c>
      <c r="P391" s="69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105</v>
      </c>
      <c r="R391" s="69" t="s">
        <v>549</v>
      </c>
      <c r="S391" s="60"/>
    </row>
    <row r="392" spans="1:19" hidden="1">
      <c r="A392" s="62" t="s">
        <v>1743</v>
      </c>
      <c r="B392" s="60" t="str">
        <f>IFERROR(VLOOKUP(Proc[[#This Row],[App]],Table2[],3,0),"open")</f>
        <v>ok</v>
      </c>
      <c r="C392" s="62" t="s">
        <v>369</v>
      </c>
      <c r="D392" t="s">
        <v>562</v>
      </c>
      <c r="E392" t="s">
        <v>631</v>
      </c>
      <c r="F392" s="105" t="s">
        <v>631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1</v>
      </c>
      <c r="K392" s="60" t="str">
        <f>IF(Proc[[#This Row],[Author]]="Marcela Urrego",VLOOKUP(LEFT(Proc[[#This Row],[Requested]],1),Table3[#All],2,0),VLOOKUP(Proc[[#This Row],[Author]],Table4[],2,0))</f>
        <v>MGF</v>
      </c>
      <c r="L392" s="60" t="s">
        <v>509</v>
      </c>
      <c r="M392" s="73">
        <v>45692.46533564815</v>
      </c>
      <c r="P392" s="69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105</v>
      </c>
      <c r="R392" s="69" t="s">
        <v>549</v>
      </c>
      <c r="S392" s="60"/>
    </row>
    <row r="393" spans="1:19" hidden="1">
      <c r="A393" s="62" t="s">
        <v>1743</v>
      </c>
      <c r="B393" s="60" t="str">
        <f>IFERROR(VLOOKUP(Proc[[#This Row],[App]],Table2[],3,0),"open")</f>
        <v>ok</v>
      </c>
      <c r="C393" s="62" t="s">
        <v>369</v>
      </c>
      <c r="D393" t="s">
        <v>563</v>
      </c>
      <c r="E393" t="s">
        <v>631</v>
      </c>
      <c r="F393" s="105" t="s">
        <v>631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1</v>
      </c>
      <c r="K393" s="60" t="str">
        <f>IF(Proc[[#This Row],[Author]]="Marcela Urrego",VLOOKUP(LEFT(Proc[[#This Row],[Requested]],1),Table3[#All],2,0),VLOOKUP(Proc[[#This Row],[Author]],Table4[],2,0))</f>
        <v>MGF</v>
      </c>
      <c r="L393" s="60" t="s">
        <v>509</v>
      </c>
      <c r="M393" s="73">
        <v>45692.46533564815</v>
      </c>
      <c r="P393" s="69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105</v>
      </c>
      <c r="R393" s="69" t="s">
        <v>549</v>
      </c>
      <c r="S393" s="60"/>
    </row>
    <row r="394" spans="1:19" hidden="1">
      <c r="A394" s="62" t="s">
        <v>1743</v>
      </c>
      <c r="B394" s="60" t="str">
        <f>IFERROR(VLOOKUP(Proc[[#This Row],[App]],Table2[],3,0),"open")</f>
        <v>ok</v>
      </c>
      <c r="C394" s="62" t="s">
        <v>369</v>
      </c>
      <c r="D394" t="s">
        <v>564</v>
      </c>
      <c r="E394" t="s">
        <v>631</v>
      </c>
      <c r="F394" s="105" t="s">
        <v>631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1</v>
      </c>
      <c r="K394" s="60" t="str">
        <f>IF(Proc[[#This Row],[Author]]="Marcela Urrego",VLOOKUP(LEFT(Proc[[#This Row],[Requested]],1),Table3[#All],2,0),VLOOKUP(Proc[[#This Row],[Author]],Table4[],2,0))</f>
        <v>MGF</v>
      </c>
      <c r="L394" s="60" t="s">
        <v>509</v>
      </c>
      <c r="M394" s="73">
        <v>45692.46533564815</v>
      </c>
      <c r="P394" s="69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105</v>
      </c>
      <c r="R394" s="69" t="s">
        <v>549</v>
      </c>
      <c r="S394" s="60"/>
    </row>
    <row r="395" spans="1:19" hidden="1">
      <c r="A395" s="62" t="s">
        <v>1743</v>
      </c>
      <c r="B395" s="60" t="str">
        <f>IFERROR(VLOOKUP(Proc[[#This Row],[App]],Table2[],3,0),"open")</f>
        <v>ok</v>
      </c>
      <c r="C395" s="62" t="s">
        <v>369</v>
      </c>
      <c r="D395" t="s">
        <v>462</v>
      </c>
      <c r="E395" t="s">
        <v>631</v>
      </c>
      <c r="F395" s="105" t="s">
        <v>631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1</v>
      </c>
      <c r="K395" s="60" t="str">
        <f>IF(Proc[[#This Row],[Author]]="Marcela Urrego",VLOOKUP(LEFT(Proc[[#This Row],[Requested]],1),Table3[#All],2,0),VLOOKUP(Proc[[#This Row],[Author]],Table4[],2,0))</f>
        <v>MGF</v>
      </c>
      <c r="L395" s="60" t="s">
        <v>509</v>
      </c>
      <c r="M395" s="73">
        <v>45692.46533564815</v>
      </c>
      <c r="P395" s="69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105</v>
      </c>
      <c r="R395" s="69" t="s">
        <v>549</v>
      </c>
      <c r="S395" s="60"/>
    </row>
    <row r="396" spans="1:19" hidden="1">
      <c r="A396" s="62" t="s">
        <v>1743</v>
      </c>
      <c r="B396" s="60" t="str">
        <f>IFERROR(VLOOKUP(Proc[[#This Row],[App]],Table2[],3,0),"open")</f>
        <v>ok</v>
      </c>
      <c r="C396" s="62" t="s">
        <v>369</v>
      </c>
      <c r="D396" t="s">
        <v>463</v>
      </c>
      <c r="E396" t="s">
        <v>631</v>
      </c>
      <c r="F396" s="105" t="s">
        <v>631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1</v>
      </c>
      <c r="K396" s="60" t="str">
        <f>IF(Proc[[#This Row],[Author]]="Marcela Urrego",VLOOKUP(LEFT(Proc[[#This Row],[Requested]],1),Table3[#All],2,0),VLOOKUP(Proc[[#This Row],[Author]],Table4[],2,0))</f>
        <v>MGF</v>
      </c>
      <c r="L396" s="60" t="s">
        <v>509</v>
      </c>
      <c r="M396" s="73">
        <v>45692.46533564815</v>
      </c>
      <c r="P396" s="69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105</v>
      </c>
      <c r="R396" s="69" t="s">
        <v>549</v>
      </c>
      <c r="S396" s="60"/>
    </row>
    <row r="397" spans="1:19" hidden="1">
      <c r="A397" s="62" t="s">
        <v>1743</v>
      </c>
      <c r="B397" s="60" t="str">
        <f>IFERROR(VLOOKUP(Proc[[#This Row],[App]],Table2[],3,0),"open")</f>
        <v>ok</v>
      </c>
      <c r="C397" s="62" t="s">
        <v>369</v>
      </c>
      <c r="D397" t="s">
        <v>1722</v>
      </c>
      <c r="E397" t="s">
        <v>631</v>
      </c>
      <c r="F397" s="105" t="s">
        <v>631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1</v>
      </c>
      <c r="K397" s="60" t="str">
        <f>IF(Proc[[#This Row],[Author]]="Marcela Urrego",VLOOKUP(LEFT(Proc[[#This Row],[Requested]],1),Table3[#All],2,0),VLOOKUP(Proc[[#This Row],[Author]],Table4[],2,0))</f>
        <v>MGF</v>
      </c>
      <c r="L397" s="60" t="s">
        <v>509</v>
      </c>
      <c r="M397" s="73">
        <v>45692.46533564815</v>
      </c>
      <c r="P397" s="69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105</v>
      </c>
      <c r="R397" s="69" t="s">
        <v>549</v>
      </c>
      <c r="S397" s="60"/>
    </row>
    <row r="398" spans="1:19" hidden="1">
      <c r="A398" s="62" t="s">
        <v>1743</v>
      </c>
      <c r="B398" s="60" t="str">
        <f>IFERROR(VLOOKUP(Proc[[#This Row],[App]],Table2[],3,0),"open")</f>
        <v>ok</v>
      </c>
      <c r="C398" s="62" t="s">
        <v>369</v>
      </c>
      <c r="D398" t="s">
        <v>1723</v>
      </c>
      <c r="E398" t="s">
        <v>631</v>
      </c>
      <c r="F398" s="105" t="s">
        <v>631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1</v>
      </c>
      <c r="K398" s="60" t="str">
        <f>IF(Proc[[#This Row],[Author]]="Marcela Urrego",VLOOKUP(LEFT(Proc[[#This Row],[Requested]],1),Table3[#All],2,0),VLOOKUP(Proc[[#This Row],[Author]],Table4[],2,0))</f>
        <v>MGF</v>
      </c>
      <c r="L398" s="60" t="s">
        <v>509</v>
      </c>
      <c r="M398" s="73">
        <v>45692.46533564815</v>
      </c>
      <c r="P398" s="69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105</v>
      </c>
      <c r="R398" s="69" t="s">
        <v>549</v>
      </c>
      <c r="S398" s="60"/>
    </row>
    <row r="399" spans="1:19" hidden="1">
      <c r="A399" s="62" t="s">
        <v>1743</v>
      </c>
      <c r="B399" s="60" t="str">
        <f>IFERROR(VLOOKUP(Proc[[#This Row],[App]],Table2[],3,0),"open")</f>
        <v>ok</v>
      </c>
      <c r="C399" s="62" t="s">
        <v>377</v>
      </c>
      <c r="D399" t="s">
        <v>1724</v>
      </c>
      <c r="E399" t="s">
        <v>631</v>
      </c>
      <c r="F399" s="105" t="s">
        <v>631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1</v>
      </c>
      <c r="K399" s="60" t="str">
        <f>IF(Proc[[#This Row],[Author]]="Marcela Urrego",VLOOKUP(LEFT(Proc[[#This Row],[Requested]],1),Table3[#All],2,0),VLOOKUP(Proc[[#This Row],[Author]],Table4[],2,0))</f>
        <v>MGF</v>
      </c>
      <c r="L399" s="60" t="s">
        <v>509</v>
      </c>
      <c r="M399" s="73">
        <v>45692.46533564815</v>
      </c>
      <c r="P399" s="69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105</v>
      </c>
      <c r="R399" s="69" t="s">
        <v>549</v>
      </c>
      <c r="S399" s="60"/>
    </row>
    <row r="400" spans="1:19" hidden="1">
      <c r="A400" s="62" t="s">
        <v>1743</v>
      </c>
      <c r="B400" s="60" t="str">
        <f>IFERROR(VLOOKUP(Proc[[#This Row],[App]],Table2[],3,0),"open")</f>
        <v>ok</v>
      </c>
      <c r="C400" s="62" t="s">
        <v>369</v>
      </c>
      <c r="D400" t="s">
        <v>1725</v>
      </c>
      <c r="E400" t="s">
        <v>631</v>
      </c>
      <c r="F400" s="105" t="s">
        <v>631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1</v>
      </c>
      <c r="K400" s="60" t="str">
        <f>IF(Proc[[#This Row],[Author]]="Marcela Urrego",VLOOKUP(LEFT(Proc[[#This Row],[Requested]],1),Table3[#All],2,0),VLOOKUP(Proc[[#This Row],[Author]],Table4[],2,0))</f>
        <v>MGF</v>
      </c>
      <c r="L400" s="60" t="s">
        <v>509</v>
      </c>
      <c r="M400" s="73">
        <v>45692.46533564815</v>
      </c>
      <c r="P400" s="69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105</v>
      </c>
      <c r="R400" s="69" t="s">
        <v>549</v>
      </c>
      <c r="S400" s="60"/>
    </row>
    <row r="401" spans="1:19" hidden="1">
      <c r="A401" s="62" t="s">
        <v>1743</v>
      </c>
      <c r="B401" s="60" t="str">
        <f>IFERROR(VLOOKUP(Proc[[#This Row],[App]],Table2[],3,0),"open")</f>
        <v>ok</v>
      </c>
      <c r="C401" s="62" t="s">
        <v>369</v>
      </c>
      <c r="D401" t="s">
        <v>1726</v>
      </c>
      <c r="E401" t="s">
        <v>631</v>
      </c>
      <c r="F401" s="105" t="s">
        <v>631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1</v>
      </c>
      <c r="K401" s="60" t="str">
        <f>IF(Proc[[#This Row],[Author]]="Marcela Urrego",VLOOKUP(LEFT(Proc[[#This Row],[Requested]],1),Table3[#All],2,0),VLOOKUP(Proc[[#This Row],[Author]],Table4[],2,0))</f>
        <v>MGF</v>
      </c>
      <c r="L401" s="60" t="s">
        <v>509</v>
      </c>
      <c r="M401" s="73">
        <v>45692.46533564815</v>
      </c>
      <c r="P401" s="69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105</v>
      </c>
      <c r="R401" s="69" t="s">
        <v>549</v>
      </c>
      <c r="S401" s="60"/>
    </row>
    <row r="402" spans="1:19" hidden="1">
      <c r="A402" s="62" t="s">
        <v>1743</v>
      </c>
      <c r="B402" s="60" t="str">
        <f>IFERROR(VLOOKUP(Proc[[#This Row],[App]],Table2[],3,0),"open")</f>
        <v>ok</v>
      </c>
      <c r="C402" s="62" t="s">
        <v>369</v>
      </c>
      <c r="D402" t="s">
        <v>1727</v>
      </c>
      <c r="E402" t="s">
        <v>631</v>
      </c>
      <c r="F402" s="105" t="s">
        <v>631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1</v>
      </c>
      <c r="K402" s="60" t="str">
        <f>IF(Proc[[#This Row],[Author]]="Marcela Urrego",VLOOKUP(LEFT(Proc[[#This Row],[Requested]],1),Table3[#All],2,0),VLOOKUP(Proc[[#This Row],[Author]],Table4[],2,0))</f>
        <v>MGF</v>
      </c>
      <c r="L402" s="60" t="s">
        <v>509</v>
      </c>
      <c r="M402" s="73">
        <v>45692.46533564815</v>
      </c>
      <c r="P402" s="69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105</v>
      </c>
      <c r="R402" s="69" t="s">
        <v>549</v>
      </c>
      <c r="S402" s="60"/>
    </row>
    <row r="403" spans="1:19" hidden="1">
      <c r="A403" s="62" t="s">
        <v>1743</v>
      </c>
      <c r="B403" s="60" t="str">
        <f>IFERROR(VLOOKUP(Proc[[#This Row],[App]],Table2[],3,0),"open")</f>
        <v>ok</v>
      </c>
      <c r="C403" s="62" t="s">
        <v>369</v>
      </c>
      <c r="D403" t="s">
        <v>1728</v>
      </c>
      <c r="E403" t="s">
        <v>631</v>
      </c>
      <c r="F403" s="105" t="s">
        <v>631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1</v>
      </c>
      <c r="K403" s="60" t="str">
        <f>IF(Proc[[#This Row],[Author]]="Marcela Urrego",VLOOKUP(LEFT(Proc[[#This Row],[Requested]],1),Table3[#All],2,0),VLOOKUP(Proc[[#This Row],[Author]],Table4[],2,0))</f>
        <v>MGF</v>
      </c>
      <c r="L403" s="60" t="s">
        <v>509</v>
      </c>
      <c r="M403" s="73">
        <v>45692.46533564815</v>
      </c>
      <c r="P403" s="69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105</v>
      </c>
      <c r="R403" s="69" t="s">
        <v>549</v>
      </c>
      <c r="S403" s="60"/>
    </row>
    <row r="404" spans="1:19" hidden="1">
      <c r="A404" s="62" t="s">
        <v>1743</v>
      </c>
      <c r="B404" s="60" t="str">
        <f>IFERROR(VLOOKUP(Proc[[#This Row],[App]],Table2[],3,0),"open")</f>
        <v>ok</v>
      </c>
      <c r="C404" s="62" t="s">
        <v>369</v>
      </c>
      <c r="D404" t="s">
        <v>1729</v>
      </c>
      <c r="E404" t="s">
        <v>631</v>
      </c>
      <c r="F404" s="105" t="s">
        <v>631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1</v>
      </c>
      <c r="K404" s="60" t="str">
        <f>IF(Proc[[#This Row],[Author]]="Marcela Urrego",VLOOKUP(LEFT(Proc[[#This Row],[Requested]],1),Table3[#All],2,0),VLOOKUP(Proc[[#This Row],[Author]],Table4[],2,0))</f>
        <v>MGF</v>
      </c>
      <c r="L404" s="60" t="s">
        <v>509</v>
      </c>
      <c r="M404" s="73">
        <v>45692.46533564815</v>
      </c>
      <c r="P404" s="69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105</v>
      </c>
      <c r="R404" s="69" t="s">
        <v>549</v>
      </c>
      <c r="S404" s="60"/>
    </row>
    <row r="405" spans="1:19" hidden="1">
      <c r="A405" s="62" t="s">
        <v>1743</v>
      </c>
      <c r="B405" s="60" t="str">
        <f>IFERROR(VLOOKUP(Proc[[#This Row],[App]],Table2[],3,0),"open")</f>
        <v>ok</v>
      </c>
      <c r="C405" s="62" t="s">
        <v>377</v>
      </c>
      <c r="D405" t="s">
        <v>460</v>
      </c>
      <c r="E405" t="s">
        <v>631</v>
      </c>
      <c r="F405" s="105" t="s">
        <v>631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1</v>
      </c>
      <c r="K405" s="60" t="str">
        <f>IF(Proc[[#This Row],[Author]]="Marcela Urrego",VLOOKUP(LEFT(Proc[[#This Row],[Requested]],1),Table3[#All],2,0),VLOOKUP(Proc[[#This Row],[Author]],Table4[],2,0))</f>
        <v>MGF</v>
      </c>
      <c r="L405" s="60" t="s">
        <v>509</v>
      </c>
      <c r="M405" s="73">
        <v>45692.46533564815</v>
      </c>
      <c r="P405" s="69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105</v>
      </c>
      <c r="R405" s="69" t="s">
        <v>549</v>
      </c>
      <c r="S405" s="60"/>
    </row>
    <row r="406" spans="1:19" hidden="1">
      <c r="A406" s="62" t="s">
        <v>1743</v>
      </c>
      <c r="B406" s="60" t="str">
        <f>IFERROR(VLOOKUP(Proc[[#This Row],[App]],Table2[],3,0),"open")</f>
        <v>ok</v>
      </c>
      <c r="C406" s="62" t="s">
        <v>369</v>
      </c>
      <c r="D406" t="s">
        <v>500</v>
      </c>
      <c r="E406" t="s">
        <v>631</v>
      </c>
      <c r="F406" s="105" t="s">
        <v>631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1</v>
      </c>
      <c r="K406" s="60" t="str">
        <f>IF(Proc[[#This Row],[Author]]="Marcela Urrego",VLOOKUP(LEFT(Proc[[#This Row],[Requested]],1),Table3[#All],2,0),VLOOKUP(Proc[[#This Row],[Author]],Table4[],2,0))</f>
        <v>MGF</v>
      </c>
      <c r="L406" s="60" t="s">
        <v>509</v>
      </c>
      <c r="M406" s="73">
        <v>45692.46533564815</v>
      </c>
      <c r="P406" s="69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105</v>
      </c>
      <c r="R406" s="69" t="s">
        <v>549</v>
      </c>
      <c r="S406" s="60"/>
    </row>
    <row r="407" spans="1:19" hidden="1">
      <c r="A407" s="62" t="s">
        <v>1743</v>
      </c>
      <c r="B407" s="60" t="str">
        <f>IFERROR(VLOOKUP(Proc[[#This Row],[App]],Table2[],3,0),"open")</f>
        <v>ok</v>
      </c>
      <c r="C407" s="62" t="s">
        <v>369</v>
      </c>
      <c r="D407" t="s">
        <v>1730</v>
      </c>
      <c r="E407" t="s">
        <v>631</v>
      </c>
      <c r="F407" s="105" t="s">
        <v>631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1</v>
      </c>
      <c r="K407" s="60" t="str">
        <f>IF(Proc[[#This Row],[Author]]="Marcela Urrego",VLOOKUP(LEFT(Proc[[#This Row],[Requested]],1),Table3[#All],2,0),VLOOKUP(Proc[[#This Row],[Author]],Table4[],2,0))</f>
        <v>MGF</v>
      </c>
      <c r="L407" s="60" t="s">
        <v>509</v>
      </c>
      <c r="M407" s="73">
        <v>45692.46533564815</v>
      </c>
      <c r="P407" s="69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105</v>
      </c>
      <c r="R407" s="69" t="s">
        <v>549</v>
      </c>
      <c r="S407" s="60"/>
    </row>
    <row r="408" spans="1:19" hidden="1">
      <c r="A408" s="62" t="s">
        <v>1743</v>
      </c>
      <c r="B408" s="60" t="str">
        <f>IFERROR(VLOOKUP(Proc[[#This Row],[App]],Table2[],3,0),"open")</f>
        <v>ok</v>
      </c>
      <c r="C408" s="62" t="s">
        <v>369</v>
      </c>
      <c r="D408" t="s">
        <v>1731</v>
      </c>
      <c r="E408" t="s">
        <v>631</v>
      </c>
      <c r="F408" s="105" t="s">
        <v>631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1</v>
      </c>
      <c r="K408" s="60" t="str">
        <f>IF(Proc[[#This Row],[Author]]="Marcela Urrego",VLOOKUP(LEFT(Proc[[#This Row],[Requested]],1),Table3[#All],2,0),VLOOKUP(Proc[[#This Row],[Author]],Table4[],2,0))</f>
        <v>MGF</v>
      </c>
      <c r="L408" s="60" t="s">
        <v>509</v>
      </c>
      <c r="M408" s="73">
        <v>45692.46533564815</v>
      </c>
      <c r="P408" s="69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105</v>
      </c>
      <c r="R408" s="69" t="s">
        <v>549</v>
      </c>
      <c r="S408" s="60"/>
    </row>
    <row r="409" spans="1:19" hidden="1">
      <c r="A409" s="62" t="s">
        <v>1743</v>
      </c>
      <c r="B409" s="60" t="str">
        <f>IFERROR(VLOOKUP(Proc[[#This Row],[App]],Table2[],3,0),"open")</f>
        <v>ok</v>
      </c>
      <c r="C409" s="62" t="s">
        <v>369</v>
      </c>
      <c r="D409" t="s">
        <v>461</v>
      </c>
      <c r="E409" t="s">
        <v>631</v>
      </c>
      <c r="F409" s="105" t="s">
        <v>631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1</v>
      </c>
      <c r="K409" s="60" t="str">
        <f>IF(Proc[[#This Row],[Author]]="Marcela Urrego",VLOOKUP(LEFT(Proc[[#This Row],[Requested]],1),Table3[#All],2,0),VLOOKUP(Proc[[#This Row],[Author]],Table4[],2,0))</f>
        <v>MGF</v>
      </c>
      <c r="L409" s="60" t="s">
        <v>509</v>
      </c>
      <c r="M409" s="73">
        <v>45692.46533564815</v>
      </c>
      <c r="P409" s="69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105</v>
      </c>
      <c r="R409" s="69" t="s">
        <v>549</v>
      </c>
      <c r="S409" s="60"/>
    </row>
    <row r="410" spans="1:19" hidden="1">
      <c r="A410" s="62" t="s">
        <v>1743</v>
      </c>
      <c r="B410" s="60" t="str">
        <f>IFERROR(VLOOKUP(Proc[[#This Row],[App]],Table2[],3,0),"open")</f>
        <v>ok</v>
      </c>
      <c r="C410" s="62" t="s">
        <v>369</v>
      </c>
      <c r="D410" t="s">
        <v>1732</v>
      </c>
      <c r="E410" t="s">
        <v>631</v>
      </c>
      <c r="F410" s="105" t="s">
        <v>631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1</v>
      </c>
      <c r="K410" s="60" t="str">
        <f>IF(Proc[[#This Row],[Author]]="Marcela Urrego",VLOOKUP(LEFT(Proc[[#This Row],[Requested]],1),Table3[#All],2,0),VLOOKUP(Proc[[#This Row],[Author]],Table4[],2,0))</f>
        <v>MGF</v>
      </c>
      <c r="L410" s="60" t="s">
        <v>509</v>
      </c>
      <c r="M410" s="73">
        <v>45692.46533564815</v>
      </c>
      <c r="P410" s="69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105</v>
      </c>
      <c r="R410" s="69" t="s">
        <v>549</v>
      </c>
      <c r="S410" s="60"/>
    </row>
    <row r="411" spans="1:19" hidden="1">
      <c r="A411" s="62" t="s">
        <v>1743</v>
      </c>
      <c r="B411" s="60" t="str">
        <f>IFERROR(VLOOKUP(Proc[[#This Row],[App]],Table2[],3,0),"open")</f>
        <v>ok</v>
      </c>
      <c r="C411" s="62" t="s">
        <v>369</v>
      </c>
      <c r="D411" t="s">
        <v>1733</v>
      </c>
      <c r="E411" t="s">
        <v>631</v>
      </c>
      <c r="F411" s="105" t="s">
        <v>631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1</v>
      </c>
      <c r="K411" s="60" t="str">
        <f>IF(Proc[[#This Row],[Author]]="Marcela Urrego",VLOOKUP(LEFT(Proc[[#This Row],[Requested]],1),Table3[#All],2,0),VLOOKUP(Proc[[#This Row],[Author]],Table4[],2,0))</f>
        <v>MGF</v>
      </c>
      <c r="L411" s="60" t="s">
        <v>509</v>
      </c>
      <c r="M411" s="73">
        <v>45692.46533564815</v>
      </c>
      <c r="P411" s="69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105</v>
      </c>
      <c r="R411" s="69" t="s">
        <v>549</v>
      </c>
      <c r="S411" s="60"/>
    </row>
    <row r="412" spans="1:19" hidden="1">
      <c r="A412" s="62" t="s">
        <v>1743</v>
      </c>
      <c r="B412" s="60" t="str">
        <f>IFERROR(VLOOKUP(Proc[[#This Row],[App]],Table2[],3,0),"open")</f>
        <v>ok</v>
      </c>
      <c r="C412" s="62" t="s">
        <v>369</v>
      </c>
      <c r="D412" t="s">
        <v>1734</v>
      </c>
      <c r="E412" t="s">
        <v>631</v>
      </c>
      <c r="F412" s="105" t="s">
        <v>631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1</v>
      </c>
      <c r="K412" s="60" t="str">
        <f>IF(Proc[[#This Row],[Author]]="Marcela Urrego",VLOOKUP(LEFT(Proc[[#This Row],[Requested]],1),Table3[#All],2,0),VLOOKUP(Proc[[#This Row],[Author]],Table4[],2,0))</f>
        <v>MGF</v>
      </c>
      <c r="L412" s="60" t="s">
        <v>509</v>
      </c>
      <c r="M412" s="73">
        <v>45692.46533564815</v>
      </c>
      <c r="P412" s="69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105</v>
      </c>
      <c r="R412" s="69" t="s">
        <v>549</v>
      </c>
      <c r="S412" s="60"/>
    </row>
    <row r="413" spans="1:19" hidden="1">
      <c r="A413" s="62" t="s">
        <v>1743</v>
      </c>
      <c r="B413" s="60" t="str">
        <f>IFERROR(VLOOKUP(Proc[[#This Row],[App]],Table2[],3,0),"open")</f>
        <v>ok</v>
      </c>
      <c r="C413" s="62" t="s">
        <v>377</v>
      </c>
      <c r="D413" t="s">
        <v>1735</v>
      </c>
      <c r="E413" t="s">
        <v>631</v>
      </c>
      <c r="F413" s="105" t="s">
        <v>631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1</v>
      </c>
      <c r="K413" s="60" t="str">
        <f>IF(Proc[[#This Row],[Author]]="Marcela Urrego",VLOOKUP(LEFT(Proc[[#This Row],[Requested]],1),Table3[#All],2,0),VLOOKUP(Proc[[#This Row],[Author]],Table4[],2,0))</f>
        <v>MGF</v>
      </c>
      <c r="L413" s="60" t="s">
        <v>509</v>
      </c>
      <c r="M413" s="73">
        <v>45692.46533564815</v>
      </c>
      <c r="P413" s="69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105</v>
      </c>
      <c r="R413" s="69" t="s">
        <v>549</v>
      </c>
      <c r="S413" s="60"/>
    </row>
    <row r="414" spans="1:19" hidden="1">
      <c r="A414" s="62" t="s">
        <v>1743</v>
      </c>
      <c r="B414" s="60" t="str">
        <f>IFERROR(VLOOKUP(Proc[[#This Row],[App]],Table2[],3,0),"open")</f>
        <v>ok</v>
      </c>
      <c r="C414" s="62" t="s">
        <v>377</v>
      </c>
      <c r="D414" t="s">
        <v>458</v>
      </c>
      <c r="E414" t="s">
        <v>631</v>
      </c>
      <c r="F414" s="105" t="s">
        <v>631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1</v>
      </c>
      <c r="K414" s="60" t="str">
        <f>IF(Proc[[#This Row],[Author]]="Marcela Urrego",VLOOKUP(LEFT(Proc[[#This Row],[Requested]],1),Table3[#All],2,0),VLOOKUP(Proc[[#This Row],[Author]],Table4[],2,0))</f>
        <v>MGF</v>
      </c>
      <c r="L414" s="60" t="s">
        <v>509</v>
      </c>
      <c r="M414" s="73">
        <v>45692.46533564815</v>
      </c>
      <c r="P414" s="69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105</v>
      </c>
      <c r="R414" s="69" t="s">
        <v>549</v>
      </c>
      <c r="S414" s="60"/>
    </row>
    <row r="415" spans="1:19" hidden="1">
      <c r="A415" s="62" t="s">
        <v>1743</v>
      </c>
      <c r="B415" s="60" t="str">
        <f>IFERROR(VLOOKUP(Proc[[#This Row],[App]],Table2[],3,0),"open")</f>
        <v>ok</v>
      </c>
      <c r="C415" s="62" t="s">
        <v>369</v>
      </c>
      <c r="D415" t="s">
        <v>1736</v>
      </c>
      <c r="E415" t="s">
        <v>631</v>
      </c>
      <c r="F415" s="105" t="s">
        <v>631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1</v>
      </c>
      <c r="K415" s="60" t="str">
        <f>IF(Proc[[#This Row],[Author]]="Marcela Urrego",VLOOKUP(LEFT(Proc[[#This Row],[Requested]],1),Table3[#All],2,0),VLOOKUP(Proc[[#This Row],[Author]],Table4[],2,0))</f>
        <v>MGF</v>
      </c>
      <c r="L415" s="60" t="s">
        <v>509</v>
      </c>
      <c r="M415" s="73">
        <v>45692.46533564815</v>
      </c>
      <c r="P415" s="69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105</v>
      </c>
      <c r="R415" s="69" t="s">
        <v>549</v>
      </c>
      <c r="S415" s="60"/>
    </row>
    <row r="416" spans="1:19" hidden="1">
      <c r="A416" s="62" t="s">
        <v>1743</v>
      </c>
      <c r="B416" s="60" t="str">
        <f>IFERROR(VLOOKUP(Proc[[#This Row],[App]],Table2[],3,0),"open")</f>
        <v>ok</v>
      </c>
      <c r="C416" s="62" t="s">
        <v>369</v>
      </c>
      <c r="D416" t="s">
        <v>1737</v>
      </c>
      <c r="E416" t="s">
        <v>631</v>
      </c>
      <c r="F416" s="105" t="s">
        <v>631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1</v>
      </c>
      <c r="K416" s="60" t="str">
        <f>IF(Proc[[#This Row],[Author]]="Marcela Urrego",VLOOKUP(LEFT(Proc[[#This Row],[Requested]],1),Table3[#All],2,0),VLOOKUP(Proc[[#This Row],[Author]],Table4[],2,0))</f>
        <v>MGF</v>
      </c>
      <c r="L416" s="60" t="s">
        <v>509</v>
      </c>
      <c r="M416" s="73">
        <v>45692.46533564815</v>
      </c>
      <c r="P416" s="69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105</v>
      </c>
      <c r="R416" s="69" t="s">
        <v>549</v>
      </c>
      <c r="S416" s="60"/>
    </row>
    <row r="417" spans="1:19" hidden="1">
      <c r="A417" s="62" t="s">
        <v>1743</v>
      </c>
      <c r="B417" s="60" t="str">
        <f>IFERROR(VLOOKUP(Proc[[#This Row],[App]],Table2[],3,0),"open")</f>
        <v>ok</v>
      </c>
      <c r="C417" s="62" t="s">
        <v>369</v>
      </c>
      <c r="D417" t="s">
        <v>1738</v>
      </c>
      <c r="E417" t="s">
        <v>631</v>
      </c>
      <c r="F417" s="105" t="s">
        <v>631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1</v>
      </c>
      <c r="K417" s="60" t="str">
        <f>IF(Proc[[#This Row],[Author]]="Marcela Urrego",VLOOKUP(LEFT(Proc[[#This Row],[Requested]],1),Table3[#All],2,0),VLOOKUP(Proc[[#This Row],[Author]],Table4[],2,0))</f>
        <v>MGF</v>
      </c>
      <c r="L417" s="60" t="s">
        <v>509</v>
      </c>
      <c r="M417" s="73">
        <v>45692.46533564815</v>
      </c>
      <c r="P417" s="69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105</v>
      </c>
      <c r="R417" s="69" t="s">
        <v>549</v>
      </c>
      <c r="S417" s="60"/>
    </row>
    <row r="418" spans="1:19" hidden="1">
      <c r="A418" s="62" t="s">
        <v>1743</v>
      </c>
      <c r="B418" s="60" t="str">
        <f>IFERROR(VLOOKUP(Proc[[#This Row],[App]],Table2[],3,0),"open")</f>
        <v>ok</v>
      </c>
      <c r="C418" s="62" t="s">
        <v>369</v>
      </c>
      <c r="D418" t="s">
        <v>457</v>
      </c>
      <c r="E418" t="s">
        <v>631</v>
      </c>
      <c r="F418" s="105" t="s">
        <v>631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1</v>
      </c>
      <c r="K418" s="60" t="str">
        <f>IF(Proc[[#This Row],[Author]]="Marcela Urrego",VLOOKUP(LEFT(Proc[[#This Row],[Requested]],1),Table3[#All],2,0),VLOOKUP(Proc[[#This Row],[Author]],Table4[],2,0))</f>
        <v>MGF</v>
      </c>
      <c r="L418" s="60" t="s">
        <v>509</v>
      </c>
      <c r="M418" s="73">
        <v>45692.46533564815</v>
      </c>
      <c r="P418" s="69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105</v>
      </c>
      <c r="R418" s="69" t="s">
        <v>549</v>
      </c>
      <c r="S418" s="60"/>
    </row>
    <row r="419" spans="1:19" hidden="1">
      <c r="A419" s="62" t="s">
        <v>1743</v>
      </c>
      <c r="B419" s="60" t="str">
        <f>IFERROR(VLOOKUP(Proc[[#This Row],[App]],Table2[],3,0),"open")</f>
        <v>ok</v>
      </c>
      <c r="C419" s="62" t="s">
        <v>369</v>
      </c>
      <c r="D419" t="s">
        <v>486</v>
      </c>
      <c r="E419" t="s">
        <v>631</v>
      </c>
      <c r="F419" s="105" t="s">
        <v>631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1</v>
      </c>
      <c r="K419" s="60" t="str">
        <f>IF(Proc[[#This Row],[Author]]="Marcela Urrego",VLOOKUP(LEFT(Proc[[#This Row],[Requested]],1),Table3[#All],2,0),VLOOKUP(Proc[[#This Row],[Author]],Table4[],2,0))</f>
        <v>MGF</v>
      </c>
      <c r="L419" s="60" t="s">
        <v>509</v>
      </c>
      <c r="M419" s="73">
        <v>45692.46533564815</v>
      </c>
      <c r="P419" s="69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105</v>
      </c>
      <c r="R419" s="69" t="s">
        <v>549</v>
      </c>
      <c r="S419" s="60"/>
    </row>
    <row r="420" spans="1:19" hidden="1">
      <c r="A420" s="62" t="s">
        <v>1743</v>
      </c>
      <c r="B420" s="60" t="str">
        <f>IFERROR(VLOOKUP(Proc[[#This Row],[App]],Table2[],3,0),"open")</f>
        <v>ok</v>
      </c>
      <c r="C420" s="62" t="s">
        <v>369</v>
      </c>
      <c r="D420" t="s">
        <v>966</v>
      </c>
      <c r="E420" t="s">
        <v>631</v>
      </c>
      <c r="F420" s="105" t="s">
        <v>631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1</v>
      </c>
      <c r="K420" s="60" t="str">
        <f>IF(Proc[[#This Row],[Author]]="Marcela Urrego",VLOOKUP(LEFT(Proc[[#This Row],[Requested]],1),Table3[#All],2,0),VLOOKUP(Proc[[#This Row],[Author]],Table4[],2,0))</f>
        <v>MGF</v>
      </c>
      <c r="L420" s="60" t="s">
        <v>509</v>
      </c>
      <c r="M420" s="73">
        <v>45692.46533564815</v>
      </c>
      <c r="P420" s="69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105</v>
      </c>
      <c r="R420" s="69" t="s">
        <v>549</v>
      </c>
      <c r="S420" s="60"/>
    </row>
    <row r="421" spans="1:19" hidden="1">
      <c r="A421" s="62" t="s">
        <v>1743</v>
      </c>
      <c r="B421" s="60" t="str">
        <f>IFERROR(VLOOKUP(Proc[[#This Row],[App]],Table2[],3,0),"open")</f>
        <v>ok</v>
      </c>
      <c r="C421" s="62" t="s">
        <v>377</v>
      </c>
      <c r="D421" t="s">
        <v>1100</v>
      </c>
      <c r="E421" t="s">
        <v>631</v>
      </c>
      <c r="F421" s="105" t="s">
        <v>631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1</v>
      </c>
      <c r="K421" s="60" t="str">
        <f>IF(Proc[[#This Row],[Author]]="Marcela Urrego",VLOOKUP(LEFT(Proc[[#This Row],[Requested]],1),Table3[#All],2,0),VLOOKUP(Proc[[#This Row],[Author]],Table4[],2,0))</f>
        <v>MGF</v>
      </c>
      <c r="L421" s="60" t="s">
        <v>509</v>
      </c>
      <c r="M421" s="73">
        <v>45692.46533564815</v>
      </c>
      <c r="P421" s="69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105</v>
      </c>
      <c r="R421" s="69" t="s">
        <v>549</v>
      </c>
      <c r="S421" s="60"/>
    </row>
    <row r="422" spans="1:19" hidden="1">
      <c r="A422" s="62" t="s">
        <v>1743</v>
      </c>
      <c r="B422" s="60" t="str">
        <f>IFERROR(VLOOKUP(Proc[[#This Row],[App]],Table2[],3,0),"open")</f>
        <v>ok</v>
      </c>
      <c r="C422" s="62" t="s">
        <v>369</v>
      </c>
      <c r="D422" t="s">
        <v>487</v>
      </c>
      <c r="E422" t="s">
        <v>631</v>
      </c>
      <c r="F422" s="105" t="s">
        <v>631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1</v>
      </c>
      <c r="K422" s="60" t="str">
        <f>IF(Proc[[#This Row],[Author]]="Marcela Urrego",VLOOKUP(LEFT(Proc[[#This Row],[Requested]],1),Table3[#All],2,0),VLOOKUP(Proc[[#This Row],[Author]],Table4[],2,0))</f>
        <v>MGF</v>
      </c>
      <c r="L422" s="60" t="s">
        <v>509</v>
      </c>
      <c r="M422" s="73">
        <v>45692.46533564815</v>
      </c>
      <c r="P422" s="69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105</v>
      </c>
      <c r="R422" s="69" t="s">
        <v>549</v>
      </c>
      <c r="S422" s="60"/>
    </row>
    <row r="423" spans="1:19" hidden="1">
      <c r="A423" s="62" t="s">
        <v>1743</v>
      </c>
      <c r="B423" s="60" t="str">
        <f>IFERROR(VLOOKUP(Proc[[#This Row],[App]],Table2[],3,0),"open")</f>
        <v>ok</v>
      </c>
      <c r="C423" s="62" t="s">
        <v>369</v>
      </c>
      <c r="D423" t="s">
        <v>464</v>
      </c>
      <c r="E423" t="s">
        <v>631</v>
      </c>
      <c r="F423" s="105" t="s">
        <v>631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1</v>
      </c>
      <c r="K423" s="60" t="str">
        <f>IF(Proc[[#This Row],[Author]]="Marcela Urrego",VLOOKUP(LEFT(Proc[[#This Row],[Requested]],1),Table3[#All],2,0),VLOOKUP(Proc[[#This Row],[Author]],Table4[],2,0))</f>
        <v>MGF</v>
      </c>
      <c r="L423" s="60" t="s">
        <v>509</v>
      </c>
      <c r="M423" s="73">
        <v>45692.46533564815</v>
      </c>
      <c r="P423" s="69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105</v>
      </c>
      <c r="R423" s="69" t="s">
        <v>549</v>
      </c>
      <c r="S423" s="60"/>
    </row>
    <row r="424" spans="1:19" hidden="1">
      <c r="A424" t="s">
        <v>1743</v>
      </c>
      <c r="B424" s="60" t="str">
        <f>IFERROR(VLOOKUP(Proc[[#This Row],[App]],Table2[],3,0),"open")</f>
        <v>ok</v>
      </c>
      <c r="C424" s="62" t="s">
        <v>369</v>
      </c>
      <c r="D424" t="s">
        <v>1739</v>
      </c>
      <c r="E424" t="s">
        <v>631</v>
      </c>
      <c r="F424" s="105" t="s">
        <v>631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1</v>
      </c>
      <c r="K424" s="60" t="str">
        <f>IF(Proc[[#This Row],[Author]]="Marcela Urrego",VLOOKUP(LEFT(Proc[[#This Row],[Requested]],1),Table3[#All],2,0),VLOOKUP(Proc[[#This Row],[Author]],Table4[],2,0))</f>
        <v>MGF</v>
      </c>
      <c r="L424" s="60" t="s">
        <v>509</v>
      </c>
      <c r="M424" s="73">
        <v>45692.46533564815</v>
      </c>
      <c r="P424" s="69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105</v>
      </c>
      <c r="R424" s="69" t="s">
        <v>549</v>
      </c>
      <c r="S424" s="60"/>
    </row>
    <row r="425" spans="1:19" hidden="1">
      <c r="A425" t="s">
        <v>1743</v>
      </c>
      <c r="B425" s="60" t="str">
        <f>IFERROR(VLOOKUP(Proc[[#This Row],[App]],Table2[],3,0),"open")</f>
        <v>ok</v>
      </c>
      <c r="C425" t="s">
        <v>369</v>
      </c>
      <c r="D425" t="s">
        <v>1740</v>
      </c>
      <c r="E425" t="s">
        <v>631</v>
      </c>
      <c r="F425" s="105" t="s">
        <v>631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1</v>
      </c>
      <c r="K425" s="60" t="str">
        <f>IF(Proc[[#This Row],[Author]]="Marcela Urrego",VLOOKUP(LEFT(Proc[[#This Row],[Requested]],1),Table3[#All],2,0),VLOOKUP(Proc[[#This Row],[Author]],Table4[],2,0))</f>
        <v>MGF</v>
      </c>
      <c r="L425" s="60" t="s">
        <v>509</v>
      </c>
      <c r="M425" s="73">
        <v>45692.46533564815</v>
      </c>
      <c r="P425" s="69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105</v>
      </c>
      <c r="R425" s="69" t="s">
        <v>549</v>
      </c>
      <c r="S425" s="60"/>
    </row>
    <row r="426" spans="1:19" hidden="1">
      <c r="A426" s="62" t="s">
        <v>1743</v>
      </c>
      <c r="B426" s="60" t="str">
        <f>IFERROR(VLOOKUP(Proc[[#This Row],[App]],Table2[],3,0),"open")</f>
        <v>ok</v>
      </c>
      <c r="C426" s="62" t="s">
        <v>369</v>
      </c>
      <c r="D426" t="s">
        <v>454</v>
      </c>
      <c r="E426" t="s">
        <v>631</v>
      </c>
      <c r="F426" s="105" t="s">
        <v>631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1</v>
      </c>
      <c r="K426" s="60" t="str">
        <f>IF(Proc[[#This Row],[Author]]="Marcela Urrego",VLOOKUP(LEFT(Proc[[#This Row],[Requested]],1),Table3[#All],2,0),VLOOKUP(Proc[[#This Row],[Author]],Table4[],2,0))</f>
        <v>MGF</v>
      </c>
      <c r="L426" s="60" t="s">
        <v>509</v>
      </c>
      <c r="M426" s="73">
        <v>45692.46533564815</v>
      </c>
      <c r="P426" s="69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105</v>
      </c>
      <c r="R426" s="69" t="s">
        <v>549</v>
      </c>
      <c r="S426" s="60"/>
    </row>
    <row r="427" spans="1:19" hidden="1">
      <c r="A427" s="62" t="s">
        <v>1743</v>
      </c>
      <c r="B427" s="60" t="str">
        <f>IFERROR(VLOOKUP(Proc[[#This Row],[App]],Table2[],3,0),"open")</f>
        <v>ok</v>
      </c>
      <c r="C427" s="62" t="s">
        <v>369</v>
      </c>
      <c r="D427" t="s">
        <v>1741</v>
      </c>
      <c r="E427" t="s">
        <v>631</v>
      </c>
      <c r="F427" s="105" t="s">
        <v>631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1</v>
      </c>
      <c r="K427" s="60" t="str">
        <f>IF(Proc[[#This Row],[Author]]="Marcela Urrego",VLOOKUP(LEFT(Proc[[#This Row],[Requested]],1),Table3[#All],2,0),VLOOKUP(Proc[[#This Row],[Author]],Table4[],2,0))</f>
        <v>MGF</v>
      </c>
      <c r="L427" s="60" t="s">
        <v>509</v>
      </c>
      <c r="M427" s="73">
        <v>45692.46533564815</v>
      </c>
      <c r="P427" s="69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105</v>
      </c>
      <c r="R427" s="69" t="s">
        <v>549</v>
      </c>
      <c r="S427" s="60"/>
    </row>
    <row r="428" spans="1:19" hidden="1">
      <c r="A428" s="62" t="s">
        <v>1743</v>
      </c>
      <c r="B428" s="60" t="str">
        <f>IFERROR(VLOOKUP(Proc[[#This Row],[App]],Table2[],3,0),"open")</f>
        <v>ok</v>
      </c>
      <c r="C428" s="62" t="s">
        <v>369</v>
      </c>
      <c r="D428" t="s">
        <v>1742</v>
      </c>
      <c r="E428" t="s">
        <v>631</v>
      </c>
      <c r="F428" s="105" t="s">
        <v>631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1</v>
      </c>
      <c r="K428" s="60" t="str">
        <f>IF(Proc[[#This Row],[Author]]="Marcela Urrego",VLOOKUP(LEFT(Proc[[#This Row],[Requested]],1),Table3[#All],2,0),VLOOKUP(Proc[[#This Row],[Author]],Table4[],2,0))</f>
        <v>MGF</v>
      </c>
      <c r="L428" s="60" t="s">
        <v>509</v>
      </c>
      <c r="M428" s="73">
        <v>45692.46533564815</v>
      </c>
      <c r="P428" s="69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105</v>
      </c>
      <c r="R428" s="69" t="s">
        <v>549</v>
      </c>
      <c r="S428" s="60"/>
    </row>
    <row r="429" spans="1:19" hidden="1">
      <c r="A429" t="s">
        <v>1809</v>
      </c>
      <c r="B429" s="60" t="str">
        <f>IFERROR(VLOOKUP(Proc[[#This Row],[App]],Table2[],3,0),"open")</f>
        <v>ok</v>
      </c>
      <c r="C429" s="62" t="s">
        <v>369</v>
      </c>
      <c r="D429" t="s">
        <v>1810</v>
      </c>
      <c r="E429" t="s">
        <v>476</v>
      </c>
      <c r="F429" s="105" t="s">
        <v>476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1</v>
      </c>
      <c r="K429" s="60" t="str">
        <f>IF(Proc[[#This Row],[Author]]="Marcela Urrego",VLOOKUP(LEFT(Proc[[#This Row],[Requested]],1),Table3[#All],2,0),VLOOKUP(Proc[[#This Row],[Author]],Table4[],2,0))</f>
        <v>MGF</v>
      </c>
      <c r="L429" s="60" t="s">
        <v>509</v>
      </c>
      <c r="M429" s="73">
        <v>45693.602835648147</v>
      </c>
      <c r="P429" s="69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104</v>
      </c>
      <c r="R429" s="69" t="s">
        <v>515</v>
      </c>
      <c r="S429" s="60"/>
    </row>
    <row r="430" spans="1:19" hidden="1">
      <c r="A430" s="62" t="s">
        <v>1809</v>
      </c>
      <c r="B430" s="60" t="str">
        <f>IFERROR(VLOOKUP(Proc[[#This Row],[App]],Table2[],3,0),"open")</f>
        <v>ok</v>
      </c>
      <c r="C430" s="62" t="s">
        <v>369</v>
      </c>
      <c r="D430" t="s">
        <v>1811</v>
      </c>
      <c r="E430" t="s">
        <v>476</v>
      </c>
      <c r="F430" s="105" t="s">
        <v>476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1</v>
      </c>
      <c r="K430" s="60" t="str">
        <f>IF(Proc[[#This Row],[Author]]="Marcela Urrego",VLOOKUP(LEFT(Proc[[#This Row],[Requested]],1),Table3[#All],2,0),VLOOKUP(Proc[[#This Row],[Author]],Table4[],2,0))</f>
        <v>MGF</v>
      </c>
      <c r="L430" s="60" t="s">
        <v>509</v>
      </c>
      <c r="M430" s="73">
        <v>45693.602835648147</v>
      </c>
      <c r="P430" s="69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104</v>
      </c>
      <c r="R430" s="69" t="s">
        <v>515</v>
      </c>
      <c r="S430" s="60"/>
    </row>
    <row r="431" spans="1:19" hidden="1">
      <c r="A431" s="62" t="s">
        <v>1809</v>
      </c>
      <c r="B431" s="60" t="str">
        <f>IFERROR(VLOOKUP(Proc[[#This Row],[App]],Table2[],3,0),"open")</f>
        <v>ok</v>
      </c>
      <c r="C431" s="62" t="s">
        <v>369</v>
      </c>
      <c r="D431" t="s">
        <v>1812</v>
      </c>
      <c r="E431" t="s">
        <v>541</v>
      </c>
      <c r="F431" s="105" t="s">
        <v>541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1</v>
      </c>
      <c r="K431" s="60" t="str">
        <f>IF(Proc[[#This Row],[Author]]="Marcela Urrego",VLOOKUP(LEFT(Proc[[#This Row],[Requested]],1),Table3[#All],2,0),VLOOKUP(Proc[[#This Row],[Author]],Table4[],2,0))</f>
        <v>MGF</v>
      </c>
      <c r="L431" s="60" t="s">
        <v>509</v>
      </c>
      <c r="M431" s="73">
        <v>45693.602835648147</v>
      </c>
      <c r="P431" s="69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104</v>
      </c>
      <c r="R431" s="69" t="s">
        <v>515</v>
      </c>
      <c r="S431" s="60"/>
    </row>
    <row r="432" spans="1:19" hidden="1">
      <c r="A432" s="62" t="s">
        <v>1751</v>
      </c>
      <c r="B432" s="60" t="str">
        <f>IFERROR(VLOOKUP(Proc[[#This Row],[App]],Table2[],3,0),"open")</f>
        <v>ok</v>
      </c>
      <c r="C432" s="62" t="s">
        <v>369</v>
      </c>
      <c r="D432" t="s">
        <v>1752</v>
      </c>
      <c r="E432" t="s">
        <v>1808</v>
      </c>
      <c r="F432" s="105" t="s">
        <v>1808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1</v>
      </c>
      <c r="K432" s="60" t="str">
        <f>IF(Proc[[#This Row],[Author]]="Marcela Urrego",VLOOKUP(LEFT(Proc[[#This Row],[Requested]],1),Table3[#All],2,0),VLOOKUP(Proc[[#This Row],[Author]],Table4[],2,0))</f>
        <v>LS</v>
      </c>
      <c r="L432" s="60" t="s">
        <v>509</v>
      </c>
      <c r="M432" s="73">
        <v>45693.65792824074</v>
      </c>
      <c r="P432" s="69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104</v>
      </c>
      <c r="R432" s="69" t="s">
        <v>830</v>
      </c>
      <c r="S432" s="60"/>
    </row>
    <row r="433" spans="1:19" hidden="1">
      <c r="A433" s="62" t="s">
        <v>1751</v>
      </c>
      <c r="B433" s="60" t="str">
        <f>IFERROR(VLOOKUP(Proc[[#This Row],[App]],Table2[],3,0),"open")</f>
        <v>ok</v>
      </c>
      <c r="C433" s="62" t="s">
        <v>369</v>
      </c>
      <c r="D433" t="s">
        <v>1753</v>
      </c>
      <c r="E433" t="s">
        <v>1808</v>
      </c>
      <c r="F433" s="105" t="s">
        <v>1808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1</v>
      </c>
      <c r="K433" s="60" t="str">
        <f>IF(Proc[[#This Row],[Author]]="Marcela Urrego",VLOOKUP(LEFT(Proc[[#This Row],[Requested]],1),Table3[#All],2,0),VLOOKUP(Proc[[#This Row],[Author]],Table4[],2,0))</f>
        <v>LS</v>
      </c>
      <c r="L433" s="60" t="s">
        <v>509</v>
      </c>
      <c r="M433" s="73">
        <v>45693.65792824074</v>
      </c>
      <c r="P433" s="69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104</v>
      </c>
      <c r="R433" s="69" t="s">
        <v>830</v>
      </c>
      <c r="S433" s="60"/>
    </row>
    <row r="434" spans="1:19" hidden="1">
      <c r="A434" s="62" t="s">
        <v>1751</v>
      </c>
      <c r="B434" s="60" t="str">
        <f>IFERROR(VLOOKUP(Proc[[#This Row],[App]],Table2[],3,0),"open")</f>
        <v>ok</v>
      </c>
      <c r="C434" s="62" t="s">
        <v>369</v>
      </c>
      <c r="D434" t="s">
        <v>1754</v>
      </c>
      <c r="E434" t="s">
        <v>1808</v>
      </c>
      <c r="F434" s="105" t="s">
        <v>1808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1</v>
      </c>
      <c r="K434" s="60" t="str">
        <f>IF(Proc[[#This Row],[Author]]="Marcela Urrego",VLOOKUP(LEFT(Proc[[#This Row],[Requested]],1),Table3[#All],2,0),VLOOKUP(Proc[[#This Row],[Author]],Table4[],2,0))</f>
        <v>LS</v>
      </c>
      <c r="L434" s="60" t="s">
        <v>509</v>
      </c>
      <c r="M434" s="73">
        <v>45693.65792824074</v>
      </c>
      <c r="P434" s="69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104</v>
      </c>
      <c r="R434" s="69" t="s">
        <v>830</v>
      </c>
      <c r="S434" s="60"/>
    </row>
    <row r="435" spans="1:19" hidden="1">
      <c r="A435" s="62" t="s">
        <v>1751</v>
      </c>
      <c r="B435" s="60" t="str">
        <f>IFERROR(VLOOKUP(Proc[[#This Row],[App]],Table2[],3,0),"open")</f>
        <v>ok</v>
      </c>
      <c r="C435" s="62" t="s">
        <v>369</v>
      </c>
      <c r="D435" t="s">
        <v>1755</v>
      </c>
      <c r="E435" t="s">
        <v>1808</v>
      </c>
      <c r="F435" s="105" t="s">
        <v>1808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1</v>
      </c>
      <c r="K435" s="60" t="str">
        <f>IF(Proc[[#This Row],[Author]]="Marcela Urrego",VLOOKUP(LEFT(Proc[[#This Row],[Requested]],1),Table3[#All],2,0),VLOOKUP(Proc[[#This Row],[Author]],Table4[],2,0))</f>
        <v>LS</v>
      </c>
      <c r="L435" s="60" t="s">
        <v>509</v>
      </c>
      <c r="M435" s="73">
        <v>45693.65792824074</v>
      </c>
      <c r="P435" s="69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104</v>
      </c>
      <c r="R435" s="69" t="s">
        <v>830</v>
      </c>
      <c r="S435" s="60"/>
    </row>
    <row r="436" spans="1:19" hidden="1">
      <c r="A436" s="62" t="s">
        <v>1751</v>
      </c>
      <c r="B436" s="60" t="str">
        <f>IFERROR(VLOOKUP(Proc[[#This Row],[App]],Table2[],3,0),"open")</f>
        <v>ok</v>
      </c>
      <c r="C436" s="62" t="s">
        <v>369</v>
      </c>
      <c r="D436" t="s">
        <v>1756</v>
      </c>
      <c r="E436" t="s">
        <v>1808</v>
      </c>
      <c r="F436" s="105" t="s">
        <v>1808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1</v>
      </c>
      <c r="K436" s="60" t="str">
        <f>IF(Proc[[#This Row],[Author]]="Marcela Urrego",VLOOKUP(LEFT(Proc[[#This Row],[Requested]],1),Table3[#All],2,0),VLOOKUP(Proc[[#This Row],[Author]],Table4[],2,0))</f>
        <v>LS</v>
      </c>
      <c r="L436" s="60" t="s">
        <v>509</v>
      </c>
      <c r="M436" s="73">
        <v>45693.65792824074</v>
      </c>
      <c r="P436" s="69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104</v>
      </c>
      <c r="R436" s="69" t="s">
        <v>830</v>
      </c>
      <c r="S436" s="60"/>
    </row>
    <row r="437" spans="1:19" hidden="1">
      <c r="A437" s="62" t="s">
        <v>1751</v>
      </c>
      <c r="B437" s="60" t="str">
        <f>IFERROR(VLOOKUP(Proc[[#This Row],[App]],Table2[],3,0),"open")</f>
        <v>ok</v>
      </c>
      <c r="C437" s="62" t="s">
        <v>369</v>
      </c>
      <c r="D437" t="s">
        <v>1757</v>
      </c>
      <c r="E437" t="s">
        <v>1808</v>
      </c>
      <c r="F437" s="105" t="s">
        <v>1808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1</v>
      </c>
      <c r="K437" s="60" t="str">
        <f>IF(Proc[[#This Row],[Author]]="Marcela Urrego",VLOOKUP(LEFT(Proc[[#This Row],[Requested]],1),Table3[#All],2,0),VLOOKUP(Proc[[#This Row],[Author]],Table4[],2,0))</f>
        <v>LS</v>
      </c>
      <c r="L437" s="60" t="s">
        <v>509</v>
      </c>
      <c r="M437" s="73">
        <v>45693.65792824074</v>
      </c>
      <c r="P437" s="69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104</v>
      </c>
      <c r="R437" s="69" t="s">
        <v>830</v>
      </c>
      <c r="S437" s="60"/>
    </row>
    <row r="438" spans="1:19" hidden="1">
      <c r="A438" s="62" t="s">
        <v>1751</v>
      </c>
      <c r="B438" s="60" t="str">
        <f>IFERROR(VLOOKUP(Proc[[#This Row],[App]],Table2[],3,0),"open")</f>
        <v>ok</v>
      </c>
      <c r="C438" s="62" t="s">
        <v>369</v>
      </c>
      <c r="D438" t="s">
        <v>1758</v>
      </c>
      <c r="E438" t="s">
        <v>1808</v>
      </c>
      <c r="F438" s="105" t="s">
        <v>1808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1</v>
      </c>
      <c r="K438" s="60" t="str">
        <f>IF(Proc[[#This Row],[Author]]="Marcela Urrego",VLOOKUP(LEFT(Proc[[#This Row],[Requested]],1),Table3[#All],2,0),VLOOKUP(Proc[[#This Row],[Author]],Table4[],2,0))</f>
        <v>LS</v>
      </c>
      <c r="L438" s="60" t="s">
        <v>509</v>
      </c>
      <c r="M438" s="73">
        <v>45693.65792824074</v>
      </c>
      <c r="P438" s="69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104</v>
      </c>
      <c r="R438" s="69" t="s">
        <v>830</v>
      </c>
      <c r="S438" s="60"/>
    </row>
    <row r="439" spans="1:19" hidden="1">
      <c r="A439" s="62" t="s">
        <v>1751</v>
      </c>
      <c r="B439" s="60" t="str">
        <f>IFERROR(VLOOKUP(Proc[[#This Row],[App]],Table2[],3,0),"open")</f>
        <v>ok</v>
      </c>
      <c r="C439" s="62" t="s">
        <v>369</v>
      </c>
      <c r="D439" t="s">
        <v>1759</v>
      </c>
      <c r="E439" t="s">
        <v>1808</v>
      </c>
      <c r="F439" s="105" t="s">
        <v>1808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1</v>
      </c>
      <c r="K439" s="60" t="str">
        <f>IF(Proc[[#This Row],[Author]]="Marcela Urrego",VLOOKUP(LEFT(Proc[[#This Row],[Requested]],1),Table3[#All],2,0),VLOOKUP(Proc[[#This Row],[Author]],Table4[],2,0))</f>
        <v>LS</v>
      </c>
      <c r="L439" s="60" t="s">
        <v>509</v>
      </c>
      <c r="M439" s="73">
        <v>45693.65792824074</v>
      </c>
      <c r="P439" s="69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104</v>
      </c>
      <c r="R439" s="69" t="s">
        <v>830</v>
      </c>
      <c r="S439" s="60"/>
    </row>
    <row r="440" spans="1:19" hidden="1">
      <c r="A440" s="62" t="s">
        <v>1751</v>
      </c>
      <c r="B440" s="60" t="str">
        <f>IFERROR(VLOOKUP(Proc[[#This Row],[App]],Table2[],3,0),"open")</f>
        <v>ok</v>
      </c>
      <c r="C440" s="62" t="s">
        <v>369</v>
      </c>
      <c r="D440" t="s">
        <v>1760</v>
      </c>
      <c r="E440" t="s">
        <v>1808</v>
      </c>
      <c r="F440" s="105" t="s">
        <v>1808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1</v>
      </c>
      <c r="K440" s="60" t="str">
        <f>IF(Proc[[#This Row],[Author]]="Marcela Urrego",VLOOKUP(LEFT(Proc[[#This Row],[Requested]],1),Table3[#All],2,0),VLOOKUP(Proc[[#This Row],[Author]],Table4[],2,0))</f>
        <v>LS</v>
      </c>
      <c r="L440" s="60" t="s">
        <v>509</v>
      </c>
      <c r="M440" s="73">
        <v>45693.65792824074</v>
      </c>
      <c r="P440" s="69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104</v>
      </c>
      <c r="R440" s="69" t="s">
        <v>830</v>
      </c>
      <c r="S440" s="60"/>
    </row>
    <row r="441" spans="1:19" hidden="1">
      <c r="A441" s="62" t="s">
        <v>1751</v>
      </c>
      <c r="B441" s="60" t="str">
        <f>IFERROR(VLOOKUP(Proc[[#This Row],[App]],Table2[],3,0),"open")</f>
        <v>ok</v>
      </c>
      <c r="C441" s="62" t="s">
        <v>369</v>
      </c>
      <c r="D441" t="s">
        <v>1761</v>
      </c>
      <c r="E441" t="s">
        <v>1808</v>
      </c>
      <c r="F441" s="105" t="s">
        <v>1808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1</v>
      </c>
      <c r="K441" s="60" t="str">
        <f>IF(Proc[[#This Row],[Author]]="Marcela Urrego",VLOOKUP(LEFT(Proc[[#This Row],[Requested]],1),Table3[#All],2,0),VLOOKUP(Proc[[#This Row],[Author]],Table4[],2,0))</f>
        <v>LS</v>
      </c>
      <c r="L441" s="60" t="s">
        <v>509</v>
      </c>
      <c r="M441" s="73">
        <v>45693.65792824074</v>
      </c>
      <c r="P441" s="69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104</v>
      </c>
      <c r="R441" s="69" t="s">
        <v>830</v>
      </c>
      <c r="S441" s="60"/>
    </row>
    <row r="442" spans="1:19" hidden="1">
      <c r="A442" s="62" t="s">
        <v>1751</v>
      </c>
      <c r="B442" s="60" t="str">
        <f>IFERROR(VLOOKUP(Proc[[#This Row],[App]],Table2[],3,0),"open")</f>
        <v>ok</v>
      </c>
      <c r="C442" s="62" t="s">
        <v>369</v>
      </c>
      <c r="D442" t="s">
        <v>1762</v>
      </c>
      <c r="E442" t="s">
        <v>1808</v>
      </c>
      <c r="F442" s="105" t="s">
        <v>1808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1</v>
      </c>
      <c r="K442" s="60" t="str">
        <f>IF(Proc[[#This Row],[Author]]="Marcela Urrego",VLOOKUP(LEFT(Proc[[#This Row],[Requested]],1),Table3[#All],2,0),VLOOKUP(Proc[[#This Row],[Author]],Table4[],2,0))</f>
        <v>LS</v>
      </c>
      <c r="L442" s="60" t="s">
        <v>509</v>
      </c>
      <c r="M442" s="73">
        <v>45693.65792824074</v>
      </c>
      <c r="P442" s="69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104</v>
      </c>
      <c r="R442" s="69" t="s">
        <v>830</v>
      </c>
      <c r="S442" s="60"/>
    </row>
    <row r="443" spans="1:19" hidden="1">
      <c r="A443" s="62" t="s">
        <v>1751</v>
      </c>
      <c r="B443" s="60" t="str">
        <f>IFERROR(VLOOKUP(Proc[[#This Row],[App]],Table2[],3,0),"open")</f>
        <v>ok</v>
      </c>
      <c r="C443" s="62" t="s">
        <v>369</v>
      </c>
      <c r="D443" t="s">
        <v>1763</v>
      </c>
      <c r="E443" t="s">
        <v>1808</v>
      </c>
      <c r="F443" s="105" t="s">
        <v>1808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1</v>
      </c>
      <c r="K443" s="60" t="str">
        <f>IF(Proc[[#This Row],[Author]]="Marcela Urrego",VLOOKUP(LEFT(Proc[[#This Row],[Requested]],1),Table3[#All],2,0),VLOOKUP(Proc[[#This Row],[Author]],Table4[],2,0))</f>
        <v>LS</v>
      </c>
      <c r="L443" s="60" t="s">
        <v>509</v>
      </c>
      <c r="M443" s="73">
        <v>45693.65792824074</v>
      </c>
      <c r="P443" s="69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104</v>
      </c>
      <c r="R443" s="69" t="s">
        <v>830</v>
      </c>
      <c r="S443" s="60"/>
    </row>
    <row r="444" spans="1:19" hidden="1">
      <c r="A444" s="62" t="s">
        <v>1751</v>
      </c>
      <c r="B444" s="60" t="str">
        <f>IFERROR(VLOOKUP(Proc[[#This Row],[App]],Table2[],3,0),"open")</f>
        <v>ok</v>
      </c>
      <c r="C444" s="62" t="s">
        <v>369</v>
      </c>
      <c r="D444" t="s">
        <v>1764</v>
      </c>
      <c r="E444" t="s">
        <v>1808</v>
      </c>
      <c r="F444" s="105" t="s">
        <v>1808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1</v>
      </c>
      <c r="K444" s="60" t="str">
        <f>IF(Proc[[#This Row],[Author]]="Marcela Urrego",VLOOKUP(LEFT(Proc[[#This Row],[Requested]],1),Table3[#All],2,0),VLOOKUP(Proc[[#This Row],[Author]],Table4[],2,0))</f>
        <v>LS</v>
      </c>
      <c r="L444" s="60" t="s">
        <v>509</v>
      </c>
      <c r="M444" s="73">
        <v>45693.65792824074</v>
      </c>
      <c r="P444" s="69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104</v>
      </c>
      <c r="R444" s="69" t="s">
        <v>830</v>
      </c>
      <c r="S444" s="60"/>
    </row>
    <row r="445" spans="1:19" hidden="1">
      <c r="A445" s="62" t="s">
        <v>1751</v>
      </c>
      <c r="B445" s="60" t="str">
        <f>IFERROR(VLOOKUP(Proc[[#This Row],[App]],Table2[],3,0),"open")</f>
        <v>ok</v>
      </c>
      <c r="C445" s="62" t="s">
        <v>369</v>
      </c>
      <c r="D445" t="s">
        <v>1765</v>
      </c>
      <c r="E445" t="s">
        <v>1808</v>
      </c>
      <c r="F445" s="105" t="s">
        <v>1808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1</v>
      </c>
      <c r="K445" s="60" t="str">
        <f>IF(Proc[[#This Row],[Author]]="Marcela Urrego",VLOOKUP(LEFT(Proc[[#This Row],[Requested]],1),Table3[#All],2,0),VLOOKUP(Proc[[#This Row],[Author]],Table4[],2,0))</f>
        <v>LS</v>
      </c>
      <c r="L445" s="60" t="s">
        <v>509</v>
      </c>
      <c r="M445" s="73">
        <v>45693.65792824074</v>
      </c>
      <c r="P445" s="69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104</v>
      </c>
      <c r="R445" s="69" t="s">
        <v>830</v>
      </c>
      <c r="S445" s="60"/>
    </row>
    <row r="446" spans="1:19" hidden="1">
      <c r="A446" s="62" t="s">
        <v>1751</v>
      </c>
      <c r="B446" s="60" t="str">
        <f>IFERROR(VLOOKUP(Proc[[#This Row],[App]],Table2[],3,0),"open")</f>
        <v>ok</v>
      </c>
      <c r="C446" s="62" t="s">
        <v>369</v>
      </c>
      <c r="D446" t="s">
        <v>1766</v>
      </c>
      <c r="E446" t="s">
        <v>1808</v>
      </c>
      <c r="F446" s="105" t="s">
        <v>1808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1</v>
      </c>
      <c r="K446" s="60" t="str">
        <f>IF(Proc[[#This Row],[Author]]="Marcela Urrego",VLOOKUP(LEFT(Proc[[#This Row],[Requested]],1),Table3[#All],2,0),VLOOKUP(Proc[[#This Row],[Author]],Table4[],2,0))</f>
        <v>LS</v>
      </c>
      <c r="L446" s="60" t="s">
        <v>509</v>
      </c>
      <c r="M446" s="73">
        <v>45693.65792824074</v>
      </c>
      <c r="P446" s="69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104</v>
      </c>
      <c r="R446" s="69" t="s">
        <v>830</v>
      </c>
      <c r="S446" s="60"/>
    </row>
    <row r="447" spans="1:19" hidden="1">
      <c r="A447" s="62" t="s">
        <v>1751</v>
      </c>
      <c r="B447" s="60" t="str">
        <f>IFERROR(VLOOKUP(Proc[[#This Row],[App]],Table2[],3,0),"open")</f>
        <v>ok</v>
      </c>
      <c r="C447" s="62" t="s">
        <v>369</v>
      </c>
      <c r="D447" t="s">
        <v>1767</v>
      </c>
      <c r="E447" t="s">
        <v>1808</v>
      </c>
      <c r="F447" s="105" t="s">
        <v>1808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1</v>
      </c>
      <c r="K447" s="60" t="str">
        <f>IF(Proc[[#This Row],[Author]]="Marcela Urrego",VLOOKUP(LEFT(Proc[[#This Row],[Requested]],1),Table3[#All],2,0),VLOOKUP(Proc[[#This Row],[Author]],Table4[],2,0))</f>
        <v>LS</v>
      </c>
      <c r="L447" s="60" t="s">
        <v>509</v>
      </c>
      <c r="M447" s="73">
        <v>45693.65792824074</v>
      </c>
      <c r="P447" s="69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104</v>
      </c>
      <c r="R447" s="69" t="s">
        <v>830</v>
      </c>
      <c r="S447" s="60"/>
    </row>
    <row r="448" spans="1:19" hidden="1">
      <c r="A448" s="62" t="s">
        <v>1751</v>
      </c>
      <c r="B448" s="60" t="str">
        <f>IFERROR(VLOOKUP(Proc[[#This Row],[App]],Table2[],3,0),"open")</f>
        <v>ok</v>
      </c>
      <c r="C448" s="62" t="s">
        <v>369</v>
      </c>
      <c r="D448" t="s">
        <v>1768</v>
      </c>
      <c r="E448" t="s">
        <v>1808</v>
      </c>
      <c r="F448" s="105" t="s">
        <v>1808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1</v>
      </c>
      <c r="K448" s="60" t="str">
        <f>IF(Proc[[#This Row],[Author]]="Marcela Urrego",VLOOKUP(LEFT(Proc[[#This Row],[Requested]],1),Table3[#All],2,0),VLOOKUP(Proc[[#This Row],[Author]],Table4[],2,0))</f>
        <v>LS</v>
      </c>
      <c r="L448" s="60" t="s">
        <v>509</v>
      </c>
      <c r="M448" s="73">
        <v>45693.65792824074</v>
      </c>
      <c r="P448" s="69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104</v>
      </c>
      <c r="R448" s="69" t="s">
        <v>830</v>
      </c>
      <c r="S448" s="60"/>
    </row>
    <row r="449" spans="1:19" hidden="1">
      <c r="A449" s="62" t="s">
        <v>1751</v>
      </c>
      <c r="B449" s="60" t="str">
        <f>IFERROR(VLOOKUP(Proc[[#This Row],[App]],Table2[],3,0),"open")</f>
        <v>ok</v>
      </c>
      <c r="C449" s="62" t="s">
        <v>369</v>
      </c>
      <c r="D449" t="s">
        <v>1769</v>
      </c>
      <c r="E449" t="s">
        <v>1808</v>
      </c>
      <c r="F449" s="105" t="s">
        <v>1808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1</v>
      </c>
      <c r="K449" s="60" t="str">
        <f>IF(Proc[[#This Row],[Author]]="Marcela Urrego",VLOOKUP(LEFT(Proc[[#This Row],[Requested]],1),Table3[#All],2,0),VLOOKUP(Proc[[#This Row],[Author]],Table4[],2,0))</f>
        <v>LS</v>
      </c>
      <c r="L449" s="60" t="s">
        <v>509</v>
      </c>
      <c r="M449" s="73">
        <v>45693.65792824074</v>
      </c>
      <c r="P449" s="69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104</v>
      </c>
      <c r="R449" s="69" t="s">
        <v>830</v>
      </c>
      <c r="S449" s="60"/>
    </row>
    <row r="450" spans="1:19" hidden="1">
      <c r="A450" s="62" t="s">
        <v>1751</v>
      </c>
      <c r="B450" s="60" t="str">
        <f>IFERROR(VLOOKUP(Proc[[#This Row],[App]],Table2[],3,0),"open")</f>
        <v>ok</v>
      </c>
      <c r="C450" s="62" t="s">
        <v>369</v>
      </c>
      <c r="D450" t="s">
        <v>1770</v>
      </c>
      <c r="E450" t="s">
        <v>1808</v>
      </c>
      <c r="F450" s="105" t="s">
        <v>1808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1</v>
      </c>
      <c r="K450" s="60" t="str">
        <f>IF(Proc[[#This Row],[Author]]="Marcela Urrego",VLOOKUP(LEFT(Proc[[#This Row],[Requested]],1),Table3[#All],2,0),VLOOKUP(Proc[[#This Row],[Author]],Table4[],2,0))</f>
        <v>LS</v>
      </c>
      <c r="L450" s="60" t="s">
        <v>509</v>
      </c>
      <c r="M450" s="73">
        <v>45693.65792824074</v>
      </c>
      <c r="P450" s="69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104</v>
      </c>
      <c r="R450" s="69" t="s">
        <v>830</v>
      </c>
      <c r="S450" s="60"/>
    </row>
    <row r="451" spans="1:19" hidden="1">
      <c r="A451" s="62" t="s">
        <v>1751</v>
      </c>
      <c r="B451" s="60" t="str">
        <f>IFERROR(VLOOKUP(Proc[[#This Row],[App]],Table2[],3,0),"open")</f>
        <v>ok</v>
      </c>
      <c r="C451" s="62" t="s">
        <v>369</v>
      </c>
      <c r="D451" t="s">
        <v>1771</v>
      </c>
      <c r="E451" t="s">
        <v>1808</v>
      </c>
      <c r="F451" s="105" t="s">
        <v>1808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1</v>
      </c>
      <c r="K451" s="60" t="str">
        <f>IF(Proc[[#This Row],[Author]]="Marcela Urrego",VLOOKUP(LEFT(Proc[[#This Row],[Requested]],1),Table3[#All],2,0),VLOOKUP(Proc[[#This Row],[Author]],Table4[],2,0))</f>
        <v>LS</v>
      </c>
      <c r="L451" s="60" t="s">
        <v>509</v>
      </c>
      <c r="M451" s="73">
        <v>45693.65792824074</v>
      </c>
      <c r="P451" s="69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104</v>
      </c>
      <c r="R451" s="69" t="s">
        <v>830</v>
      </c>
      <c r="S451" s="60"/>
    </row>
    <row r="452" spans="1:19" hidden="1">
      <c r="A452" s="62" t="s">
        <v>1751</v>
      </c>
      <c r="B452" s="60" t="str">
        <f>IFERROR(VLOOKUP(Proc[[#This Row],[App]],Table2[],3,0),"open")</f>
        <v>ok</v>
      </c>
      <c r="C452" s="62" t="s">
        <v>369</v>
      </c>
      <c r="D452" t="s">
        <v>1772</v>
      </c>
      <c r="E452" t="s">
        <v>1808</v>
      </c>
      <c r="F452" s="105" t="s">
        <v>1808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1</v>
      </c>
      <c r="K452" s="60" t="str">
        <f>IF(Proc[[#This Row],[Author]]="Marcela Urrego",VLOOKUP(LEFT(Proc[[#This Row],[Requested]],1),Table3[#All],2,0),VLOOKUP(Proc[[#This Row],[Author]],Table4[],2,0))</f>
        <v>LS</v>
      </c>
      <c r="L452" s="60" t="s">
        <v>509</v>
      </c>
      <c r="M452" s="73">
        <v>45693.65792824074</v>
      </c>
      <c r="P452" s="69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104</v>
      </c>
      <c r="R452" s="69" t="s">
        <v>830</v>
      </c>
      <c r="S452" s="60"/>
    </row>
    <row r="453" spans="1:19" hidden="1">
      <c r="A453" s="62" t="s">
        <v>1751</v>
      </c>
      <c r="B453" s="60" t="str">
        <f>IFERROR(VLOOKUP(Proc[[#This Row],[App]],Table2[],3,0),"open")</f>
        <v>ok</v>
      </c>
      <c r="C453" s="62" t="s">
        <v>369</v>
      </c>
      <c r="D453" t="s">
        <v>1773</v>
      </c>
      <c r="E453" t="s">
        <v>1808</v>
      </c>
      <c r="F453" s="105" t="s">
        <v>1808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1</v>
      </c>
      <c r="K453" s="60" t="str">
        <f>IF(Proc[[#This Row],[Author]]="Marcela Urrego",VLOOKUP(LEFT(Proc[[#This Row],[Requested]],1),Table3[#All],2,0),VLOOKUP(Proc[[#This Row],[Author]],Table4[],2,0))</f>
        <v>LS</v>
      </c>
      <c r="L453" s="60" t="s">
        <v>509</v>
      </c>
      <c r="M453" s="73">
        <v>45693.65792824074</v>
      </c>
      <c r="P453" s="69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104</v>
      </c>
      <c r="R453" s="69" t="s">
        <v>830</v>
      </c>
      <c r="S453" s="60"/>
    </row>
    <row r="454" spans="1:19" hidden="1">
      <c r="A454" s="62" t="s">
        <v>1751</v>
      </c>
      <c r="B454" s="60" t="str">
        <f>IFERROR(VLOOKUP(Proc[[#This Row],[App]],Table2[],3,0),"open")</f>
        <v>ok</v>
      </c>
      <c r="C454" s="62" t="s">
        <v>369</v>
      </c>
      <c r="D454" t="s">
        <v>1774</v>
      </c>
      <c r="E454" t="s">
        <v>1808</v>
      </c>
      <c r="F454" s="105" t="s">
        <v>1808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1</v>
      </c>
      <c r="K454" s="60" t="str">
        <f>IF(Proc[[#This Row],[Author]]="Marcela Urrego",VLOOKUP(LEFT(Proc[[#This Row],[Requested]],1),Table3[#All],2,0),VLOOKUP(Proc[[#This Row],[Author]],Table4[],2,0))</f>
        <v>LS</v>
      </c>
      <c r="L454" s="60" t="s">
        <v>509</v>
      </c>
      <c r="M454" s="73">
        <v>45693.65792824074</v>
      </c>
      <c r="P454" s="69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104</v>
      </c>
      <c r="R454" s="69" t="s">
        <v>830</v>
      </c>
      <c r="S454" s="60"/>
    </row>
    <row r="455" spans="1:19" hidden="1">
      <c r="A455" s="62" t="s">
        <v>1751</v>
      </c>
      <c r="B455" s="60" t="str">
        <f>IFERROR(VLOOKUP(Proc[[#This Row],[App]],Table2[],3,0),"open")</f>
        <v>ok</v>
      </c>
      <c r="C455" s="62" t="s">
        <v>369</v>
      </c>
      <c r="D455" t="s">
        <v>1775</v>
      </c>
      <c r="E455" t="s">
        <v>1808</v>
      </c>
      <c r="F455" s="105" t="s">
        <v>1808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1</v>
      </c>
      <c r="K455" s="60" t="str">
        <f>IF(Proc[[#This Row],[Author]]="Marcela Urrego",VLOOKUP(LEFT(Proc[[#This Row],[Requested]],1),Table3[#All],2,0),VLOOKUP(Proc[[#This Row],[Author]],Table4[],2,0))</f>
        <v>LS</v>
      </c>
      <c r="L455" s="60" t="s">
        <v>509</v>
      </c>
      <c r="M455" s="73">
        <v>45693.65792824074</v>
      </c>
      <c r="P455" s="69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104</v>
      </c>
      <c r="R455" s="69" t="s">
        <v>830</v>
      </c>
      <c r="S455" s="60"/>
    </row>
    <row r="456" spans="1:19" hidden="1">
      <c r="A456" s="62" t="s">
        <v>1751</v>
      </c>
      <c r="B456" s="60" t="str">
        <f>IFERROR(VLOOKUP(Proc[[#This Row],[App]],Table2[],3,0),"open")</f>
        <v>ok</v>
      </c>
      <c r="C456" s="62" t="s">
        <v>369</v>
      </c>
      <c r="D456" t="s">
        <v>1776</v>
      </c>
      <c r="E456" t="s">
        <v>1808</v>
      </c>
      <c r="F456" s="105" t="s">
        <v>1808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1</v>
      </c>
      <c r="K456" s="60" t="str">
        <f>IF(Proc[[#This Row],[Author]]="Marcela Urrego",VLOOKUP(LEFT(Proc[[#This Row],[Requested]],1),Table3[#All],2,0),VLOOKUP(Proc[[#This Row],[Author]],Table4[],2,0))</f>
        <v>LS</v>
      </c>
      <c r="L456" s="60" t="s">
        <v>509</v>
      </c>
      <c r="M456" s="73">
        <v>45693.65792824074</v>
      </c>
      <c r="P456" s="69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104</v>
      </c>
      <c r="R456" s="69" t="s">
        <v>830</v>
      </c>
      <c r="S456" s="60"/>
    </row>
    <row r="457" spans="1:19" hidden="1">
      <c r="A457" s="62" t="s">
        <v>1751</v>
      </c>
      <c r="B457" s="60" t="str">
        <f>IFERROR(VLOOKUP(Proc[[#This Row],[App]],Table2[],3,0),"open")</f>
        <v>ok</v>
      </c>
      <c r="C457" s="62" t="s">
        <v>369</v>
      </c>
      <c r="D457" t="s">
        <v>1777</v>
      </c>
      <c r="E457" t="s">
        <v>1808</v>
      </c>
      <c r="F457" s="105" t="s">
        <v>1808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1</v>
      </c>
      <c r="K457" s="60" t="str">
        <f>IF(Proc[[#This Row],[Author]]="Marcela Urrego",VLOOKUP(LEFT(Proc[[#This Row],[Requested]],1),Table3[#All],2,0),VLOOKUP(Proc[[#This Row],[Author]],Table4[],2,0))</f>
        <v>LS</v>
      </c>
      <c r="L457" s="60" t="s">
        <v>509</v>
      </c>
      <c r="M457" s="73">
        <v>45693.65792824074</v>
      </c>
      <c r="P457" s="69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104</v>
      </c>
      <c r="R457" s="69" t="s">
        <v>830</v>
      </c>
      <c r="S457" s="60"/>
    </row>
    <row r="458" spans="1:19" hidden="1">
      <c r="A458" s="62" t="s">
        <v>1751</v>
      </c>
      <c r="B458" s="60" t="str">
        <f>IFERROR(VLOOKUP(Proc[[#This Row],[App]],Table2[],3,0),"open")</f>
        <v>ok</v>
      </c>
      <c r="C458" s="62" t="s">
        <v>369</v>
      </c>
      <c r="D458" t="s">
        <v>1778</v>
      </c>
      <c r="E458" t="s">
        <v>1808</v>
      </c>
      <c r="F458" s="105" t="s">
        <v>1808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1</v>
      </c>
      <c r="K458" s="60" t="str">
        <f>IF(Proc[[#This Row],[Author]]="Marcela Urrego",VLOOKUP(LEFT(Proc[[#This Row],[Requested]],1),Table3[#All],2,0),VLOOKUP(Proc[[#This Row],[Author]],Table4[],2,0))</f>
        <v>LS</v>
      </c>
      <c r="L458" s="60" t="s">
        <v>509</v>
      </c>
      <c r="M458" s="73">
        <v>45693.65792824074</v>
      </c>
      <c r="P458" s="69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104</v>
      </c>
      <c r="R458" s="69" t="s">
        <v>830</v>
      </c>
      <c r="S458" s="60"/>
    </row>
    <row r="459" spans="1:19" hidden="1">
      <c r="A459" s="62" t="s">
        <v>1751</v>
      </c>
      <c r="B459" s="60" t="str">
        <f>IFERROR(VLOOKUP(Proc[[#This Row],[App]],Table2[],3,0),"open")</f>
        <v>ok</v>
      </c>
      <c r="C459" s="62" t="s">
        <v>369</v>
      </c>
      <c r="D459" t="s">
        <v>1779</v>
      </c>
      <c r="E459" t="s">
        <v>1808</v>
      </c>
      <c r="F459" s="105" t="s">
        <v>1808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1</v>
      </c>
      <c r="K459" s="60" t="str">
        <f>IF(Proc[[#This Row],[Author]]="Marcela Urrego",VLOOKUP(LEFT(Proc[[#This Row],[Requested]],1),Table3[#All],2,0),VLOOKUP(Proc[[#This Row],[Author]],Table4[],2,0))</f>
        <v>LS</v>
      </c>
      <c r="L459" s="60" t="s">
        <v>509</v>
      </c>
      <c r="M459" s="73">
        <v>45693.65792824074</v>
      </c>
      <c r="P459" s="69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104</v>
      </c>
      <c r="R459" s="69" t="s">
        <v>830</v>
      </c>
      <c r="S459" s="60"/>
    </row>
    <row r="460" spans="1:19" hidden="1">
      <c r="A460" s="62" t="s">
        <v>1751</v>
      </c>
      <c r="B460" s="60" t="str">
        <f>IFERROR(VLOOKUP(Proc[[#This Row],[App]],Table2[],3,0),"open")</f>
        <v>ok</v>
      </c>
      <c r="C460" s="62" t="s">
        <v>369</v>
      </c>
      <c r="D460" t="s">
        <v>1780</v>
      </c>
      <c r="E460" t="s">
        <v>1808</v>
      </c>
      <c r="F460" s="105" t="s">
        <v>1808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1</v>
      </c>
      <c r="K460" s="60" t="str">
        <f>IF(Proc[[#This Row],[Author]]="Marcela Urrego",VLOOKUP(LEFT(Proc[[#This Row],[Requested]],1),Table3[#All],2,0),VLOOKUP(Proc[[#This Row],[Author]],Table4[],2,0))</f>
        <v>LS</v>
      </c>
      <c r="L460" s="60" t="s">
        <v>509</v>
      </c>
      <c r="M460" s="73">
        <v>45693.65792824074</v>
      </c>
      <c r="P460" s="69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104</v>
      </c>
      <c r="R460" s="69" t="s">
        <v>830</v>
      </c>
      <c r="S460" s="60"/>
    </row>
    <row r="461" spans="1:19" hidden="1">
      <c r="A461" s="62" t="s">
        <v>1751</v>
      </c>
      <c r="B461" s="60" t="str">
        <f>IFERROR(VLOOKUP(Proc[[#This Row],[App]],Table2[],3,0),"open")</f>
        <v>ok</v>
      </c>
      <c r="C461" s="62" t="s">
        <v>369</v>
      </c>
      <c r="D461" t="s">
        <v>1781</v>
      </c>
      <c r="E461" t="s">
        <v>1808</v>
      </c>
      <c r="F461" s="105" t="s">
        <v>1808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1</v>
      </c>
      <c r="K461" s="60" t="str">
        <f>IF(Proc[[#This Row],[Author]]="Marcela Urrego",VLOOKUP(LEFT(Proc[[#This Row],[Requested]],1),Table3[#All],2,0),VLOOKUP(Proc[[#This Row],[Author]],Table4[],2,0))</f>
        <v>LS</v>
      </c>
      <c r="L461" s="60" t="s">
        <v>509</v>
      </c>
      <c r="M461" s="73">
        <v>45693.65792824074</v>
      </c>
      <c r="P461" s="69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104</v>
      </c>
      <c r="R461" s="69" t="s">
        <v>830</v>
      </c>
      <c r="S461" s="60"/>
    </row>
    <row r="462" spans="1:19" hidden="1">
      <c r="A462" s="62" t="s">
        <v>1751</v>
      </c>
      <c r="B462" s="60" t="str">
        <f>IFERROR(VLOOKUP(Proc[[#This Row],[App]],Table2[],3,0),"open")</f>
        <v>ok</v>
      </c>
      <c r="C462" s="62" t="s">
        <v>369</v>
      </c>
      <c r="D462" t="s">
        <v>1782</v>
      </c>
      <c r="E462" t="s">
        <v>1808</v>
      </c>
      <c r="F462" s="105" t="s">
        <v>1808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1</v>
      </c>
      <c r="K462" s="60" t="str">
        <f>IF(Proc[[#This Row],[Author]]="Marcela Urrego",VLOOKUP(LEFT(Proc[[#This Row],[Requested]],1),Table3[#All],2,0),VLOOKUP(Proc[[#This Row],[Author]],Table4[],2,0))</f>
        <v>LS</v>
      </c>
      <c r="L462" s="60" t="s">
        <v>509</v>
      </c>
      <c r="M462" s="73">
        <v>45693.65792824074</v>
      </c>
      <c r="P462" s="69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104</v>
      </c>
      <c r="R462" s="69" t="s">
        <v>830</v>
      </c>
      <c r="S462" s="60"/>
    </row>
    <row r="463" spans="1:19" hidden="1">
      <c r="A463" s="62" t="s">
        <v>1751</v>
      </c>
      <c r="B463" s="60" t="str">
        <f>IFERROR(VLOOKUP(Proc[[#This Row],[App]],Table2[],3,0),"open")</f>
        <v>ok</v>
      </c>
      <c r="C463" s="62" t="s">
        <v>369</v>
      </c>
      <c r="D463" t="s">
        <v>1783</v>
      </c>
      <c r="E463" t="s">
        <v>1808</v>
      </c>
      <c r="F463" s="105" t="s">
        <v>1808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1</v>
      </c>
      <c r="K463" s="60" t="str">
        <f>IF(Proc[[#This Row],[Author]]="Marcela Urrego",VLOOKUP(LEFT(Proc[[#This Row],[Requested]],1),Table3[#All],2,0),VLOOKUP(Proc[[#This Row],[Author]],Table4[],2,0))</f>
        <v>LS</v>
      </c>
      <c r="L463" s="60" t="s">
        <v>509</v>
      </c>
      <c r="M463" s="73">
        <v>45693.65792824074</v>
      </c>
      <c r="P463" s="69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104</v>
      </c>
      <c r="R463" s="69" t="s">
        <v>830</v>
      </c>
      <c r="S463" s="60"/>
    </row>
    <row r="464" spans="1:19" hidden="1">
      <c r="A464" s="62" t="s">
        <v>1751</v>
      </c>
      <c r="B464" s="60" t="str">
        <f>IFERROR(VLOOKUP(Proc[[#This Row],[App]],Table2[],3,0),"open")</f>
        <v>ok</v>
      </c>
      <c r="C464" s="62" t="s">
        <v>369</v>
      </c>
      <c r="D464" t="s">
        <v>1784</v>
      </c>
      <c r="E464" t="s">
        <v>1808</v>
      </c>
      <c r="F464" s="105" t="s">
        <v>1808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1</v>
      </c>
      <c r="K464" s="60" t="str">
        <f>IF(Proc[[#This Row],[Author]]="Marcela Urrego",VLOOKUP(LEFT(Proc[[#This Row],[Requested]],1),Table3[#All],2,0),VLOOKUP(Proc[[#This Row],[Author]],Table4[],2,0))</f>
        <v>LS</v>
      </c>
      <c r="L464" s="60" t="s">
        <v>509</v>
      </c>
      <c r="M464" s="73">
        <v>45693.65792824074</v>
      </c>
      <c r="P464" s="69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104</v>
      </c>
      <c r="R464" s="69" t="s">
        <v>830</v>
      </c>
      <c r="S464" s="60"/>
    </row>
    <row r="465" spans="1:19" hidden="1">
      <c r="A465" s="62" t="s">
        <v>1751</v>
      </c>
      <c r="B465" s="60" t="str">
        <f>IFERROR(VLOOKUP(Proc[[#This Row],[App]],Table2[],3,0),"open")</f>
        <v>ok</v>
      </c>
      <c r="C465" s="62" t="s">
        <v>369</v>
      </c>
      <c r="D465" t="s">
        <v>1785</v>
      </c>
      <c r="E465" t="s">
        <v>1808</v>
      </c>
      <c r="F465" s="105" t="s">
        <v>1808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1</v>
      </c>
      <c r="K465" s="60" t="str">
        <f>IF(Proc[[#This Row],[Author]]="Marcela Urrego",VLOOKUP(LEFT(Proc[[#This Row],[Requested]],1),Table3[#All],2,0),VLOOKUP(Proc[[#This Row],[Author]],Table4[],2,0))</f>
        <v>LS</v>
      </c>
      <c r="L465" s="60" t="s">
        <v>509</v>
      </c>
      <c r="M465" s="73">
        <v>45693.65792824074</v>
      </c>
      <c r="P465" s="69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104</v>
      </c>
      <c r="R465" s="69" t="s">
        <v>830</v>
      </c>
      <c r="S465" s="60"/>
    </row>
    <row r="466" spans="1:19" hidden="1">
      <c r="A466" s="62" t="s">
        <v>1751</v>
      </c>
      <c r="B466" s="60" t="str">
        <f>IFERROR(VLOOKUP(Proc[[#This Row],[App]],Table2[],3,0),"open")</f>
        <v>ok</v>
      </c>
      <c r="C466" s="62" t="s">
        <v>369</v>
      </c>
      <c r="D466" t="s">
        <v>1786</v>
      </c>
      <c r="E466" t="s">
        <v>1808</v>
      </c>
      <c r="F466" s="105" t="s">
        <v>1808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1</v>
      </c>
      <c r="K466" s="60" t="str">
        <f>IF(Proc[[#This Row],[Author]]="Marcela Urrego",VLOOKUP(LEFT(Proc[[#This Row],[Requested]],1),Table3[#All],2,0),VLOOKUP(Proc[[#This Row],[Author]],Table4[],2,0))</f>
        <v>LS</v>
      </c>
      <c r="L466" s="60" t="s">
        <v>509</v>
      </c>
      <c r="M466" s="73">
        <v>45693.65792824074</v>
      </c>
      <c r="P466" s="69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104</v>
      </c>
      <c r="R466" s="69" t="s">
        <v>830</v>
      </c>
      <c r="S466" s="60"/>
    </row>
    <row r="467" spans="1:19" hidden="1">
      <c r="A467" s="62" t="s">
        <v>1751</v>
      </c>
      <c r="B467" s="60" t="str">
        <f>IFERROR(VLOOKUP(Proc[[#This Row],[App]],Table2[],3,0),"open")</f>
        <v>ok</v>
      </c>
      <c r="C467" s="62" t="s">
        <v>369</v>
      </c>
      <c r="D467" t="s">
        <v>1787</v>
      </c>
      <c r="E467" t="s">
        <v>1808</v>
      </c>
      <c r="F467" s="105" t="s">
        <v>1808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1</v>
      </c>
      <c r="K467" s="60" t="str">
        <f>IF(Proc[[#This Row],[Author]]="Marcela Urrego",VLOOKUP(LEFT(Proc[[#This Row],[Requested]],1),Table3[#All],2,0),VLOOKUP(Proc[[#This Row],[Author]],Table4[],2,0))</f>
        <v>LS</v>
      </c>
      <c r="L467" s="60" t="s">
        <v>509</v>
      </c>
      <c r="M467" s="73">
        <v>45693.65792824074</v>
      </c>
      <c r="P467" s="69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104</v>
      </c>
      <c r="R467" s="69" t="s">
        <v>830</v>
      </c>
      <c r="S467" s="60"/>
    </row>
    <row r="468" spans="1:19" hidden="1">
      <c r="A468" s="62" t="s">
        <v>1751</v>
      </c>
      <c r="B468" s="60" t="str">
        <f>IFERROR(VLOOKUP(Proc[[#This Row],[App]],Table2[],3,0),"open")</f>
        <v>ok</v>
      </c>
      <c r="C468" s="62" t="s">
        <v>369</v>
      </c>
      <c r="D468" t="s">
        <v>1788</v>
      </c>
      <c r="E468" t="s">
        <v>1808</v>
      </c>
      <c r="F468" s="105" t="s">
        <v>1808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1</v>
      </c>
      <c r="K468" s="60" t="str">
        <f>IF(Proc[[#This Row],[Author]]="Marcela Urrego",VLOOKUP(LEFT(Proc[[#This Row],[Requested]],1),Table3[#All],2,0),VLOOKUP(Proc[[#This Row],[Author]],Table4[],2,0))</f>
        <v>LS</v>
      </c>
      <c r="L468" s="60" t="s">
        <v>509</v>
      </c>
      <c r="M468" s="73">
        <v>45693.65792824074</v>
      </c>
      <c r="P468" s="69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104</v>
      </c>
      <c r="R468" s="69" t="s">
        <v>830</v>
      </c>
      <c r="S468" s="60"/>
    </row>
    <row r="469" spans="1:19" hidden="1">
      <c r="A469" s="62" t="s">
        <v>1751</v>
      </c>
      <c r="B469" s="60" t="str">
        <f>IFERROR(VLOOKUP(Proc[[#This Row],[App]],Table2[],3,0),"open")</f>
        <v>ok</v>
      </c>
      <c r="C469" s="62" t="s">
        <v>369</v>
      </c>
      <c r="D469" t="s">
        <v>1789</v>
      </c>
      <c r="E469" t="s">
        <v>1808</v>
      </c>
      <c r="F469" s="105" t="s">
        <v>1808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1</v>
      </c>
      <c r="K469" s="60" t="str">
        <f>IF(Proc[[#This Row],[Author]]="Marcela Urrego",VLOOKUP(LEFT(Proc[[#This Row],[Requested]],1),Table3[#All],2,0),VLOOKUP(Proc[[#This Row],[Author]],Table4[],2,0))</f>
        <v>LS</v>
      </c>
      <c r="L469" s="60" t="s">
        <v>509</v>
      </c>
      <c r="M469" s="73">
        <v>45693.65792824074</v>
      </c>
      <c r="P469" s="69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104</v>
      </c>
      <c r="R469" s="69" t="s">
        <v>830</v>
      </c>
      <c r="S469" s="60"/>
    </row>
    <row r="470" spans="1:19" hidden="1">
      <c r="A470" s="62" t="s">
        <v>1751</v>
      </c>
      <c r="B470" s="60" t="str">
        <f>IFERROR(VLOOKUP(Proc[[#This Row],[App]],Table2[],3,0),"open")</f>
        <v>ok</v>
      </c>
      <c r="C470" s="62" t="s">
        <v>369</v>
      </c>
      <c r="D470" t="s">
        <v>1790</v>
      </c>
      <c r="E470" t="s">
        <v>1808</v>
      </c>
      <c r="F470" s="105" t="s">
        <v>1808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1</v>
      </c>
      <c r="K470" s="60" t="str">
        <f>IF(Proc[[#This Row],[Author]]="Marcela Urrego",VLOOKUP(LEFT(Proc[[#This Row],[Requested]],1),Table3[#All],2,0),VLOOKUP(Proc[[#This Row],[Author]],Table4[],2,0))</f>
        <v>LS</v>
      </c>
      <c r="L470" s="60" t="s">
        <v>509</v>
      </c>
      <c r="M470" s="73">
        <v>45693.65792824074</v>
      </c>
      <c r="P470" s="69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104</v>
      </c>
      <c r="R470" s="69" t="s">
        <v>830</v>
      </c>
      <c r="S470" s="60"/>
    </row>
    <row r="471" spans="1:19" hidden="1">
      <c r="A471" s="62" t="s">
        <v>1751</v>
      </c>
      <c r="B471" s="60" t="str">
        <f>IFERROR(VLOOKUP(Proc[[#This Row],[App]],Table2[],3,0),"open")</f>
        <v>ok</v>
      </c>
      <c r="C471" s="62" t="s">
        <v>369</v>
      </c>
      <c r="D471" t="s">
        <v>1791</v>
      </c>
      <c r="E471" t="s">
        <v>1808</v>
      </c>
      <c r="F471" s="105" t="s">
        <v>1808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1</v>
      </c>
      <c r="K471" s="60" t="str">
        <f>IF(Proc[[#This Row],[Author]]="Marcela Urrego",VLOOKUP(LEFT(Proc[[#This Row],[Requested]],1),Table3[#All],2,0),VLOOKUP(Proc[[#This Row],[Author]],Table4[],2,0))</f>
        <v>LS</v>
      </c>
      <c r="L471" s="60" t="s">
        <v>509</v>
      </c>
      <c r="M471" s="73">
        <v>45693.65792824074</v>
      </c>
      <c r="P471" s="69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104</v>
      </c>
      <c r="R471" s="69" t="s">
        <v>830</v>
      </c>
      <c r="S471" s="60"/>
    </row>
    <row r="472" spans="1:19" hidden="1">
      <c r="A472" s="62" t="s">
        <v>1751</v>
      </c>
      <c r="B472" s="60" t="str">
        <f>IFERROR(VLOOKUP(Proc[[#This Row],[App]],Table2[],3,0),"open")</f>
        <v>ok</v>
      </c>
      <c r="C472" s="62" t="s">
        <v>369</v>
      </c>
      <c r="D472" t="s">
        <v>1792</v>
      </c>
      <c r="E472" t="s">
        <v>1808</v>
      </c>
      <c r="F472" s="105" t="s">
        <v>1808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1</v>
      </c>
      <c r="K472" s="60" t="str">
        <f>IF(Proc[[#This Row],[Author]]="Marcela Urrego",VLOOKUP(LEFT(Proc[[#This Row],[Requested]],1),Table3[#All],2,0),VLOOKUP(Proc[[#This Row],[Author]],Table4[],2,0))</f>
        <v>LS</v>
      </c>
      <c r="L472" s="60" t="s">
        <v>509</v>
      </c>
      <c r="M472" s="73">
        <v>45693.65792824074</v>
      </c>
      <c r="P472" s="69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104</v>
      </c>
      <c r="R472" s="69" t="s">
        <v>830</v>
      </c>
      <c r="S472" s="60"/>
    </row>
    <row r="473" spans="1:19" hidden="1">
      <c r="A473" s="62" t="s">
        <v>1751</v>
      </c>
      <c r="B473" s="60" t="str">
        <f>IFERROR(VLOOKUP(Proc[[#This Row],[App]],Table2[],3,0),"open")</f>
        <v>ok</v>
      </c>
      <c r="C473" s="62" t="s">
        <v>369</v>
      </c>
      <c r="D473" t="s">
        <v>1793</v>
      </c>
      <c r="E473" t="s">
        <v>1808</v>
      </c>
      <c r="F473" s="105" t="s">
        <v>1808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1</v>
      </c>
      <c r="K473" s="60" t="str">
        <f>IF(Proc[[#This Row],[Author]]="Marcela Urrego",VLOOKUP(LEFT(Proc[[#This Row],[Requested]],1),Table3[#All],2,0),VLOOKUP(Proc[[#This Row],[Author]],Table4[],2,0))</f>
        <v>LS</v>
      </c>
      <c r="L473" s="60" t="s">
        <v>509</v>
      </c>
      <c r="M473" s="73">
        <v>45693.65792824074</v>
      </c>
      <c r="P473" s="69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104</v>
      </c>
      <c r="R473" s="69" t="s">
        <v>830</v>
      </c>
      <c r="S473" s="60"/>
    </row>
    <row r="474" spans="1:19" hidden="1">
      <c r="A474" s="62" t="s">
        <v>1751</v>
      </c>
      <c r="B474" s="60" t="str">
        <f>IFERROR(VLOOKUP(Proc[[#This Row],[App]],Table2[],3,0),"open")</f>
        <v>ok</v>
      </c>
      <c r="C474" s="62" t="s">
        <v>369</v>
      </c>
      <c r="D474" t="s">
        <v>1794</v>
      </c>
      <c r="E474" t="s">
        <v>1808</v>
      </c>
      <c r="F474" s="105" t="s">
        <v>1808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1</v>
      </c>
      <c r="K474" s="60" t="str">
        <f>IF(Proc[[#This Row],[Author]]="Marcela Urrego",VLOOKUP(LEFT(Proc[[#This Row],[Requested]],1),Table3[#All],2,0),VLOOKUP(Proc[[#This Row],[Author]],Table4[],2,0))</f>
        <v>LS</v>
      </c>
      <c r="L474" s="60" t="s">
        <v>509</v>
      </c>
      <c r="M474" s="73">
        <v>45693.65792824074</v>
      </c>
      <c r="P474" s="69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104</v>
      </c>
      <c r="R474" s="69" t="s">
        <v>830</v>
      </c>
      <c r="S474" s="60"/>
    </row>
    <row r="475" spans="1:19" hidden="1">
      <c r="A475" s="62" t="s">
        <v>1751</v>
      </c>
      <c r="B475" s="60" t="str">
        <f>IFERROR(VLOOKUP(Proc[[#This Row],[App]],Table2[],3,0),"open")</f>
        <v>ok</v>
      </c>
      <c r="C475" s="62" t="s">
        <v>369</v>
      </c>
      <c r="D475" t="s">
        <v>1795</v>
      </c>
      <c r="E475" t="s">
        <v>1808</v>
      </c>
      <c r="F475" s="105" t="s">
        <v>1808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1</v>
      </c>
      <c r="K475" s="60" t="str">
        <f>IF(Proc[[#This Row],[Author]]="Marcela Urrego",VLOOKUP(LEFT(Proc[[#This Row],[Requested]],1),Table3[#All],2,0),VLOOKUP(Proc[[#This Row],[Author]],Table4[],2,0))</f>
        <v>LS</v>
      </c>
      <c r="L475" s="60" t="s">
        <v>509</v>
      </c>
      <c r="M475" s="73">
        <v>45693.65792824074</v>
      </c>
      <c r="P475" s="69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104</v>
      </c>
      <c r="R475" s="69" t="s">
        <v>830</v>
      </c>
      <c r="S475" s="60"/>
    </row>
    <row r="476" spans="1:19" hidden="1">
      <c r="A476" s="62" t="s">
        <v>1751</v>
      </c>
      <c r="B476" s="60" t="str">
        <f>IFERROR(VLOOKUP(Proc[[#This Row],[App]],Table2[],3,0),"open")</f>
        <v>ok</v>
      </c>
      <c r="C476" s="62" t="s">
        <v>369</v>
      </c>
      <c r="D476" t="s">
        <v>1796</v>
      </c>
      <c r="E476" t="s">
        <v>1808</v>
      </c>
      <c r="F476" s="105" t="s">
        <v>1808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1</v>
      </c>
      <c r="K476" s="60" t="str">
        <f>IF(Proc[[#This Row],[Author]]="Marcela Urrego",VLOOKUP(LEFT(Proc[[#This Row],[Requested]],1),Table3[#All],2,0),VLOOKUP(Proc[[#This Row],[Author]],Table4[],2,0))</f>
        <v>LS</v>
      </c>
      <c r="L476" s="60" t="s">
        <v>509</v>
      </c>
      <c r="M476" s="73">
        <v>45693.65792824074</v>
      </c>
      <c r="P476" s="69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104</v>
      </c>
      <c r="R476" s="69" t="s">
        <v>830</v>
      </c>
      <c r="S476" s="60"/>
    </row>
    <row r="477" spans="1:19" hidden="1">
      <c r="A477" s="62" t="s">
        <v>1751</v>
      </c>
      <c r="B477" s="60" t="str">
        <f>IFERROR(VLOOKUP(Proc[[#This Row],[App]],Table2[],3,0),"open")</f>
        <v>ok</v>
      </c>
      <c r="C477" s="62" t="s">
        <v>369</v>
      </c>
      <c r="D477" t="s">
        <v>1797</v>
      </c>
      <c r="E477" t="s">
        <v>1808</v>
      </c>
      <c r="F477" s="105" t="s">
        <v>1808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1</v>
      </c>
      <c r="K477" s="60" t="str">
        <f>IF(Proc[[#This Row],[Author]]="Marcela Urrego",VLOOKUP(LEFT(Proc[[#This Row],[Requested]],1),Table3[#All],2,0),VLOOKUP(Proc[[#This Row],[Author]],Table4[],2,0))</f>
        <v>LS</v>
      </c>
      <c r="L477" s="60" t="s">
        <v>509</v>
      </c>
      <c r="M477" s="73">
        <v>45693.65792824074</v>
      </c>
      <c r="P477" s="69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104</v>
      </c>
      <c r="R477" s="69" t="s">
        <v>830</v>
      </c>
      <c r="S477" s="60"/>
    </row>
    <row r="478" spans="1:19" hidden="1">
      <c r="A478" s="62" t="s">
        <v>1751</v>
      </c>
      <c r="B478" s="60" t="str">
        <f>IFERROR(VLOOKUP(Proc[[#This Row],[App]],Table2[],3,0),"open")</f>
        <v>ok</v>
      </c>
      <c r="C478" s="62" t="s">
        <v>369</v>
      </c>
      <c r="D478" t="s">
        <v>1798</v>
      </c>
      <c r="E478" t="s">
        <v>1808</v>
      </c>
      <c r="F478" s="105" t="s">
        <v>1808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1</v>
      </c>
      <c r="K478" s="60" t="str">
        <f>IF(Proc[[#This Row],[Author]]="Marcela Urrego",VLOOKUP(LEFT(Proc[[#This Row],[Requested]],1),Table3[#All],2,0),VLOOKUP(Proc[[#This Row],[Author]],Table4[],2,0))</f>
        <v>LS</v>
      </c>
      <c r="L478" s="60" t="s">
        <v>509</v>
      </c>
      <c r="M478" s="73">
        <v>45693.65792824074</v>
      </c>
      <c r="P478" s="69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104</v>
      </c>
      <c r="R478" s="69" t="s">
        <v>830</v>
      </c>
      <c r="S478" s="60"/>
    </row>
    <row r="479" spans="1:19" hidden="1">
      <c r="A479" s="62" t="s">
        <v>1751</v>
      </c>
      <c r="B479" s="60" t="str">
        <f>IFERROR(VLOOKUP(Proc[[#This Row],[App]],Table2[],3,0),"open")</f>
        <v>ok</v>
      </c>
      <c r="C479" s="62" t="s">
        <v>369</v>
      </c>
      <c r="D479" t="s">
        <v>1799</v>
      </c>
      <c r="E479" t="s">
        <v>1808</v>
      </c>
      <c r="F479" s="105" t="s">
        <v>1808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1</v>
      </c>
      <c r="K479" s="60" t="str">
        <f>IF(Proc[[#This Row],[Author]]="Marcela Urrego",VLOOKUP(LEFT(Proc[[#This Row],[Requested]],1),Table3[#All],2,0),VLOOKUP(Proc[[#This Row],[Author]],Table4[],2,0))</f>
        <v>LS</v>
      </c>
      <c r="L479" s="60" t="s">
        <v>509</v>
      </c>
      <c r="M479" s="73">
        <v>45693.65792824074</v>
      </c>
      <c r="P479" s="69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104</v>
      </c>
      <c r="R479" s="69" t="s">
        <v>830</v>
      </c>
      <c r="S479" s="60"/>
    </row>
    <row r="480" spans="1:19" hidden="1">
      <c r="A480" s="62" t="s">
        <v>1751</v>
      </c>
      <c r="B480" s="60" t="str">
        <f>IFERROR(VLOOKUP(Proc[[#This Row],[App]],Table2[],3,0),"open")</f>
        <v>ok</v>
      </c>
      <c r="C480" s="62" t="s">
        <v>369</v>
      </c>
      <c r="D480" t="s">
        <v>1800</v>
      </c>
      <c r="E480" t="s">
        <v>1808</v>
      </c>
      <c r="F480" s="105" t="s">
        <v>1808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1</v>
      </c>
      <c r="K480" s="60" t="str">
        <f>IF(Proc[[#This Row],[Author]]="Marcela Urrego",VLOOKUP(LEFT(Proc[[#This Row],[Requested]],1),Table3[#All],2,0),VLOOKUP(Proc[[#This Row],[Author]],Table4[],2,0))</f>
        <v>LS</v>
      </c>
      <c r="L480" s="60" t="s">
        <v>509</v>
      </c>
      <c r="M480" s="73">
        <v>45693.65792824074</v>
      </c>
      <c r="P480" s="69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104</v>
      </c>
      <c r="R480" s="69" t="s">
        <v>830</v>
      </c>
      <c r="S480" s="60"/>
    </row>
    <row r="481" spans="1:19" hidden="1">
      <c r="A481" s="62" t="s">
        <v>1751</v>
      </c>
      <c r="B481" s="60" t="str">
        <f>IFERROR(VLOOKUP(Proc[[#This Row],[App]],Table2[],3,0),"open")</f>
        <v>ok</v>
      </c>
      <c r="C481" s="62" t="s">
        <v>369</v>
      </c>
      <c r="D481" t="s">
        <v>1801</v>
      </c>
      <c r="E481" t="s">
        <v>1808</v>
      </c>
      <c r="F481" s="105" t="s">
        <v>1808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1</v>
      </c>
      <c r="K481" s="60" t="str">
        <f>IF(Proc[[#This Row],[Author]]="Marcela Urrego",VLOOKUP(LEFT(Proc[[#This Row],[Requested]],1),Table3[#All],2,0),VLOOKUP(Proc[[#This Row],[Author]],Table4[],2,0))</f>
        <v>LS</v>
      </c>
      <c r="L481" s="60" t="s">
        <v>509</v>
      </c>
      <c r="M481" s="73">
        <v>45693.65792824074</v>
      </c>
      <c r="P481" s="69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104</v>
      </c>
      <c r="R481" s="69" t="s">
        <v>830</v>
      </c>
      <c r="S481" s="60"/>
    </row>
    <row r="482" spans="1:19" hidden="1">
      <c r="A482" s="62" t="s">
        <v>1751</v>
      </c>
      <c r="B482" s="60" t="str">
        <f>IFERROR(VLOOKUP(Proc[[#This Row],[App]],Table2[],3,0),"open")</f>
        <v>ok</v>
      </c>
      <c r="C482" s="62" t="s">
        <v>369</v>
      </c>
      <c r="D482" t="s">
        <v>1802</v>
      </c>
      <c r="E482" t="s">
        <v>1808</v>
      </c>
      <c r="F482" s="105" t="s">
        <v>1808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1</v>
      </c>
      <c r="K482" s="60" t="str">
        <f>IF(Proc[[#This Row],[Author]]="Marcela Urrego",VLOOKUP(LEFT(Proc[[#This Row],[Requested]],1),Table3[#All],2,0),VLOOKUP(Proc[[#This Row],[Author]],Table4[],2,0))</f>
        <v>LS</v>
      </c>
      <c r="L482" s="60" t="s">
        <v>509</v>
      </c>
      <c r="M482" s="73">
        <v>45693.65792824074</v>
      </c>
      <c r="P482" s="69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104</v>
      </c>
      <c r="R482" s="69" t="s">
        <v>830</v>
      </c>
      <c r="S482" s="60"/>
    </row>
    <row r="483" spans="1:19" hidden="1">
      <c r="A483" s="62" t="s">
        <v>1751</v>
      </c>
      <c r="B483" s="60" t="str">
        <f>IFERROR(VLOOKUP(Proc[[#This Row],[App]],Table2[],3,0),"open")</f>
        <v>ok</v>
      </c>
      <c r="C483" s="62" t="s">
        <v>369</v>
      </c>
      <c r="D483" t="s">
        <v>1803</v>
      </c>
      <c r="E483" t="s">
        <v>1808</v>
      </c>
      <c r="F483" s="105" t="s">
        <v>1808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1</v>
      </c>
      <c r="K483" s="60" t="str">
        <f>IF(Proc[[#This Row],[Author]]="Marcela Urrego",VLOOKUP(LEFT(Proc[[#This Row],[Requested]],1),Table3[#All],2,0),VLOOKUP(Proc[[#This Row],[Author]],Table4[],2,0))</f>
        <v>LS</v>
      </c>
      <c r="L483" s="60" t="s">
        <v>509</v>
      </c>
      <c r="M483" s="73">
        <v>45693.65792824074</v>
      </c>
      <c r="P483" s="69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104</v>
      </c>
      <c r="R483" s="69" t="s">
        <v>830</v>
      </c>
      <c r="S483" s="60"/>
    </row>
    <row r="484" spans="1:19" hidden="1">
      <c r="A484" s="62" t="s">
        <v>1751</v>
      </c>
      <c r="B484" s="60" t="str">
        <f>IFERROR(VLOOKUP(Proc[[#This Row],[App]],Table2[],3,0),"open")</f>
        <v>ok</v>
      </c>
      <c r="C484" s="62" t="s">
        <v>369</v>
      </c>
      <c r="D484" t="s">
        <v>1804</v>
      </c>
      <c r="E484" t="s">
        <v>1808</v>
      </c>
      <c r="F484" s="105" t="s">
        <v>1808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1</v>
      </c>
      <c r="K484" s="60" t="str">
        <f>IF(Proc[[#This Row],[Author]]="Marcela Urrego",VLOOKUP(LEFT(Proc[[#This Row],[Requested]],1),Table3[#All],2,0),VLOOKUP(Proc[[#This Row],[Author]],Table4[],2,0))</f>
        <v>LS</v>
      </c>
      <c r="L484" s="60" t="s">
        <v>509</v>
      </c>
      <c r="M484" s="73">
        <v>45693.65792824074</v>
      </c>
      <c r="P484" s="69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104</v>
      </c>
      <c r="R484" s="69" t="s">
        <v>830</v>
      </c>
      <c r="S484" s="60"/>
    </row>
    <row r="485" spans="1:19" hidden="1">
      <c r="A485" t="s">
        <v>1751</v>
      </c>
      <c r="B485" s="60" t="str">
        <f>IFERROR(VLOOKUP(Proc[[#This Row],[App]],Table2[],3,0),"open")</f>
        <v>ok</v>
      </c>
      <c r="C485" s="62" t="s">
        <v>369</v>
      </c>
      <c r="D485" t="s">
        <v>1805</v>
      </c>
      <c r="E485" t="s">
        <v>1808</v>
      </c>
      <c r="F485" s="105" t="s">
        <v>1808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1</v>
      </c>
      <c r="K485" s="60" t="str">
        <f>IF(Proc[[#This Row],[Author]]="Marcela Urrego",VLOOKUP(LEFT(Proc[[#This Row],[Requested]],1),Table3[#All],2,0),VLOOKUP(Proc[[#This Row],[Author]],Table4[],2,0))</f>
        <v>LS</v>
      </c>
      <c r="L485" s="60" t="s">
        <v>509</v>
      </c>
      <c r="M485" s="73">
        <v>45693.65792824074</v>
      </c>
      <c r="P485" s="69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104</v>
      </c>
      <c r="R485" s="69" t="s">
        <v>830</v>
      </c>
      <c r="S485" s="60"/>
    </row>
    <row r="486" spans="1:19" hidden="1">
      <c r="A486" s="62" t="s">
        <v>1751</v>
      </c>
      <c r="B486" s="60" t="str">
        <f>IFERROR(VLOOKUP(Proc[[#This Row],[App]],Table2[],3,0),"open")</f>
        <v>ok</v>
      </c>
      <c r="C486" s="62" t="s">
        <v>369</v>
      </c>
      <c r="D486" t="s">
        <v>1806</v>
      </c>
      <c r="E486" t="s">
        <v>1808</v>
      </c>
      <c r="F486" s="105" t="s">
        <v>1808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1</v>
      </c>
      <c r="K486" s="60" t="str">
        <f>IF(Proc[[#This Row],[Author]]="Marcela Urrego",VLOOKUP(LEFT(Proc[[#This Row],[Requested]],1),Table3[#All],2,0),VLOOKUP(Proc[[#This Row],[Author]],Table4[],2,0))</f>
        <v>LS</v>
      </c>
      <c r="L486" s="60" t="s">
        <v>509</v>
      </c>
      <c r="M486" s="73">
        <v>45693.65792824074</v>
      </c>
      <c r="P486" s="69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104</v>
      </c>
      <c r="R486" s="69" t="s">
        <v>830</v>
      </c>
      <c r="S486" s="60"/>
    </row>
    <row r="487" spans="1:19" hidden="1">
      <c r="A487" s="62" t="s">
        <v>1751</v>
      </c>
      <c r="B487" s="60" t="str">
        <f>IFERROR(VLOOKUP(Proc[[#This Row],[App]],Table2[],3,0),"open")</f>
        <v>ok</v>
      </c>
      <c r="C487" s="62" t="s">
        <v>369</v>
      </c>
      <c r="D487" t="s">
        <v>1807</v>
      </c>
      <c r="E487" t="s">
        <v>1808</v>
      </c>
      <c r="F487" s="105" t="s">
        <v>1808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1</v>
      </c>
      <c r="K487" s="60" t="str">
        <f>IF(Proc[[#This Row],[Author]]="Marcela Urrego",VLOOKUP(LEFT(Proc[[#This Row],[Requested]],1),Table3[#All],2,0),VLOOKUP(Proc[[#This Row],[Author]],Table4[],2,0))</f>
        <v>LS</v>
      </c>
      <c r="L487" s="60" t="s">
        <v>509</v>
      </c>
      <c r="M487" s="73">
        <v>45693.65792824074</v>
      </c>
      <c r="P487" s="69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104</v>
      </c>
      <c r="R487" s="69" t="s">
        <v>830</v>
      </c>
      <c r="S487" s="60"/>
    </row>
    <row r="488" spans="1:19" hidden="1">
      <c r="A488" t="s">
        <v>1818</v>
      </c>
      <c r="B488" s="60" t="str">
        <f>IFERROR(VLOOKUP(Proc[[#This Row],[App]],Table2[],3,0),"open")</f>
        <v>ok</v>
      </c>
      <c r="C488" t="s">
        <v>369</v>
      </c>
      <c r="D488" t="s">
        <v>1813</v>
      </c>
      <c r="E488" t="s">
        <v>662</v>
      </c>
      <c r="F488" s="105" t="s">
        <v>662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1</v>
      </c>
      <c r="K488" s="60" t="str">
        <f>IF(Proc[[#This Row],[Author]]="Marcela Urrego",VLOOKUP(LEFT(Proc[[#This Row],[Requested]],1),Table3[#All],2,0),VLOOKUP(Proc[[#This Row],[Author]],Table4[],2,0))</f>
        <v>MGF</v>
      </c>
      <c r="L488" s="60" t="s">
        <v>509</v>
      </c>
      <c r="M488" s="73">
        <v>45694.6015162037</v>
      </c>
      <c r="P488" s="69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103</v>
      </c>
      <c r="R488" s="69" t="s">
        <v>1459</v>
      </c>
      <c r="S488" s="60"/>
    </row>
    <row r="489" spans="1:19" hidden="1">
      <c r="A489" s="62" t="s">
        <v>1818</v>
      </c>
      <c r="B489" s="60" t="str">
        <f>IFERROR(VLOOKUP(Proc[[#This Row],[App]],Table2[],3,0),"open")</f>
        <v>ok</v>
      </c>
      <c r="C489" s="62" t="s">
        <v>369</v>
      </c>
      <c r="D489" t="s">
        <v>1814</v>
      </c>
      <c r="E489" t="s">
        <v>443</v>
      </c>
      <c r="F489" s="105" t="s">
        <v>443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1</v>
      </c>
      <c r="K489" s="60" t="str">
        <f>IF(Proc[[#This Row],[Author]]="Marcela Urrego",VLOOKUP(LEFT(Proc[[#This Row],[Requested]],1),Table3[#All],2,0),VLOOKUP(Proc[[#This Row],[Author]],Table4[],2,0))</f>
        <v>MGF</v>
      </c>
      <c r="L489" s="60" t="s">
        <v>509</v>
      </c>
      <c r="M489" s="73">
        <v>45694.6015162037</v>
      </c>
      <c r="P489" s="69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103</v>
      </c>
      <c r="R489" s="69" t="s">
        <v>1459</v>
      </c>
      <c r="S489" s="60"/>
    </row>
    <row r="490" spans="1:19" hidden="1">
      <c r="A490" s="62" t="s">
        <v>1818</v>
      </c>
      <c r="B490" s="60" t="str">
        <f>IFERROR(VLOOKUP(Proc[[#This Row],[App]],Table2[],3,0),"open")</f>
        <v>ok</v>
      </c>
      <c r="C490" s="62" t="s">
        <v>369</v>
      </c>
      <c r="D490" t="s">
        <v>1815</v>
      </c>
      <c r="E490" t="s">
        <v>427</v>
      </c>
      <c r="F490" s="105" t="s">
        <v>427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1</v>
      </c>
      <c r="K490" s="60" t="str">
        <f>IF(Proc[[#This Row],[Author]]="Marcela Urrego",VLOOKUP(LEFT(Proc[[#This Row],[Requested]],1),Table3[#All],2,0),VLOOKUP(Proc[[#This Row],[Author]],Table4[],2,0))</f>
        <v>MGF</v>
      </c>
      <c r="L490" s="60" t="s">
        <v>509</v>
      </c>
      <c r="M490" s="73">
        <v>45694.6015162037</v>
      </c>
      <c r="P490" s="69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103</v>
      </c>
      <c r="R490" s="69" t="s">
        <v>1459</v>
      </c>
      <c r="S490" s="60"/>
    </row>
    <row r="491" spans="1:19" hidden="1">
      <c r="A491" s="62" t="s">
        <v>1818</v>
      </c>
      <c r="B491" s="60" t="str">
        <f>IFERROR(VLOOKUP(Proc[[#This Row],[App]],Table2[],3,0),"open")</f>
        <v>ok</v>
      </c>
      <c r="C491" s="62" t="s">
        <v>369</v>
      </c>
      <c r="D491" t="s">
        <v>1816</v>
      </c>
      <c r="E491" t="s">
        <v>443</v>
      </c>
      <c r="F491" s="105" t="s">
        <v>443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1</v>
      </c>
      <c r="K491" s="60" t="str">
        <f>IF(Proc[[#This Row],[Author]]="Marcela Urrego",VLOOKUP(LEFT(Proc[[#This Row],[Requested]],1),Table3[#All],2,0),VLOOKUP(Proc[[#This Row],[Author]],Table4[],2,0))</f>
        <v>MGF</v>
      </c>
      <c r="L491" s="60" t="s">
        <v>509</v>
      </c>
      <c r="M491" s="73">
        <v>45694.6015162037</v>
      </c>
      <c r="P491" s="69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103</v>
      </c>
      <c r="R491" s="69" t="s">
        <v>1459</v>
      </c>
      <c r="S491" s="60"/>
    </row>
    <row r="492" spans="1:19" hidden="1">
      <c r="A492" s="62" t="s">
        <v>1818</v>
      </c>
      <c r="B492" s="60" t="str">
        <f>IFERROR(VLOOKUP(Proc[[#This Row],[App]],Table2[],3,0),"open")</f>
        <v>ok</v>
      </c>
      <c r="C492" s="62" t="s">
        <v>369</v>
      </c>
      <c r="D492" t="s">
        <v>1817</v>
      </c>
      <c r="E492" t="s">
        <v>1232</v>
      </c>
      <c r="F492" s="105" t="s">
        <v>1232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1</v>
      </c>
      <c r="K492" s="60" t="str">
        <f>IF(Proc[[#This Row],[Author]]="Marcela Urrego",VLOOKUP(LEFT(Proc[[#This Row],[Requested]],1),Table3[#All],2,0),VLOOKUP(Proc[[#This Row],[Author]],Table4[],2,0))</f>
        <v>MGF</v>
      </c>
      <c r="L492" s="60" t="s">
        <v>509</v>
      </c>
      <c r="M492" s="73">
        <v>45694.6015162037</v>
      </c>
      <c r="P492" s="69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103</v>
      </c>
      <c r="R492" s="69" t="s">
        <v>1459</v>
      </c>
      <c r="S492" s="60"/>
    </row>
    <row r="493" spans="1:19" hidden="1">
      <c r="A493" t="s">
        <v>1819</v>
      </c>
      <c r="B493" s="60" t="str">
        <f>IFERROR(VLOOKUP(Proc[[#This Row],[App]],Table2[],3,0),"open")</f>
        <v>ok</v>
      </c>
      <c r="C493" t="s">
        <v>369</v>
      </c>
      <c r="D493" t="s">
        <v>1132</v>
      </c>
      <c r="E493" t="s">
        <v>2046</v>
      </c>
      <c r="F493" s="105" t="s">
        <v>2046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1</v>
      </c>
      <c r="K493" s="60" t="str">
        <f>IF(Proc[[#This Row],[Author]]="Marcela Urrego",VLOOKUP(LEFT(Proc[[#This Row],[Requested]],1),Table3[#All],2,0),VLOOKUP(Proc[[#This Row],[Author]],Table4[],2,0))</f>
        <v>MGF</v>
      </c>
      <c r="L493" s="60" t="s">
        <v>509</v>
      </c>
      <c r="M493" s="73">
        <v>45695.560960648145</v>
      </c>
      <c r="P493" s="69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102</v>
      </c>
      <c r="R493" s="69" t="s">
        <v>515</v>
      </c>
      <c r="S493" s="60"/>
    </row>
    <row r="494" spans="1:19" hidden="1">
      <c r="A494" s="62" t="s">
        <v>1819</v>
      </c>
      <c r="B494" s="60" t="str">
        <f>IFERROR(VLOOKUP(Proc[[#This Row],[App]],Table2[],3,0),"open")</f>
        <v>ok</v>
      </c>
      <c r="C494" s="70" t="s">
        <v>377</v>
      </c>
      <c r="D494" t="s">
        <v>1820</v>
      </c>
      <c r="E494" t="s">
        <v>2046</v>
      </c>
      <c r="F494" s="105" t="s">
        <v>2046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1</v>
      </c>
      <c r="K494" s="60" t="str">
        <f>IF(Proc[[#This Row],[Author]]="Marcela Urrego",VLOOKUP(LEFT(Proc[[#This Row],[Requested]],1),Table3[#All],2,0),VLOOKUP(Proc[[#This Row],[Author]],Table4[],2,0))</f>
        <v>MGF</v>
      </c>
      <c r="L494" s="60" t="s">
        <v>509</v>
      </c>
      <c r="M494" s="73">
        <v>45695.560960648145</v>
      </c>
      <c r="P494" s="69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102</v>
      </c>
      <c r="R494" s="69" t="s">
        <v>515</v>
      </c>
      <c r="S494" s="60"/>
    </row>
    <row r="495" spans="1:19" hidden="1">
      <c r="A495" t="s">
        <v>1822</v>
      </c>
      <c r="B495" s="60" t="str">
        <f>IFERROR(VLOOKUP(Proc[[#This Row],[App]],Table2[],3,0),"open")</f>
        <v>ok</v>
      </c>
      <c r="C495" t="s">
        <v>369</v>
      </c>
      <c r="D495" t="s">
        <v>1821</v>
      </c>
      <c r="E495" s="62" t="s">
        <v>1823</v>
      </c>
      <c r="F495" s="105" t="s">
        <v>1823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1</v>
      </c>
      <c r="K495" s="60" t="str">
        <f>IF(Proc[[#This Row],[Author]]="Marcela Urrego",VLOOKUP(LEFT(Proc[[#This Row],[Requested]],1),Table3[#All],2,0),VLOOKUP(Proc[[#This Row],[Author]],Table4[],2,0))</f>
        <v>MGF</v>
      </c>
      <c r="L495" s="60" t="s">
        <v>509</v>
      </c>
      <c r="M495" s="73">
        <v>45698.416030092594</v>
      </c>
      <c r="N495" s="73">
        <v>45701</v>
      </c>
      <c r="O495" s="73">
        <v>45701</v>
      </c>
      <c r="P495" s="69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9" t="s">
        <v>549</v>
      </c>
      <c r="S495" s="60"/>
    </row>
    <row r="496" spans="1:19" hidden="1">
      <c r="A496" t="s">
        <v>1824</v>
      </c>
      <c r="B496" s="60" t="str">
        <f>IFERROR(VLOOKUP(Proc[[#This Row],[App]],Table2[],3,0),"open")</f>
        <v>ok</v>
      </c>
      <c r="C496" s="62" t="s">
        <v>369</v>
      </c>
      <c r="D496" t="s">
        <v>527</v>
      </c>
      <c r="E496" t="s">
        <v>466</v>
      </c>
      <c r="F496" s="105" t="s">
        <v>466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1825</v>
      </c>
      <c r="J496" s="60" t="b">
        <f>Proc[[#This Row],[Requested]]=Proc[[#This Row],[CurrentParent]]</f>
        <v>1</v>
      </c>
      <c r="K496" s="60" t="str">
        <f>IF(Proc[[#This Row],[Author]]="Marcela Urrego",VLOOKUP(LEFT(Proc[[#This Row],[Requested]],1),Table3[#All],2,0),VLOOKUP(Proc[[#This Row],[Author]],Table4[],2,0))</f>
        <v>MGF</v>
      </c>
      <c r="L496" s="60" t="s">
        <v>509</v>
      </c>
      <c r="M496" s="73">
        <v>45699.166770833333</v>
      </c>
      <c r="P496" s="69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100</v>
      </c>
      <c r="R496" s="69" t="s">
        <v>515</v>
      </c>
      <c r="S496" s="60"/>
    </row>
    <row r="497" spans="1:19" hidden="1">
      <c r="A497" s="62" t="s">
        <v>1824</v>
      </c>
      <c r="B497" s="60" t="str">
        <f>IFERROR(VLOOKUP(Proc[[#This Row],[App]],Table2[],3,0),"open")</f>
        <v>ok</v>
      </c>
      <c r="C497" s="70" t="s">
        <v>369</v>
      </c>
      <c r="D497" t="s">
        <v>528</v>
      </c>
      <c r="E497" t="s">
        <v>466</v>
      </c>
      <c r="F497" s="105" t="s">
        <v>466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1</v>
      </c>
      <c r="K497" s="60" t="str">
        <f>IF(Proc[[#This Row],[Author]]="Marcela Urrego",VLOOKUP(LEFT(Proc[[#This Row],[Requested]],1),Table3[#All],2,0),VLOOKUP(Proc[[#This Row],[Author]],Table4[],2,0))</f>
        <v>MGF</v>
      </c>
      <c r="L497" s="60" t="s">
        <v>509</v>
      </c>
      <c r="M497" s="73">
        <v>45699.166770833333</v>
      </c>
      <c r="P497" s="69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100</v>
      </c>
      <c r="R497" s="69" t="s">
        <v>515</v>
      </c>
      <c r="S497" s="60"/>
    </row>
    <row r="498" spans="1:19" hidden="1">
      <c r="A498" t="s">
        <v>1826</v>
      </c>
      <c r="B498" s="60" t="str">
        <f>IFERROR(VLOOKUP(Proc[[#This Row],[App]],Table2[],3,0),"open")</f>
        <v>ok</v>
      </c>
      <c r="C498" s="70" t="s">
        <v>369</v>
      </c>
      <c r="D498" t="s">
        <v>1827</v>
      </c>
      <c r="E498" s="70" t="s">
        <v>1828</v>
      </c>
      <c r="F498" s="105" t="s">
        <v>1828</v>
      </c>
      <c r="G498" s="70" t="s">
        <v>406</v>
      </c>
      <c r="H498" s="71" t="str">
        <f>IF(Proc[[#This Row],[type]]="LFF (MDG-F)",MID(Proc[[#This Row],[Obj]],13,10),"")</f>
        <v>DE10GIT04K</v>
      </c>
      <c r="J498" s="60" t="b">
        <f>Proc[[#This Row],[Requested]]=Proc[[#This Row],[CurrentParent]]</f>
        <v>1</v>
      </c>
      <c r="K498" s="60" t="str">
        <f>IF(Proc[[#This Row],[Author]]="Marcela Urrego",VLOOKUP(LEFT(Proc[[#This Row],[Requested]],1),Table3[#All],2,0),VLOOKUP(Proc[[#This Row],[Author]],Table4[],2,0))</f>
        <v>MGF</v>
      </c>
      <c r="L498" s="71" t="s">
        <v>509</v>
      </c>
      <c r="M498" s="73">
        <v>45700.166770833333</v>
      </c>
      <c r="P498" s="69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99</v>
      </c>
      <c r="R498" s="69" t="s">
        <v>1459</v>
      </c>
      <c r="S498" s="60"/>
    </row>
    <row r="499" spans="1:19" hidden="1">
      <c r="A499" t="s">
        <v>1831</v>
      </c>
      <c r="B499" s="71" t="str">
        <f>IFERROR(VLOOKUP(Proc[[#This Row],[App]],Table2[],3,0),"open")</f>
        <v>ok</v>
      </c>
      <c r="C499" s="70" t="s">
        <v>369</v>
      </c>
      <c r="D499" t="s">
        <v>1829</v>
      </c>
      <c r="E499" t="s">
        <v>1830</v>
      </c>
      <c r="F499" s="105" t="s">
        <v>1830</v>
      </c>
      <c r="G499" s="70" t="s">
        <v>406</v>
      </c>
      <c r="H499" s="71" t="str">
        <f>IF(Proc[[#This Row],[type]]="LFF (MDG-F)",MID(Proc[[#This Row],[Obj]],13,10),"")</f>
        <v>2034C00019</v>
      </c>
      <c r="J499" s="71" t="b">
        <f>Proc[[#This Row],[Requested]]=Proc[[#This Row],[CurrentParent]]</f>
        <v>1</v>
      </c>
      <c r="K499" s="71" t="str">
        <f>IF(Proc[[#This Row],[Author]]="Marcela Urrego",VLOOKUP(LEFT(Proc[[#This Row],[Requested]],1),Table3[#All],2,0),VLOOKUP(Proc[[#This Row],[Author]],Table4[],2,0))</f>
        <v>LS</v>
      </c>
      <c r="L499" s="71" t="s">
        <v>509</v>
      </c>
      <c r="M499" s="73">
        <v>45701.389467592591</v>
      </c>
      <c r="N499" s="73">
        <v>45712</v>
      </c>
      <c r="O499" s="73">
        <v>45712</v>
      </c>
      <c r="P499" s="72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2" t="s">
        <v>830</v>
      </c>
      <c r="S499" s="71"/>
    </row>
    <row r="500" spans="1:19" hidden="1">
      <c r="A500" t="s">
        <v>1832</v>
      </c>
      <c r="B500" s="71" t="str">
        <f>IFERROR(VLOOKUP(Proc[[#This Row],[App]],Table2[],3,0),"open")</f>
        <v>ok</v>
      </c>
      <c r="C500" s="70" t="s">
        <v>369</v>
      </c>
      <c r="D500" t="s">
        <v>1976</v>
      </c>
      <c r="E500" t="s">
        <v>1985</v>
      </c>
      <c r="F500" s="105" t="s">
        <v>1985</v>
      </c>
      <c r="G500" t="s">
        <v>400</v>
      </c>
      <c r="H500" s="71" t="str">
        <f>IF(Proc[[#This Row],[type]]="LFF (MDG-F)",MID(Proc[[#This Row],[Obj]],13,10),"")</f>
        <v/>
      </c>
      <c r="I500" t="s">
        <v>1834</v>
      </c>
      <c r="J500" s="71" t="b">
        <f>Proc[[#This Row],[Requested]]=Proc[[#This Row],[CurrentParent]]</f>
        <v>1</v>
      </c>
      <c r="K500" s="71" t="str">
        <f>IF(Proc[[#This Row],[Author]]="Marcela Urrego",VLOOKUP(LEFT(Proc[[#This Row],[Requested]],1),Table3[#All],2,0),VLOOKUP(Proc[[#This Row],[Author]],Table4[],2,0))</f>
        <v>LS</v>
      </c>
      <c r="L500" s="71" t="s">
        <v>509</v>
      </c>
      <c r="M500" s="73">
        <v>45701.611967592595</v>
      </c>
      <c r="N500" s="73">
        <v>45706</v>
      </c>
      <c r="O500" s="73">
        <v>45706</v>
      </c>
      <c r="P500" s="72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2" t="s">
        <v>1833</v>
      </c>
      <c r="S500" s="71"/>
    </row>
    <row r="501" spans="1:19" hidden="1">
      <c r="A501" s="70" t="s">
        <v>1832</v>
      </c>
      <c r="B501" s="71" t="str">
        <f>IFERROR(VLOOKUP(Proc[[#This Row],[App]],Table2[],3,0),"open")</f>
        <v>ok</v>
      </c>
      <c r="C501" s="70" t="s">
        <v>369</v>
      </c>
      <c r="D501" t="s">
        <v>1977</v>
      </c>
      <c r="E501" s="70" t="s">
        <v>1985</v>
      </c>
      <c r="F501" s="105" t="s">
        <v>1985</v>
      </c>
      <c r="G501" s="70" t="s">
        <v>400</v>
      </c>
      <c r="H501" s="71" t="str">
        <f>IF(Proc[[#This Row],[type]]="LFF (MDG-F)",MID(Proc[[#This Row],[Obj]],13,10),"")</f>
        <v/>
      </c>
      <c r="I501" s="70" t="s">
        <v>1834</v>
      </c>
      <c r="J501" s="71" t="b">
        <f>Proc[[#This Row],[Requested]]=Proc[[#This Row],[CurrentParent]]</f>
        <v>1</v>
      </c>
      <c r="K501" s="71" t="str">
        <f>IF(Proc[[#This Row],[Author]]="Marcela Urrego",VLOOKUP(LEFT(Proc[[#This Row],[Requested]],1),Table3[#All],2,0),VLOOKUP(Proc[[#This Row],[Author]],Table4[],2,0))</f>
        <v>LS</v>
      </c>
      <c r="L501" s="71" t="s">
        <v>509</v>
      </c>
      <c r="M501" s="73">
        <v>45701.611967592595</v>
      </c>
      <c r="N501" s="73">
        <v>45706</v>
      </c>
      <c r="O501" s="73">
        <v>45706</v>
      </c>
      <c r="P501" s="72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2" t="s">
        <v>1833</v>
      </c>
      <c r="S501" s="71"/>
    </row>
    <row r="502" spans="1:19" hidden="1">
      <c r="A502" s="70" t="s">
        <v>1832</v>
      </c>
      <c r="B502" s="71" t="str">
        <f>IFERROR(VLOOKUP(Proc[[#This Row],[App]],Table2[],3,0),"open")</f>
        <v>ok</v>
      </c>
      <c r="C502" s="70" t="s">
        <v>369</v>
      </c>
      <c r="D502" t="s">
        <v>1978</v>
      </c>
      <c r="E502" s="70" t="s">
        <v>1985</v>
      </c>
      <c r="F502" s="105" t="s">
        <v>1985</v>
      </c>
      <c r="G502" s="70" t="s">
        <v>400</v>
      </c>
      <c r="H502" s="71" t="str">
        <f>IF(Proc[[#This Row],[type]]="LFF (MDG-F)",MID(Proc[[#This Row],[Obj]],13,10),"")</f>
        <v/>
      </c>
      <c r="I502" s="70" t="s">
        <v>1834</v>
      </c>
      <c r="J502" s="71" t="b">
        <f>Proc[[#This Row],[Requested]]=Proc[[#This Row],[CurrentParent]]</f>
        <v>1</v>
      </c>
      <c r="K502" s="71" t="str">
        <f>IF(Proc[[#This Row],[Author]]="Marcela Urrego",VLOOKUP(LEFT(Proc[[#This Row],[Requested]],1),Table3[#All],2,0),VLOOKUP(Proc[[#This Row],[Author]],Table4[],2,0))</f>
        <v>LS</v>
      </c>
      <c r="L502" s="71" t="s">
        <v>509</v>
      </c>
      <c r="M502" s="73">
        <v>45701.611967592595</v>
      </c>
      <c r="N502" s="73">
        <v>45706</v>
      </c>
      <c r="O502" s="73">
        <v>45706</v>
      </c>
      <c r="P502" s="72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2" t="s">
        <v>1833</v>
      </c>
      <c r="S502" s="71"/>
    </row>
    <row r="503" spans="1:19" hidden="1">
      <c r="A503" s="70" t="s">
        <v>1832</v>
      </c>
      <c r="B503" s="71" t="str">
        <f>IFERROR(VLOOKUP(Proc[[#This Row],[App]],Table2[],3,0),"open")</f>
        <v>ok</v>
      </c>
      <c r="C503" s="70" t="s">
        <v>369</v>
      </c>
      <c r="D503" t="s">
        <v>1979</v>
      </c>
      <c r="E503" t="s">
        <v>1986</v>
      </c>
      <c r="F503" s="105" t="s">
        <v>1986</v>
      </c>
      <c r="G503" s="70" t="s">
        <v>400</v>
      </c>
      <c r="H503" s="71" t="str">
        <f>IF(Proc[[#This Row],[type]]="LFF (MDG-F)",MID(Proc[[#This Row],[Obj]],13,10),"")</f>
        <v/>
      </c>
      <c r="I503" s="70" t="s">
        <v>1834</v>
      </c>
      <c r="J503" s="71" t="b">
        <f>Proc[[#This Row],[Requested]]=Proc[[#This Row],[CurrentParent]]</f>
        <v>1</v>
      </c>
      <c r="K503" s="71" t="str">
        <f>IF(Proc[[#This Row],[Author]]="Marcela Urrego",VLOOKUP(LEFT(Proc[[#This Row],[Requested]],1),Table3[#All],2,0),VLOOKUP(Proc[[#This Row],[Author]],Table4[],2,0))</f>
        <v>LS</v>
      </c>
      <c r="L503" s="71" t="s">
        <v>509</v>
      </c>
      <c r="M503" s="73">
        <v>45701.611967592595</v>
      </c>
      <c r="N503" s="73">
        <v>45706</v>
      </c>
      <c r="O503" s="73">
        <v>45706</v>
      </c>
      <c r="P503" s="72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2" t="s">
        <v>1833</v>
      </c>
      <c r="S503" s="71"/>
    </row>
    <row r="504" spans="1:19" hidden="1">
      <c r="A504" s="70" t="s">
        <v>1832</v>
      </c>
      <c r="B504" s="71" t="str">
        <f>IFERROR(VLOOKUP(Proc[[#This Row],[App]],Table2[],3,0),"open")</f>
        <v>ok</v>
      </c>
      <c r="C504" s="70" t="s">
        <v>369</v>
      </c>
      <c r="D504" t="s">
        <v>1981</v>
      </c>
      <c r="E504" s="70" t="s">
        <v>1986</v>
      </c>
      <c r="F504" s="105" t="s">
        <v>1986</v>
      </c>
      <c r="G504" s="70" t="s">
        <v>400</v>
      </c>
      <c r="H504" s="71" t="str">
        <f>IF(Proc[[#This Row],[type]]="LFF (MDG-F)",MID(Proc[[#This Row],[Obj]],13,10),"")</f>
        <v/>
      </c>
      <c r="I504" s="70" t="s">
        <v>1834</v>
      </c>
      <c r="J504" s="71" t="b">
        <f>Proc[[#This Row],[Requested]]=Proc[[#This Row],[CurrentParent]]</f>
        <v>1</v>
      </c>
      <c r="K504" s="71" t="str">
        <f>IF(Proc[[#This Row],[Author]]="Marcela Urrego",VLOOKUP(LEFT(Proc[[#This Row],[Requested]],1),Table3[#All],2,0),VLOOKUP(Proc[[#This Row],[Author]],Table4[],2,0))</f>
        <v>LS</v>
      </c>
      <c r="L504" s="71" t="s">
        <v>509</v>
      </c>
      <c r="M504" s="73">
        <v>45701.611967592595</v>
      </c>
      <c r="N504" s="73">
        <v>45706</v>
      </c>
      <c r="O504" s="73">
        <v>45706</v>
      </c>
      <c r="P504" s="72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2" t="s">
        <v>1833</v>
      </c>
      <c r="S504" s="71"/>
    </row>
    <row r="505" spans="1:19" hidden="1">
      <c r="A505" s="70" t="s">
        <v>1832</v>
      </c>
      <c r="B505" s="71" t="str">
        <f>IFERROR(VLOOKUP(Proc[[#This Row],[App]],Table2[],3,0),"open")</f>
        <v>ok</v>
      </c>
      <c r="C505" s="70" t="s">
        <v>369</v>
      </c>
      <c r="D505" t="s">
        <v>1980</v>
      </c>
      <c r="E505" s="70" t="s">
        <v>1986</v>
      </c>
      <c r="F505" s="105" t="s">
        <v>1986</v>
      </c>
      <c r="G505" s="70" t="s">
        <v>400</v>
      </c>
      <c r="H505" s="71" t="str">
        <f>IF(Proc[[#This Row],[type]]="LFF (MDG-F)",MID(Proc[[#This Row],[Obj]],13,10),"")</f>
        <v/>
      </c>
      <c r="I505" s="70" t="s">
        <v>1834</v>
      </c>
      <c r="J505" s="71" t="b">
        <f>Proc[[#This Row],[Requested]]=Proc[[#This Row],[CurrentParent]]</f>
        <v>1</v>
      </c>
      <c r="K505" s="71" t="str">
        <f>IF(Proc[[#This Row],[Author]]="Marcela Urrego",VLOOKUP(LEFT(Proc[[#This Row],[Requested]],1),Table3[#All],2,0),VLOOKUP(Proc[[#This Row],[Author]],Table4[],2,0))</f>
        <v>LS</v>
      </c>
      <c r="L505" s="71" t="s">
        <v>509</v>
      </c>
      <c r="M505" s="73">
        <v>45701.611967592595</v>
      </c>
      <c r="N505" s="73">
        <v>45706</v>
      </c>
      <c r="O505" s="73">
        <v>45706</v>
      </c>
      <c r="P505" s="72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2" t="s">
        <v>1833</v>
      </c>
      <c r="S505" s="71"/>
    </row>
    <row r="506" spans="1:19" hidden="1">
      <c r="A506" s="70" t="s">
        <v>1832</v>
      </c>
      <c r="B506" s="71" t="str">
        <f>IFERROR(VLOOKUP(Proc[[#This Row],[App]],Table2[],3,0),"open")</f>
        <v>ok</v>
      </c>
      <c r="C506" s="70" t="s">
        <v>369</v>
      </c>
      <c r="D506" t="s">
        <v>1982</v>
      </c>
      <c r="E506" s="70" t="s">
        <v>1986</v>
      </c>
      <c r="F506" s="105" t="s">
        <v>1986</v>
      </c>
      <c r="G506" s="70" t="s">
        <v>400</v>
      </c>
      <c r="H506" s="71" t="str">
        <f>IF(Proc[[#This Row],[type]]="LFF (MDG-F)",MID(Proc[[#This Row],[Obj]],13,10),"")</f>
        <v/>
      </c>
      <c r="I506" s="70" t="s">
        <v>1834</v>
      </c>
      <c r="J506" s="71" t="b">
        <f>Proc[[#This Row],[Requested]]=Proc[[#This Row],[CurrentParent]]</f>
        <v>1</v>
      </c>
      <c r="K506" s="71" t="str">
        <f>IF(Proc[[#This Row],[Author]]="Marcela Urrego",VLOOKUP(LEFT(Proc[[#This Row],[Requested]],1),Table3[#All],2,0),VLOOKUP(Proc[[#This Row],[Author]],Table4[],2,0))</f>
        <v>LS</v>
      </c>
      <c r="L506" s="71" t="s">
        <v>509</v>
      </c>
      <c r="M506" s="73">
        <v>45701.611967592595</v>
      </c>
      <c r="N506" s="73">
        <v>45706</v>
      </c>
      <c r="O506" s="73">
        <v>45706</v>
      </c>
      <c r="P506" s="72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2" t="s">
        <v>1833</v>
      </c>
      <c r="S506" s="71"/>
    </row>
    <row r="507" spans="1:19" hidden="1">
      <c r="A507" s="70" t="s">
        <v>1832</v>
      </c>
      <c r="B507" s="71" t="str">
        <f>IFERROR(VLOOKUP(Proc[[#This Row],[App]],Table2[],3,0),"open")</f>
        <v>ok</v>
      </c>
      <c r="C507" s="70" t="s">
        <v>369</v>
      </c>
      <c r="D507" t="s">
        <v>1983</v>
      </c>
      <c r="E507" s="70" t="s">
        <v>1986</v>
      </c>
      <c r="F507" s="105" t="s">
        <v>1986</v>
      </c>
      <c r="G507" s="70" t="s">
        <v>400</v>
      </c>
      <c r="H507" s="71" t="str">
        <f>IF(Proc[[#This Row],[type]]="LFF (MDG-F)",MID(Proc[[#This Row],[Obj]],13,10),"")</f>
        <v/>
      </c>
      <c r="I507" s="70" t="s">
        <v>1834</v>
      </c>
      <c r="J507" s="71" t="b">
        <f>Proc[[#This Row],[Requested]]=Proc[[#This Row],[CurrentParent]]</f>
        <v>1</v>
      </c>
      <c r="K507" s="71" t="str">
        <f>IF(Proc[[#This Row],[Author]]="Marcela Urrego",VLOOKUP(LEFT(Proc[[#This Row],[Requested]],1),Table3[#All],2,0),VLOOKUP(Proc[[#This Row],[Author]],Table4[],2,0))</f>
        <v>LS</v>
      </c>
      <c r="L507" s="71" t="s">
        <v>509</v>
      </c>
      <c r="M507" s="73">
        <v>45701.611967592595</v>
      </c>
      <c r="N507" s="73">
        <v>45706</v>
      </c>
      <c r="O507" s="73">
        <v>45706</v>
      </c>
      <c r="P507" s="72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2" t="s">
        <v>1833</v>
      </c>
      <c r="S507" s="71"/>
    </row>
    <row r="508" spans="1:19" hidden="1">
      <c r="A508" s="70" t="s">
        <v>1832</v>
      </c>
      <c r="B508" s="71" t="str">
        <f>IFERROR(VLOOKUP(Proc[[#This Row],[App]],Table2[],3,0),"open")</f>
        <v>ok</v>
      </c>
      <c r="C508" s="70" t="s">
        <v>369</v>
      </c>
      <c r="D508" t="s">
        <v>1984</v>
      </c>
      <c r="E508" s="70" t="s">
        <v>1986</v>
      </c>
      <c r="F508" s="105" t="s">
        <v>1986</v>
      </c>
      <c r="G508" s="70" t="s">
        <v>400</v>
      </c>
      <c r="H508" s="71" t="str">
        <f>IF(Proc[[#This Row],[type]]="LFF (MDG-F)",MID(Proc[[#This Row],[Obj]],13,10),"")</f>
        <v/>
      </c>
      <c r="I508" s="70" t="s">
        <v>1834</v>
      </c>
      <c r="J508" s="71" t="b">
        <f>Proc[[#This Row],[Requested]]=Proc[[#This Row],[CurrentParent]]</f>
        <v>1</v>
      </c>
      <c r="K508" s="71" t="str">
        <f>IF(Proc[[#This Row],[Author]]="Marcela Urrego",VLOOKUP(LEFT(Proc[[#This Row],[Requested]],1),Table3[#All],2,0),VLOOKUP(Proc[[#This Row],[Author]],Table4[],2,0))</f>
        <v>LS</v>
      </c>
      <c r="L508" s="71" t="s">
        <v>509</v>
      </c>
      <c r="M508" s="73">
        <v>45701.611967592595</v>
      </c>
      <c r="N508" s="73">
        <v>45706</v>
      </c>
      <c r="O508" s="73">
        <v>45706</v>
      </c>
      <c r="P508" s="72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2" t="s">
        <v>1833</v>
      </c>
      <c r="S508" s="71"/>
    </row>
    <row r="509" spans="1:19" hidden="1">
      <c r="A509" t="s">
        <v>1839</v>
      </c>
      <c r="B509" s="71" t="str">
        <f>IFERROR(VLOOKUP(Proc[[#This Row],[App]],Table2[],3,0),"open")</f>
        <v>ok</v>
      </c>
      <c r="C509" s="70" t="s">
        <v>369</v>
      </c>
      <c r="D509" t="s">
        <v>1835</v>
      </c>
      <c r="E509" t="s">
        <v>429</v>
      </c>
      <c r="F509" s="105" t="s">
        <v>429</v>
      </c>
      <c r="G509" s="70" t="s">
        <v>400</v>
      </c>
      <c r="H509" s="71" t="str">
        <f>IF(Proc[[#This Row],[type]]="LFF (MDG-F)",MID(Proc[[#This Row],[Obj]],13,10),"")</f>
        <v/>
      </c>
      <c r="J509" s="71" t="b">
        <f>Proc[[#This Row],[Requested]]=Proc[[#This Row],[CurrentParent]]</f>
        <v>1</v>
      </c>
      <c r="K509" s="71" t="str">
        <f>IF(Proc[[#This Row],[Author]]="Marcela Urrego",VLOOKUP(LEFT(Proc[[#This Row],[Requested]],1),Table3[#All],2,0),VLOOKUP(Proc[[#This Row],[Author]],Table4[],2,0))</f>
        <v>MGF</v>
      </c>
      <c r="L509" s="71" t="s">
        <v>509</v>
      </c>
      <c r="M509" s="73">
        <v>45702.505925925929</v>
      </c>
      <c r="N509" s="73">
        <v>45705</v>
      </c>
      <c r="O509" s="73">
        <v>45705</v>
      </c>
      <c r="P509" s="72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9" t="s">
        <v>1459</v>
      </c>
      <c r="S509" s="71"/>
    </row>
    <row r="510" spans="1:19" hidden="1">
      <c r="A510" s="70" t="s">
        <v>1839</v>
      </c>
      <c r="B510" s="71" t="str">
        <f>IFERROR(VLOOKUP(Proc[[#This Row],[App]],Table2[],3,0),"open")</f>
        <v>ok</v>
      </c>
      <c r="C510" s="70" t="s">
        <v>369</v>
      </c>
      <c r="D510" t="s">
        <v>1836</v>
      </c>
      <c r="E510" t="s">
        <v>1232</v>
      </c>
      <c r="F510" s="105" t="s">
        <v>1232</v>
      </c>
      <c r="G510" s="70" t="s">
        <v>400</v>
      </c>
      <c r="H510" s="71" t="str">
        <f>IF(Proc[[#This Row],[type]]="LFF (MDG-F)",MID(Proc[[#This Row],[Obj]],13,10),"")</f>
        <v/>
      </c>
      <c r="J510" s="71" t="b">
        <f>Proc[[#This Row],[Requested]]=Proc[[#This Row],[CurrentParent]]</f>
        <v>1</v>
      </c>
      <c r="K510" s="71" t="str">
        <f>IF(Proc[[#This Row],[Author]]="Marcela Urrego",VLOOKUP(LEFT(Proc[[#This Row],[Requested]],1),Table3[#All],2,0),VLOOKUP(Proc[[#This Row],[Author]],Table4[],2,0))</f>
        <v>MGF</v>
      </c>
      <c r="L510" s="71" t="s">
        <v>509</v>
      </c>
      <c r="M510" s="73">
        <v>45702.505925925929</v>
      </c>
      <c r="N510" s="73">
        <v>45705</v>
      </c>
      <c r="O510" s="73">
        <v>45705</v>
      </c>
      <c r="P510" s="72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9" t="s">
        <v>1459</v>
      </c>
      <c r="S510" s="71"/>
    </row>
    <row r="511" spans="1:19" hidden="1">
      <c r="A511" s="70" t="s">
        <v>1839</v>
      </c>
      <c r="B511" s="71" t="str">
        <f>IFERROR(VLOOKUP(Proc[[#This Row],[App]],Table2[],3,0),"open")</f>
        <v>ok</v>
      </c>
      <c r="C511" s="70" t="s">
        <v>369</v>
      </c>
      <c r="D511" t="s">
        <v>1837</v>
      </c>
      <c r="E511" t="s">
        <v>1232</v>
      </c>
      <c r="F511" s="105" t="s">
        <v>1232</v>
      </c>
      <c r="G511" s="70" t="s">
        <v>400</v>
      </c>
      <c r="H511" s="71" t="str">
        <f>IF(Proc[[#This Row],[type]]="LFF (MDG-F)",MID(Proc[[#This Row],[Obj]],13,10),"")</f>
        <v/>
      </c>
      <c r="J511" s="71" t="b">
        <f>Proc[[#This Row],[Requested]]=Proc[[#This Row],[CurrentParent]]</f>
        <v>1</v>
      </c>
      <c r="K511" s="71" t="str">
        <f>IF(Proc[[#This Row],[Author]]="Marcela Urrego",VLOOKUP(LEFT(Proc[[#This Row],[Requested]],1),Table3[#All],2,0),VLOOKUP(Proc[[#This Row],[Author]],Table4[],2,0))</f>
        <v>MGF</v>
      </c>
      <c r="L511" s="71" t="s">
        <v>509</v>
      </c>
      <c r="M511" s="73">
        <v>45702.505925925929</v>
      </c>
      <c r="N511" s="73">
        <v>45705</v>
      </c>
      <c r="O511" s="73">
        <v>45705</v>
      </c>
      <c r="P511" s="72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9" t="s">
        <v>1459</v>
      </c>
      <c r="S511" s="71"/>
    </row>
    <row r="512" spans="1:19" hidden="1">
      <c r="A512" s="70" t="s">
        <v>1839</v>
      </c>
      <c r="B512" s="71" t="str">
        <f>IFERROR(VLOOKUP(Proc[[#This Row],[App]],Table2[],3,0),"open")</f>
        <v>ok</v>
      </c>
      <c r="C512" s="70" t="s">
        <v>369</v>
      </c>
      <c r="D512" t="s">
        <v>1838</v>
      </c>
      <c r="E512" t="s">
        <v>1232</v>
      </c>
      <c r="F512" s="105" t="s">
        <v>1232</v>
      </c>
      <c r="G512" s="70" t="s">
        <v>400</v>
      </c>
      <c r="H512" s="71" t="str">
        <f>IF(Proc[[#This Row],[type]]="LFF (MDG-F)",MID(Proc[[#This Row],[Obj]],13,10),"")</f>
        <v/>
      </c>
      <c r="J512" s="71" t="b">
        <f>Proc[[#This Row],[Requested]]=Proc[[#This Row],[CurrentParent]]</f>
        <v>1</v>
      </c>
      <c r="K512" s="71" t="str">
        <f>IF(Proc[[#This Row],[Author]]="Marcela Urrego",VLOOKUP(LEFT(Proc[[#This Row],[Requested]],1),Table3[#All],2,0),VLOOKUP(Proc[[#This Row],[Author]],Table4[],2,0))</f>
        <v>MGF</v>
      </c>
      <c r="L512" s="71" t="s">
        <v>509</v>
      </c>
      <c r="M512" s="73">
        <v>45702.505925925929</v>
      </c>
      <c r="N512" s="73">
        <v>45705</v>
      </c>
      <c r="O512" s="73">
        <v>45705</v>
      </c>
      <c r="P512" s="72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9" t="s">
        <v>1459</v>
      </c>
      <c r="S512" s="71"/>
    </row>
    <row r="513" spans="1:19" hidden="1">
      <c r="A513" t="s">
        <v>1841</v>
      </c>
      <c r="B513" s="71" t="str">
        <f>IFERROR(VLOOKUP(Proc[[#This Row],[App]],Table2[],3,0),"open")</f>
        <v>ok</v>
      </c>
      <c r="C513" s="70" t="s">
        <v>369</v>
      </c>
      <c r="D513" t="s">
        <v>1840</v>
      </c>
      <c r="E513" t="s">
        <v>1842</v>
      </c>
      <c r="F513" s="105" t="s">
        <v>1842</v>
      </c>
      <c r="G513" s="70" t="s">
        <v>400</v>
      </c>
      <c r="H513" s="71" t="str">
        <f>IF(Proc[[#This Row],[type]]="LFF (MDG-F)",MID(Proc[[#This Row],[Obj]],13,10),"")</f>
        <v/>
      </c>
      <c r="J513" s="71" t="b">
        <f>Proc[[#This Row],[Requested]]=Proc[[#This Row],[CurrentParent]]</f>
        <v>1</v>
      </c>
      <c r="K513" s="71" t="str">
        <f>IF(Proc[[#This Row],[Author]]="Marcela Urrego",VLOOKUP(LEFT(Proc[[#This Row],[Requested]],1),Table3[#All],2,0),VLOOKUP(Proc[[#This Row],[Author]],Table4[],2,0))</f>
        <v>MGF</v>
      </c>
      <c r="L513" s="71" t="s">
        <v>509</v>
      </c>
      <c r="M513" s="73">
        <v>45702.571388888886</v>
      </c>
      <c r="N513" s="73">
        <v>45705</v>
      </c>
      <c r="O513" s="73">
        <v>45705</v>
      </c>
      <c r="P513" s="72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9" t="s">
        <v>1459</v>
      </c>
      <c r="S513" s="71"/>
    </row>
    <row r="514" spans="1:19" hidden="1">
      <c r="A514" t="s">
        <v>1843</v>
      </c>
      <c r="B514" s="71" t="str">
        <f>IFERROR(VLOOKUP(Proc[[#This Row],[App]],Table2[],3,0),"open")</f>
        <v>ok</v>
      </c>
      <c r="C514" t="s">
        <v>369</v>
      </c>
      <c r="D514" t="s">
        <v>1844</v>
      </c>
      <c r="E514" t="s">
        <v>1942</v>
      </c>
      <c r="F514" s="105" t="s">
        <v>1942</v>
      </c>
      <c r="G514" t="s">
        <v>406</v>
      </c>
      <c r="H514" s="71" t="str">
        <f>IF(Proc[[#This Row],[type]]="LFF (MDG-F)",MID(Proc[[#This Row],[Obj]],13,10),"")</f>
        <v>2123L28514</v>
      </c>
      <c r="J514" s="71" t="b">
        <f>Proc[[#This Row],[Requested]]=Proc[[#This Row],[CurrentParent]]</f>
        <v>1</v>
      </c>
      <c r="K514" s="71" t="str">
        <f>IF(Proc[[#This Row],[Author]]="Marcela Urrego",VLOOKUP(LEFT(Proc[[#This Row],[Requested]],1),Table3[#All],2,0),VLOOKUP(Proc[[#This Row],[Author]],Table4[],2,0))</f>
        <v>MGF</v>
      </c>
      <c r="L514" s="71" t="s">
        <v>509</v>
      </c>
      <c r="M514" s="73">
        <v>45702.63349537037</v>
      </c>
      <c r="N514" s="73">
        <v>45712</v>
      </c>
      <c r="O514" s="73">
        <v>45712</v>
      </c>
      <c r="P514" s="72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2" t="s">
        <v>515</v>
      </c>
      <c r="S514" s="71"/>
    </row>
    <row r="515" spans="1:19" hidden="1">
      <c r="A515" s="70" t="s">
        <v>1843</v>
      </c>
      <c r="B515" s="71" t="str">
        <f>IFERROR(VLOOKUP(Proc[[#This Row],[App]],Table2[],3,0),"open")</f>
        <v>ok</v>
      </c>
      <c r="C515" s="70" t="s">
        <v>369</v>
      </c>
      <c r="D515" t="s">
        <v>1845</v>
      </c>
      <c r="E515" t="s">
        <v>1943</v>
      </c>
      <c r="F515" s="105" t="s">
        <v>1943</v>
      </c>
      <c r="G515" s="70" t="s">
        <v>406</v>
      </c>
      <c r="H515" s="71" t="str">
        <f>IF(Proc[[#This Row],[type]]="LFF (MDG-F)",MID(Proc[[#This Row],[Obj]],13,10),"")</f>
        <v>2123OF0002</v>
      </c>
      <c r="J515" s="71" t="b">
        <f>Proc[[#This Row],[Requested]]=Proc[[#This Row],[CurrentParent]]</f>
        <v>1</v>
      </c>
      <c r="K515" s="71" t="str">
        <f>IF(Proc[[#This Row],[Author]]="Marcela Urrego",VLOOKUP(LEFT(Proc[[#This Row],[Requested]],1),Table3[#All],2,0),VLOOKUP(Proc[[#This Row],[Author]],Table4[],2,0))</f>
        <v>MGF</v>
      </c>
      <c r="L515" s="71" t="s">
        <v>509</v>
      </c>
      <c r="M515" s="73">
        <v>45702.63349537037</v>
      </c>
      <c r="N515" s="73">
        <v>45712</v>
      </c>
      <c r="O515" s="73">
        <v>45712</v>
      </c>
      <c r="P515" s="72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2" t="s">
        <v>515</v>
      </c>
      <c r="S515" s="71"/>
    </row>
    <row r="516" spans="1:19" hidden="1">
      <c r="A516" s="70" t="s">
        <v>1843</v>
      </c>
      <c r="B516" s="71" t="str">
        <f>IFERROR(VLOOKUP(Proc[[#This Row],[App]],Table2[],3,0),"open")</f>
        <v>ok</v>
      </c>
      <c r="C516" s="70" t="s">
        <v>369</v>
      </c>
      <c r="D516" t="s">
        <v>1846</v>
      </c>
      <c r="E516" t="s">
        <v>1943</v>
      </c>
      <c r="F516" s="105" t="s">
        <v>1943</v>
      </c>
      <c r="G516" s="70" t="s">
        <v>406</v>
      </c>
      <c r="H516" s="71" t="str">
        <f>IF(Proc[[#This Row],[type]]="LFF (MDG-F)",MID(Proc[[#This Row],[Obj]],13,10),"")</f>
        <v>2123OF0004</v>
      </c>
      <c r="J516" s="71" t="b">
        <f>Proc[[#This Row],[Requested]]=Proc[[#This Row],[CurrentParent]]</f>
        <v>1</v>
      </c>
      <c r="K516" s="71" t="str">
        <f>IF(Proc[[#This Row],[Author]]="Marcela Urrego",VLOOKUP(LEFT(Proc[[#This Row],[Requested]],1),Table3[#All],2,0),VLOOKUP(Proc[[#This Row],[Author]],Table4[],2,0))</f>
        <v>MGF</v>
      </c>
      <c r="L516" s="71" t="s">
        <v>509</v>
      </c>
      <c r="M516" s="73">
        <v>45702.63349537037</v>
      </c>
      <c r="N516" s="73">
        <v>45712</v>
      </c>
      <c r="O516" s="73">
        <v>45712</v>
      </c>
      <c r="P516" s="72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2" t="s">
        <v>515</v>
      </c>
      <c r="S516" s="71"/>
    </row>
    <row r="517" spans="1:19" hidden="1">
      <c r="A517" s="70" t="s">
        <v>1843</v>
      </c>
      <c r="B517" s="71" t="str">
        <f>IFERROR(VLOOKUP(Proc[[#This Row],[App]],Table2[],3,0),"open")</f>
        <v>ok</v>
      </c>
      <c r="C517" s="70" t="s">
        <v>369</v>
      </c>
      <c r="D517" t="s">
        <v>1847</v>
      </c>
      <c r="E517" t="s">
        <v>1944</v>
      </c>
      <c r="F517" s="105" t="s">
        <v>1944</v>
      </c>
      <c r="G517" t="s">
        <v>400</v>
      </c>
      <c r="H517" s="71" t="str">
        <f>IF(Proc[[#This Row],[type]]="LFF (MDG-F)",MID(Proc[[#This Row],[Obj]],13,10),"")</f>
        <v/>
      </c>
      <c r="J517" s="71" t="b">
        <f>Proc[[#This Row],[Requested]]=Proc[[#This Row],[CurrentParent]]</f>
        <v>1</v>
      </c>
      <c r="K517" s="71" t="str">
        <f>IF(Proc[[#This Row],[Author]]="Marcela Urrego",VLOOKUP(LEFT(Proc[[#This Row],[Requested]],1),Table3[#All],2,0),VLOOKUP(Proc[[#This Row],[Author]],Table4[],2,0))</f>
        <v>MGF</v>
      </c>
      <c r="L517" s="71" t="s">
        <v>509</v>
      </c>
      <c r="M517" s="73">
        <v>45702.63349537037</v>
      </c>
      <c r="N517" s="73">
        <v>45712</v>
      </c>
      <c r="O517" s="73">
        <v>45712</v>
      </c>
      <c r="P517" s="72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2" t="s">
        <v>515</v>
      </c>
      <c r="S517" s="71"/>
    </row>
    <row r="518" spans="1:19" hidden="1">
      <c r="A518" s="70" t="s">
        <v>1843</v>
      </c>
      <c r="B518" s="71" t="str">
        <f>IFERROR(VLOOKUP(Proc[[#This Row],[App]],Table2[],3,0),"open")</f>
        <v>ok</v>
      </c>
      <c r="C518" s="70" t="s">
        <v>369</v>
      </c>
      <c r="D518" t="s">
        <v>1848</v>
      </c>
      <c r="E518" t="s">
        <v>1944</v>
      </c>
      <c r="F518" s="105" t="s">
        <v>1944</v>
      </c>
      <c r="G518" s="70" t="s">
        <v>406</v>
      </c>
      <c r="H518" s="71" t="str">
        <f>IF(Proc[[#This Row],[type]]="LFF (MDG-F)",MID(Proc[[#This Row],[Obj]],13,10),"")</f>
        <v>2123L70001</v>
      </c>
      <c r="J518" s="71" t="b">
        <f>Proc[[#This Row],[Requested]]=Proc[[#This Row],[CurrentParent]]</f>
        <v>1</v>
      </c>
      <c r="K518" s="71" t="str">
        <f>IF(Proc[[#This Row],[Author]]="Marcela Urrego",VLOOKUP(LEFT(Proc[[#This Row],[Requested]],1),Table3[#All],2,0),VLOOKUP(Proc[[#This Row],[Author]],Table4[],2,0))</f>
        <v>MGF</v>
      </c>
      <c r="L518" s="71" t="s">
        <v>509</v>
      </c>
      <c r="M518" s="73">
        <v>45702.63349537037</v>
      </c>
      <c r="N518" s="73">
        <v>45712</v>
      </c>
      <c r="O518" s="73">
        <v>45712</v>
      </c>
      <c r="P518" s="72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2" t="s">
        <v>515</v>
      </c>
      <c r="S518" s="71"/>
    </row>
    <row r="519" spans="1:19" hidden="1">
      <c r="A519" s="70" t="s">
        <v>1843</v>
      </c>
      <c r="B519" s="71" t="str">
        <f>IFERROR(VLOOKUP(Proc[[#This Row],[App]],Table2[],3,0),"open")</f>
        <v>ok</v>
      </c>
      <c r="C519" s="70" t="s">
        <v>369</v>
      </c>
      <c r="D519" t="s">
        <v>1849</v>
      </c>
      <c r="E519" t="s">
        <v>1945</v>
      </c>
      <c r="F519" s="105" t="s">
        <v>1945</v>
      </c>
      <c r="G519" s="70" t="s">
        <v>406</v>
      </c>
      <c r="H519" s="71" t="str">
        <f>IF(Proc[[#This Row],[type]]="LFF (MDG-F)",MID(Proc[[#This Row],[Obj]],13,10),"")</f>
        <v>2123C00113</v>
      </c>
      <c r="J519" s="71" t="b">
        <f>Proc[[#This Row],[Requested]]=Proc[[#This Row],[CurrentParent]]</f>
        <v>1</v>
      </c>
      <c r="K519" s="71" t="str">
        <f>IF(Proc[[#This Row],[Author]]="Marcela Urrego",VLOOKUP(LEFT(Proc[[#This Row],[Requested]],1),Table3[#All],2,0),VLOOKUP(Proc[[#This Row],[Author]],Table4[],2,0))</f>
        <v>MGF</v>
      </c>
      <c r="L519" s="71" t="s">
        <v>509</v>
      </c>
      <c r="M519" s="73">
        <v>45702.63349537037</v>
      </c>
      <c r="N519" s="73">
        <v>45712</v>
      </c>
      <c r="O519" s="73">
        <v>45712</v>
      </c>
      <c r="P519" s="72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2" t="s">
        <v>515</v>
      </c>
      <c r="S519" s="71"/>
    </row>
    <row r="520" spans="1:19" hidden="1">
      <c r="A520" s="70" t="s">
        <v>1843</v>
      </c>
      <c r="B520" s="71" t="str">
        <f>IFERROR(VLOOKUP(Proc[[#This Row],[App]],Table2[],3,0),"open")</f>
        <v>ok</v>
      </c>
      <c r="C520" s="70" t="s">
        <v>369</v>
      </c>
      <c r="D520" t="s">
        <v>1850</v>
      </c>
      <c r="E520" t="s">
        <v>1946</v>
      </c>
      <c r="F520" s="105" t="s">
        <v>1946</v>
      </c>
      <c r="G520" s="70" t="s">
        <v>406</v>
      </c>
      <c r="H520" s="71" t="str">
        <f>IF(Proc[[#This Row],[type]]="LFF (MDG-F)",MID(Proc[[#This Row],[Obj]],13,10),"")</f>
        <v>2123C00108</v>
      </c>
      <c r="J520" s="71" t="b">
        <f>Proc[[#This Row],[Requested]]=Proc[[#This Row],[CurrentParent]]</f>
        <v>1</v>
      </c>
      <c r="K520" s="71" t="str">
        <f>IF(Proc[[#This Row],[Author]]="Marcela Urrego",VLOOKUP(LEFT(Proc[[#This Row],[Requested]],1),Table3[#All],2,0),VLOOKUP(Proc[[#This Row],[Author]],Table4[],2,0))</f>
        <v>MGF</v>
      </c>
      <c r="L520" s="71" t="s">
        <v>509</v>
      </c>
      <c r="M520" s="73">
        <v>45702.63349537037</v>
      </c>
      <c r="N520" s="73">
        <v>45712</v>
      </c>
      <c r="O520" s="73">
        <v>45712</v>
      </c>
      <c r="P520" s="72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2" t="s">
        <v>515</v>
      </c>
      <c r="S520" s="71"/>
    </row>
    <row r="521" spans="1:19" hidden="1">
      <c r="A521" s="70" t="s">
        <v>1843</v>
      </c>
      <c r="B521" s="71" t="str">
        <f>IFERROR(VLOOKUP(Proc[[#This Row],[App]],Table2[],3,0),"open")</f>
        <v>ok</v>
      </c>
      <c r="C521" s="70" t="s">
        <v>369</v>
      </c>
      <c r="D521" t="s">
        <v>1851</v>
      </c>
      <c r="E521" t="s">
        <v>1946</v>
      </c>
      <c r="F521" s="105" t="s">
        <v>1946</v>
      </c>
      <c r="G521" s="70" t="s">
        <v>406</v>
      </c>
      <c r="H521" s="71" t="str">
        <f>IF(Proc[[#This Row],[type]]="LFF (MDG-F)",MID(Proc[[#This Row],[Obj]],13,10),"")</f>
        <v>2123C00070</v>
      </c>
      <c r="J521" s="71" t="b">
        <f>Proc[[#This Row],[Requested]]=Proc[[#This Row],[CurrentParent]]</f>
        <v>1</v>
      </c>
      <c r="K521" s="71" t="str">
        <f>IF(Proc[[#This Row],[Author]]="Marcela Urrego",VLOOKUP(LEFT(Proc[[#This Row],[Requested]],1),Table3[#All],2,0),VLOOKUP(Proc[[#This Row],[Author]],Table4[],2,0))</f>
        <v>MGF</v>
      </c>
      <c r="L521" s="71" t="s">
        <v>509</v>
      </c>
      <c r="M521" s="73">
        <v>45702.63349537037</v>
      </c>
      <c r="N521" s="73">
        <v>45712</v>
      </c>
      <c r="O521" s="73">
        <v>45712</v>
      </c>
      <c r="P521" s="72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2" t="s">
        <v>515</v>
      </c>
      <c r="S521" s="71"/>
    </row>
    <row r="522" spans="1:19" hidden="1">
      <c r="A522" s="70" t="s">
        <v>1843</v>
      </c>
      <c r="B522" s="71" t="str">
        <f>IFERROR(VLOOKUP(Proc[[#This Row],[App]],Table2[],3,0),"open")</f>
        <v>ok</v>
      </c>
      <c r="C522" s="70" t="s">
        <v>369</v>
      </c>
      <c r="D522" t="s">
        <v>1852</v>
      </c>
      <c r="E522" t="s">
        <v>1947</v>
      </c>
      <c r="F522" s="105" t="s">
        <v>1947</v>
      </c>
      <c r="G522" s="70" t="s">
        <v>406</v>
      </c>
      <c r="H522" s="71" t="str">
        <f>IF(Proc[[#This Row],[type]]="LFF (MDG-F)",MID(Proc[[#This Row],[Obj]],13,10),"")</f>
        <v>2123C00028</v>
      </c>
      <c r="J522" s="71" t="b">
        <f>Proc[[#This Row],[Requested]]=Proc[[#This Row],[CurrentParent]]</f>
        <v>1</v>
      </c>
      <c r="K522" s="71" t="str">
        <f>IF(Proc[[#This Row],[Author]]="Marcela Urrego",VLOOKUP(LEFT(Proc[[#This Row],[Requested]],1),Table3[#All],2,0),VLOOKUP(Proc[[#This Row],[Author]],Table4[],2,0))</f>
        <v>MGF</v>
      </c>
      <c r="L522" s="71" t="s">
        <v>509</v>
      </c>
      <c r="M522" s="73">
        <v>45702.63349537037</v>
      </c>
      <c r="N522" s="73">
        <v>45712</v>
      </c>
      <c r="O522" s="73">
        <v>45712</v>
      </c>
      <c r="P522" s="72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2" t="s">
        <v>515</v>
      </c>
      <c r="S522" s="71"/>
    </row>
    <row r="523" spans="1:19" hidden="1">
      <c r="A523" s="70" t="s">
        <v>1843</v>
      </c>
      <c r="B523" s="71" t="str">
        <f>IFERROR(VLOOKUP(Proc[[#This Row],[App]],Table2[],3,0),"open")</f>
        <v>ok</v>
      </c>
      <c r="C523" s="70" t="s">
        <v>369</v>
      </c>
      <c r="D523" t="s">
        <v>1853</v>
      </c>
      <c r="E523" t="s">
        <v>1946</v>
      </c>
      <c r="F523" s="105" t="s">
        <v>1946</v>
      </c>
      <c r="G523" s="70" t="s">
        <v>406</v>
      </c>
      <c r="H523" s="71" t="str">
        <f>IF(Proc[[#This Row],[type]]="LFF (MDG-F)",MID(Proc[[#This Row],[Obj]],13,10),"")</f>
        <v>2123C00053</v>
      </c>
      <c r="J523" s="71" t="b">
        <f>Proc[[#This Row],[Requested]]=Proc[[#This Row],[CurrentParent]]</f>
        <v>1</v>
      </c>
      <c r="K523" s="71" t="str">
        <f>IF(Proc[[#This Row],[Author]]="Marcela Urrego",VLOOKUP(LEFT(Proc[[#This Row],[Requested]],1),Table3[#All],2,0),VLOOKUP(Proc[[#This Row],[Author]],Table4[],2,0))</f>
        <v>MGF</v>
      </c>
      <c r="L523" s="71" t="s">
        <v>509</v>
      </c>
      <c r="M523" s="73">
        <v>45702.63349537037</v>
      </c>
      <c r="N523" s="73">
        <v>45712</v>
      </c>
      <c r="O523" s="73">
        <v>45712</v>
      </c>
      <c r="P523" s="72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2" t="s">
        <v>515</v>
      </c>
      <c r="S523" s="71"/>
    </row>
    <row r="524" spans="1:19" hidden="1">
      <c r="A524" s="70" t="s">
        <v>1843</v>
      </c>
      <c r="B524" s="71" t="str">
        <f>IFERROR(VLOOKUP(Proc[[#This Row],[App]],Table2[],3,0),"open")</f>
        <v>ok</v>
      </c>
      <c r="C524" s="70" t="s">
        <v>369</v>
      </c>
      <c r="D524" t="s">
        <v>1854</v>
      </c>
      <c r="E524" t="s">
        <v>1946</v>
      </c>
      <c r="F524" s="105" t="s">
        <v>1946</v>
      </c>
      <c r="G524" s="70" t="s">
        <v>406</v>
      </c>
      <c r="H524" s="71" t="str">
        <f>IF(Proc[[#This Row],[type]]="LFF (MDG-F)",MID(Proc[[#This Row],[Obj]],13,10),"")</f>
        <v>2123C00056</v>
      </c>
      <c r="J524" s="71" t="b">
        <f>Proc[[#This Row],[Requested]]=Proc[[#This Row],[CurrentParent]]</f>
        <v>1</v>
      </c>
      <c r="K524" s="71" t="str">
        <f>IF(Proc[[#This Row],[Author]]="Marcela Urrego",VLOOKUP(LEFT(Proc[[#This Row],[Requested]],1),Table3[#All],2,0),VLOOKUP(Proc[[#This Row],[Author]],Table4[],2,0))</f>
        <v>MGF</v>
      </c>
      <c r="L524" s="71" t="s">
        <v>509</v>
      </c>
      <c r="M524" s="73">
        <v>45702.63349537037</v>
      </c>
      <c r="N524" s="73">
        <v>45712</v>
      </c>
      <c r="O524" s="73">
        <v>45712</v>
      </c>
      <c r="P524" s="72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2" t="s">
        <v>515</v>
      </c>
      <c r="S524" s="71"/>
    </row>
    <row r="525" spans="1:19" hidden="1">
      <c r="A525" s="70" t="s">
        <v>1843</v>
      </c>
      <c r="B525" s="71" t="str">
        <f>IFERROR(VLOOKUP(Proc[[#This Row],[App]],Table2[],3,0),"open")</f>
        <v>ok</v>
      </c>
      <c r="C525" s="70" t="s">
        <v>369</v>
      </c>
      <c r="D525" t="s">
        <v>1855</v>
      </c>
      <c r="E525" t="s">
        <v>1946</v>
      </c>
      <c r="F525" s="105" t="s">
        <v>1946</v>
      </c>
      <c r="G525" s="70" t="s">
        <v>406</v>
      </c>
      <c r="H525" s="71" t="str">
        <f>IF(Proc[[#This Row],[type]]="LFF (MDG-F)",MID(Proc[[#This Row],[Obj]],13,10),"")</f>
        <v>2123OF0011</v>
      </c>
      <c r="J525" s="71" t="b">
        <f>Proc[[#This Row],[Requested]]=Proc[[#This Row],[CurrentParent]]</f>
        <v>1</v>
      </c>
      <c r="K525" s="71" t="str">
        <f>IF(Proc[[#This Row],[Author]]="Marcela Urrego",VLOOKUP(LEFT(Proc[[#This Row],[Requested]],1),Table3[#All],2,0),VLOOKUP(Proc[[#This Row],[Author]],Table4[],2,0))</f>
        <v>MGF</v>
      </c>
      <c r="L525" s="71" t="s">
        <v>509</v>
      </c>
      <c r="M525" s="73">
        <v>45702.63349537037</v>
      </c>
      <c r="N525" s="73">
        <v>45712</v>
      </c>
      <c r="O525" s="73">
        <v>45712</v>
      </c>
      <c r="P525" s="72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2" t="s">
        <v>515</v>
      </c>
      <c r="S525" s="71"/>
    </row>
    <row r="526" spans="1:19" hidden="1">
      <c r="A526" s="70" t="s">
        <v>1843</v>
      </c>
      <c r="B526" s="71" t="str">
        <f>IFERROR(VLOOKUP(Proc[[#This Row],[App]],Table2[],3,0),"open")</f>
        <v>ok</v>
      </c>
      <c r="C526" s="70" t="s">
        <v>369</v>
      </c>
      <c r="D526" t="s">
        <v>1856</v>
      </c>
      <c r="E526" t="s">
        <v>1948</v>
      </c>
      <c r="F526" s="105" t="s">
        <v>1948</v>
      </c>
      <c r="G526" s="70" t="s">
        <v>406</v>
      </c>
      <c r="H526" s="71" t="str">
        <f>IF(Proc[[#This Row],[type]]="LFF (MDG-F)",MID(Proc[[#This Row],[Obj]],13,10),"")</f>
        <v>2123C00071</v>
      </c>
      <c r="J526" s="71" t="b">
        <f>Proc[[#This Row],[Requested]]=Proc[[#This Row],[CurrentParent]]</f>
        <v>1</v>
      </c>
      <c r="K526" s="71" t="str">
        <f>IF(Proc[[#This Row],[Author]]="Marcela Urrego",VLOOKUP(LEFT(Proc[[#This Row],[Requested]],1),Table3[#All],2,0),VLOOKUP(Proc[[#This Row],[Author]],Table4[],2,0))</f>
        <v>MGF</v>
      </c>
      <c r="L526" s="71" t="s">
        <v>509</v>
      </c>
      <c r="M526" s="73">
        <v>45702.63349537037</v>
      </c>
      <c r="N526" s="73">
        <v>45712</v>
      </c>
      <c r="O526" s="73">
        <v>45712</v>
      </c>
      <c r="P526" s="72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2" t="s">
        <v>515</v>
      </c>
      <c r="S526" s="71"/>
    </row>
    <row r="527" spans="1:19" hidden="1">
      <c r="A527" s="70" t="s">
        <v>1843</v>
      </c>
      <c r="B527" s="71" t="str">
        <f>IFERROR(VLOOKUP(Proc[[#This Row],[App]],Table2[],3,0),"open")</f>
        <v>ok</v>
      </c>
      <c r="C527" s="70" t="s">
        <v>369</v>
      </c>
      <c r="D527" t="s">
        <v>1857</v>
      </c>
      <c r="E527" t="s">
        <v>1948</v>
      </c>
      <c r="F527" s="105" t="s">
        <v>1948</v>
      </c>
      <c r="G527" s="70" t="s">
        <v>406</v>
      </c>
      <c r="H527" s="71" t="str">
        <f>IF(Proc[[#This Row],[type]]="LFF (MDG-F)",MID(Proc[[#This Row],[Obj]],13,10),"")</f>
        <v>2123C00080</v>
      </c>
      <c r="J527" s="71" t="b">
        <f>Proc[[#This Row],[Requested]]=Proc[[#This Row],[CurrentParent]]</f>
        <v>1</v>
      </c>
      <c r="K527" s="71" t="str">
        <f>IF(Proc[[#This Row],[Author]]="Marcela Urrego",VLOOKUP(LEFT(Proc[[#This Row],[Requested]],1),Table3[#All],2,0),VLOOKUP(Proc[[#This Row],[Author]],Table4[],2,0))</f>
        <v>MGF</v>
      </c>
      <c r="L527" s="71" t="s">
        <v>509</v>
      </c>
      <c r="M527" s="73">
        <v>45702.63349537037</v>
      </c>
      <c r="N527" s="73">
        <v>45712</v>
      </c>
      <c r="O527" s="73">
        <v>45712</v>
      </c>
      <c r="P527" s="72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2" t="s">
        <v>515</v>
      </c>
      <c r="S527" s="71"/>
    </row>
    <row r="528" spans="1:19" hidden="1">
      <c r="A528" s="70" t="s">
        <v>1843</v>
      </c>
      <c r="B528" s="71" t="str">
        <f>IFERROR(VLOOKUP(Proc[[#This Row],[App]],Table2[],3,0),"open")</f>
        <v>ok</v>
      </c>
      <c r="C528" s="70" t="s">
        <v>369</v>
      </c>
      <c r="D528" t="s">
        <v>1858</v>
      </c>
      <c r="E528" t="s">
        <v>1949</v>
      </c>
      <c r="F528" s="105" t="s">
        <v>1949</v>
      </c>
      <c r="G528" s="70" t="s">
        <v>406</v>
      </c>
      <c r="H528" s="71" t="str">
        <f>IF(Proc[[#This Row],[type]]="LFF (MDG-F)",MID(Proc[[#This Row],[Obj]],13,10),"")</f>
        <v>2123C00079</v>
      </c>
      <c r="J528" s="71" t="b">
        <f>Proc[[#This Row],[Requested]]=Proc[[#This Row],[CurrentParent]]</f>
        <v>1</v>
      </c>
      <c r="K528" s="71" t="str">
        <f>IF(Proc[[#This Row],[Author]]="Marcela Urrego",VLOOKUP(LEFT(Proc[[#This Row],[Requested]],1),Table3[#All],2,0),VLOOKUP(Proc[[#This Row],[Author]],Table4[],2,0))</f>
        <v>MGF</v>
      </c>
      <c r="L528" s="71" t="s">
        <v>509</v>
      </c>
      <c r="M528" s="73">
        <v>45702.63349537037</v>
      </c>
      <c r="N528" s="73">
        <v>45712</v>
      </c>
      <c r="O528" s="73">
        <v>45712</v>
      </c>
      <c r="P528" s="72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2" t="s">
        <v>515</v>
      </c>
      <c r="S528" s="71"/>
    </row>
    <row r="529" spans="1:19" hidden="1">
      <c r="A529" s="70" t="s">
        <v>1843</v>
      </c>
      <c r="B529" s="71" t="str">
        <f>IFERROR(VLOOKUP(Proc[[#This Row],[App]],Table2[],3,0),"open")</f>
        <v>ok</v>
      </c>
      <c r="C529" s="70" t="s">
        <v>369</v>
      </c>
      <c r="D529" t="s">
        <v>1859</v>
      </c>
      <c r="E529" t="s">
        <v>1948</v>
      </c>
      <c r="F529" s="105" t="s">
        <v>1948</v>
      </c>
      <c r="G529" s="70" t="s">
        <v>406</v>
      </c>
      <c r="H529" s="71" t="str">
        <f>IF(Proc[[#This Row],[type]]="LFF (MDG-F)",MID(Proc[[#This Row],[Obj]],13,10),"")</f>
        <v>2123C00075</v>
      </c>
      <c r="J529" s="71" t="b">
        <f>Proc[[#This Row],[Requested]]=Proc[[#This Row],[CurrentParent]]</f>
        <v>1</v>
      </c>
      <c r="K529" s="71" t="str">
        <f>IF(Proc[[#This Row],[Author]]="Marcela Urrego",VLOOKUP(LEFT(Proc[[#This Row],[Requested]],1),Table3[#All],2,0),VLOOKUP(Proc[[#This Row],[Author]],Table4[],2,0))</f>
        <v>MGF</v>
      </c>
      <c r="L529" s="71" t="s">
        <v>509</v>
      </c>
      <c r="M529" s="73">
        <v>45702.63349537037</v>
      </c>
      <c r="N529" s="73">
        <v>45712</v>
      </c>
      <c r="O529" s="73">
        <v>45712</v>
      </c>
      <c r="P529" s="72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2" t="s">
        <v>515</v>
      </c>
      <c r="S529" s="71"/>
    </row>
    <row r="530" spans="1:19" hidden="1">
      <c r="A530" s="70" t="s">
        <v>1843</v>
      </c>
      <c r="B530" s="71" t="str">
        <f>IFERROR(VLOOKUP(Proc[[#This Row],[App]],Table2[],3,0),"open")</f>
        <v>ok</v>
      </c>
      <c r="C530" s="70" t="s">
        <v>369</v>
      </c>
      <c r="D530" t="s">
        <v>1860</v>
      </c>
      <c r="E530" t="s">
        <v>1950</v>
      </c>
      <c r="F530" s="105" t="s">
        <v>1950</v>
      </c>
      <c r="G530" s="70" t="s">
        <v>406</v>
      </c>
      <c r="H530" s="71" t="str">
        <f>IF(Proc[[#This Row],[type]]="LFF (MDG-F)",MID(Proc[[#This Row],[Obj]],13,10),"")</f>
        <v>2123C00094</v>
      </c>
      <c r="J530" s="71" t="b">
        <f>Proc[[#This Row],[Requested]]=Proc[[#This Row],[CurrentParent]]</f>
        <v>1</v>
      </c>
      <c r="K530" s="71" t="str">
        <f>IF(Proc[[#This Row],[Author]]="Marcela Urrego",VLOOKUP(LEFT(Proc[[#This Row],[Requested]],1),Table3[#All],2,0),VLOOKUP(Proc[[#This Row],[Author]],Table4[],2,0))</f>
        <v>MGF</v>
      </c>
      <c r="L530" s="71" t="s">
        <v>509</v>
      </c>
      <c r="M530" s="73">
        <v>45702.63349537037</v>
      </c>
      <c r="N530" s="73">
        <v>45712</v>
      </c>
      <c r="O530" s="73">
        <v>45712</v>
      </c>
      <c r="P530" s="72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2" t="s">
        <v>515</v>
      </c>
      <c r="S530" s="71"/>
    </row>
    <row r="531" spans="1:19" hidden="1">
      <c r="A531" s="70" t="s">
        <v>1843</v>
      </c>
      <c r="B531" s="71" t="str">
        <f>IFERROR(VLOOKUP(Proc[[#This Row],[App]],Table2[],3,0),"open")</f>
        <v>ok</v>
      </c>
      <c r="C531" s="70" t="s">
        <v>369</v>
      </c>
      <c r="D531" t="s">
        <v>1861</v>
      </c>
      <c r="E531" t="s">
        <v>1951</v>
      </c>
      <c r="F531" s="105" t="s">
        <v>1951</v>
      </c>
      <c r="G531" s="70" t="s">
        <v>406</v>
      </c>
      <c r="H531" s="71" t="str">
        <f>IF(Proc[[#This Row],[type]]="LFF (MDG-F)",MID(Proc[[#This Row],[Obj]],13,10),"")</f>
        <v>2123C00067</v>
      </c>
      <c r="J531" s="71" t="b">
        <f>Proc[[#This Row],[Requested]]=Proc[[#This Row],[CurrentParent]]</f>
        <v>1</v>
      </c>
      <c r="K531" s="71" t="str">
        <f>IF(Proc[[#This Row],[Author]]="Marcela Urrego",VLOOKUP(LEFT(Proc[[#This Row],[Requested]],1),Table3[#All],2,0),VLOOKUP(Proc[[#This Row],[Author]],Table4[],2,0))</f>
        <v>MGF</v>
      </c>
      <c r="L531" s="71" t="s">
        <v>509</v>
      </c>
      <c r="M531" s="73">
        <v>45702.63349537037</v>
      </c>
      <c r="N531" s="73">
        <v>45712</v>
      </c>
      <c r="O531" s="73">
        <v>45712</v>
      </c>
      <c r="P531" s="72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2" t="s">
        <v>515</v>
      </c>
      <c r="S531" s="71"/>
    </row>
    <row r="532" spans="1:19" hidden="1">
      <c r="A532" s="70" t="s">
        <v>1843</v>
      </c>
      <c r="B532" s="71" t="str">
        <f>IFERROR(VLOOKUP(Proc[[#This Row],[App]],Table2[],3,0),"open")</f>
        <v>ok</v>
      </c>
      <c r="C532" s="70" t="s">
        <v>369</v>
      </c>
      <c r="D532" t="s">
        <v>1862</v>
      </c>
      <c r="E532" t="s">
        <v>1951</v>
      </c>
      <c r="F532" s="105" t="s">
        <v>1951</v>
      </c>
      <c r="G532" s="70" t="s">
        <v>406</v>
      </c>
      <c r="H532" s="71" t="str">
        <f>IF(Proc[[#This Row],[type]]="LFF (MDG-F)",MID(Proc[[#This Row],[Obj]],13,10),"")</f>
        <v>2123CS0001</v>
      </c>
      <c r="J532" s="71" t="b">
        <f>Proc[[#This Row],[Requested]]=Proc[[#This Row],[CurrentParent]]</f>
        <v>1</v>
      </c>
      <c r="K532" s="71" t="str">
        <f>IF(Proc[[#This Row],[Author]]="Marcela Urrego",VLOOKUP(LEFT(Proc[[#This Row],[Requested]],1),Table3[#All],2,0),VLOOKUP(Proc[[#This Row],[Author]],Table4[],2,0))</f>
        <v>MGF</v>
      </c>
      <c r="L532" s="71" t="s">
        <v>509</v>
      </c>
      <c r="M532" s="73">
        <v>45702.63349537037</v>
      </c>
      <c r="N532" s="73">
        <v>45712</v>
      </c>
      <c r="O532" s="73">
        <v>45712</v>
      </c>
      <c r="P532" s="72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2" t="s">
        <v>515</v>
      </c>
      <c r="S532" s="71"/>
    </row>
    <row r="533" spans="1:19" hidden="1">
      <c r="A533" s="70" t="s">
        <v>1843</v>
      </c>
      <c r="B533" s="71" t="str">
        <f>IFERROR(VLOOKUP(Proc[[#This Row],[App]],Table2[],3,0),"open")</f>
        <v>ok</v>
      </c>
      <c r="C533" s="70" t="s">
        <v>369</v>
      </c>
      <c r="D533" t="s">
        <v>1863</v>
      </c>
      <c r="E533" t="s">
        <v>1951</v>
      </c>
      <c r="F533" s="105" t="s">
        <v>1951</v>
      </c>
      <c r="G533" s="70" t="s">
        <v>406</v>
      </c>
      <c r="H533" s="71" t="str">
        <f>IF(Proc[[#This Row],[type]]="LFF (MDG-F)",MID(Proc[[#This Row],[Obj]],13,10),"")</f>
        <v>2123CS0003</v>
      </c>
      <c r="J533" s="71" t="b">
        <f>Proc[[#This Row],[Requested]]=Proc[[#This Row],[CurrentParent]]</f>
        <v>1</v>
      </c>
      <c r="K533" s="71" t="str">
        <f>IF(Proc[[#This Row],[Author]]="Marcela Urrego",VLOOKUP(LEFT(Proc[[#This Row],[Requested]],1),Table3[#All],2,0),VLOOKUP(Proc[[#This Row],[Author]],Table4[],2,0))</f>
        <v>MGF</v>
      </c>
      <c r="L533" s="71" t="s">
        <v>509</v>
      </c>
      <c r="M533" s="73">
        <v>45702.63349537037</v>
      </c>
      <c r="N533" s="73">
        <v>45712</v>
      </c>
      <c r="O533" s="73">
        <v>45712</v>
      </c>
      <c r="P533" s="72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2" t="s">
        <v>515</v>
      </c>
      <c r="S533" s="71"/>
    </row>
    <row r="534" spans="1:19" hidden="1">
      <c r="A534" s="70" t="s">
        <v>1843</v>
      </c>
      <c r="B534" s="71" t="str">
        <f>IFERROR(VLOOKUP(Proc[[#This Row],[App]],Table2[],3,0),"open")</f>
        <v>ok</v>
      </c>
      <c r="C534" s="70" t="s">
        <v>369</v>
      </c>
      <c r="D534" t="s">
        <v>1864</v>
      </c>
      <c r="E534" t="s">
        <v>1951</v>
      </c>
      <c r="F534" s="105" t="s">
        <v>1951</v>
      </c>
      <c r="G534" s="70" t="s">
        <v>406</v>
      </c>
      <c r="H534" s="71" t="str">
        <f>IF(Proc[[#This Row],[type]]="LFF (MDG-F)",MID(Proc[[#This Row],[Obj]],13,10),"")</f>
        <v>2123CS0057</v>
      </c>
      <c r="J534" s="71" t="b">
        <f>Proc[[#This Row],[Requested]]=Proc[[#This Row],[CurrentParent]]</f>
        <v>1</v>
      </c>
      <c r="K534" s="71" t="str">
        <f>IF(Proc[[#This Row],[Author]]="Marcela Urrego",VLOOKUP(LEFT(Proc[[#This Row],[Requested]],1),Table3[#All],2,0),VLOOKUP(Proc[[#This Row],[Author]],Table4[],2,0))</f>
        <v>MGF</v>
      </c>
      <c r="L534" s="71" t="s">
        <v>509</v>
      </c>
      <c r="M534" s="73">
        <v>45702.63349537037</v>
      </c>
      <c r="N534" s="73">
        <v>45712</v>
      </c>
      <c r="O534" s="73">
        <v>45712</v>
      </c>
      <c r="P534" s="72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2" t="s">
        <v>515</v>
      </c>
      <c r="S534" s="71"/>
    </row>
    <row r="535" spans="1:19" hidden="1">
      <c r="A535" s="70" t="s">
        <v>1843</v>
      </c>
      <c r="B535" s="71" t="str">
        <f>IFERROR(VLOOKUP(Proc[[#This Row],[App]],Table2[],3,0),"open")</f>
        <v>ok</v>
      </c>
      <c r="C535" s="70" t="s">
        <v>369</v>
      </c>
      <c r="D535" t="s">
        <v>1865</v>
      </c>
      <c r="E535" t="s">
        <v>1951</v>
      </c>
      <c r="F535" s="105" t="s">
        <v>1951</v>
      </c>
      <c r="G535" s="70" t="s">
        <v>406</v>
      </c>
      <c r="H535" s="71" t="str">
        <f>IF(Proc[[#This Row],[type]]="LFF (MDG-F)",MID(Proc[[#This Row],[Obj]],13,10),"")</f>
        <v>2123R00007</v>
      </c>
      <c r="J535" s="71" t="b">
        <f>Proc[[#This Row],[Requested]]=Proc[[#This Row],[CurrentParent]]</f>
        <v>1</v>
      </c>
      <c r="K535" s="71" t="str">
        <f>IF(Proc[[#This Row],[Author]]="Marcela Urrego",VLOOKUP(LEFT(Proc[[#This Row],[Requested]],1),Table3[#All],2,0),VLOOKUP(Proc[[#This Row],[Author]],Table4[],2,0))</f>
        <v>MGF</v>
      </c>
      <c r="L535" s="71" t="s">
        <v>509</v>
      </c>
      <c r="M535" s="73">
        <v>45702.63349537037</v>
      </c>
      <c r="N535" s="73">
        <v>45712</v>
      </c>
      <c r="O535" s="73">
        <v>45712</v>
      </c>
      <c r="P535" s="72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2" t="s">
        <v>515</v>
      </c>
      <c r="S535" s="71"/>
    </row>
    <row r="536" spans="1:19" hidden="1">
      <c r="A536" s="70" t="s">
        <v>1843</v>
      </c>
      <c r="B536" s="71" t="str">
        <f>IFERROR(VLOOKUP(Proc[[#This Row],[App]],Table2[],3,0),"open")</f>
        <v>ok</v>
      </c>
      <c r="C536" s="70" t="s">
        <v>369</v>
      </c>
      <c r="D536" t="s">
        <v>1866</v>
      </c>
      <c r="E536" t="s">
        <v>1952</v>
      </c>
      <c r="F536" s="105" t="s">
        <v>1952</v>
      </c>
      <c r="G536" s="70" t="s">
        <v>406</v>
      </c>
      <c r="H536" s="71" t="str">
        <f>IF(Proc[[#This Row],[type]]="LFF (MDG-F)",MID(Proc[[#This Row],[Obj]],13,10),"")</f>
        <v>2123C00023</v>
      </c>
      <c r="J536" s="71" t="b">
        <f>Proc[[#This Row],[Requested]]=Proc[[#This Row],[CurrentParent]]</f>
        <v>1</v>
      </c>
      <c r="K536" s="71" t="str">
        <f>IF(Proc[[#This Row],[Author]]="Marcela Urrego",VLOOKUP(LEFT(Proc[[#This Row],[Requested]],1),Table3[#All],2,0),VLOOKUP(Proc[[#This Row],[Author]],Table4[],2,0))</f>
        <v>MGF</v>
      </c>
      <c r="L536" s="71" t="s">
        <v>509</v>
      </c>
      <c r="M536" s="73">
        <v>45702.63349537037</v>
      </c>
      <c r="N536" s="73">
        <v>45712</v>
      </c>
      <c r="O536" s="73">
        <v>45712</v>
      </c>
      <c r="P536" s="72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2" t="s">
        <v>515</v>
      </c>
      <c r="S536" s="71"/>
    </row>
    <row r="537" spans="1:19" hidden="1">
      <c r="A537" s="70" t="s">
        <v>1843</v>
      </c>
      <c r="B537" s="71" t="str">
        <f>IFERROR(VLOOKUP(Proc[[#This Row],[App]],Table2[],3,0),"open")</f>
        <v>ok</v>
      </c>
      <c r="C537" s="70" t="s">
        <v>369</v>
      </c>
      <c r="D537" t="s">
        <v>1867</v>
      </c>
      <c r="E537" t="s">
        <v>1952</v>
      </c>
      <c r="F537" s="105" t="s">
        <v>1952</v>
      </c>
      <c r="G537" s="70" t="s">
        <v>406</v>
      </c>
      <c r="H537" s="71" t="str">
        <f>IF(Proc[[#This Row],[type]]="LFF (MDG-F)",MID(Proc[[#This Row],[Obj]],13,10),"")</f>
        <v>2123C00029</v>
      </c>
      <c r="J537" s="71" t="b">
        <f>Proc[[#This Row],[Requested]]=Proc[[#This Row],[CurrentParent]]</f>
        <v>1</v>
      </c>
      <c r="K537" s="71" t="str">
        <f>IF(Proc[[#This Row],[Author]]="Marcela Urrego",VLOOKUP(LEFT(Proc[[#This Row],[Requested]],1),Table3[#All],2,0),VLOOKUP(Proc[[#This Row],[Author]],Table4[],2,0))</f>
        <v>MGF</v>
      </c>
      <c r="L537" s="71" t="s">
        <v>509</v>
      </c>
      <c r="M537" s="73">
        <v>45702.63349537037</v>
      </c>
      <c r="N537" s="73">
        <v>45712</v>
      </c>
      <c r="O537" s="73">
        <v>45712</v>
      </c>
      <c r="P537" s="72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2" t="s">
        <v>515</v>
      </c>
      <c r="S537" s="71"/>
    </row>
    <row r="538" spans="1:19" hidden="1">
      <c r="A538" s="70" t="s">
        <v>1843</v>
      </c>
      <c r="B538" s="71" t="str">
        <f>IFERROR(VLOOKUP(Proc[[#This Row],[App]],Table2[],3,0),"open")</f>
        <v>ok</v>
      </c>
      <c r="C538" s="70" t="s">
        <v>369</v>
      </c>
      <c r="D538" t="s">
        <v>1868</v>
      </c>
      <c r="E538" t="s">
        <v>1952</v>
      </c>
      <c r="F538" s="105" t="s">
        <v>1952</v>
      </c>
      <c r="G538" s="70" t="s">
        <v>406</v>
      </c>
      <c r="H538" s="71" t="str">
        <f>IF(Proc[[#This Row],[type]]="LFF (MDG-F)",MID(Proc[[#This Row],[Obj]],13,10),"")</f>
        <v>2123C08497</v>
      </c>
      <c r="J538" s="71" t="b">
        <f>Proc[[#This Row],[Requested]]=Proc[[#This Row],[CurrentParent]]</f>
        <v>1</v>
      </c>
      <c r="K538" s="71" t="str">
        <f>IF(Proc[[#This Row],[Author]]="Marcela Urrego",VLOOKUP(LEFT(Proc[[#This Row],[Requested]],1),Table3[#All],2,0),VLOOKUP(Proc[[#This Row],[Author]],Table4[],2,0))</f>
        <v>MGF</v>
      </c>
      <c r="L538" s="71" t="s">
        <v>509</v>
      </c>
      <c r="M538" s="73">
        <v>45702.63349537037</v>
      </c>
      <c r="N538" s="73">
        <v>45712</v>
      </c>
      <c r="O538" s="73">
        <v>45712</v>
      </c>
      <c r="P538" s="72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2" t="s">
        <v>515</v>
      </c>
      <c r="S538" s="71"/>
    </row>
    <row r="539" spans="1:19" hidden="1">
      <c r="A539" s="70" t="s">
        <v>1843</v>
      </c>
      <c r="B539" s="71" t="str">
        <f>IFERROR(VLOOKUP(Proc[[#This Row],[App]],Table2[],3,0),"open")</f>
        <v>ok</v>
      </c>
      <c r="C539" s="70" t="s">
        <v>369</v>
      </c>
      <c r="D539" t="s">
        <v>1869</v>
      </c>
      <c r="E539" t="s">
        <v>1952</v>
      </c>
      <c r="F539" s="105" t="s">
        <v>1952</v>
      </c>
      <c r="G539" s="70" t="s">
        <v>406</v>
      </c>
      <c r="H539" s="71" t="str">
        <f>IF(Proc[[#This Row],[type]]="LFF (MDG-F)",MID(Proc[[#This Row],[Obj]],13,10),"")</f>
        <v>2123C08528</v>
      </c>
      <c r="J539" s="71" t="b">
        <f>Proc[[#This Row],[Requested]]=Proc[[#This Row],[CurrentParent]]</f>
        <v>1</v>
      </c>
      <c r="K539" s="71" t="str">
        <f>IF(Proc[[#This Row],[Author]]="Marcela Urrego",VLOOKUP(LEFT(Proc[[#This Row],[Requested]],1),Table3[#All],2,0),VLOOKUP(Proc[[#This Row],[Author]],Table4[],2,0))</f>
        <v>MGF</v>
      </c>
      <c r="L539" s="71" t="s">
        <v>509</v>
      </c>
      <c r="M539" s="73">
        <v>45702.63349537037</v>
      </c>
      <c r="N539" s="73">
        <v>45712</v>
      </c>
      <c r="O539" s="73">
        <v>45712</v>
      </c>
      <c r="P539" s="72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2" t="s">
        <v>515</v>
      </c>
      <c r="S539" s="71"/>
    </row>
    <row r="540" spans="1:19" hidden="1">
      <c r="A540" s="70" t="s">
        <v>1843</v>
      </c>
      <c r="B540" s="71" t="str">
        <f>IFERROR(VLOOKUP(Proc[[#This Row],[App]],Table2[],3,0),"open")</f>
        <v>ok</v>
      </c>
      <c r="C540" s="70" t="s">
        <v>377</v>
      </c>
      <c r="D540" t="s">
        <v>1870</v>
      </c>
      <c r="E540" t="s">
        <v>1952</v>
      </c>
      <c r="F540" s="105" t="s">
        <v>1952</v>
      </c>
      <c r="G540" t="s">
        <v>400</v>
      </c>
      <c r="H540" s="71" t="str">
        <f>IF(Proc[[#This Row],[type]]="LFF (MDG-F)",MID(Proc[[#This Row],[Obj]],13,10),"")</f>
        <v/>
      </c>
      <c r="I540" t="s">
        <v>1975</v>
      </c>
      <c r="J540" s="71" t="b">
        <f>Proc[[#This Row],[Requested]]=Proc[[#This Row],[CurrentParent]]</f>
        <v>1</v>
      </c>
      <c r="K540" s="71" t="str">
        <f>IF(Proc[[#This Row],[Author]]="Marcela Urrego",VLOOKUP(LEFT(Proc[[#This Row],[Requested]],1),Table3[#All],2,0),VLOOKUP(Proc[[#This Row],[Author]],Table4[],2,0))</f>
        <v>MGF</v>
      </c>
      <c r="L540" s="71" t="s">
        <v>509</v>
      </c>
      <c r="M540" s="73">
        <v>45702.63349537037</v>
      </c>
      <c r="N540" s="73">
        <v>45712</v>
      </c>
      <c r="O540" s="73">
        <v>45712</v>
      </c>
      <c r="P540" s="72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2" t="s">
        <v>515</v>
      </c>
      <c r="S540" s="71"/>
    </row>
    <row r="541" spans="1:19" hidden="1">
      <c r="A541" s="70" t="s">
        <v>1843</v>
      </c>
      <c r="B541" s="71" t="str">
        <f>IFERROR(VLOOKUP(Proc[[#This Row],[App]],Table2[],3,0),"open")</f>
        <v>ok</v>
      </c>
      <c r="C541" s="70" t="s">
        <v>369</v>
      </c>
      <c r="D541" t="s">
        <v>1871</v>
      </c>
      <c r="E541" t="s">
        <v>1952</v>
      </c>
      <c r="F541" s="105" t="s">
        <v>1952</v>
      </c>
      <c r="G541" s="70" t="s">
        <v>400</v>
      </c>
      <c r="H541" s="71" t="str">
        <f>IF(Proc[[#This Row],[type]]="LFF (MDG-F)",MID(Proc[[#This Row],[Obj]],13,10),"")</f>
        <v/>
      </c>
      <c r="J541" s="71" t="b">
        <f>Proc[[#This Row],[Requested]]=Proc[[#This Row],[CurrentParent]]</f>
        <v>1</v>
      </c>
      <c r="K541" s="71" t="str">
        <f>IF(Proc[[#This Row],[Author]]="Marcela Urrego",VLOOKUP(LEFT(Proc[[#This Row],[Requested]],1),Table3[#All],2,0),VLOOKUP(Proc[[#This Row],[Author]],Table4[],2,0))</f>
        <v>MGF</v>
      </c>
      <c r="L541" s="71" t="s">
        <v>509</v>
      </c>
      <c r="M541" s="73">
        <v>45702.63349537037</v>
      </c>
      <c r="N541" s="73">
        <v>45712</v>
      </c>
      <c r="O541" s="73">
        <v>45712</v>
      </c>
      <c r="P541" s="72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2" t="s">
        <v>515</v>
      </c>
      <c r="S541" s="71"/>
    </row>
    <row r="542" spans="1:19" hidden="1">
      <c r="A542" s="70" t="s">
        <v>1843</v>
      </c>
      <c r="B542" s="71" t="str">
        <f>IFERROR(VLOOKUP(Proc[[#This Row],[App]],Table2[],3,0),"open")</f>
        <v>ok</v>
      </c>
      <c r="C542" s="70" t="s">
        <v>369</v>
      </c>
      <c r="D542" t="s">
        <v>1872</v>
      </c>
      <c r="E542" t="s">
        <v>1953</v>
      </c>
      <c r="F542" s="105" t="s">
        <v>1953</v>
      </c>
      <c r="G542" s="70" t="s">
        <v>406</v>
      </c>
      <c r="H542" s="71" t="str">
        <f>IF(Proc[[#This Row],[type]]="LFF (MDG-F)",MID(Proc[[#This Row],[Obj]],13,10),"")</f>
        <v>2123C00031</v>
      </c>
      <c r="J542" s="71" t="b">
        <f>Proc[[#This Row],[Requested]]=Proc[[#This Row],[CurrentParent]]</f>
        <v>1</v>
      </c>
      <c r="K542" s="71" t="str">
        <f>IF(Proc[[#This Row],[Author]]="Marcela Urrego",VLOOKUP(LEFT(Proc[[#This Row],[Requested]],1),Table3[#All],2,0),VLOOKUP(Proc[[#This Row],[Author]],Table4[],2,0))</f>
        <v>MGF</v>
      </c>
      <c r="L542" s="71" t="s">
        <v>509</v>
      </c>
      <c r="M542" s="73">
        <v>45702.63349537037</v>
      </c>
      <c r="N542" s="73">
        <v>45712</v>
      </c>
      <c r="O542" s="73">
        <v>45712</v>
      </c>
      <c r="P542" s="72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2" t="s">
        <v>515</v>
      </c>
      <c r="S542" s="71"/>
    </row>
    <row r="543" spans="1:19" hidden="1">
      <c r="A543" s="70" t="s">
        <v>1843</v>
      </c>
      <c r="B543" s="71" t="str">
        <f>IFERROR(VLOOKUP(Proc[[#This Row],[App]],Table2[],3,0),"open")</f>
        <v>ok</v>
      </c>
      <c r="C543" s="70" t="s">
        <v>369</v>
      </c>
      <c r="D543" t="s">
        <v>1873</v>
      </c>
      <c r="E543" t="s">
        <v>1953</v>
      </c>
      <c r="F543" s="105" t="s">
        <v>1953</v>
      </c>
      <c r="G543" s="70" t="s">
        <v>406</v>
      </c>
      <c r="H543" s="71" t="str">
        <f>IF(Proc[[#This Row],[type]]="LFF (MDG-F)",MID(Proc[[#This Row],[Obj]],13,10),"")</f>
        <v>2123C00033</v>
      </c>
      <c r="J543" s="71" t="b">
        <f>Proc[[#This Row],[Requested]]=Proc[[#This Row],[CurrentParent]]</f>
        <v>1</v>
      </c>
      <c r="K543" s="71" t="str">
        <f>IF(Proc[[#This Row],[Author]]="Marcela Urrego",VLOOKUP(LEFT(Proc[[#This Row],[Requested]],1),Table3[#All],2,0),VLOOKUP(Proc[[#This Row],[Author]],Table4[],2,0))</f>
        <v>MGF</v>
      </c>
      <c r="L543" s="71" t="s">
        <v>509</v>
      </c>
      <c r="M543" s="73">
        <v>45702.63349537037</v>
      </c>
      <c r="N543" s="73">
        <v>45712</v>
      </c>
      <c r="O543" s="73">
        <v>45712</v>
      </c>
      <c r="P543" s="72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2" t="s">
        <v>515</v>
      </c>
      <c r="S543" s="71"/>
    </row>
    <row r="544" spans="1:19" hidden="1">
      <c r="A544" s="70" t="s">
        <v>1843</v>
      </c>
      <c r="B544" s="71" t="str">
        <f>IFERROR(VLOOKUP(Proc[[#This Row],[App]],Table2[],3,0),"open")</f>
        <v>ok</v>
      </c>
      <c r="C544" s="70" t="s">
        <v>369</v>
      </c>
      <c r="D544" t="s">
        <v>1874</v>
      </c>
      <c r="E544" t="s">
        <v>1953</v>
      </c>
      <c r="F544" s="105" t="s">
        <v>1953</v>
      </c>
      <c r="G544" s="70" t="s">
        <v>406</v>
      </c>
      <c r="H544" s="71" t="str">
        <f>IF(Proc[[#This Row],[type]]="LFF (MDG-F)",MID(Proc[[#This Row],[Obj]],13,10),"")</f>
        <v>2123C00034</v>
      </c>
      <c r="J544" s="71" t="b">
        <f>Proc[[#This Row],[Requested]]=Proc[[#This Row],[CurrentParent]]</f>
        <v>1</v>
      </c>
      <c r="K544" s="71" t="str">
        <f>IF(Proc[[#This Row],[Author]]="Marcela Urrego",VLOOKUP(LEFT(Proc[[#This Row],[Requested]],1),Table3[#All],2,0),VLOOKUP(Proc[[#This Row],[Author]],Table4[],2,0))</f>
        <v>MGF</v>
      </c>
      <c r="L544" s="71" t="s">
        <v>509</v>
      </c>
      <c r="M544" s="73">
        <v>45702.63349537037</v>
      </c>
      <c r="N544" s="73">
        <v>45712</v>
      </c>
      <c r="O544" s="73">
        <v>45712</v>
      </c>
      <c r="P544" s="72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2" t="s">
        <v>515</v>
      </c>
      <c r="S544" s="71"/>
    </row>
    <row r="545" spans="1:19" hidden="1">
      <c r="A545" s="70" t="s">
        <v>1843</v>
      </c>
      <c r="B545" s="71" t="str">
        <f>IFERROR(VLOOKUP(Proc[[#This Row],[App]],Table2[],3,0),"open")</f>
        <v>ok</v>
      </c>
      <c r="C545" s="70" t="s">
        <v>369</v>
      </c>
      <c r="D545" t="s">
        <v>1875</v>
      </c>
      <c r="E545" t="s">
        <v>1953</v>
      </c>
      <c r="F545" s="105" t="s">
        <v>1953</v>
      </c>
      <c r="G545" s="70" t="s">
        <v>406</v>
      </c>
      <c r="H545" s="71" t="str">
        <f>IF(Proc[[#This Row],[type]]="LFF (MDG-F)",MID(Proc[[#This Row],[Obj]],13,10),"")</f>
        <v>2123C00062</v>
      </c>
      <c r="J545" s="71" t="b">
        <f>Proc[[#This Row],[Requested]]=Proc[[#This Row],[CurrentParent]]</f>
        <v>1</v>
      </c>
      <c r="K545" s="71" t="str">
        <f>IF(Proc[[#This Row],[Author]]="Marcela Urrego",VLOOKUP(LEFT(Proc[[#This Row],[Requested]],1),Table3[#All],2,0),VLOOKUP(Proc[[#This Row],[Author]],Table4[],2,0))</f>
        <v>MGF</v>
      </c>
      <c r="L545" s="71" t="s">
        <v>509</v>
      </c>
      <c r="M545" s="73">
        <v>45702.63349537037</v>
      </c>
      <c r="N545" s="73">
        <v>45712</v>
      </c>
      <c r="O545" s="73">
        <v>45712</v>
      </c>
      <c r="P545" s="72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2" t="s">
        <v>515</v>
      </c>
      <c r="S545" s="71"/>
    </row>
    <row r="546" spans="1:19" hidden="1">
      <c r="A546" s="70" t="s">
        <v>1843</v>
      </c>
      <c r="B546" s="71" t="str">
        <f>IFERROR(VLOOKUP(Proc[[#This Row],[App]],Table2[],3,0),"open")</f>
        <v>ok</v>
      </c>
      <c r="C546" s="70" t="s">
        <v>369</v>
      </c>
      <c r="D546" t="s">
        <v>1876</v>
      </c>
      <c r="E546" t="s">
        <v>1953</v>
      </c>
      <c r="F546" s="105" t="s">
        <v>1953</v>
      </c>
      <c r="G546" s="70" t="s">
        <v>406</v>
      </c>
      <c r="H546" s="71" t="str">
        <f>IF(Proc[[#This Row],[type]]="LFF (MDG-F)",MID(Proc[[#This Row],[Obj]],13,10),"")</f>
        <v>2123C00072</v>
      </c>
      <c r="J546" s="71" t="b">
        <f>Proc[[#This Row],[Requested]]=Proc[[#This Row],[CurrentParent]]</f>
        <v>1</v>
      </c>
      <c r="K546" s="71" t="str">
        <f>IF(Proc[[#This Row],[Author]]="Marcela Urrego",VLOOKUP(LEFT(Proc[[#This Row],[Requested]],1),Table3[#All],2,0),VLOOKUP(Proc[[#This Row],[Author]],Table4[],2,0))</f>
        <v>MGF</v>
      </c>
      <c r="L546" s="71" t="s">
        <v>509</v>
      </c>
      <c r="M546" s="73">
        <v>45702.63349537037</v>
      </c>
      <c r="N546" s="73">
        <v>45712</v>
      </c>
      <c r="O546" s="73">
        <v>45712</v>
      </c>
      <c r="P546" s="72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2" t="s">
        <v>515</v>
      </c>
      <c r="S546" s="71"/>
    </row>
    <row r="547" spans="1:19" hidden="1">
      <c r="A547" s="70" t="s">
        <v>1843</v>
      </c>
      <c r="B547" s="71" t="str">
        <f>IFERROR(VLOOKUP(Proc[[#This Row],[App]],Table2[],3,0),"open")</f>
        <v>ok</v>
      </c>
      <c r="C547" s="70" t="s">
        <v>369</v>
      </c>
      <c r="D547" t="s">
        <v>1877</v>
      </c>
      <c r="E547" t="s">
        <v>1953</v>
      </c>
      <c r="F547" s="105" t="s">
        <v>1953</v>
      </c>
      <c r="G547" s="70" t="s">
        <v>406</v>
      </c>
      <c r="H547" s="71" t="str">
        <f>IF(Proc[[#This Row],[type]]="LFF (MDG-F)",MID(Proc[[#This Row],[Obj]],13,10),"")</f>
        <v>2123C00142</v>
      </c>
      <c r="J547" s="71" t="b">
        <f>Proc[[#This Row],[Requested]]=Proc[[#This Row],[CurrentParent]]</f>
        <v>1</v>
      </c>
      <c r="K547" s="71" t="str">
        <f>IF(Proc[[#This Row],[Author]]="Marcela Urrego",VLOOKUP(LEFT(Proc[[#This Row],[Requested]],1),Table3[#All],2,0),VLOOKUP(Proc[[#This Row],[Author]],Table4[],2,0))</f>
        <v>MGF</v>
      </c>
      <c r="L547" s="71" t="s">
        <v>509</v>
      </c>
      <c r="M547" s="73">
        <v>45702.63349537037</v>
      </c>
      <c r="N547" s="73">
        <v>45712</v>
      </c>
      <c r="O547" s="73">
        <v>45712</v>
      </c>
      <c r="P547" s="72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2" t="s">
        <v>515</v>
      </c>
      <c r="S547" s="71"/>
    </row>
    <row r="548" spans="1:19" hidden="1">
      <c r="A548" s="70" t="s">
        <v>1843</v>
      </c>
      <c r="B548" s="71" t="str">
        <f>IFERROR(VLOOKUP(Proc[[#This Row],[App]],Table2[],3,0),"open")</f>
        <v>ok</v>
      </c>
      <c r="C548" s="70" t="s">
        <v>369</v>
      </c>
      <c r="D548" t="s">
        <v>1878</v>
      </c>
      <c r="E548" t="s">
        <v>1953</v>
      </c>
      <c r="F548" s="105" t="s">
        <v>1953</v>
      </c>
      <c r="G548" s="70" t="s">
        <v>406</v>
      </c>
      <c r="H548" s="71" t="str">
        <f>IF(Proc[[#This Row],[type]]="LFF (MDG-F)",MID(Proc[[#This Row],[Obj]],13,10),"")</f>
        <v>2123C08515</v>
      </c>
      <c r="J548" s="71" t="b">
        <f>Proc[[#This Row],[Requested]]=Proc[[#This Row],[CurrentParent]]</f>
        <v>1</v>
      </c>
      <c r="K548" s="71" t="str">
        <f>IF(Proc[[#This Row],[Author]]="Marcela Urrego",VLOOKUP(LEFT(Proc[[#This Row],[Requested]],1),Table3[#All],2,0),VLOOKUP(Proc[[#This Row],[Author]],Table4[],2,0))</f>
        <v>MGF</v>
      </c>
      <c r="L548" s="71" t="s">
        <v>509</v>
      </c>
      <c r="M548" s="73">
        <v>45702.63349537037</v>
      </c>
      <c r="N548" s="73">
        <v>45712</v>
      </c>
      <c r="O548" s="73">
        <v>45712</v>
      </c>
      <c r="P548" s="72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2" t="s">
        <v>515</v>
      </c>
      <c r="S548" s="71"/>
    </row>
    <row r="549" spans="1:19" hidden="1">
      <c r="A549" s="70" t="s">
        <v>1843</v>
      </c>
      <c r="B549" s="71" t="str">
        <f>IFERROR(VLOOKUP(Proc[[#This Row],[App]],Table2[],3,0),"open")</f>
        <v>ok</v>
      </c>
      <c r="C549" s="70" t="s">
        <v>369</v>
      </c>
      <c r="D549" t="s">
        <v>1879</v>
      </c>
      <c r="E549" t="s">
        <v>1954</v>
      </c>
      <c r="F549" s="105" t="s">
        <v>1954</v>
      </c>
      <c r="G549" s="70" t="s">
        <v>406</v>
      </c>
      <c r="H549" s="71" t="str">
        <f>IF(Proc[[#This Row],[type]]="LFF (MDG-F)",MID(Proc[[#This Row],[Obj]],13,10),"")</f>
        <v>2123C00002</v>
      </c>
      <c r="J549" s="71" t="b">
        <f>Proc[[#This Row],[Requested]]=Proc[[#This Row],[CurrentParent]]</f>
        <v>1</v>
      </c>
      <c r="K549" s="71" t="str">
        <f>IF(Proc[[#This Row],[Author]]="Marcela Urrego",VLOOKUP(LEFT(Proc[[#This Row],[Requested]],1),Table3[#All],2,0),VLOOKUP(Proc[[#This Row],[Author]],Table4[],2,0))</f>
        <v>MGF</v>
      </c>
      <c r="L549" s="71" t="s">
        <v>509</v>
      </c>
      <c r="M549" s="73">
        <v>45702.63349537037</v>
      </c>
      <c r="N549" s="73">
        <v>45712</v>
      </c>
      <c r="O549" s="73">
        <v>45712</v>
      </c>
      <c r="P549" s="72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2" t="s">
        <v>515</v>
      </c>
      <c r="S549" s="71"/>
    </row>
    <row r="550" spans="1:19" hidden="1">
      <c r="A550" s="70" t="s">
        <v>1843</v>
      </c>
      <c r="B550" s="71" t="str">
        <f>IFERROR(VLOOKUP(Proc[[#This Row],[App]],Table2[],3,0),"open")</f>
        <v>ok</v>
      </c>
      <c r="C550" s="70" t="s">
        <v>369</v>
      </c>
      <c r="D550" t="s">
        <v>1880</v>
      </c>
      <c r="E550" t="s">
        <v>1954</v>
      </c>
      <c r="F550" s="105" t="s">
        <v>1954</v>
      </c>
      <c r="G550" s="70" t="s">
        <v>406</v>
      </c>
      <c r="H550" s="71" t="str">
        <f>IF(Proc[[#This Row],[type]]="LFF (MDG-F)",MID(Proc[[#This Row],[Obj]],13,10),"")</f>
        <v>2123C00003</v>
      </c>
      <c r="J550" s="71" t="b">
        <f>Proc[[#This Row],[Requested]]=Proc[[#This Row],[CurrentParent]]</f>
        <v>1</v>
      </c>
      <c r="K550" s="71" t="str">
        <f>IF(Proc[[#This Row],[Author]]="Marcela Urrego",VLOOKUP(LEFT(Proc[[#This Row],[Requested]],1),Table3[#All],2,0),VLOOKUP(Proc[[#This Row],[Author]],Table4[],2,0))</f>
        <v>MGF</v>
      </c>
      <c r="L550" s="71" t="s">
        <v>509</v>
      </c>
      <c r="M550" s="73">
        <v>45702.63349537037</v>
      </c>
      <c r="N550" s="73">
        <v>45712</v>
      </c>
      <c r="O550" s="73">
        <v>45712</v>
      </c>
      <c r="P550" s="72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2" t="s">
        <v>515</v>
      </c>
      <c r="S550" s="71"/>
    </row>
    <row r="551" spans="1:19" hidden="1">
      <c r="A551" s="70" t="s">
        <v>1843</v>
      </c>
      <c r="B551" s="71" t="str">
        <f>IFERROR(VLOOKUP(Proc[[#This Row],[App]],Table2[],3,0),"open")</f>
        <v>ok</v>
      </c>
      <c r="C551" s="70" t="s">
        <v>369</v>
      </c>
      <c r="D551" t="s">
        <v>1881</v>
      </c>
      <c r="E551" t="s">
        <v>1954</v>
      </c>
      <c r="F551" s="105" t="s">
        <v>1954</v>
      </c>
      <c r="G551" s="70" t="s">
        <v>406</v>
      </c>
      <c r="H551" s="71" t="str">
        <f>IF(Proc[[#This Row],[type]]="LFF (MDG-F)",MID(Proc[[#This Row],[Obj]],13,10),"")</f>
        <v>2123C00005</v>
      </c>
      <c r="J551" s="71" t="b">
        <f>Proc[[#This Row],[Requested]]=Proc[[#This Row],[CurrentParent]]</f>
        <v>1</v>
      </c>
      <c r="K551" s="71" t="str">
        <f>IF(Proc[[#This Row],[Author]]="Marcela Urrego",VLOOKUP(LEFT(Proc[[#This Row],[Requested]],1),Table3[#All],2,0),VLOOKUP(Proc[[#This Row],[Author]],Table4[],2,0))</f>
        <v>MGF</v>
      </c>
      <c r="L551" s="71" t="s">
        <v>509</v>
      </c>
      <c r="M551" s="73">
        <v>45702.63349537037</v>
      </c>
      <c r="N551" s="73">
        <v>45712</v>
      </c>
      <c r="O551" s="73">
        <v>45712</v>
      </c>
      <c r="P551" s="72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2" t="s">
        <v>515</v>
      </c>
      <c r="S551" s="71"/>
    </row>
    <row r="552" spans="1:19" hidden="1">
      <c r="A552" s="70" t="s">
        <v>1843</v>
      </c>
      <c r="B552" s="71" t="str">
        <f>IFERROR(VLOOKUP(Proc[[#This Row],[App]],Table2[],3,0),"open")</f>
        <v>ok</v>
      </c>
      <c r="C552" s="70" t="s">
        <v>369</v>
      </c>
      <c r="D552" t="s">
        <v>1882</v>
      </c>
      <c r="E552" t="s">
        <v>1954</v>
      </c>
      <c r="F552" s="105" t="s">
        <v>1954</v>
      </c>
      <c r="G552" s="70" t="s">
        <v>406</v>
      </c>
      <c r="H552" s="71" t="str">
        <f>IF(Proc[[#This Row],[type]]="LFF (MDG-F)",MID(Proc[[#This Row],[Obj]],13,10),"")</f>
        <v>2123C00058</v>
      </c>
      <c r="J552" s="71" t="b">
        <f>Proc[[#This Row],[Requested]]=Proc[[#This Row],[CurrentParent]]</f>
        <v>1</v>
      </c>
      <c r="K552" s="71" t="str">
        <f>IF(Proc[[#This Row],[Author]]="Marcela Urrego",VLOOKUP(LEFT(Proc[[#This Row],[Requested]],1),Table3[#All],2,0),VLOOKUP(Proc[[#This Row],[Author]],Table4[],2,0))</f>
        <v>MGF</v>
      </c>
      <c r="L552" s="71" t="s">
        <v>509</v>
      </c>
      <c r="M552" s="73">
        <v>45702.63349537037</v>
      </c>
      <c r="N552" s="73">
        <v>45712</v>
      </c>
      <c r="O552" s="73">
        <v>45712</v>
      </c>
      <c r="P552" s="72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2" t="s">
        <v>515</v>
      </c>
      <c r="S552" s="71"/>
    </row>
    <row r="553" spans="1:19" hidden="1">
      <c r="A553" s="70" t="s">
        <v>1843</v>
      </c>
      <c r="B553" s="71" t="str">
        <f>IFERROR(VLOOKUP(Proc[[#This Row],[App]],Table2[],3,0),"open")</f>
        <v>ok</v>
      </c>
      <c r="C553" s="70" t="s">
        <v>369</v>
      </c>
      <c r="D553" t="s">
        <v>1883</v>
      </c>
      <c r="E553" t="s">
        <v>1954</v>
      </c>
      <c r="F553" s="105" t="s">
        <v>1954</v>
      </c>
      <c r="G553" s="70" t="s">
        <v>406</v>
      </c>
      <c r="H553" s="71" t="str">
        <f>IF(Proc[[#This Row],[type]]="LFF (MDG-F)",MID(Proc[[#This Row],[Obj]],13,10),"")</f>
        <v>2123C00063</v>
      </c>
      <c r="J553" s="71" t="b">
        <f>Proc[[#This Row],[Requested]]=Proc[[#This Row],[CurrentParent]]</f>
        <v>1</v>
      </c>
      <c r="K553" s="71" t="str">
        <f>IF(Proc[[#This Row],[Author]]="Marcela Urrego",VLOOKUP(LEFT(Proc[[#This Row],[Requested]],1),Table3[#All],2,0),VLOOKUP(Proc[[#This Row],[Author]],Table4[],2,0))</f>
        <v>MGF</v>
      </c>
      <c r="L553" s="71" t="s">
        <v>509</v>
      </c>
      <c r="M553" s="73">
        <v>45702.63349537037</v>
      </c>
      <c r="N553" s="73">
        <v>45712</v>
      </c>
      <c r="O553" s="73">
        <v>45712</v>
      </c>
      <c r="P553" s="72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2" t="s">
        <v>515</v>
      </c>
      <c r="S553" s="71"/>
    </row>
    <row r="554" spans="1:19" hidden="1">
      <c r="A554" s="70" t="s">
        <v>1843</v>
      </c>
      <c r="B554" s="71" t="str">
        <f>IFERROR(VLOOKUP(Proc[[#This Row],[App]],Table2[],3,0),"open")</f>
        <v>ok</v>
      </c>
      <c r="C554" s="70" t="s">
        <v>369</v>
      </c>
      <c r="D554" t="s">
        <v>1884</v>
      </c>
      <c r="E554" t="s">
        <v>1954</v>
      </c>
      <c r="F554" s="105" t="s">
        <v>1954</v>
      </c>
      <c r="G554" s="70" t="s">
        <v>406</v>
      </c>
      <c r="H554" s="71" t="str">
        <f>IF(Proc[[#This Row],[type]]="LFF (MDG-F)",MID(Proc[[#This Row],[Obj]],13,10),"")</f>
        <v>2123C00066</v>
      </c>
      <c r="J554" s="71" t="b">
        <f>Proc[[#This Row],[Requested]]=Proc[[#This Row],[CurrentParent]]</f>
        <v>1</v>
      </c>
      <c r="K554" s="71" t="str">
        <f>IF(Proc[[#This Row],[Author]]="Marcela Urrego",VLOOKUP(LEFT(Proc[[#This Row],[Requested]],1),Table3[#All],2,0),VLOOKUP(Proc[[#This Row],[Author]],Table4[],2,0))</f>
        <v>MGF</v>
      </c>
      <c r="L554" s="71" t="s">
        <v>509</v>
      </c>
      <c r="M554" s="73">
        <v>45702.63349537037</v>
      </c>
      <c r="N554" s="73">
        <v>45712</v>
      </c>
      <c r="O554" s="73">
        <v>45712</v>
      </c>
      <c r="P554" s="72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2" t="s">
        <v>515</v>
      </c>
      <c r="S554" s="71"/>
    </row>
    <row r="555" spans="1:19" hidden="1">
      <c r="A555" s="70" t="s">
        <v>1843</v>
      </c>
      <c r="B555" s="71" t="str">
        <f>IFERROR(VLOOKUP(Proc[[#This Row],[App]],Table2[],3,0),"open")</f>
        <v>ok</v>
      </c>
      <c r="C555" s="70" t="s">
        <v>369</v>
      </c>
      <c r="D555" t="s">
        <v>1885</v>
      </c>
      <c r="E555" t="s">
        <v>1954</v>
      </c>
      <c r="F555" s="105" t="s">
        <v>1954</v>
      </c>
      <c r="G555" s="70" t="s">
        <v>406</v>
      </c>
      <c r="H555" s="71" t="str">
        <f>IF(Proc[[#This Row],[type]]="LFF (MDG-F)",MID(Proc[[#This Row],[Obj]],13,10),"")</f>
        <v>2123C08471</v>
      </c>
      <c r="J555" s="71" t="b">
        <f>Proc[[#This Row],[Requested]]=Proc[[#This Row],[CurrentParent]]</f>
        <v>1</v>
      </c>
      <c r="K555" s="71" t="str">
        <f>IF(Proc[[#This Row],[Author]]="Marcela Urrego",VLOOKUP(LEFT(Proc[[#This Row],[Requested]],1),Table3[#All],2,0),VLOOKUP(Proc[[#This Row],[Author]],Table4[],2,0))</f>
        <v>MGF</v>
      </c>
      <c r="L555" s="71" t="s">
        <v>509</v>
      </c>
      <c r="M555" s="73">
        <v>45702.63349537037</v>
      </c>
      <c r="N555" s="73">
        <v>45712</v>
      </c>
      <c r="O555" s="73">
        <v>45712</v>
      </c>
      <c r="P555" s="72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2" t="s">
        <v>515</v>
      </c>
      <c r="S555" s="71"/>
    </row>
    <row r="556" spans="1:19" hidden="1">
      <c r="A556" s="70" t="s">
        <v>1843</v>
      </c>
      <c r="B556" s="71" t="str">
        <f>IFERROR(VLOOKUP(Proc[[#This Row],[App]],Table2[],3,0),"open")</f>
        <v>ok</v>
      </c>
      <c r="C556" s="70" t="s">
        <v>369</v>
      </c>
      <c r="D556" t="s">
        <v>1886</v>
      </c>
      <c r="E556" t="s">
        <v>1954</v>
      </c>
      <c r="F556" s="105" t="s">
        <v>1954</v>
      </c>
      <c r="G556" s="70" t="s">
        <v>406</v>
      </c>
      <c r="H556" s="71" t="str">
        <f>IF(Proc[[#This Row],[type]]="LFF (MDG-F)",MID(Proc[[#This Row],[Obj]],13,10),"")</f>
        <v>2123C0BS03</v>
      </c>
      <c r="J556" s="71" t="b">
        <f>Proc[[#This Row],[Requested]]=Proc[[#This Row],[CurrentParent]]</f>
        <v>1</v>
      </c>
      <c r="K556" s="71" t="str">
        <f>IF(Proc[[#This Row],[Author]]="Marcela Urrego",VLOOKUP(LEFT(Proc[[#This Row],[Requested]],1),Table3[#All],2,0),VLOOKUP(Proc[[#This Row],[Author]],Table4[],2,0))</f>
        <v>MGF</v>
      </c>
      <c r="L556" s="71" t="s">
        <v>509</v>
      </c>
      <c r="M556" s="73">
        <v>45702.63349537037</v>
      </c>
      <c r="N556" s="73">
        <v>45712</v>
      </c>
      <c r="O556" s="73">
        <v>45712</v>
      </c>
      <c r="P556" s="72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2" t="s">
        <v>515</v>
      </c>
      <c r="S556" s="71"/>
    </row>
    <row r="557" spans="1:19" hidden="1">
      <c r="A557" s="70" t="s">
        <v>1843</v>
      </c>
      <c r="B557" s="71" t="str">
        <f>IFERROR(VLOOKUP(Proc[[#This Row],[App]],Table2[],3,0),"open")</f>
        <v>ok</v>
      </c>
      <c r="C557" s="70" t="s">
        <v>369</v>
      </c>
      <c r="D557" t="s">
        <v>1887</v>
      </c>
      <c r="E557" t="s">
        <v>1954</v>
      </c>
      <c r="F557" s="105" t="s">
        <v>1954</v>
      </c>
      <c r="G557" s="70" t="s">
        <v>406</v>
      </c>
      <c r="H557" s="71" t="str">
        <f>IF(Proc[[#This Row],[type]]="LFF (MDG-F)",MID(Proc[[#This Row],[Obj]],13,10),"")</f>
        <v>2123C0BS04</v>
      </c>
      <c r="J557" s="71" t="b">
        <f>Proc[[#This Row],[Requested]]=Proc[[#This Row],[CurrentParent]]</f>
        <v>1</v>
      </c>
      <c r="K557" s="71" t="str">
        <f>IF(Proc[[#This Row],[Author]]="Marcela Urrego",VLOOKUP(LEFT(Proc[[#This Row],[Requested]],1),Table3[#All],2,0),VLOOKUP(Proc[[#This Row],[Author]],Table4[],2,0))</f>
        <v>MGF</v>
      </c>
      <c r="L557" s="71" t="s">
        <v>509</v>
      </c>
      <c r="M557" s="73">
        <v>45702.63349537037</v>
      </c>
      <c r="N557" s="73">
        <v>45712</v>
      </c>
      <c r="O557" s="73">
        <v>45712</v>
      </c>
      <c r="P557" s="72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2" t="s">
        <v>515</v>
      </c>
      <c r="S557" s="71"/>
    </row>
    <row r="558" spans="1:19" hidden="1">
      <c r="A558" s="70" t="s">
        <v>1843</v>
      </c>
      <c r="B558" s="71" t="str">
        <f>IFERROR(VLOOKUP(Proc[[#This Row],[App]],Table2[],3,0),"open")</f>
        <v>ok</v>
      </c>
      <c r="C558" s="70" t="s">
        <v>369</v>
      </c>
      <c r="D558" t="s">
        <v>1888</v>
      </c>
      <c r="E558" t="s">
        <v>1954</v>
      </c>
      <c r="F558" s="105" t="s">
        <v>1954</v>
      </c>
      <c r="G558" s="70" t="s">
        <v>406</v>
      </c>
      <c r="H558" s="71" t="str">
        <f>IF(Proc[[#This Row],[type]]="LFF (MDG-F)",MID(Proc[[#This Row],[Obj]],13,10),"")</f>
        <v>2123C0BS08</v>
      </c>
      <c r="J558" s="71" t="b">
        <f>Proc[[#This Row],[Requested]]=Proc[[#This Row],[CurrentParent]]</f>
        <v>1</v>
      </c>
      <c r="K558" s="71" t="str">
        <f>IF(Proc[[#This Row],[Author]]="Marcela Urrego",VLOOKUP(LEFT(Proc[[#This Row],[Requested]],1),Table3[#All],2,0),VLOOKUP(Proc[[#This Row],[Author]],Table4[],2,0))</f>
        <v>MGF</v>
      </c>
      <c r="L558" s="71" t="s">
        <v>509</v>
      </c>
      <c r="M558" s="73">
        <v>45702.63349537037</v>
      </c>
      <c r="N558" s="73">
        <v>45712</v>
      </c>
      <c r="O558" s="73">
        <v>45712</v>
      </c>
      <c r="P558" s="72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2" t="s">
        <v>515</v>
      </c>
      <c r="S558" s="71"/>
    </row>
    <row r="559" spans="1:19" hidden="1">
      <c r="A559" s="70" t="s">
        <v>1843</v>
      </c>
      <c r="B559" s="71" t="str">
        <f>IFERROR(VLOOKUP(Proc[[#This Row],[App]],Table2[],3,0),"open")</f>
        <v>ok</v>
      </c>
      <c r="C559" s="70" t="s">
        <v>369</v>
      </c>
      <c r="D559" t="s">
        <v>1889</v>
      </c>
      <c r="E559" t="s">
        <v>1954</v>
      </c>
      <c r="F559" s="105" t="s">
        <v>1954</v>
      </c>
      <c r="G559" s="70" t="s">
        <v>406</v>
      </c>
      <c r="H559" s="71" t="str">
        <f>IF(Proc[[#This Row],[type]]="LFF (MDG-F)",MID(Proc[[#This Row],[Obj]],13,10),"")</f>
        <v>2123C0BS09</v>
      </c>
      <c r="J559" s="71" t="b">
        <f>Proc[[#This Row],[Requested]]=Proc[[#This Row],[CurrentParent]]</f>
        <v>1</v>
      </c>
      <c r="K559" s="71" t="str">
        <f>IF(Proc[[#This Row],[Author]]="Marcela Urrego",VLOOKUP(LEFT(Proc[[#This Row],[Requested]],1),Table3[#All],2,0),VLOOKUP(Proc[[#This Row],[Author]],Table4[],2,0))</f>
        <v>MGF</v>
      </c>
      <c r="L559" s="71" t="s">
        <v>509</v>
      </c>
      <c r="M559" s="73">
        <v>45702.63349537037</v>
      </c>
      <c r="N559" s="73">
        <v>45712</v>
      </c>
      <c r="O559" s="73">
        <v>45712</v>
      </c>
      <c r="P559" s="72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2" t="s">
        <v>515</v>
      </c>
      <c r="S559" s="71"/>
    </row>
    <row r="560" spans="1:19" hidden="1">
      <c r="A560" s="70" t="s">
        <v>1843</v>
      </c>
      <c r="B560" s="71" t="str">
        <f>IFERROR(VLOOKUP(Proc[[#This Row],[App]],Table2[],3,0),"open")</f>
        <v>ok</v>
      </c>
      <c r="C560" s="70" t="s">
        <v>369</v>
      </c>
      <c r="D560" t="s">
        <v>1890</v>
      </c>
      <c r="E560" t="s">
        <v>1955</v>
      </c>
      <c r="F560" s="105" t="s">
        <v>1955</v>
      </c>
      <c r="G560" s="70" t="s">
        <v>406</v>
      </c>
      <c r="H560" s="71" t="str">
        <f>IF(Proc[[#This Row],[type]]="LFF (MDG-F)",MID(Proc[[#This Row],[Obj]],13,10),"")</f>
        <v>2123C00042</v>
      </c>
      <c r="J560" s="71" t="b">
        <f>Proc[[#This Row],[Requested]]=Proc[[#This Row],[CurrentParent]]</f>
        <v>1</v>
      </c>
      <c r="K560" s="71" t="str">
        <f>IF(Proc[[#This Row],[Author]]="Marcela Urrego",VLOOKUP(LEFT(Proc[[#This Row],[Requested]],1),Table3[#All],2,0),VLOOKUP(Proc[[#This Row],[Author]],Table4[],2,0))</f>
        <v>MGF</v>
      </c>
      <c r="L560" s="71" t="s">
        <v>509</v>
      </c>
      <c r="M560" s="73">
        <v>45702.63349537037</v>
      </c>
      <c r="N560" s="73">
        <v>45712</v>
      </c>
      <c r="O560" s="73">
        <v>45712</v>
      </c>
      <c r="P560" s="72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2" t="s">
        <v>515</v>
      </c>
      <c r="S560" s="71"/>
    </row>
    <row r="561" spans="1:19" hidden="1">
      <c r="A561" s="70" t="s">
        <v>1843</v>
      </c>
      <c r="B561" s="71" t="str">
        <f>IFERROR(VLOOKUP(Proc[[#This Row],[App]],Table2[],3,0),"open")</f>
        <v>ok</v>
      </c>
      <c r="C561" s="70" t="s">
        <v>369</v>
      </c>
      <c r="D561" t="s">
        <v>1891</v>
      </c>
      <c r="E561" t="s">
        <v>1955</v>
      </c>
      <c r="F561" s="105" t="s">
        <v>1955</v>
      </c>
      <c r="G561" s="70" t="s">
        <v>406</v>
      </c>
      <c r="H561" s="71" t="str">
        <f>IF(Proc[[#This Row],[type]]="LFF (MDG-F)",MID(Proc[[#This Row],[Obj]],13,10),"")</f>
        <v>2123C00050</v>
      </c>
      <c r="J561" s="71" t="b">
        <f>Proc[[#This Row],[Requested]]=Proc[[#This Row],[CurrentParent]]</f>
        <v>1</v>
      </c>
      <c r="K561" s="71" t="str">
        <f>IF(Proc[[#This Row],[Author]]="Marcela Urrego",VLOOKUP(LEFT(Proc[[#This Row],[Requested]],1),Table3[#All],2,0),VLOOKUP(Proc[[#This Row],[Author]],Table4[],2,0))</f>
        <v>MGF</v>
      </c>
      <c r="L561" s="71" t="s">
        <v>509</v>
      </c>
      <c r="M561" s="73">
        <v>45702.63349537037</v>
      </c>
      <c r="N561" s="73">
        <v>45712</v>
      </c>
      <c r="O561" s="73">
        <v>45712</v>
      </c>
      <c r="P561" s="72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2" t="s">
        <v>515</v>
      </c>
      <c r="S561" s="71"/>
    </row>
    <row r="562" spans="1:19" hidden="1">
      <c r="A562" s="70" t="s">
        <v>1843</v>
      </c>
      <c r="B562" s="71" t="str">
        <f>IFERROR(VLOOKUP(Proc[[#This Row],[App]],Table2[],3,0),"open")</f>
        <v>ok</v>
      </c>
      <c r="C562" s="70" t="s">
        <v>369</v>
      </c>
      <c r="D562" t="s">
        <v>1892</v>
      </c>
      <c r="E562" t="s">
        <v>1955</v>
      </c>
      <c r="F562" s="105" t="s">
        <v>1955</v>
      </c>
      <c r="G562" s="70" t="s">
        <v>406</v>
      </c>
      <c r="H562" s="71" t="str">
        <f>IF(Proc[[#This Row],[type]]="LFF (MDG-F)",MID(Proc[[#This Row],[Obj]],13,10),"")</f>
        <v>2123C00061</v>
      </c>
      <c r="J562" s="71" t="b">
        <f>Proc[[#This Row],[Requested]]=Proc[[#This Row],[CurrentParent]]</f>
        <v>1</v>
      </c>
      <c r="K562" s="71" t="str">
        <f>IF(Proc[[#This Row],[Author]]="Marcela Urrego",VLOOKUP(LEFT(Proc[[#This Row],[Requested]],1),Table3[#All],2,0),VLOOKUP(Proc[[#This Row],[Author]],Table4[],2,0))</f>
        <v>MGF</v>
      </c>
      <c r="L562" s="71" t="s">
        <v>509</v>
      </c>
      <c r="M562" s="73">
        <v>45702.63349537037</v>
      </c>
      <c r="N562" s="73">
        <v>45712</v>
      </c>
      <c r="O562" s="73">
        <v>45712</v>
      </c>
      <c r="P562" s="72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2" t="s">
        <v>515</v>
      </c>
      <c r="S562" s="71"/>
    </row>
    <row r="563" spans="1:19" hidden="1">
      <c r="A563" s="70" t="s">
        <v>1843</v>
      </c>
      <c r="B563" s="71" t="str">
        <f>IFERROR(VLOOKUP(Proc[[#This Row],[App]],Table2[],3,0),"open")</f>
        <v>ok</v>
      </c>
      <c r="C563" s="70" t="s">
        <v>369</v>
      </c>
      <c r="D563" t="s">
        <v>1893</v>
      </c>
      <c r="E563" t="s">
        <v>1955</v>
      </c>
      <c r="F563" s="105" t="s">
        <v>1955</v>
      </c>
      <c r="G563" s="70" t="s">
        <v>406</v>
      </c>
      <c r="H563" s="71" t="str">
        <f>IF(Proc[[#This Row],[type]]="LFF (MDG-F)",MID(Proc[[#This Row],[Obj]],13,10),"")</f>
        <v>2123C00068</v>
      </c>
      <c r="J563" s="71" t="b">
        <f>Proc[[#This Row],[Requested]]=Proc[[#This Row],[CurrentParent]]</f>
        <v>1</v>
      </c>
      <c r="K563" s="71" t="str">
        <f>IF(Proc[[#This Row],[Author]]="Marcela Urrego",VLOOKUP(LEFT(Proc[[#This Row],[Requested]],1),Table3[#All],2,0),VLOOKUP(Proc[[#This Row],[Author]],Table4[],2,0))</f>
        <v>MGF</v>
      </c>
      <c r="L563" s="71" t="s">
        <v>509</v>
      </c>
      <c r="M563" s="73">
        <v>45702.63349537037</v>
      </c>
      <c r="N563" s="73">
        <v>45712</v>
      </c>
      <c r="O563" s="73">
        <v>45712</v>
      </c>
      <c r="P563" s="72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2" t="s">
        <v>515</v>
      </c>
      <c r="S563" s="71"/>
    </row>
    <row r="564" spans="1:19" hidden="1">
      <c r="A564" s="70" t="s">
        <v>1843</v>
      </c>
      <c r="B564" s="71" t="str">
        <f>IFERROR(VLOOKUP(Proc[[#This Row],[App]],Table2[],3,0),"open")</f>
        <v>ok</v>
      </c>
      <c r="C564" s="70" t="s">
        <v>369</v>
      </c>
      <c r="D564" t="s">
        <v>1894</v>
      </c>
      <c r="E564" t="s">
        <v>1955</v>
      </c>
      <c r="F564" s="105" t="s">
        <v>1955</v>
      </c>
      <c r="G564" s="70" t="s">
        <v>406</v>
      </c>
      <c r="H564" s="71" t="str">
        <f>IF(Proc[[#This Row],[type]]="LFF (MDG-F)",MID(Proc[[#This Row],[Obj]],13,10),"")</f>
        <v>2123C00082</v>
      </c>
      <c r="J564" s="71" t="b">
        <f>Proc[[#This Row],[Requested]]=Proc[[#This Row],[CurrentParent]]</f>
        <v>1</v>
      </c>
      <c r="K564" s="71" t="str">
        <f>IF(Proc[[#This Row],[Author]]="Marcela Urrego",VLOOKUP(LEFT(Proc[[#This Row],[Requested]],1),Table3[#All],2,0),VLOOKUP(Proc[[#This Row],[Author]],Table4[],2,0))</f>
        <v>MGF</v>
      </c>
      <c r="L564" s="71" t="s">
        <v>509</v>
      </c>
      <c r="M564" s="73">
        <v>45702.63349537037</v>
      </c>
      <c r="N564" s="73">
        <v>45712</v>
      </c>
      <c r="O564" s="73">
        <v>45712</v>
      </c>
      <c r="P564" s="72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2" t="s">
        <v>515</v>
      </c>
      <c r="S564" s="71"/>
    </row>
    <row r="565" spans="1:19" hidden="1">
      <c r="A565" s="70" t="s">
        <v>1843</v>
      </c>
      <c r="B565" s="71" t="str">
        <f>IFERROR(VLOOKUP(Proc[[#This Row],[App]],Table2[],3,0),"open")</f>
        <v>ok</v>
      </c>
      <c r="C565" s="70" t="s">
        <v>369</v>
      </c>
      <c r="D565" t="s">
        <v>1895</v>
      </c>
      <c r="E565" t="s">
        <v>1956</v>
      </c>
      <c r="F565" s="105" t="s">
        <v>1956</v>
      </c>
      <c r="G565" s="70" t="s">
        <v>406</v>
      </c>
      <c r="H565" s="71" t="str">
        <f>IF(Proc[[#This Row],[type]]="LFF (MDG-F)",MID(Proc[[#This Row],[Obj]],13,10),"")</f>
        <v>2123C00004</v>
      </c>
      <c r="J565" s="71" t="b">
        <f>Proc[[#This Row],[Requested]]=Proc[[#This Row],[CurrentParent]]</f>
        <v>1</v>
      </c>
      <c r="K565" s="71" t="str">
        <f>IF(Proc[[#This Row],[Author]]="Marcela Urrego",VLOOKUP(LEFT(Proc[[#This Row],[Requested]],1),Table3[#All],2,0),VLOOKUP(Proc[[#This Row],[Author]],Table4[],2,0))</f>
        <v>MGF</v>
      </c>
      <c r="L565" s="71" t="s">
        <v>509</v>
      </c>
      <c r="M565" s="73">
        <v>45702.63349537037</v>
      </c>
      <c r="N565" s="73">
        <v>45712</v>
      </c>
      <c r="O565" s="73">
        <v>45712</v>
      </c>
      <c r="P565" s="72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2" t="s">
        <v>515</v>
      </c>
      <c r="S565" s="71"/>
    </row>
    <row r="566" spans="1:19" hidden="1">
      <c r="A566" s="70" t="s">
        <v>1843</v>
      </c>
      <c r="B566" s="71" t="str">
        <f>IFERROR(VLOOKUP(Proc[[#This Row],[App]],Table2[],3,0),"open")</f>
        <v>ok</v>
      </c>
      <c r="C566" s="70" t="s">
        <v>369</v>
      </c>
      <c r="D566" t="s">
        <v>1896</v>
      </c>
      <c r="E566" t="s">
        <v>1956</v>
      </c>
      <c r="F566" s="105" t="s">
        <v>1956</v>
      </c>
      <c r="G566" s="70" t="s">
        <v>406</v>
      </c>
      <c r="H566" s="71" t="str">
        <f>IF(Proc[[#This Row],[type]]="LFF (MDG-F)",MID(Proc[[#This Row],[Obj]],13,10),"")</f>
        <v>2123C00007</v>
      </c>
      <c r="J566" s="71" t="b">
        <f>Proc[[#This Row],[Requested]]=Proc[[#This Row],[CurrentParent]]</f>
        <v>1</v>
      </c>
      <c r="K566" s="71" t="str">
        <f>IF(Proc[[#This Row],[Author]]="Marcela Urrego",VLOOKUP(LEFT(Proc[[#This Row],[Requested]],1),Table3[#All],2,0),VLOOKUP(Proc[[#This Row],[Author]],Table4[],2,0))</f>
        <v>MGF</v>
      </c>
      <c r="L566" s="71" t="s">
        <v>509</v>
      </c>
      <c r="M566" s="73">
        <v>45702.63349537037</v>
      </c>
      <c r="N566" s="73">
        <v>45712</v>
      </c>
      <c r="O566" s="73">
        <v>45712</v>
      </c>
      <c r="P566" s="72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2" t="s">
        <v>515</v>
      </c>
      <c r="S566" s="71"/>
    </row>
    <row r="567" spans="1:19" hidden="1">
      <c r="A567" s="70" t="s">
        <v>1843</v>
      </c>
      <c r="B567" s="71" t="str">
        <f>IFERROR(VLOOKUP(Proc[[#This Row],[App]],Table2[],3,0),"open")</f>
        <v>ok</v>
      </c>
      <c r="C567" s="70" t="s">
        <v>369</v>
      </c>
      <c r="D567" t="s">
        <v>1897</v>
      </c>
      <c r="E567" t="s">
        <v>1956</v>
      </c>
      <c r="F567" s="105" t="s">
        <v>1956</v>
      </c>
      <c r="G567" s="70" t="s">
        <v>406</v>
      </c>
      <c r="H567" s="71" t="str">
        <f>IF(Proc[[#This Row],[type]]="LFF (MDG-F)",MID(Proc[[#This Row],[Obj]],13,10),"")</f>
        <v>2123C00043</v>
      </c>
      <c r="J567" s="71" t="b">
        <f>Proc[[#This Row],[Requested]]=Proc[[#This Row],[CurrentParent]]</f>
        <v>1</v>
      </c>
      <c r="K567" s="71" t="str">
        <f>IF(Proc[[#This Row],[Author]]="Marcela Urrego",VLOOKUP(LEFT(Proc[[#This Row],[Requested]],1),Table3[#All],2,0),VLOOKUP(Proc[[#This Row],[Author]],Table4[],2,0))</f>
        <v>MGF</v>
      </c>
      <c r="L567" s="71" t="s">
        <v>509</v>
      </c>
      <c r="M567" s="73">
        <v>45702.63349537037</v>
      </c>
      <c r="N567" s="73">
        <v>45712</v>
      </c>
      <c r="O567" s="73">
        <v>45712</v>
      </c>
      <c r="P567" s="72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2" t="s">
        <v>515</v>
      </c>
      <c r="S567" s="71"/>
    </row>
    <row r="568" spans="1:19" hidden="1">
      <c r="A568" s="70" t="s">
        <v>1843</v>
      </c>
      <c r="B568" s="71" t="str">
        <f>IFERROR(VLOOKUP(Proc[[#This Row],[App]],Table2[],3,0),"open")</f>
        <v>ok</v>
      </c>
      <c r="C568" s="70" t="s">
        <v>369</v>
      </c>
      <c r="D568" t="s">
        <v>1898</v>
      </c>
      <c r="E568" t="s">
        <v>1956</v>
      </c>
      <c r="F568" s="105" t="s">
        <v>1956</v>
      </c>
      <c r="G568" s="70" t="s">
        <v>406</v>
      </c>
      <c r="H568" s="71" t="str">
        <f>IF(Proc[[#This Row],[type]]="LFF (MDG-F)",MID(Proc[[#This Row],[Obj]],13,10),"")</f>
        <v>2123C00044</v>
      </c>
      <c r="J568" s="71" t="b">
        <f>Proc[[#This Row],[Requested]]=Proc[[#This Row],[CurrentParent]]</f>
        <v>1</v>
      </c>
      <c r="K568" s="71" t="str">
        <f>IF(Proc[[#This Row],[Author]]="Marcela Urrego",VLOOKUP(LEFT(Proc[[#This Row],[Requested]],1),Table3[#All],2,0),VLOOKUP(Proc[[#This Row],[Author]],Table4[],2,0))</f>
        <v>MGF</v>
      </c>
      <c r="L568" s="71" t="s">
        <v>509</v>
      </c>
      <c r="M568" s="73">
        <v>45702.63349537037</v>
      </c>
      <c r="N568" s="73">
        <v>45712</v>
      </c>
      <c r="O568" s="73">
        <v>45712</v>
      </c>
      <c r="P568" s="72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2" t="s">
        <v>515</v>
      </c>
      <c r="S568" s="71"/>
    </row>
    <row r="569" spans="1:19" hidden="1">
      <c r="A569" s="70" t="s">
        <v>1843</v>
      </c>
      <c r="B569" s="71" t="str">
        <f>IFERROR(VLOOKUP(Proc[[#This Row],[App]],Table2[],3,0),"open")</f>
        <v>ok</v>
      </c>
      <c r="C569" s="70" t="s">
        <v>369</v>
      </c>
      <c r="D569" t="s">
        <v>1899</v>
      </c>
      <c r="E569" t="s">
        <v>1956</v>
      </c>
      <c r="F569" s="105" t="s">
        <v>1956</v>
      </c>
      <c r="G569" s="70" t="s">
        <v>406</v>
      </c>
      <c r="H569" s="71" t="str">
        <f>IF(Proc[[#This Row],[type]]="LFF (MDG-F)",MID(Proc[[#This Row],[Obj]],13,10),"")</f>
        <v>2123C00045</v>
      </c>
      <c r="J569" s="71" t="b">
        <f>Proc[[#This Row],[Requested]]=Proc[[#This Row],[CurrentParent]]</f>
        <v>1</v>
      </c>
      <c r="K569" s="71" t="str">
        <f>IF(Proc[[#This Row],[Author]]="Marcela Urrego",VLOOKUP(LEFT(Proc[[#This Row],[Requested]],1),Table3[#All],2,0),VLOOKUP(Proc[[#This Row],[Author]],Table4[],2,0))</f>
        <v>MGF</v>
      </c>
      <c r="L569" s="71" t="s">
        <v>509</v>
      </c>
      <c r="M569" s="73">
        <v>45702.63349537037</v>
      </c>
      <c r="N569" s="73">
        <v>45712</v>
      </c>
      <c r="O569" s="73">
        <v>45712</v>
      </c>
      <c r="P569" s="72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2" t="s">
        <v>515</v>
      </c>
      <c r="S569" s="71"/>
    </row>
    <row r="570" spans="1:19" hidden="1">
      <c r="A570" s="70" t="s">
        <v>1843</v>
      </c>
      <c r="B570" s="71" t="str">
        <f>IFERROR(VLOOKUP(Proc[[#This Row],[App]],Table2[],3,0),"open")</f>
        <v>ok</v>
      </c>
      <c r="C570" s="70" t="s">
        <v>369</v>
      </c>
      <c r="D570" t="s">
        <v>1900</v>
      </c>
      <c r="E570" t="s">
        <v>1956</v>
      </c>
      <c r="F570" s="105" t="s">
        <v>1956</v>
      </c>
      <c r="G570" s="70" t="s">
        <v>406</v>
      </c>
      <c r="H570" s="71" t="str">
        <f>IF(Proc[[#This Row],[type]]="LFF (MDG-F)",MID(Proc[[#This Row],[Obj]],13,10),"")</f>
        <v>2123C00074</v>
      </c>
      <c r="J570" s="71" t="b">
        <f>Proc[[#This Row],[Requested]]=Proc[[#This Row],[CurrentParent]]</f>
        <v>1</v>
      </c>
      <c r="K570" s="71" t="str">
        <f>IF(Proc[[#This Row],[Author]]="Marcela Urrego",VLOOKUP(LEFT(Proc[[#This Row],[Requested]],1),Table3[#All],2,0),VLOOKUP(Proc[[#This Row],[Author]],Table4[],2,0))</f>
        <v>MGF</v>
      </c>
      <c r="L570" s="71" t="s">
        <v>509</v>
      </c>
      <c r="M570" s="73">
        <v>45702.63349537037</v>
      </c>
      <c r="N570" s="73">
        <v>45712</v>
      </c>
      <c r="O570" s="73">
        <v>45712</v>
      </c>
      <c r="P570" s="72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2" t="s">
        <v>515</v>
      </c>
      <c r="S570" s="71"/>
    </row>
    <row r="571" spans="1:19" hidden="1">
      <c r="A571" s="70" t="s">
        <v>1843</v>
      </c>
      <c r="B571" s="71" t="str">
        <f>IFERROR(VLOOKUP(Proc[[#This Row],[App]],Table2[],3,0),"open")</f>
        <v>ok</v>
      </c>
      <c r="C571" s="70" t="s">
        <v>369</v>
      </c>
      <c r="D571" t="s">
        <v>1901</v>
      </c>
      <c r="E571" t="s">
        <v>1956</v>
      </c>
      <c r="F571" s="105" t="s">
        <v>1956</v>
      </c>
      <c r="G571" s="70" t="s">
        <v>406</v>
      </c>
      <c r="H571" s="71" t="str">
        <f>IF(Proc[[#This Row],[type]]="LFF (MDG-F)",MID(Proc[[#This Row],[Obj]],13,10),"")</f>
        <v>2123C00085</v>
      </c>
      <c r="J571" s="71" t="b">
        <f>Proc[[#This Row],[Requested]]=Proc[[#This Row],[CurrentParent]]</f>
        <v>1</v>
      </c>
      <c r="K571" s="71" t="str">
        <f>IF(Proc[[#This Row],[Author]]="Marcela Urrego",VLOOKUP(LEFT(Proc[[#This Row],[Requested]],1),Table3[#All],2,0),VLOOKUP(Proc[[#This Row],[Author]],Table4[],2,0))</f>
        <v>MGF</v>
      </c>
      <c r="L571" s="71" t="s">
        <v>509</v>
      </c>
      <c r="M571" s="73">
        <v>45702.63349537037</v>
      </c>
      <c r="N571" s="73">
        <v>45712</v>
      </c>
      <c r="O571" s="73">
        <v>45712</v>
      </c>
      <c r="P571" s="72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2" t="s">
        <v>515</v>
      </c>
      <c r="S571" s="71"/>
    </row>
    <row r="572" spans="1:19" hidden="1">
      <c r="A572" s="70" t="s">
        <v>1843</v>
      </c>
      <c r="B572" s="71" t="str">
        <f>IFERROR(VLOOKUP(Proc[[#This Row],[App]],Table2[],3,0),"open")</f>
        <v>ok</v>
      </c>
      <c r="C572" s="70" t="s">
        <v>369</v>
      </c>
      <c r="D572" t="s">
        <v>1902</v>
      </c>
      <c r="E572" t="s">
        <v>1956</v>
      </c>
      <c r="F572" s="105" t="s">
        <v>1956</v>
      </c>
      <c r="G572" s="70" t="s">
        <v>406</v>
      </c>
      <c r="H572" s="71" t="str">
        <f>IF(Proc[[#This Row],[type]]="LFF (MDG-F)",MID(Proc[[#This Row],[Obj]],13,10),"")</f>
        <v>2123C00091</v>
      </c>
      <c r="J572" s="71" t="b">
        <f>Proc[[#This Row],[Requested]]=Proc[[#This Row],[CurrentParent]]</f>
        <v>1</v>
      </c>
      <c r="K572" s="71" t="str">
        <f>IF(Proc[[#This Row],[Author]]="Marcela Urrego",VLOOKUP(LEFT(Proc[[#This Row],[Requested]],1),Table3[#All],2,0),VLOOKUP(Proc[[#This Row],[Author]],Table4[],2,0))</f>
        <v>MGF</v>
      </c>
      <c r="L572" s="71" t="s">
        <v>509</v>
      </c>
      <c r="M572" s="73">
        <v>45702.63349537037</v>
      </c>
      <c r="N572" s="73">
        <v>45712</v>
      </c>
      <c r="O572" s="73">
        <v>45712</v>
      </c>
      <c r="P572" s="72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2" t="s">
        <v>515</v>
      </c>
      <c r="S572" s="71"/>
    </row>
    <row r="573" spans="1:19" hidden="1">
      <c r="A573" s="70" t="s">
        <v>1843</v>
      </c>
      <c r="B573" s="71" t="str">
        <f>IFERROR(VLOOKUP(Proc[[#This Row],[App]],Table2[],3,0),"open")</f>
        <v>ok</v>
      </c>
      <c r="C573" s="70" t="s">
        <v>369</v>
      </c>
      <c r="D573" t="s">
        <v>1903</v>
      </c>
      <c r="E573" t="s">
        <v>1956</v>
      </c>
      <c r="F573" s="105" t="s">
        <v>1956</v>
      </c>
      <c r="G573" s="70" t="s">
        <v>406</v>
      </c>
      <c r="H573" s="71" t="str">
        <f>IF(Proc[[#This Row],[type]]="LFF (MDG-F)",MID(Proc[[#This Row],[Obj]],13,10),"")</f>
        <v>2123C08478</v>
      </c>
      <c r="J573" s="71" t="b">
        <f>Proc[[#This Row],[Requested]]=Proc[[#This Row],[CurrentParent]]</f>
        <v>1</v>
      </c>
      <c r="K573" s="71" t="str">
        <f>IF(Proc[[#This Row],[Author]]="Marcela Urrego",VLOOKUP(LEFT(Proc[[#This Row],[Requested]],1),Table3[#All],2,0),VLOOKUP(Proc[[#This Row],[Author]],Table4[],2,0))</f>
        <v>MGF</v>
      </c>
      <c r="L573" s="71" t="s">
        <v>509</v>
      </c>
      <c r="M573" s="73">
        <v>45702.63349537037</v>
      </c>
      <c r="N573" s="73">
        <v>45712</v>
      </c>
      <c r="O573" s="73">
        <v>45712</v>
      </c>
      <c r="P573" s="72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2" t="s">
        <v>515</v>
      </c>
      <c r="S573" s="71"/>
    </row>
    <row r="574" spans="1:19" hidden="1">
      <c r="A574" s="70" t="s">
        <v>1843</v>
      </c>
      <c r="B574" s="71" t="str">
        <f>IFERROR(VLOOKUP(Proc[[#This Row],[App]],Table2[],3,0),"open")</f>
        <v>ok</v>
      </c>
      <c r="C574" s="70" t="s">
        <v>369</v>
      </c>
      <c r="D574" t="s">
        <v>1904</v>
      </c>
      <c r="E574" t="s">
        <v>1956</v>
      </c>
      <c r="F574" s="105" t="s">
        <v>1956</v>
      </c>
      <c r="G574" s="70" t="s">
        <v>406</v>
      </c>
      <c r="H574" s="71" t="str">
        <f>IF(Proc[[#This Row],[type]]="LFF (MDG-F)",MID(Proc[[#This Row],[Obj]],13,10),"")</f>
        <v>2123C08504</v>
      </c>
      <c r="J574" s="71" t="b">
        <f>Proc[[#This Row],[Requested]]=Proc[[#This Row],[CurrentParent]]</f>
        <v>1</v>
      </c>
      <c r="K574" s="71" t="str">
        <f>IF(Proc[[#This Row],[Author]]="Marcela Urrego",VLOOKUP(LEFT(Proc[[#This Row],[Requested]],1),Table3[#All],2,0),VLOOKUP(Proc[[#This Row],[Author]],Table4[],2,0))</f>
        <v>MGF</v>
      </c>
      <c r="L574" s="71" t="s">
        <v>509</v>
      </c>
      <c r="M574" s="73">
        <v>45702.63349537037</v>
      </c>
      <c r="N574" s="73">
        <v>45712</v>
      </c>
      <c r="O574" s="73">
        <v>45712</v>
      </c>
      <c r="P574" s="72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2" t="s">
        <v>515</v>
      </c>
      <c r="S574" s="71"/>
    </row>
    <row r="575" spans="1:19" hidden="1">
      <c r="A575" s="70" t="s">
        <v>1843</v>
      </c>
      <c r="B575" s="71" t="str">
        <f>IFERROR(VLOOKUP(Proc[[#This Row],[App]],Table2[],3,0),"open")</f>
        <v>ok</v>
      </c>
      <c r="C575" s="70" t="s">
        <v>369</v>
      </c>
      <c r="D575" t="s">
        <v>1905</v>
      </c>
      <c r="E575" t="s">
        <v>1956</v>
      </c>
      <c r="F575" s="105" t="s">
        <v>1956</v>
      </c>
      <c r="G575" s="70" t="s">
        <v>406</v>
      </c>
      <c r="H575" s="71" t="str">
        <f>IF(Proc[[#This Row],[type]]="LFF (MDG-F)",MID(Proc[[#This Row],[Obj]],13,10),"")</f>
        <v>2123C0BS05</v>
      </c>
      <c r="J575" s="71" t="b">
        <f>Proc[[#This Row],[Requested]]=Proc[[#This Row],[CurrentParent]]</f>
        <v>1</v>
      </c>
      <c r="K575" s="71" t="str">
        <f>IF(Proc[[#This Row],[Author]]="Marcela Urrego",VLOOKUP(LEFT(Proc[[#This Row],[Requested]],1),Table3[#All],2,0),VLOOKUP(Proc[[#This Row],[Author]],Table4[],2,0))</f>
        <v>MGF</v>
      </c>
      <c r="L575" s="71" t="s">
        <v>509</v>
      </c>
      <c r="M575" s="73">
        <v>45702.63349537037</v>
      </c>
      <c r="N575" s="73">
        <v>45712</v>
      </c>
      <c r="O575" s="73">
        <v>45712</v>
      </c>
      <c r="P575" s="72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2" t="s">
        <v>515</v>
      </c>
      <c r="S575" s="71"/>
    </row>
    <row r="576" spans="1:19" hidden="1">
      <c r="A576" s="70" t="s">
        <v>1843</v>
      </c>
      <c r="B576" s="71" t="str">
        <f>IFERROR(VLOOKUP(Proc[[#This Row],[App]],Table2[],3,0),"open")</f>
        <v>ok</v>
      </c>
      <c r="C576" s="70" t="s">
        <v>369</v>
      </c>
      <c r="D576" t="s">
        <v>1906</v>
      </c>
      <c r="E576" t="s">
        <v>1956</v>
      </c>
      <c r="F576" s="105" t="s">
        <v>1956</v>
      </c>
      <c r="G576" s="70" t="s">
        <v>406</v>
      </c>
      <c r="H576" s="71" t="str">
        <f>IF(Proc[[#This Row],[type]]="LFF (MDG-F)",MID(Proc[[#This Row],[Obj]],13,10),"")</f>
        <v>2123C0BS06</v>
      </c>
      <c r="J576" s="71" t="b">
        <f>Proc[[#This Row],[Requested]]=Proc[[#This Row],[CurrentParent]]</f>
        <v>1</v>
      </c>
      <c r="K576" s="71" t="str">
        <f>IF(Proc[[#This Row],[Author]]="Marcela Urrego",VLOOKUP(LEFT(Proc[[#This Row],[Requested]],1),Table3[#All],2,0),VLOOKUP(Proc[[#This Row],[Author]],Table4[],2,0))</f>
        <v>MGF</v>
      </c>
      <c r="L576" s="71" t="s">
        <v>509</v>
      </c>
      <c r="M576" s="73">
        <v>45702.63349537037</v>
      </c>
      <c r="N576" s="73">
        <v>45712</v>
      </c>
      <c r="O576" s="73">
        <v>45712</v>
      </c>
      <c r="P576" s="72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2" t="s">
        <v>515</v>
      </c>
      <c r="S576" s="71"/>
    </row>
    <row r="577" spans="1:19" hidden="1">
      <c r="A577" s="70" t="s">
        <v>1843</v>
      </c>
      <c r="B577" s="71" t="str">
        <f>IFERROR(VLOOKUP(Proc[[#This Row],[App]],Table2[],3,0),"open")</f>
        <v>ok</v>
      </c>
      <c r="C577" s="70" t="s">
        <v>369</v>
      </c>
      <c r="D577" t="s">
        <v>1907</v>
      </c>
      <c r="E577" t="s">
        <v>1956</v>
      </c>
      <c r="F577" s="105" t="s">
        <v>1956</v>
      </c>
      <c r="G577" s="70" t="s">
        <v>406</v>
      </c>
      <c r="H577" s="71" t="str">
        <f>IF(Proc[[#This Row],[type]]="LFF (MDG-F)",MID(Proc[[#This Row],[Obj]],13,10),"")</f>
        <v>2123C0BS07</v>
      </c>
      <c r="J577" s="71" t="b">
        <f>Proc[[#This Row],[Requested]]=Proc[[#This Row],[CurrentParent]]</f>
        <v>1</v>
      </c>
      <c r="K577" s="71" t="str">
        <f>IF(Proc[[#This Row],[Author]]="Marcela Urrego",VLOOKUP(LEFT(Proc[[#This Row],[Requested]],1),Table3[#All],2,0),VLOOKUP(Proc[[#This Row],[Author]],Table4[],2,0))</f>
        <v>MGF</v>
      </c>
      <c r="L577" s="71" t="s">
        <v>509</v>
      </c>
      <c r="M577" s="73">
        <v>45702.63349537037</v>
      </c>
      <c r="N577" s="73">
        <v>45712</v>
      </c>
      <c r="O577" s="73">
        <v>45712</v>
      </c>
      <c r="P577" s="72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2" t="s">
        <v>515</v>
      </c>
      <c r="S577" s="71"/>
    </row>
    <row r="578" spans="1:19" hidden="1">
      <c r="A578" s="70" t="s">
        <v>1843</v>
      </c>
      <c r="B578" s="71" t="str">
        <f>IFERROR(VLOOKUP(Proc[[#This Row],[App]],Table2[],3,0),"open")</f>
        <v>ok</v>
      </c>
      <c r="C578" s="70" t="s">
        <v>377</v>
      </c>
      <c r="D578" t="s">
        <v>1908</v>
      </c>
      <c r="E578" t="s">
        <v>1956</v>
      </c>
      <c r="F578" s="105" t="s">
        <v>1956</v>
      </c>
      <c r="G578" t="s">
        <v>400</v>
      </c>
      <c r="H578" s="71" t="str">
        <f>IF(Proc[[#This Row],[type]]="LFF (MDG-F)",MID(Proc[[#This Row],[Obj]],13,10),"")</f>
        <v/>
      </c>
      <c r="I578" s="70" t="s">
        <v>1975</v>
      </c>
      <c r="J578" s="71" t="b">
        <f>Proc[[#This Row],[Requested]]=Proc[[#This Row],[CurrentParent]]</f>
        <v>1</v>
      </c>
      <c r="K578" s="71" t="str">
        <f>IF(Proc[[#This Row],[Author]]="Marcela Urrego",VLOOKUP(LEFT(Proc[[#This Row],[Requested]],1),Table3[#All],2,0),VLOOKUP(Proc[[#This Row],[Author]],Table4[],2,0))</f>
        <v>MGF</v>
      </c>
      <c r="L578" s="71" t="s">
        <v>509</v>
      </c>
      <c r="M578" s="73">
        <v>45702.63349537037</v>
      </c>
      <c r="N578" s="73">
        <v>45712</v>
      </c>
      <c r="O578" s="73">
        <v>45712</v>
      </c>
      <c r="P578" s="72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2" t="s">
        <v>515</v>
      </c>
      <c r="S578" s="71"/>
    </row>
    <row r="579" spans="1:19" hidden="1">
      <c r="A579" s="70" t="s">
        <v>1843</v>
      </c>
      <c r="B579" s="71" t="str">
        <f>IFERROR(VLOOKUP(Proc[[#This Row],[App]],Table2[],3,0),"open")</f>
        <v>ok</v>
      </c>
      <c r="C579" s="70" t="s">
        <v>369</v>
      </c>
      <c r="D579" t="s">
        <v>1909</v>
      </c>
      <c r="E579" t="s">
        <v>1956</v>
      </c>
      <c r="F579" s="105" t="s">
        <v>1956</v>
      </c>
      <c r="G579" s="70" t="s">
        <v>400</v>
      </c>
      <c r="H579" s="71" t="str">
        <f>IF(Proc[[#This Row],[type]]="LFF (MDG-F)",MID(Proc[[#This Row],[Obj]],13,10),"")</f>
        <v/>
      </c>
      <c r="J579" s="71" t="b">
        <f>Proc[[#This Row],[Requested]]=Proc[[#This Row],[CurrentParent]]</f>
        <v>1</v>
      </c>
      <c r="K579" s="71" t="str">
        <f>IF(Proc[[#This Row],[Author]]="Marcela Urrego",VLOOKUP(LEFT(Proc[[#This Row],[Requested]],1),Table3[#All],2,0),VLOOKUP(Proc[[#This Row],[Author]],Table4[],2,0))</f>
        <v>MGF</v>
      </c>
      <c r="L579" s="71" t="s">
        <v>509</v>
      </c>
      <c r="M579" s="73">
        <v>45702.63349537037</v>
      </c>
      <c r="N579" s="73">
        <v>45712</v>
      </c>
      <c r="O579" s="73">
        <v>45712</v>
      </c>
      <c r="P579" s="72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2" t="s">
        <v>515</v>
      </c>
      <c r="S579" s="71"/>
    </row>
    <row r="580" spans="1:19" hidden="1">
      <c r="A580" s="70" t="s">
        <v>1843</v>
      </c>
      <c r="B580" s="71" t="str">
        <f>IFERROR(VLOOKUP(Proc[[#This Row],[App]],Table2[],3,0),"open")</f>
        <v>ok</v>
      </c>
      <c r="C580" s="70" t="s">
        <v>369</v>
      </c>
      <c r="D580" t="s">
        <v>1910</v>
      </c>
      <c r="E580" t="s">
        <v>1957</v>
      </c>
      <c r="F580" s="105" t="s">
        <v>1957</v>
      </c>
      <c r="G580" s="70" t="s">
        <v>406</v>
      </c>
      <c r="H580" s="71" t="str">
        <f>IF(Proc[[#This Row],[type]]="LFF (MDG-F)",MID(Proc[[#This Row],[Obj]],13,10),"")</f>
        <v>2123C00011</v>
      </c>
      <c r="J580" s="71" t="b">
        <f>Proc[[#This Row],[Requested]]=Proc[[#This Row],[CurrentParent]]</f>
        <v>1</v>
      </c>
      <c r="K580" s="71" t="str">
        <f>IF(Proc[[#This Row],[Author]]="Marcela Urrego",VLOOKUP(LEFT(Proc[[#This Row],[Requested]],1),Table3[#All],2,0),VLOOKUP(Proc[[#This Row],[Author]],Table4[],2,0))</f>
        <v>MGF</v>
      </c>
      <c r="L580" s="71" t="s">
        <v>509</v>
      </c>
      <c r="M580" s="73">
        <v>45702.63349537037</v>
      </c>
      <c r="N580" s="73">
        <v>45712</v>
      </c>
      <c r="O580" s="73">
        <v>45712</v>
      </c>
      <c r="P580" s="72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2" t="s">
        <v>515</v>
      </c>
      <c r="S580" s="71"/>
    </row>
    <row r="581" spans="1:19" hidden="1">
      <c r="A581" s="70" t="s">
        <v>1843</v>
      </c>
      <c r="B581" s="71" t="str">
        <f>IFERROR(VLOOKUP(Proc[[#This Row],[App]],Table2[],3,0),"open")</f>
        <v>ok</v>
      </c>
      <c r="C581" s="70" t="s">
        <v>369</v>
      </c>
      <c r="D581" t="s">
        <v>1911</v>
      </c>
      <c r="E581" t="s">
        <v>1957</v>
      </c>
      <c r="F581" s="105" t="s">
        <v>1957</v>
      </c>
      <c r="G581" s="70" t="s">
        <v>406</v>
      </c>
      <c r="H581" s="71" t="str">
        <f>IF(Proc[[#This Row],[type]]="LFF (MDG-F)",MID(Proc[[#This Row],[Obj]],13,10),"")</f>
        <v>2123C00078</v>
      </c>
      <c r="J581" s="71" t="b">
        <f>Proc[[#This Row],[Requested]]=Proc[[#This Row],[CurrentParent]]</f>
        <v>1</v>
      </c>
      <c r="K581" s="71" t="str">
        <f>IF(Proc[[#This Row],[Author]]="Marcela Urrego",VLOOKUP(LEFT(Proc[[#This Row],[Requested]],1),Table3[#All],2,0),VLOOKUP(Proc[[#This Row],[Author]],Table4[],2,0))</f>
        <v>MGF</v>
      </c>
      <c r="L581" s="71" t="s">
        <v>509</v>
      </c>
      <c r="M581" s="73">
        <v>45702.63349537037</v>
      </c>
      <c r="N581" s="73">
        <v>45712</v>
      </c>
      <c r="O581" s="73">
        <v>45712</v>
      </c>
      <c r="P581" s="72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2" t="s">
        <v>515</v>
      </c>
      <c r="S581" s="71"/>
    </row>
    <row r="582" spans="1:19" hidden="1">
      <c r="A582" s="70" t="s">
        <v>1843</v>
      </c>
      <c r="B582" s="71" t="str">
        <f>IFERROR(VLOOKUP(Proc[[#This Row],[App]],Table2[],3,0),"open")</f>
        <v>ok</v>
      </c>
      <c r="C582" s="70" t="s">
        <v>369</v>
      </c>
      <c r="D582" t="s">
        <v>1912</v>
      </c>
      <c r="E582" t="s">
        <v>1957</v>
      </c>
      <c r="F582" s="105" t="s">
        <v>1957</v>
      </c>
      <c r="G582" s="70" t="s">
        <v>406</v>
      </c>
      <c r="H582" s="71" t="str">
        <f>IF(Proc[[#This Row],[type]]="LFF (MDG-F)",MID(Proc[[#This Row],[Obj]],13,10),"")</f>
        <v>2123C08519</v>
      </c>
      <c r="J582" s="71" t="b">
        <f>Proc[[#This Row],[Requested]]=Proc[[#This Row],[CurrentParent]]</f>
        <v>1</v>
      </c>
      <c r="K582" s="71" t="str">
        <f>IF(Proc[[#This Row],[Author]]="Marcela Urrego",VLOOKUP(LEFT(Proc[[#This Row],[Requested]],1),Table3[#All],2,0),VLOOKUP(Proc[[#This Row],[Author]],Table4[],2,0))</f>
        <v>MGF</v>
      </c>
      <c r="L582" s="71" t="s">
        <v>509</v>
      </c>
      <c r="M582" s="73">
        <v>45702.63349537037</v>
      </c>
      <c r="N582" s="73">
        <v>45712</v>
      </c>
      <c r="O582" s="73">
        <v>45712</v>
      </c>
      <c r="P582" s="72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2" t="s">
        <v>515</v>
      </c>
      <c r="S582" s="71"/>
    </row>
    <row r="583" spans="1:19" hidden="1">
      <c r="A583" s="70" t="s">
        <v>1843</v>
      </c>
      <c r="B583" s="71" t="str">
        <f>IFERROR(VLOOKUP(Proc[[#This Row],[App]],Table2[],3,0),"open")</f>
        <v>ok</v>
      </c>
      <c r="C583" s="70" t="s">
        <v>369</v>
      </c>
      <c r="D583" t="s">
        <v>1913</v>
      </c>
      <c r="E583" t="s">
        <v>1958</v>
      </c>
      <c r="F583" s="105" t="s">
        <v>1958</v>
      </c>
      <c r="G583" s="70" t="s">
        <v>406</v>
      </c>
      <c r="H583" s="71" t="str">
        <f>IF(Proc[[#This Row],[type]]="LFF (MDG-F)",MID(Proc[[#This Row],[Obj]],13,10),"")</f>
        <v>2123OF0010</v>
      </c>
      <c r="J583" s="71" t="b">
        <f>Proc[[#This Row],[Requested]]=Proc[[#This Row],[CurrentParent]]</f>
        <v>1</v>
      </c>
      <c r="K583" s="71" t="str">
        <f>IF(Proc[[#This Row],[Author]]="Marcela Urrego",VLOOKUP(LEFT(Proc[[#This Row],[Requested]],1),Table3[#All],2,0),VLOOKUP(Proc[[#This Row],[Author]],Table4[],2,0))</f>
        <v>MGF</v>
      </c>
      <c r="L583" s="71" t="s">
        <v>509</v>
      </c>
      <c r="M583" s="73">
        <v>45702.63349537037</v>
      </c>
      <c r="N583" s="73">
        <v>45712</v>
      </c>
      <c r="O583" s="73">
        <v>45712</v>
      </c>
      <c r="P583" s="72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2" t="s">
        <v>515</v>
      </c>
      <c r="S583" s="71"/>
    </row>
    <row r="584" spans="1:19" hidden="1">
      <c r="A584" s="70" t="s">
        <v>1843</v>
      </c>
      <c r="B584" s="71" t="str">
        <f>IFERROR(VLOOKUP(Proc[[#This Row],[App]],Table2[],3,0),"open")</f>
        <v>ok</v>
      </c>
      <c r="C584" s="70" t="s">
        <v>369</v>
      </c>
      <c r="D584" t="s">
        <v>1914</v>
      </c>
      <c r="E584" t="s">
        <v>1959</v>
      </c>
      <c r="F584" s="105" t="s">
        <v>1959</v>
      </c>
      <c r="G584" s="70" t="s">
        <v>406</v>
      </c>
      <c r="H584" s="71" t="str">
        <f>IF(Proc[[#This Row],[type]]="LFF (MDG-F)",MID(Proc[[#This Row],[Obj]],13,10),"")</f>
        <v>2123OF0018</v>
      </c>
      <c r="J584" s="71" t="b">
        <f>Proc[[#This Row],[Requested]]=Proc[[#This Row],[CurrentParent]]</f>
        <v>1</v>
      </c>
      <c r="K584" s="71" t="str">
        <f>IF(Proc[[#This Row],[Author]]="Marcela Urrego",VLOOKUP(LEFT(Proc[[#This Row],[Requested]],1),Table3[#All],2,0),VLOOKUP(Proc[[#This Row],[Author]],Table4[],2,0))</f>
        <v>MGF</v>
      </c>
      <c r="L584" s="71" t="s">
        <v>509</v>
      </c>
      <c r="M584" s="73">
        <v>45702.63349537037</v>
      </c>
      <c r="N584" s="73">
        <v>45712</v>
      </c>
      <c r="O584" s="73">
        <v>45712</v>
      </c>
      <c r="P584" s="72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2" t="s">
        <v>515</v>
      </c>
      <c r="S584" s="71"/>
    </row>
    <row r="585" spans="1:19" hidden="1">
      <c r="A585" s="70" t="s">
        <v>1843</v>
      </c>
      <c r="B585" s="71" t="str">
        <f>IFERROR(VLOOKUP(Proc[[#This Row],[App]],Table2[],3,0),"open")</f>
        <v>ok</v>
      </c>
      <c r="C585" s="70" t="s">
        <v>369</v>
      </c>
      <c r="D585" t="s">
        <v>1915</v>
      </c>
      <c r="E585" t="s">
        <v>1960</v>
      </c>
      <c r="F585" s="105" t="s">
        <v>1960</v>
      </c>
      <c r="G585" s="70" t="s">
        <v>406</v>
      </c>
      <c r="H585" s="71" t="str">
        <f>IF(Proc[[#This Row],[type]]="LFF (MDG-F)",MID(Proc[[#This Row],[Obj]],13,10),"")</f>
        <v>2123C00009</v>
      </c>
      <c r="J585" s="71" t="b">
        <f>Proc[[#This Row],[Requested]]=Proc[[#This Row],[CurrentParent]]</f>
        <v>1</v>
      </c>
      <c r="K585" s="71" t="str">
        <f>IF(Proc[[#This Row],[Author]]="Marcela Urrego",VLOOKUP(LEFT(Proc[[#This Row],[Requested]],1),Table3[#All],2,0),VLOOKUP(Proc[[#This Row],[Author]],Table4[],2,0))</f>
        <v>MGF</v>
      </c>
      <c r="L585" s="71" t="s">
        <v>509</v>
      </c>
      <c r="M585" s="73">
        <v>45702.63349537037</v>
      </c>
      <c r="N585" s="73">
        <v>45712</v>
      </c>
      <c r="O585" s="73">
        <v>45712</v>
      </c>
      <c r="P585" s="72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2" t="s">
        <v>515</v>
      </c>
      <c r="S585" s="71"/>
    </row>
    <row r="586" spans="1:19" hidden="1">
      <c r="A586" s="70" t="s">
        <v>1843</v>
      </c>
      <c r="B586" s="71" t="str">
        <f>IFERROR(VLOOKUP(Proc[[#This Row],[App]],Table2[],3,0),"open")</f>
        <v>ok</v>
      </c>
      <c r="C586" s="70" t="s">
        <v>369</v>
      </c>
      <c r="D586" t="s">
        <v>1916</v>
      </c>
      <c r="E586" t="s">
        <v>1961</v>
      </c>
      <c r="F586" s="105" t="s">
        <v>1961</v>
      </c>
      <c r="G586" s="70" t="s">
        <v>406</v>
      </c>
      <c r="H586" s="71" t="str">
        <f>IF(Proc[[#This Row],[type]]="LFF (MDG-F)",MID(Proc[[#This Row],[Obj]],13,10),"")</f>
        <v>2123C00022</v>
      </c>
      <c r="J586" s="71" t="b">
        <f>Proc[[#This Row],[Requested]]=Proc[[#This Row],[CurrentParent]]</f>
        <v>1</v>
      </c>
      <c r="K586" s="71" t="str">
        <f>IF(Proc[[#This Row],[Author]]="Marcela Urrego",VLOOKUP(LEFT(Proc[[#This Row],[Requested]],1),Table3[#All],2,0),VLOOKUP(Proc[[#This Row],[Author]],Table4[],2,0))</f>
        <v>MGF</v>
      </c>
      <c r="L586" s="71" t="s">
        <v>509</v>
      </c>
      <c r="M586" s="73">
        <v>45702.63349537037</v>
      </c>
      <c r="N586" s="73">
        <v>45712</v>
      </c>
      <c r="O586" s="73">
        <v>45712</v>
      </c>
      <c r="P586" s="72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2" t="s">
        <v>515</v>
      </c>
      <c r="S586" s="71"/>
    </row>
    <row r="587" spans="1:19" hidden="1">
      <c r="A587" s="70" t="s">
        <v>1843</v>
      </c>
      <c r="B587" s="71" t="str">
        <f>IFERROR(VLOOKUP(Proc[[#This Row],[App]],Table2[],3,0),"open")</f>
        <v>ok</v>
      </c>
      <c r="C587" s="70" t="s">
        <v>369</v>
      </c>
      <c r="D587" t="s">
        <v>1917</v>
      </c>
      <c r="E587" t="s">
        <v>1961</v>
      </c>
      <c r="F587" s="105" t="s">
        <v>1961</v>
      </c>
      <c r="G587" s="70" t="s">
        <v>406</v>
      </c>
      <c r="H587" s="71" t="str">
        <f>IF(Proc[[#This Row],[type]]="LFF (MDG-F)",MID(Proc[[#This Row],[Obj]],13,10),"")</f>
        <v>2123C00098</v>
      </c>
      <c r="J587" s="71" t="b">
        <f>Proc[[#This Row],[Requested]]=Proc[[#This Row],[CurrentParent]]</f>
        <v>1</v>
      </c>
      <c r="K587" s="71" t="str">
        <f>IF(Proc[[#This Row],[Author]]="Marcela Urrego",VLOOKUP(LEFT(Proc[[#This Row],[Requested]],1),Table3[#All],2,0),VLOOKUP(Proc[[#This Row],[Author]],Table4[],2,0))</f>
        <v>MGF</v>
      </c>
      <c r="L587" s="71" t="s">
        <v>509</v>
      </c>
      <c r="M587" s="73">
        <v>45702.63349537037</v>
      </c>
      <c r="N587" s="73">
        <v>45712</v>
      </c>
      <c r="O587" s="73">
        <v>45712</v>
      </c>
      <c r="P587" s="72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2" t="s">
        <v>515</v>
      </c>
      <c r="S587" s="71"/>
    </row>
    <row r="588" spans="1:19" hidden="1">
      <c r="A588" s="70" t="s">
        <v>1843</v>
      </c>
      <c r="B588" s="71" t="str">
        <f>IFERROR(VLOOKUP(Proc[[#This Row],[App]],Table2[],3,0),"open")</f>
        <v>ok</v>
      </c>
      <c r="C588" s="70" t="s">
        <v>369</v>
      </c>
      <c r="D588" t="s">
        <v>1918</v>
      </c>
      <c r="E588" t="s">
        <v>1960</v>
      </c>
      <c r="F588" s="105" t="s">
        <v>1960</v>
      </c>
      <c r="G588" s="70" t="s">
        <v>406</v>
      </c>
      <c r="H588" s="71" t="str">
        <f>IF(Proc[[#This Row],[type]]="LFF (MDG-F)",MID(Proc[[#This Row],[Obj]],13,10),"")</f>
        <v>2123C00103</v>
      </c>
      <c r="J588" s="71" t="b">
        <f>Proc[[#This Row],[Requested]]=Proc[[#This Row],[CurrentParent]]</f>
        <v>1</v>
      </c>
      <c r="K588" s="71" t="str">
        <f>IF(Proc[[#This Row],[Author]]="Marcela Urrego",VLOOKUP(LEFT(Proc[[#This Row],[Requested]],1),Table3[#All],2,0),VLOOKUP(Proc[[#This Row],[Author]],Table4[],2,0))</f>
        <v>MGF</v>
      </c>
      <c r="L588" s="71" t="s">
        <v>509</v>
      </c>
      <c r="M588" s="73">
        <v>45702.63349537037</v>
      </c>
      <c r="N588" s="73">
        <v>45712</v>
      </c>
      <c r="O588" s="73">
        <v>45712</v>
      </c>
      <c r="P588" s="72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2" t="s">
        <v>515</v>
      </c>
      <c r="S588" s="71"/>
    </row>
    <row r="589" spans="1:19" hidden="1">
      <c r="A589" s="70" t="s">
        <v>1843</v>
      </c>
      <c r="B589" s="71" t="str">
        <f>IFERROR(VLOOKUP(Proc[[#This Row],[App]],Table2[],3,0),"open")</f>
        <v>ok</v>
      </c>
      <c r="C589" s="70" t="s">
        <v>369</v>
      </c>
      <c r="D589" t="s">
        <v>1919</v>
      </c>
      <c r="E589" t="s">
        <v>1945</v>
      </c>
      <c r="F589" s="105" t="s">
        <v>1945</v>
      </c>
      <c r="G589" s="70" t="s">
        <v>406</v>
      </c>
      <c r="H589" s="71" t="str">
        <f>IF(Proc[[#This Row],[type]]="LFF (MDG-F)",MID(Proc[[#This Row],[Obj]],13,10),"")</f>
        <v>2123C00102</v>
      </c>
      <c r="J589" s="71" t="b">
        <f>Proc[[#This Row],[Requested]]=Proc[[#This Row],[CurrentParent]]</f>
        <v>1</v>
      </c>
      <c r="K589" s="71" t="str">
        <f>IF(Proc[[#This Row],[Author]]="Marcela Urrego",VLOOKUP(LEFT(Proc[[#This Row],[Requested]],1),Table3[#All],2,0),VLOOKUP(Proc[[#This Row],[Author]],Table4[],2,0))</f>
        <v>MGF</v>
      </c>
      <c r="L589" s="71" t="s">
        <v>509</v>
      </c>
      <c r="M589" s="73">
        <v>45702.63349537037</v>
      </c>
      <c r="N589" s="73">
        <v>45712</v>
      </c>
      <c r="O589" s="73">
        <v>45712</v>
      </c>
      <c r="P589" s="72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2" t="s">
        <v>515</v>
      </c>
      <c r="S589" s="71"/>
    </row>
    <row r="590" spans="1:19" hidden="1">
      <c r="A590" s="70" t="s">
        <v>1843</v>
      </c>
      <c r="B590" s="71" t="str">
        <f>IFERROR(VLOOKUP(Proc[[#This Row],[App]],Table2[],3,0),"open")</f>
        <v>ok</v>
      </c>
      <c r="C590" s="70" t="s">
        <v>369</v>
      </c>
      <c r="D590" t="s">
        <v>1920</v>
      </c>
      <c r="E590" t="s">
        <v>1945</v>
      </c>
      <c r="F590" s="105" t="s">
        <v>1945</v>
      </c>
      <c r="G590" s="70" t="s">
        <v>406</v>
      </c>
      <c r="H590" s="71" t="str">
        <f>IF(Proc[[#This Row],[type]]="LFF (MDG-F)",MID(Proc[[#This Row],[Obj]],13,10),"")</f>
        <v>2123OF0009</v>
      </c>
      <c r="J590" s="71" t="b">
        <f>Proc[[#This Row],[Requested]]=Proc[[#This Row],[CurrentParent]]</f>
        <v>1</v>
      </c>
      <c r="K590" s="71" t="str">
        <f>IF(Proc[[#This Row],[Author]]="Marcela Urrego",VLOOKUP(LEFT(Proc[[#This Row],[Requested]],1),Table3[#All],2,0),VLOOKUP(Proc[[#This Row],[Author]],Table4[],2,0))</f>
        <v>MGF</v>
      </c>
      <c r="L590" s="71" t="s">
        <v>509</v>
      </c>
      <c r="M590" s="73">
        <v>45702.63349537037</v>
      </c>
      <c r="N590" s="73">
        <v>45712</v>
      </c>
      <c r="O590" s="73">
        <v>45712</v>
      </c>
      <c r="P590" s="72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2" t="s">
        <v>515</v>
      </c>
      <c r="S590" s="71"/>
    </row>
    <row r="591" spans="1:19" hidden="1">
      <c r="A591" s="70" t="s">
        <v>1843</v>
      </c>
      <c r="B591" s="71" t="str">
        <f>IFERROR(VLOOKUP(Proc[[#This Row],[App]],Table2[],3,0),"open")</f>
        <v>ok</v>
      </c>
      <c r="C591" s="70" t="s">
        <v>369</v>
      </c>
      <c r="D591" t="s">
        <v>1921</v>
      </c>
      <c r="E591" t="s">
        <v>1962</v>
      </c>
      <c r="F591" s="105" t="s">
        <v>1962</v>
      </c>
      <c r="G591" s="70" t="s">
        <v>406</v>
      </c>
      <c r="H591" s="71" t="str">
        <f>IF(Proc[[#This Row],[type]]="LFF (MDG-F)",MID(Proc[[#This Row],[Obj]],13,10),"")</f>
        <v>2123TPSZ91</v>
      </c>
      <c r="J591" s="71" t="b">
        <f>Proc[[#This Row],[Requested]]=Proc[[#This Row],[CurrentParent]]</f>
        <v>1</v>
      </c>
      <c r="K591" s="71" t="str">
        <f>IF(Proc[[#This Row],[Author]]="Marcela Urrego",VLOOKUP(LEFT(Proc[[#This Row],[Requested]],1),Table3[#All],2,0),VLOOKUP(Proc[[#This Row],[Author]],Table4[],2,0))</f>
        <v>MGF</v>
      </c>
      <c r="L591" s="71" t="s">
        <v>509</v>
      </c>
      <c r="M591" s="73">
        <v>45702.63349537037</v>
      </c>
      <c r="N591" s="73">
        <v>45712</v>
      </c>
      <c r="O591" s="73">
        <v>45712</v>
      </c>
      <c r="P591" s="72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2" t="s">
        <v>515</v>
      </c>
      <c r="S591" s="71"/>
    </row>
    <row r="592" spans="1:19" hidden="1">
      <c r="A592" s="70" t="s">
        <v>1843</v>
      </c>
      <c r="B592" s="71" t="str">
        <f>IFERROR(VLOOKUP(Proc[[#This Row],[App]],Table2[],3,0),"open")</f>
        <v>ok</v>
      </c>
      <c r="C592" s="70" t="s">
        <v>369</v>
      </c>
      <c r="D592" t="s">
        <v>1922</v>
      </c>
      <c r="E592" t="s">
        <v>1963</v>
      </c>
      <c r="F592" s="105" t="s">
        <v>1963</v>
      </c>
      <c r="G592" s="70" t="s">
        <v>406</v>
      </c>
      <c r="H592" s="71" t="str">
        <f>IF(Proc[[#This Row],[type]]="LFF (MDG-F)",MID(Proc[[#This Row],[Obj]],13,10),"")</f>
        <v>2123TPSZ93</v>
      </c>
      <c r="J592" s="71" t="b">
        <f>Proc[[#This Row],[Requested]]=Proc[[#This Row],[CurrentParent]]</f>
        <v>1</v>
      </c>
      <c r="K592" s="71" t="str">
        <f>IF(Proc[[#This Row],[Author]]="Marcela Urrego",VLOOKUP(LEFT(Proc[[#This Row],[Requested]],1),Table3[#All],2,0),VLOOKUP(Proc[[#This Row],[Author]],Table4[],2,0))</f>
        <v>MGF</v>
      </c>
      <c r="L592" s="71" t="s">
        <v>509</v>
      </c>
      <c r="M592" s="73">
        <v>45702.63349537037</v>
      </c>
      <c r="N592" s="73">
        <v>45712</v>
      </c>
      <c r="O592" s="73">
        <v>45712</v>
      </c>
      <c r="P592" s="72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2" t="s">
        <v>515</v>
      </c>
      <c r="S592" s="71"/>
    </row>
    <row r="593" spans="1:19" hidden="1">
      <c r="A593" s="70" t="s">
        <v>1843</v>
      </c>
      <c r="B593" s="71" t="str">
        <f>IFERROR(VLOOKUP(Proc[[#This Row],[App]],Table2[],3,0),"open")</f>
        <v>ok</v>
      </c>
      <c r="C593" s="70" t="s">
        <v>369</v>
      </c>
      <c r="D593" t="s">
        <v>1923</v>
      </c>
      <c r="E593" t="s">
        <v>1964</v>
      </c>
      <c r="F593" s="105" t="s">
        <v>1964</v>
      </c>
      <c r="G593" s="70" t="s">
        <v>406</v>
      </c>
      <c r="H593" s="71" t="str">
        <f>IF(Proc[[#This Row],[type]]="LFF (MDG-F)",MID(Proc[[#This Row],[Obj]],13,10),"")</f>
        <v>2123L80001</v>
      </c>
      <c r="J593" s="71" t="b">
        <f>Proc[[#This Row],[Requested]]=Proc[[#This Row],[CurrentParent]]</f>
        <v>1</v>
      </c>
      <c r="K593" s="71" t="str">
        <f>IF(Proc[[#This Row],[Author]]="Marcela Urrego",VLOOKUP(LEFT(Proc[[#This Row],[Requested]],1),Table3[#All],2,0),VLOOKUP(Proc[[#This Row],[Author]],Table4[],2,0))</f>
        <v>MGF</v>
      </c>
      <c r="L593" s="71" t="s">
        <v>509</v>
      </c>
      <c r="M593" s="73">
        <v>45702.63349537037</v>
      </c>
      <c r="N593" s="73">
        <v>45712</v>
      </c>
      <c r="O593" s="73">
        <v>45712</v>
      </c>
      <c r="P593" s="72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2" t="s">
        <v>515</v>
      </c>
      <c r="S593" s="71"/>
    </row>
    <row r="594" spans="1:19" hidden="1">
      <c r="A594" s="70" t="s">
        <v>1843</v>
      </c>
      <c r="B594" s="71" t="str">
        <f>IFERROR(VLOOKUP(Proc[[#This Row],[App]],Table2[],3,0),"open")</f>
        <v>ok</v>
      </c>
      <c r="C594" s="70" t="s">
        <v>369</v>
      </c>
      <c r="D594" t="s">
        <v>1924</v>
      </c>
      <c r="E594" t="s">
        <v>1964</v>
      </c>
      <c r="F594" s="105" t="s">
        <v>1964</v>
      </c>
      <c r="G594" s="70" t="s">
        <v>406</v>
      </c>
      <c r="H594" s="71" t="str">
        <f>IF(Proc[[#This Row],[type]]="LFF (MDG-F)",MID(Proc[[#This Row],[Obj]],13,10),"")</f>
        <v>2123TPSZ90</v>
      </c>
      <c r="J594" s="71" t="b">
        <f>Proc[[#This Row],[Requested]]=Proc[[#This Row],[CurrentParent]]</f>
        <v>1</v>
      </c>
      <c r="K594" s="71" t="str">
        <f>IF(Proc[[#This Row],[Author]]="Marcela Urrego",VLOOKUP(LEFT(Proc[[#This Row],[Requested]],1),Table3[#All],2,0),VLOOKUP(Proc[[#This Row],[Author]],Table4[],2,0))</f>
        <v>MGF</v>
      </c>
      <c r="L594" s="71" t="s">
        <v>509</v>
      </c>
      <c r="M594" s="73">
        <v>45702.63349537037</v>
      </c>
      <c r="N594" s="73">
        <v>45712</v>
      </c>
      <c r="O594" s="73">
        <v>45712</v>
      </c>
      <c r="P594" s="72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2" t="s">
        <v>515</v>
      </c>
      <c r="S594" s="71"/>
    </row>
    <row r="595" spans="1:19" hidden="1">
      <c r="A595" s="70" t="s">
        <v>1843</v>
      </c>
      <c r="B595" s="71" t="str">
        <f>IFERROR(VLOOKUP(Proc[[#This Row],[App]],Table2[],3,0),"open")</f>
        <v>ok</v>
      </c>
      <c r="C595" s="70" t="s">
        <v>369</v>
      </c>
      <c r="D595" t="s">
        <v>1925</v>
      </c>
      <c r="E595" t="s">
        <v>1965</v>
      </c>
      <c r="F595" s="105" t="s">
        <v>1965</v>
      </c>
      <c r="G595" s="70" t="s">
        <v>406</v>
      </c>
      <c r="H595" s="71" t="str">
        <f>IF(Proc[[#This Row],[type]]="LFF (MDG-F)",MID(Proc[[#This Row],[Obj]],13,10),"")</f>
        <v>2123TQJZ94</v>
      </c>
      <c r="J595" s="71" t="b">
        <f>Proc[[#This Row],[Requested]]=Proc[[#This Row],[CurrentParent]]</f>
        <v>1</v>
      </c>
      <c r="K595" s="71" t="str">
        <f>IF(Proc[[#This Row],[Author]]="Marcela Urrego",VLOOKUP(LEFT(Proc[[#This Row],[Requested]],1),Table3[#All],2,0),VLOOKUP(Proc[[#This Row],[Author]],Table4[],2,0))</f>
        <v>MGF</v>
      </c>
      <c r="L595" s="71" t="s">
        <v>509</v>
      </c>
      <c r="M595" s="73">
        <v>45702.63349537037</v>
      </c>
      <c r="N595" s="73">
        <v>45712</v>
      </c>
      <c r="O595" s="73">
        <v>45712</v>
      </c>
      <c r="P595" s="72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2" t="s">
        <v>515</v>
      </c>
      <c r="S595" s="71"/>
    </row>
    <row r="596" spans="1:19" hidden="1">
      <c r="A596" s="70" t="s">
        <v>1843</v>
      </c>
      <c r="B596" s="71" t="str">
        <f>IFERROR(VLOOKUP(Proc[[#This Row],[App]],Table2[],3,0),"open")</f>
        <v>ok</v>
      </c>
      <c r="C596" s="70" t="s">
        <v>369</v>
      </c>
      <c r="D596" t="s">
        <v>1926</v>
      </c>
      <c r="E596" t="s">
        <v>1966</v>
      </c>
      <c r="F596" s="105" t="s">
        <v>1966</v>
      </c>
      <c r="G596" s="70" t="s">
        <v>406</v>
      </c>
      <c r="H596" s="71" t="str">
        <f>IF(Proc[[#This Row],[type]]="LFF (MDG-F)",MID(Proc[[#This Row],[Obj]],13,10),"")</f>
        <v>2123OF0015</v>
      </c>
      <c r="J596" s="71" t="b">
        <f>Proc[[#This Row],[Requested]]=Proc[[#This Row],[CurrentParent]]</f>
        <v>1</v>
      </c>
      <c r="K596" s="71" t="str">
        <f>IF(Proc[[#This Row],[Author]]="Marcela Urrego",VLOOKUP(LEFT(Proc[[#This Row],[Requested]],1),Table3[#All],2,0),VLOOKUP(Proc[[#This Row],[Author]],Table4[],2,0))</f>
        <v>MGF</v>
      </c>
      <c r="L596" s="71" t="s">
        <v>509</v>
      </c>
      <c r="M596" s="73">
        <v>45702.63349537037</v>
      </c>
      <c r="N596" s="73">
        <v>45712</v>
      </c>
      <c r="O596" s="73">
        <v>45712</v>
      </c>
      <c r="P596" s="72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2" t="s">
        <v>515</v>
      </c>
      <c r="S596" s="71"/>
    </row>
    <row r="597" spans="1:19" hidden="1">
      <c r="A597" s="70" t="s">
        <v>1843</v>
      </c>
      <c r="B597" s="71" t="str">
        <f>IFERROR(VLOOKUP(Proc[[#This Row],[App]],Table2[],3,0),"open")</f>
        <v>ok</v>
      </c>
      <c r="C597" s="70" t="s">
        <v>369</v>
      </c>
      <c r="D597" t="s">
        <v>1927</v>
      </c>
      <c r="E597" t="s">
        <v>1967</v>
      </c>
      <c r="F597" s="105" t="s">
        <v>1967</v>
      </c>
      <c r="G597" s="70" t="s">
        <v>406</v>
      </c>
      <c r="H597" s="71" t="str">
        <f>IF(Proc[[#This Row],[type]]="LFF (MDG-F)",MID(Proc[[#This Row],[Obj]],13,10),"")</f>
        <v>2123L50024</v>
      </c>
      <c r="J597" s="71" t="b">
        <f>Proc[[#This Row],[Requested]]=Proc[[#This Row],[CurrentParent]]</f>
        <v>1</v>
      </c>
      <c r="K597" s="71" t="str">
        <f>IF(Proc[[#This Row],[Author]]="Marcela Urrego",VLOOKUP(LEFT(Proc[[#This Row],[Requested]],1),Table3[#All],2,0),VLOOKUP(Proc[[#This Row],[Author]],Table4[],2,0))</f>
        <v>MGF</v>
      </c>
      <c r="L597" s="71" t="s">
        <v>509</v>
      </c>
      <c r="M597" s="73">
        <v>45702.63349537037</v>
      </c>
      <c r="N597" s="73">
        <v>45712</v>
      </c>
      <c r="O597" s="73">
        <v>45712</v>
      </c>
      <c r="P597" s="72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2" t="s">
        <v>515</v>
      </c>
      <c r="S597" s="71"/>
    </row>
    <row r="598" spans="1:19" hidden="1">
      <c r="A598" s="70" t="s">
        <v>1843</v>
      </c>
      <c r="B598" s="71" t="str">
        <f>IFERROR(VLOOKUP(Proc[[#This Row],[App]],Table2[],3,0),"open")</f>
        <v>ok</v>
      </c>
      <c r="C598" s="70" t="s">
        <v>369</v>
      </c>
      <c r="D598" t="s">
        <v>1928</v>
      </c>
      <c r="E598" t="s">
        <v>1967</v>
      </c>
      <c r="F598" s="105" t="s">
        <v>1967</v>
      </c>
      <c r="G598" s="70" t="s">
        <v>406</v>
      </c>
      <c r="H598" s="71" t="str">
        <f>IF(Proc[[#This Row],[type]]="LFF (MDG-F)",MID(Proc[[#This Row],[Obj]],13,10),"")</f>
        <v>2123L58472</v>
      </c>
      <c r="J598" s="71" t="b">
        <f>Proc[[#This Row],[Requested]]=Proc[[#This Row],[CurrentParent]]</f>
        <v>1</v>
      </c>
      <c r="K598" s="71" t="str">
        <f>IF(Proc[[#This Row],[Author]]="Marcela Urrego",VLOOKUP(LEFT(Proc[[#This Row],[Requested]],1),Table3[#All],2,0),VLOOKUP(Proc[[#This Row],[Author]],Table4[],2,0))</f>
        <v>MGF</v>
      </c>
      <c r="L598" s="71" t="s">
        <v>509</v>
      </c>
      <c r="M598" s="73">
        <v>45702.63349537037</v>
      </c>
      <c r="N598" s="73">
        <v>45712</v>
      </c>
      <c r="O598" s="73">
        <v>45712</v>
      </c>
      <c r="P598" s="72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2" t="s">
        <v>515</v>
      </c>
      <c r="S598" s="71"/>
    </row>
    <row r="599" spans="1:19" hidden="1">
      <c r="A599" s="70" t="s">
        <v>1843</v>
      </c>
      <c r="B599" s="71" t="str">
        <f>IFERROR(VLOOKUP(Proc[[#This Row],[App]],Table2[],3,0),"open")</f>
        <v>ok</v>
      </c>
      <c r="C599" s="70" t="s">
        <v>369</v>
      </c>
      <c r="D599" t="s">
        <v>1929</v>
      </c>
      <c r="E599" t="s">
        <v>1967</v>
      </c>
      <c r="F599" s="105" t="s">
        <v>1967</v>
      </c>
      <c r="G599" s="70" t="s">
        <v>406</v>
      </c>
      <c r="H599" s="71" t="str">
        <f>IF(Proc[[#This Row],[type]]="LFF (MDG-F)",MID(Proc[[#This Row],[Obj]],13,10),"")</f>
        <v>2123L50006</v>
      </c>
      <c r="J599" s="71" t="b">
        <f>Proc[[#This Row],[Requested]]=Proc[[#This Row],[CurrentParent]]</f>
        <v>1</v>
      </c>
      <c r="K599" s="71" t="str">
        <f>IF(Proc[[#This Row],[Author]]="Marcela Urrego",VLOOKUP(LEFT(Proc[[#This Row],[Requested]],1),Table3[#All],2,0),VLOOKUP(Proc[[#This Row],[Author]],Table4[],2,0))</f>
        <v>MGF</v>
      </c>
      <c r="L599" s="71" t="s">
        <v>509</v>
      </c>
      <c r="M599" s="73">
        <v>45702.63349537037</v>
      </c>
      <c r="N599" s="73">
        <v>45712</v>
      </c>
      <c r="O599" s="73">
        <v>45712</v>
      </c>
      <c r="P599" s="72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2" t="s">
        <v>515</v>
      </c>
      <c r="S599" s="71"/>
    </row>
    <row r="600" spans="1:19" hidden="1">
      <c r="A600" s="70" t="s">
        <v>1843</v>
      </c>
      <c r="B600" s="71" t="str">
        <f>IFERROR(VLOOKUP(Proc[[#This Row],[App]],Table2[],3,0),"open")</f>
        <v>ok</v>
      </c>
      <c r="C600" s="70" t="s">
        <v>369</v>
      </c>
      <c r="D600" t="s">
        <v>1930</v>
      </c>
      <c r="E600" t="s">
        <v>1968</v>
      </c>
      <c r="F600" s="105" t="s">
        <v>1968</v>
      </c>
      <c r="G600" s="70" t="s">
        <v>406</v>
      </c>
      <c r="H600" s="71" t="str">
        <f>IF(Proc[[#This Row],[type]]="LFF (MDG-F)",MID(Proc[[#This Row],[Obj]],13,10),"")</f>
        <v>2123L50005</v>
      </c>
      <c r="J600" s="71" t="b">
        <f>Proc[[#This Row],[Requested]]=Proc[[#This Row],[CurrentParent]]</f>
        <v>1</v>
      </c>
      <c r="K600" s="71" t="str">
        <f>IF(Proc[[#This Row],[Author]]="Marcela Urrego",VLOOKUP(LEFT(Proc[[#This Row],[Requested]],1),Table3[#All],2,0),VLOOKUP(Proc[[#This Row],[Author]],Table4[],2,0))</f>
        <v>MGF</v>
      </c>
      <c r="L600" s="71" t="s">
        <v>509</v>
      </c>
      <c r="M600" s="73">
        <v>45702.63349537037</v>
      </c>
      <c r="N600" s="73">
        <v>45712</v>
      </c>
      <c r="O600" s="73">
        <v>45712</v>
      </c>
      <c r="P600" s="72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2" t="s">
        <v>515</v>
      </c>
      <c r="S600" s="71"/>
    </row>
    <row r="601" spans="1:19" hidden="1">
      <c r="A601" s="70" t="s">
        <v>1843</v>
      </c>
      <c r="B601" s="71" t="str">
        <f>IFERROR(VLOOKUP(Proc[[#This Row],[App]],Table2[],3,0),"open")</f>
        <v>ok</v>
      </c>
      <c r="C601" s="70" t="s">
        <v>369</v>
      </c>
      <c r="D601" t="s">
        <v>1931</v>
      </c>
      <c r="E601" t="s">
        <v>1967</v>
      </c>
      <c r="F601" s="105" t="s">
        <v>1967</v>
      </c>
      <c r="G601" s="70" t="s">
        <v>406</v>
      </c>
      <c r="H601" s="71" t="str">
        <f>IF(Proc[[#This Row],[type]]="LFF (MDG-F)",MID(Proc[[#This Row],[Obj]],13,10),"")</f>
        <v>2123L50003</v>
      </c>
      <c r="J601" s="71" t="b">
        <f>Proc[[#This Row],[Requested]]=Proc[[#This Row],[CurrentParent]]</f>
        <v>1</v>
      </c>
      <c r="K601" s="71" t="str">
        <f>IF(Proc[[#This Row],[Author]]="Marcela Urrego",VLOOKUP(LEFT(Proc[[#This Row],[Requested]],1),Table3[#All],2,0),VLOOKUP(Proc[[#This Row],[Author]],Table4[],2,0))</f>
        <v>MGF</v>
      </c>
      <c r="L601" s="71" t="s">
        <v>509</v>
      </c>
      <c r="M601" s="73">
        <v>45702.63349537037</v>
      </c>
      <c r="N601" s="73">
        <v>45712</v>
      </c>
      <c r="O601" s="73">
        <v>45712</v>
      </c>
      <c r="P601" s="72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2" t="s">
        <v>515</v>
      </c>
      <c r="S601" s="71"/>
    </row>
    <row r="602" spans="1:19" hidden="1">
      <c r="A602" s="70" t="s">
        <v>1843</v>
      </c>
      <c r="B602" s="71" t="str">
        <f>IFERROR(VLOOKUP(Proc[[#This Row],[App]],Table2[],3,0),"open")</f>
        <v>ok</v>
      </c>
      <c r="C602" s="70" t="s">
        <v>369</v>
      </c>
      <c r="D602" t="s">
        <v>1932</v>
      </c>
      <c r="E602" t="s">
        <v>1967</v>
      </c>
      <c r="F602" s="105" t="s">
        <v>1967</v>
      </c>
      <c r="G602" s="70" t="s">
        <v>406</v>
      </c>
      <c r="H602" s="71" t="str">
        <f>IF(Proc[[#This Row],[type]]="LFF (MDG-F)",MID(Proc[[#This Row],[Obj]],13,10),"")</f>
        <v>2123L50004</v>
      </c>
      <c r="J602" s="71" t="b">
        <f>Proc[[#This Row],[Requested]]=Proc[[#This Row],[CurrentParent]]</f>
        <v>1</v>
      </c>
      <c r="K602" s="71" t="str">
        <f>IF(Proc[[#This Row],[Author]]="Marcela Urrego",VLOOKUP(LEFT(Proc[[#This Row],[Requested]],1),Table3[#All],2,0),VLOOKUP(Proc[[#This Row],[Author]],Table4[],2,0))</f>
        <v>MGF</v>
      </c>
      <c r="L602" s="71" t="s">
        <v>509</v>
      </c>
      <c r="M602" s="73">
        <v>45702.63349537037</v>
      </c>
      <c r="N602" s="73">
        <v>45712</v>
      </c>
      <c r="O602" s="73">
        <v>45712</v>
      </c>
      <c r="P602" s="72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2" t="s">
        <v>515</v>
      </c>
      <c r="S602" s="71"/>
    </row>
    <row r="603" spans="1:19" hidden="1">
      <c r="A603" s="70" t="s">
        <v>1843</v>
      </c>
      <c r="B603" s="71" t="str">
        <f>IFERROR(VLOOKUP(Proc[[#This Row],[App]],Table2[],3,0),"open")</f>
        <v>ok</v>
      </c>
      <c r="C603" s="70" t="s">
        <v>369</v>
      </c>
      <c r="D603" t="s">
        <v>1933</v>
      </c>
      <c r="E603" t="s">
        <v>1969</v>
      </c>
      <c r="F603" s="105" t="s">
        <v>1969</v>
      </c>
      <c r="G603" s="70" t="s">
        <v>406</v>
      </c>
      <c r="H603" s="71" t="str">
        <f>IF(Proc[[#This Row],[type]]="LFF (MDG-F)",MID(Proc[[#This Row],[Obj]],13,10),"")</f>
        <v>2123C00112</v>
      </c>
      <c r="J603" s="71" t="b">
        <f>Proc[[#This Row],[Requested]]=Proc[[#This Row],[CurrentParent]]</f>
        <v>1</v>
      </c>
      <c r="K603" s="71" t="str">
        <f>IF(Proc[[#This Row],[Author]]="Marcela Urrego",VLOOKUP(LEFT(Proc[[#This Row],[Requested]],1),Table3[#All],2,0),VLOOKUP(Proc[[#This Row],[Author]],Table4[],2,0))</f>
        <v>MGF</v>
      </c>
      <c r="L603" s="71" t="s">
        <v>509</v>
      </c>
      <c r="M603" s="73">
        <v>45702.63349537037</v>
      </c>
      <c r="N603" s="73">
        <v>45712</v>
      </c>
      <c r="O603" s="73">
        <v>45712</v>
      </c>
      <c r="P603" s="72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2" t="s">
        <v>515</v>
      </c>
      <c r="S603" s="71"/>
    </row>
    <row r="604" spans="1:19" hidden="1">
      <c r="A604" s="70" t="s">
        <v>1843</v>
      </c>
      <c r="B604" s="71" t="str">
        <f>IFERROR(VLOOKUP(Proc[[#This Row],[App]],Table2[],3,0),"open")</f>
        <v>ok</v>
      </c>
      <c r="C604" s="70" t="s">
        <v>369</v>
      </c>
      <c r="D604" t="s">
        <v>1934</v>
      </c>
      <c r="E604" t="s">
        <v>1970</v>
      </c>
      <c r="F604" s="105" t="s">
        <v>1970</v>
      </c>
      <c r="G604" s="70" t="s">
        <v>406</v>
      </c>
      <c r="H604" s="71" t="str">
        <f>IF(Proc[[#This Row],[type]]="LFF (MDG-F)",MID(Proc[[#This Row],[Obj]],13,10),"")</f>
        <v>2123OF0025</v>
      </c>
      <c r="J604" s="71" t="b">
        <f>Proc[[#This Row],[Requested]]=Proc[[#This Row],[CurrentParent]]</f>
        <v>1</v>
      </c>
      <c r="K604" s="71" t="str">
        <f>IF(Proc[[#This Row],[Author]]="Marcela Urrego",VLOOKUP(LEFT(Proc[[#This Row],[Requested]],1),Table3[#All],2,0),VLOOKUP(Proc[[#This Row],[Author]],Table4[],2,0))</f>
        <v>MGF</v>
      </c>
      <c r="L604" s="71" t="s">
        <v>509</v>
      </c>
      <c r="M604" s="73">
        <v>45702.63349537037</v>
      </c>
      <c r="N604" s="73">
        <v>45712</v>
      </c>
      <c r="O604" s="73">
        <v>45712</v>
      </c>
      <c r="P604" s="72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2" t="s">
        <v>515</v>
      </c>
      <c r="S604" s="71"/>
    </row>
    <row r="605" spans="1:19" hidden="1">
      <c r="A605" s="70" t="s">
        <v>1843</v>
      </c>
      <c r="B605" s="71" t="str">
        <f>IFERROR(VLOOKUP(Proc[[#This Row],[App]],Table2[],3,0),"open")</f>
        <v>ok</v>
      </c>
      <c r="C605" s="70" t="s">
        <v>369</v>
      </c>
      <c r="D605" t="s">
        <v>1935</v>
      </c>
      <c r="E605" t="s">
        <v>1971</v>
      </c>
      <c r="F605" s="105" t="s">
        <v>1971</v>
      </c>
      <c r="G605" s="70" t="s">
        <v>406</v>
      </c>
      <c r="H605" s="71" t="str">
        <f>IF(Proc[[#This Row],[type]]="LFF (MDG-F)",MID(Proc[[#This Row],[Obj]],13,10),"")</f>
        <v>2123OF0024</v>
      </c>
      <c r="J605" s="71" t="b">
        <f>Proc[[#This Row],[Requested]]=Proc[[#This Row],[CurrentParent]]</f>
        <v>1</v>
      </c>
      <c r="K605" s="71" t="str">
        <f>IF(Proc[[#This Row],[Author]]="Marcela Urrego",VLOOKUP(LEFT(Proc[[#This Row],[Requested]],1),Table3[#All],2,0),VLOOKUP(Proc[[#This Row],[Author]],Table4[],2,0))</f>
        <v>MGF</v>
      </c>
      <c r="L605" s="71" t="s">
        <v>509</v>
      </c>
      <c r="M605" s="73">
        <v>45702.63349537037</v>
      </c>
      <c r="N605" s="73">
        <v>45712</v>
      </c>
      <c r="O605" s="73">
        <v>45712</v>
      </c>
      <c r="P605" s="72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2" t="s">
        <v>515</v>
      </c>
      <c r="S605" s="71"/>
    </row>
    <row r="606" spans="1:19" hidden="1">
      <c r="A606" s="70" t="s">
        <v>1843</v>
      </c>
      <c r="B606" s="71" t="str">
        <f>IFERROR(VLOOKUP(Proc[[#This Row],[App]],Table2[],3,0),"open")</f>
        <v>ok</v>
      </c>
      <c r="C606" s="70" t="s">
        <v>369</v>
      </c>
      <c r="D606" t="s">
        <v>1936</v>
      </c>
      <c r="E606" t="s">
        <v>1972</v>
      </c>
      <c r="F606" s="105" t="s">
        <v>1972</v>
      </c>
      <c r="G606" s="70" t="s">
        <v>406</v>
      </c>
      <c r="H606" s="71" t="str">
        <f>IF(Proc[[#This Row],[type]]="LFF (MDG-F)",MID(Proc[[#This Row],[Obj]],13,10),"")</f>
        <v>2123OF0021</v>
      </c>
      <c r="J606" s="71" t="b">
        <f>Proc[[#This Row],[Requested]]=Proc[[#This Row],[CurrentParent]]</f>
        <v>1</v>
      </c>
      <c r="K606" s="71" t="str">
        <f>IF(Proc[[#This Row],[Author]]="Marcela Urrego",VLOOKUP(LEFT(Proc[[#This Row],[Requested]],1),Table3[#All],2,0),VLOOKUP(Proc[[#This Row],[Author]],Table4[],2,0))</f>
        <v>MGF</v>
      </c>
      <c r="L606" s="71" t="s">
        <v>509</v>
      </c>
      <c r="M606" s="73">
        <v>45702.63349537037</v>
      </c>
      <c r="N606" s="73">
        <v>45712</v>
      </c>
      <c r="O606" s="73">
        <v>45712</v>
      </c>
      <c r="P606" s="72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2" t="s">
        <v>515</v>
      </c>
      <c r="S606" s="71"/>
    </row>
    <row r="607" spans="1:19" hidden="1">
      <c r="A607" s="70" t="s">
        <v>1843</v>
      </c>
      <c r="B607" s="71" t="str">
        <f>IFERROR(VLOOKUP(Proc[[#This Row],[App]],Table2[],3,0),"open")</f>
        <v>ok</v>
      </c>
      <c r="C607" s="70" t="s">
        <v>369</v>
      </c>
      <c r="D607" t="s">
        <v>1937</v>
      </c>
      <c r="E607" t="s">
        <v>1973</v>
      </c>
      <c r="F607" s="105" t="s">
        <v>1973</v>
      </c>
      <c r="G607" s="70" t="s">
        <v>400</v>
      </c>
      <c r="H607" s="71" t="str">
        <f>IF(Proc[[#This Row],[type]]="LFF (MDG-F)",MID(Proc[[#This Row],[Obj]],13,10),"")</f>
        <v/>
      </c>
      <c r="J607" s="71" t="b">
        <f>Proc[[#This Row],[Requested]]=Proc[[#This Row],[CurrentParent]]</f>
        <v>1</v>
      </c>
      <c r="K607" s="71" t="str">
        <f>IF(Proc[[#This Row],[Author]]="Marcela Urrego",VLOOKUP(LEFT(Proc[[#This Row],[Requested]],1),Table3[#All],2,0),VLOOKUP(Proc[[#This Row],[Author]],Table4[],2,0))</f>
        <v>MGF</v>
      </c>
      <c r="L607" s="71" t="s">
        <v>509</v>
      </c>
      <c r="M607" s="73">
        <v>45702.63349537037</v>
      </c>
      <c r="N607" s="73">
        <v>45712</v>
      </c>
      <c r="O607" s="73">
        <v>45712</v>
      </c>
      <c r="P607" s="72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2" t="s">
        <v>515</v>
      </c>
      <c r="S607" s="71"/>
    </row>
    <row r="608" spans="1:19" hidden="1">
      <c r="A608" s="70" t="s">
        <v>1843</v>
      </c>
      <c r="B608" s="71" t="str">
        <f>IFERROR(VLOOKUP(Proc[[#This Row],[App]],Table2[],3,0),"open")</f>
        <v>ok</v>
      </c>
      <c r="C608" s="70" t="s">
        <v>369</v>
      </c>
      <c r="D608" t="s">
        <v>1938</v>
      </c>
      <c r="E608" t="s">
        <v>1973</v>
      </c>
      <c r="F608" s="105" t="s">
        <v>1973</v>
      </c>
      <c r="G608" s="70" t="s">
        <v>400</v>
      </c>
      <c r="H608" s="71" t="str">
        <f>IF(Proc[[#This Row],[type]]="LFF (MDG-F)",MID(Proc[[#This Row],[Obj]],13,10),"")</f>
        <v/>
      </c>
      <c r="J608" s="71" t="b">
        <f>Proc[[#This Row],[Requested]]=Proc[[#This Row],[CurrentParent]]</f>
        <v>1</v>
      </c>
      <c r="K608" s="71" t="str">
        <f>IF(Proc[[#This Row],[Author]]="Marcela Urrego",VLOOKUP(LEFT(Proc[[#This Row],[Requested]],1),Table3[#All],2,0),VLOOKUP(Proc[[#This Row],[Author]],Table4[],2,0))</f>
        <v>MGF</v>
      </c>
      <c r="L608" s="71" t="s">
        <v>509</v>
      </c>
      <c r="M608" s="73">
        <v>45702.63349537037</v>
      </c>
      <c r="N608" s="73">
        <v>45712</v>
      </c>
      <c r="O608" s="73">
        <v>45712</v>
      </c>
      <c r="P608" s="72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2" t="s">
        <v>515</v>
      </c>
      <c r="S608" s="71"/>
    </row>
    <row r="609" spans="1:19" hidden="1">
      <c r="A609" s="70" t="s">
        <v>1843</v>
      </c>
      <c r="B609" s="71" t="str">
        <f>IFERROR(VLOOKUP(Proc[[#This Row],[App]],Table2[],3,0),"open")</f>
        <v>ok</v>
      </c>
      <c r="C609" s="70" t="s">
        <v>369</v>
      </c>
      <c r="D609" t="s">
        <v>1939</v>
      </c>
      <c r="E609" t="s">
        <v>1973</v>
      </c>
      <c r="F609" s="105" t="s">
        <v>1973</v>
      </c>
      <c r="G609" s="70" t="s">
        <v>400</v>
      </c>
      <c r="H609" s="71" t="str">
        <f>IF(Proc[[#This Row],[type]]="LFF (MDG-F)",MID(Proc[[#This Row],[Obj]],13,10),"")</f>
        <v/>
      </c>
      <c r="J609" s="71" t="b">
        <f>Proc[[#This Row],[Requested]]=Proc[[#This Row],[CurrentParent]]</f>
        <v>1</v>
      </c>
      <c r="K609" s="71" t="str">
        <f>IF(Proc[[#This Row],[Author]]="Marcela Urrego",VLOOKUP(LEFT(Proc[[#This Row],[Requested]],1),Table3[#All],2,0),VLOOKUP(Proc[[#This Row],[Author]],Table4[],2,0))</f>
        <v>MGF</v>
      </c>
      <c r="L609" s="71" t="s">
        <v>509</v>
      </c>
      <c r="M609" s="73">
        <v>45702.63349537037</v>
      </c>
      <c r="N609" s="73">
        <v>45712</v>
      </c>
      <c r="O609" s="73">
        <v>45712</v>
      </c>
      <c r="P609" s="72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2" t="s">
        <v>515</v>
      </c>
      <c r="S609" s="71"/>
    </row>
    <row r="610" spans="1:19" hidden="1">
      <c r="A610" s="70" t="s">
        <v>1843</v>
      </c>
      <c r="B610" s="71" t="str">
        <f>IFERROR(VLOOKUP(Proc[[#This Row],[App]],Table2[],3,0),"open")</f>
        <v>ok</v>
      </c>
      <c r="C610" s="70" t="s">
        <v>369</v>
      </c>
      <c r="D610" t="s">
        <v>1940</v>
      </c>
      <c r="E610" t="s">
        <v>1973</v>
      </c>
      <c r="F610" s="105" t="s">
        <v>1973</v>
      </c>
      <c r="G610" s="70" t="s">
        <v>400</v>
      </c>
      <c r="H610" s="71" t="str">
        <f>IF(Proc[[#This Row],[type]]="LFF (MDG-F)",MID(Proc[[#This Row],[Obj]],13,10),"")</f>
        <v/>
      </c>
      <c r="J610" s="71" t="b">
        <f>Proc[[#This Row],[Requested]]=Proc[[#This Row],[CurrentParent]]</f>
        <v>1</v>
      </c>
      <c r="K610" s="71" t="str">
        <f>IF(Proc[[#This Row],[Author]]="Marcela Urrego",VLOOKUP(LEFT(Proc[[#This Row],[Requested]],1),Table3[#All],2,0),VLOOKUP(Proc[[#This Row],[Author]],Table4[],2,0))</f>
        <v>MGF</v>
      </c>
      <c r="L610" s="71" t="s">
        <v>509</v>
      </c>
      <c r="M610" s="73">
        <v>45702.63349537037</v>
      </c>
      <c r="N610" s="73">
        <v>45712</v>
      </c>
      <c r="O610" s="73">
        <v>45712</v>
      </c>
      <c r="P610" s="72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2" t="s">
        <v>515</v>
      </c>
      <c r="S610" s="71"/>
    </row>
    <row r="611" spans="1:19" hidden="1">
      <c r="A611" s="70" t="s">
        <v>1843</v>
      </c>
      <c r="B611" s="71" t="str">
        <f>IFERROR(VLOOKUP(Proc[[#This Row],[App]],Table2[],3,0),"open")</f>
        <v>ok</v>
      </c>
      <c r="C611" s="70" t="s">
        <v>369</v>
      </c>
      <c r="D611" t="s">
        <v>1941</v>
      </c>
      <c r="E611" t="s">
        <v>1973</v>
      </c>
      <c r="F611" s="105" t="s">
        <v>1973</v>
      </c>
      <c r="G611" s="70" t="s">
        <v>400</v>
      </c>
      <c r="H611" s="71" t="str">
        <f>IF(Proc[[#This Row],[type]]="LFF (MDG-F)",MID(Proc[[#This Row],[Obj]],13,10),"")</f>
        <v/>
      </c>
      <c r="J611" s="71" t="b">
        <f>Proc[[#This Row],[Requested]]=Proc[[#This Row],[CurrentParent]]</f>
        <v>1</v>
      </c>
      <c r="K611" s="71" t="str">
        <f>IF(Proc[[#This Row],[Author]]="Marcela Urrego",VLOOKUP(LEFT(Proc[[#This Row],[Requested]],1),Table3[#All],2,0),VLOOKUP(Proc[[#This Row],[Author]],Table4[],2,0))</f>
        <v>MGF</v>
      </c>
      <c r="L611" s="71" t="s">
        <v>509</v>
      </c>
      <c r="M611" s="73">
        <v>45702.63349537037</v>
      </c>
      <c r="N611" s="73">
        <v>45712</v>
      </c>
      <c r="O611" s="73">
        <v>45712</v>
      </c>
      <c r="P611" s="72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2" t="s">
        <v>515</v>
      </c>
      <c r="S611" s="71"/>
    </row>
    <row r="612" spans="1:19" hidden="1">
      <c r="A612" t="s">
        <v>1998</v>
      </c>
      <c r="B612" s="71" t="str">
        <f>IFERROR(VLOOKUP(Proc[[#This Row],[App]],Table2[],3,0),"open")</f>
        <v>ok</v>
      </c>
      <c r="C612" s="70" t="s">
        <v>377</v>
      </c>
      <c r="D612" t="s">
        <v>1987</v>
      </c>
      <c r="E612" t="s">
        <v>735</v>
      </c>
      <c r="F612" s="105" t="s">
        <v>735</v>
      </c>
      <c r="G612" t="s">
        <v>406</v>
      </c>
      <c r="H612" s="71" t="str">
        <f>IF(Proc[[#This Row],[type]]="LFF (MDG-F)",MID(Proc[[#This Row],[Obj]],13,10),"")</f>
        <v>US20Z01000</v>
      </c>
      <c r="I612" t="s">
        <v>822</v>
      </c>
      <c r="J612" s="71" t="b">
        <f>Proc[[#This Row],[Requested]]=Proc[[#This Row],[CurrentParent]]</f>
        <v>1</v>
      </c>
      <c r="K612" s="71" t="str">
        <f>IF(Proc[[#This Row],[Author]]="Marcela Urrego",VLOOKUP(LEFT(Proc[[#This Row],[Requested]],1),Table3[#All],2,0),VLOOKUP(Proc[[#This Row],[Author]],Table4[],2,0))</f>
        <v>MGF</v>
      </c>
      <c r="L612" s="71" t="s">
        <v>509</v>
      </c>
      <c r="M612" s="73">
        <v>45705.641203703701</v>
      </c>
      <c r="P612" s="72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96</v>
      </c>
      <c r="R612" s="72" t="s">
        <v>1076</v>
      </c>
      <c r="S612" s="71"/>
    </row>
    <row r="613" spans="1:19" hidden="1">
      <c r="A613" s="70" t="s">
        <v>1998</v>
      </c>
      <c r="B613" s="71" t="str">
        <f>IFERROR(VLOOKUP(Proc[[#This Row],[App]],Table2[],3,0),"open")</f>
        <v>ok</v>
      </c>
      <c r="C613" s="70" t="s">
        <v>377</v>
      </c>
      <c r="D613" t="s">
        <v>1988</v>
      </c>
      <c r="E613" t="s">
        <v>735</v>
      </c>
      <c r="F613" s="105" t="s">
        <v>735</v>
      </c>
      <c r="G613" s="70" t="s">
        <v>406</v>
      </c>
      <c r="H613" s="71" t="str">
        <f>IF(Proc[[#This Row],[type]]="LFF (MDG-F)",MID(Proc[[#This Row],[Obj]],13,10),"")</f>
        <v>US16Z01000</v>
      </c>
      <c r="I613" s="70" t="s">
        <v>822</v>
      </c>
      <c r="J613" s="71" t="b">
        <f>Proc[[#This Row],[Requested]]=Proc[[#This Row],[CurrentParent]]</f>
        <v>1</v>
      </c>
      <c r="K613" s="71" t="str">
        <f>IF(Proc[[#This Row],[Author]]="Marcela Urrego",VLOOKUP(LEFT(Proc[[#This Row],[Requested]],1),Table3[#All],2,0),VLOOKUP(Proc[[#This Row],[Author]],Table4[],2,0))</f>
        <v>MGF</v>
      </c>
      <c r="L613" s="71" t="s">
        <v>509</v>
      </c>
      <c r="M613" s="73">
        <v>45705.641203703701</v>
      </c>
      <c r="P613" s="72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96</v>
      </c>
      <c r="R613" s="72" t="s">
        <v>1076</v>
      </c>
      <c r="S613" s="71"/>
    </row>
    <row r="614" spans="1:19" hidden="1">
      <c r="A614" s="70" t="s">
        <v>1998</v>
      </c>
      <c r="B614" s="71" t="str">
        <f>IFERROR(VLOOKUP(Proc[[#This Row],[App]],Table2[],3,0),"open")</f>
        <v>ok</v>
      </c>
      <c r="C614" s="70" t="s">
        <v>377</v>
      </c>
      <c r="D614" t="s">
        <v>1989</v>
      </c>
      <c r="E614" t="s">
        <v>735</v>
      </c>
      <c r="F614" s="105" t="s">
        <v>735</v>
      </c>
      <c r="G614" s="70" t="s">
        <v>406</v>
      </c>
      <c r="H614" s="71" t="str">
        <f>IF(Proc[[#This Row],[type]]="LFF (MDG-F)",MID(Proc[[#This Row],[Obj]],13,10),"")</f>
        <v>US14Z01000</v>
      </c>
      <c r="I614" s="70" t="s">
        <v>822</v>
      </c>
      <c r="J614" s="71" t="b">
        <f>Proc[[#This Row],[Requested]]=Proc[[#This Row],[CurrentParent]]</f>
        <v>1</v>
      </c>
      <c r="K614" s="71" t="str">
        <f>IF(Proc[[#This Row],[Author]]="Marcela Urrego",VLOOKUP(LEFT(Proc[[#This Row],[Requested]],1),Table3[#All],2,0),VLOOKUP(Proc[[#This Row],[Author]],Table4[],2,0))</f>
        <v>MGF</v>
      </c>
      <c r="L614" s="71" t="s">
        <v>509</v>
      </c>
      <c r="M614" s="73">
        <v>45705.641203703701</v>
      </c>
      <c r="P614" s="72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96</v>
      </c>
      <c r="R614" s="72" t="s">
        <v>1076</v>
      </c>
      <c r="S614" s="71"/>
    </row>
    <row r="615" spans="1:19" hidden="1">
      <c r="A615" s="70" t="s">
        <v>1998</v>
      </c>
      <c r="B615" s="71" t="str">
        <f>IFERROR(VLOOKUP(Proc[[#This Row],[App]],Table2[],3,0),"open")</f>
        <v>ok</v>
      </c>
      <c r="C615" s="70" t="s">
        <v>377</v>
      </c>
      <c r="D615" t="s">
        <v>1990</v>
      </c>
      <c r="E615" t="s">
        <v>735</v>
      </c>
      <c r="F615" s="105" t="s">
        <v>735</v>
      </c>
      <c r="G615" s="70" t="s">
        <v>406</v>
      </c>
      <c r="H615" s="71" t="str">
        <f>IF(Proc[[#This Row],[type]]="LFF (MDG-F)",MID(Proc[[#This Row],[Obj]],13,10),"")</f>
        <v>US15Z01000</v>
      </c>
      <c r="I615" s="70" t="s">
        <v>822</v>
      </c>
      <c r="J615" s="71" t="b">
        <f>Proc[[#This Row],[Requested]]=Proc[[#This Row],[CurrentParent]]</f>
        <v>1</v>
      </c>
      <c r="K615" s="71" t="str">
        <f>IF(Proc[[#This Row],[Author]]="Marcela Urrego",VLOOKUP(LEFT(Proc[[#This Row],[Requested]],1),Table3[#All],2,0),VLOOKUP(Proc[[#This Row],[Author]],Table4[],2,0))</f>
        <v>MGF</v>
      </c>
      <c r="L615" s="71" t="s">
        <v>509</v>
      </c>
      <c r="M615" s="73">
        <v>45705.641203703701</v>
      </c>
      <c r="P615" s="72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96</v>
      </c>
      <c r="R615" s="72" t="s">
        <v>1076</v>
      </c>
      <c r="S615" s="71"/>
    </row>
    <row r="616" spans="1:19" hidden="1">
      <c r="A616" s="70" t="s">
        <v>1998</v>
      </c>
      <c r="B616" s="71" t="str">
        <f>IFERROR(VLOOKUP(Proc[[#This Row],[App]],Table2[],3,0),"open")</f>
        <v>ok</v>
      </c>
      <c r="C616" s="70" t="s">
        <v>377</v>
      </c>
      <c r="D616" t="s">
        <v>1991</v>
      </c>
      <c r="E616" t="s">
        <v>1999</v>
      </c>
      <c r="F616" s="105" t="s">
        <v>1999</v>
      </c>
      <c r="G616" s="70" t="s">
        <v>406</v>
      </c>
      <c r="H616" s="71" t="str">
        <f>IF(Proc[[#This Row],[type]]="LFF (MDG-F)",MID(Proc[[#This Row],[Obj]],13,10),"")</f>
        <v>US01TNHZ06</v>
      </c>
      <c r="I616" s="70" t="s">
        <v>2220</v>
      </c>
      <c r="J616" s="71" t="b">
        <f>Proc[[#This Row],[Requested]]=Proc[[#This Row],[CurrentParent]]</f>
        <v>1</v>
      </c>
      <c r="K616" s="71" t="str">
        <f>IF(Proc[[#This Row],[Author]]="Marcela Urrego",VLOOKUP(LEFT(Proc[[#This Row],[Requested]],1),Table3[#All],2,0),VLOOKUP(Proc[[#This Row],[Author]],Table4[],2,0))</f>
        <v>MGF</v>
      </c>
      <c r="L616" s="71" t="s">
        <v>509</v>
      </c>
      <c r="M616" s="73">
        <v>45705.641203703701</v>
      </c>
      <c r="P616" s="72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96</v>
      </c>
      <c r="R616" s="72" t="s">
        <v>1076</v>
      </c>
      <c r="S616" s="71"/>
    </row>
    <row r="617" spans="1:19" hidden="1">
      <c r="A617" s="70" t="s">
        <v>1998</v>
      </c>
      <c r="B617" s="71" t="str">
        <f>IFERROR(VLOOKUP(Proc[[#This Row],[App]],Table2[],3,0),"open")</f>
        <v>ok</v>
      </c>
      <c r="C617" s="70" t="s">
        <v>377</v>
      </c>
      <c r="D617" t="s">
        <v>1992</v>
      </c>
      <c r="E617" t="s">
        <v>1999</v>
      </c>
      <c r="F617" s="105" t="s">
        <v>1999</v>
      </c>
      <c r="G617" s="70" t="s">
        <v>406</v>
      </c>
      <c r="H617" s="71" t="str">
        <f>IF(Proc[[#This Row],[type]]="LFF (MDG-F)",MID(Proc[[#This Row],[Obj]],13,10),"")</f>
        <v>TW03TOKA00</v>
      </c>
      <c r="I617" s="70" t="s">
        <v>2220</v>
      </c>
      <c r="J617" s="71" t="b">
        <f>Proc[[#This Row],[Requested]]=Proc[[#This Row],[CurrentParent]]</f>
        <v>1</v>
      </c>
      <c r="K617" s="71" t="str">
        <f>IF(Proc[[#This Row],[Author]]="Marcela Urrego",VLOOKUP(LEFT(Proc[[#This Row],[Requested]],1),Table3[#All],2,0),VLOOKUP(Proc[[#This Row],[Author]],Table4[],2,0))</f>
        <v>MGF</v>
      </c>
      <c r="L617" s="71" t="s">
        <v>509</v>
      </c>
      <c r="M617" s="73">
        <v>45705.641203703701</v>
      </c>
      <c r="P617" s="72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96</v>
      </c>
      <c r="R617" s="72" t="s">
        <v>1076</v>
      </c>
      <c r="S617" s="71"/>
    </row>
    <row r="618" spans="1:19" hidden="1">
      <c r="A618" s="70" t="s">
        <v>1998</v>
      </c>
      <c r="B618" s="71" t="str">
        <f>IFERROR(VLOOKUP(Proc[[#This Row],[App]],Table2[],3,0),"open")</f>
        <v>ok</v>
      </c>
      <c r="C618" s="70" t="s">
        <v>377</v>
      </c>
      <c r="D618" t="s">
        <v>1993</v>
      </c>
      <c r="E618" t="s">
        <v>1018</v>
      </c>
      <c r="F618" s="105" t="s">
        <v>1018</v>
      </c>
      <c r="G618" s="70" t="s">
        <v>406</v>
      </c>
      <c r="H618" s="71" t="str">
        <f>IF(Proc[[#This Row],[type]]="LFF (MDG-F)",MID(Proc[[#This Row],[Obj]],13,10),"")</f>
        <v>US01TNHZ05</v>
      </c>
      <c r="I618" s="70" t="s">
        <v>2220</v>
      </c>
      <c r="J618" s="71" t="b">
        <f>Proc[[#This Row],[Requested]]=Proc[[#This Row],[CurrentParent]]</f>
        <v>1</v>
      </c>
      <c r="K618" s="71" t="str">
        <f>IF(Proc[[#This Row],[Author]]="Marcela Urrego",VLOOKUP(LEFT(Proc[[#This Row],[Requested]],1),Table3[#All],2,0),VLOOKUP(Proc[[#This Row],[Author]],Table4[],2,0))</f>
        <v>MGF</v>
      </c>
      <c r="L618" s="71" t="s">
        <v>509</v>
      </c>
      <c r="M618" s="73">
        <v>45705.641203703701</v>
      </c>
      <c r="P618" s="72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96</v>
      </c>
      <c r="R618" s="72" t="s">
        <v>1076</v>
      </c>
      <c r="S618" s="71"/>
    </row>
    <row r="619" spans="1:19" hidden="1">
      <c r="A619" s="70" t="s">
        <v>1998</v>
      </c>
      <c r="B619" s="71" t="str">
        <f>IFERROR(VLOOKUP(Proc[[#This Row],[App]],Table2[],3,0),"open")</f>
        <v>ok</v>
      </c>
      <c r="C619" s="70" t="s">
        <v>369</v>
      </c>
      <c r="D619" t="s">
        <v>1994</v>
      </c>
      <c r="E619" t="s">
        <v>2000</v>
      </c>
      <c r="F619" s="105" t="s">
        <v>2000</v>
      </c>
      <c r="G619" s="70" t="s">
        <v>406</v>
      </c>
      <c r="H619" s="71" t="str">
        <f>IF(Proc[[#This Row],[type]]="LFF (MDG-F)",MID(Proc[[#This Row],[Obj]],13,10),"")</f>
        <v>US01TN0001</v>
      </c>
      <c r="J619" s="71" t="b">
        <f>Proc[[#This Row],[Requested]]=Proc[[#This Row],[CurrentParent]]</f>
        <v>1</v>
      </c>
      <c r="K619" s="71" t="str">
        <f>IF(Proc[[#This Row],[Author]]="Marcela Urrego",VLOOKUP(LEFT(Proc[[#This Row],[Requested]],1),Table3[#All],2,0),VLOOKUP(Proc[[#This Row],[Author]],Table4[],2,0))</f>
        <v>MGF</v>
      </c>
      <c r="L619" s="71" t="s">
        <v>509</v>
      </c>
      <c r="M619" s="73">
        <v>45705.641203703701</v>
      </c>
      <c r="P619" s="72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96</v>
      </c>
      <c r="R619" s="72" t="s">
        <v>1076</v>
      </c>
      <c r="S619" s="71"/>
    </row>
    <row r="620" spans="1:19" hidden="1">
      <c r="A620" s="70" t="s">
        <v>1998</v>
      </c>
      <c r="B620" s="71" t="str">
        <f>IFERROR(VLOOKUP(Proc[[#This Row],[App]],Table2[],3,0),"open")</f>
        <v>ok</v>
      </c>
      <c r="C620" s="70" t="s">
        <v>369</v>
      </c>
      <c r="D620" t="s">
        <v>1995</v>
      </c>
      <c r="E620" t="s">
        <v>2000</v>
      </c>
      <c r="F620" s="105" t="s">
        <v>2000</v>
      </c>
      <c r="G620" s="70" t="s">
        <v>406</v>
      </c>
      <c r="H620" s="71" t="str">
        <f>IF(Proc[[#This Row],[type]]="LFF (MDG-F)",MID(Proc[[#This Row],[Obj]],13,10),"")</f>
        <v>US10TN2100</v>
      </c>
      <c r="J620" s="71" t="b">
        <f>Proc[[#This Row],[Requested]]=Proc[[#This Row],[CurrentParent]]</f>
        <v>1</v>
      </c>
      <c r="K620" s="71" t="str">
        <f>IF(Proc[[#This Row],[Author]]="Marcela Urrego",VLOOKUP(LEFT(Proc[[#This Row],[Requested]],1),Table3[#All],2,0),VLOOKUP(Proc[[#This Row],[Author]],Table4[],2,0))</f>
        <v>MGF</v>
      </c>
      <c r="L620" s="71" t="s">
        <v>509</v>
      </c>
      <c r="M620" s="73">
        <v>45705.641203703701</v>
      </c>
      <c r="P620" s="72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96</v>
      </c>
      <c r="R620" s="72" t="s">
        <v>1076</v>
      </c>
      <c r="S620" s="71"/>
    </row>
    <row r="621" spans="1:19" hidden="1">
      <c r="A621" s="70" t="s">
        <v>1998</v>
      </c>
      <c r="B621" s="71" t="str">
        <f>IFERROR(VLOOKUP(Proc[[#This Row],[App]],Table2[],3,0),"open")</f>
        <v>ok</v>
      </c>
      <c r="C621" s="70" t="s">
        <v>369</v>
      </c>
      <c r="D621" t="s">
        <v>1996</v>
      </c>
      <c r="E621" t="s">
        <v>2001</v>
      </c>
      <c r="F621" s="105" t="s">
        <v>2001</v>
      </c>
      <c r="G621" s="70" t="s">
        <v>406</v>
      </c>
      <c r="H621" s="71" t="str">
        <f>IF(Proc[[#This Row],[type]]="LFF (MDG-F)",MID(Proc[[#This Row],[Obj]],13,10),"")</f>
        <v>CN10C01004</v>
      </c>
      <c r="J621" s="71" t="b">
        <f>Proc[[#This Row],[Requested]]=Proc[[#This Row],[CurrentParent]]</f>
        <v>1</v>
      </c>
      <c r="K621" s="71" t="str">
        <f>IF(Proc[[#This Row],[Author]]="Marcela Urrego",VLOOKUP(LEFT(Proc[[#This Row],[Requested]],1),Table3[#All],2,0),VLOOKUP(Proc[[#This Row],[Author]],Table4[],2,0))</f>
        <v>MGF</v>
      </c>
      <c r="L621" s="71" t="s">
        <v>509</v>
      </c>
      <c r="M621" s="73">
        <v>45705.641203703701</v>
      </c>
      <c r="P621" s="72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96</v>
      </c>
      <c r="R621" s="72" t="s">
        <v>1076</v>
      </c>
      <c r="S621" s="71"/>
    </row>
    <row r="622" spans="1:19" hidden="1">
      <c r="A622" s="70" t="s">
        <v>1998</v>
      </c>
      <c r="B622" s="71" t="str">
        <f>IFERROR(VLOOKUP(Proc[[#This Row],[App]],Table2[],3,0),"open")</f>
        <v>ok</v>
      </c>
      <c r="C622" s="70" t="s">
        <v>369</v>
      </c>
      <c r="D622" t="s">
        <v>1997</v>
      </c>
      <c r="E622" t="s">
        <v>2002</v>
      </c>
      <c r="F622" s="105" t="s">
        <v>2002</v>
      </c>
      <c r="G622" s="70" t="s">
        <v>400</v>
      </c>
      <c r="H622" s="71" t="str">
        <f>IF(Proc[[#This Row],[type]]="LFF (MDG-F)",MID(Proc[[#This Row],[Obj]],13,10),"")</f>
        <v/>
      </c>
      <c r="J622" s="71" t="b">
        <f>Proc[[#This Row],[Requested]]=Proc[[#This Row],[CurrentParent]]</f>
        <v>1</v>
      </c>
      <c r="K622" s="71" t="str">
        <f>IF(Proc[[#This Row],[Author]]="Marcela Urrego",VLOOKUP(LEFT(Proc[[#This Row],[Requested]],1),Table3[#All],2,0),VLOOKUP(Proc[[#This Row],[Author]],Table4[],2,0))</f>
        <v>MGF</v>
      </c>
      <c r="L622" s="71" t="s">
        <v>509</v>
      </c>
      <c r="M622" s="73">
        <v>45705.641203703701</v>
      </c>
      <c r="P622" s="72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96</v>
      </c>
      <c r="R622" s="72" t="s">
        <v>1076</v>
      </c>
      <c r="S622" s="71"/>
    </row>
    <row r="623" spans="1:19" hidden="1">
      <c r="A623" t="s">
        <v>2009</v>
      </c>
      <c r="B623" s="71" t="str">
        <f>IFERROR(VLOOKUP(Proc[[#This Row],[App]],Table2[],3,0),"open")</f>
        <v>ok</v>
      </c>
      <c r="C623" s="70" t="s">
        <v>369</v>
      </c>
      <c r="D623" t="s">
        <v>2010</v>
      </c>
      <c r="E623" t="s">
        <v>2016</v>
      </c>
      <c r="F623" s="105" t="s">
        <v>2016</v>
      </c>
      <c r="G623" s="70" t="s">
        <v>400</v>
      </c>
      <c r="H623" s="71" t="str">
        <f>IF(Proc[[#This Row],[type]]="LFF (MDG-F)",MID(Proc[[#This Row],[Obj]],13,10),"")</f>
        <v/>
      </c>
      <c r="J623" s="71" t="b">
        <f>Proc[[#This Row],[Requested]]=Proc[[#This Row],[CurrentParent]]</f>
        <v>1</v>
      </c>
      <c r="K623" s="71" t="str">
        <f>IF(Proc[[#This Row],[Author]]="Marcela Urrego",VLOOKUP(LEFT(Proc[[#This Row],[Requested]],1),Table3[#All],2,0),VLOOKUP(Proc[[#This Row],[Author]],Table4[],2,0))</f>
        <v>EL</v>
      </c>
      <c r="L623" s="71" t="s">
        <v>509</v>
      </c>
      <c r="M623" s="73">
        <v>45705.645752314813</v>
      </c>
      <c r="P623" s="72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96</v>
      </c>
      <c r="R623" s="72" t="s">
        <v>1001</v>
      </c>
      <c r="S623" s="71"/>
    </row>
    <row r="624" spans="1:19" hidden="1">
      <c r="A624" s="70" t="s">
        <v>2009</v>
      </c>
      <c r="B624" s="71" t="str">
        <f>IFERROR(VLOOKUP(Proc[[#This Row],[App]],Table2[],3,0),"open")</f>
        <v>ok</v>
      </c>
      <c r="C624" s="70" t="s">
        <v>369</v>
      </c>
      <c r="D624" t="s">
        <v>2011</v>
      </c>
      <c r="E624" t="s">
        <v>1604</v>
      </c>
      <c r="F624" s="105" t="s">
        <v>1604</v>
      </c>
      <c r="G624" s="70" t="s">
        <v>400</v>
      </c>
      <c r="H624" s="71" t="str">
        <f>IF(Proc[[#This Row],[type]]="LFF (MDG-F)",MID(Proc[[#This Row],[Obj]],13,10),"")</f>
        <v/>
      </c>
      <c r="J624" s="71" t="b">
        <f>Proc[[#This Row],[Requested]]=Proc[[#This Row],[CurrentParent]]</f>
        <v>1</v>
      </c>
      <c r="K624" s="71" t="str">
        <f>IF(Proc[[#This Row],[Author]]="Marcela Urrego",VLOOKUP(LEFT(Proc[[#This Row],[Requested]],1),Table3[#All],2,0),VLOOKUP(Proc[[#This Row],[Author]],Table4[],2,0))</f>
        <v>EL</v>
      </c>
      <c r="L624" s="71" t="s">
        <v>509</v>
      </c>
      <c r="M624" s="73">
        <v>45705.645752314813</v>
      </c>
      <c r="P624" s="72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96</v>
      </c>
      <c r="R624" s="72" t="s">
        <v>1001</v>
      </c>
      <c r="S624" s="71"/>
    </row>
    <row r="625" spans="1:19" hidden="1">
      <c r="A625" s="70" t="s">
        <v>2009</v>
      </c>
      <c r="B625" s="71" t="str">
        <f>IFERROR(VLOOKUP(Proc[[#This Row],[App]],Table2[],3,0),"open")</f>
        <v>ok</v>
      </c>
      <c r="C625" s="70" t="s">
        <v>369</v>
      </c>
      <c r="D625" t="s">
        <v>2012</v>
      </c>
      <c r="E625" t="s">
        <v>2017</v>
      </c>
      <c r="F625" s="105" t="s">
        <v>2017</v>
      </c>
      <c r="G625" s="70" t="s">
        <v>400</v>
      </c>
      <c r="H625" s="71" t="str">
        <f>IF(Proc[[#This Row],[type]]="LFF (MDG-F)",MID(Proc[[#This Row],[Obj]],13,10),"")</f>
        <v/>
      </c>
      <c r="J625" s="71" t="b">
        <f>Proc[[#This Row],[Requested]]=Proc[[#This Row],[CurrentParent]]</f>
        <v>1</v>
      </c>
      <c r="K625" s="71" t="str">
        <f>IF(Proc[[#This Row],[Author]]="Marcela Urrego",VLOOKUP(LEFT(Proc[[#This Row],[Requested]],1),Table3[#All],2,0),VLOOKUP(Proc[[#This Row],[Author]],Table4[],2,0))</f>
        <v>EL</v>
      </c>
      <c r="L625" s="71" t="s">
        <v>509</v>
      </c>
      <c r="M625" s="73">
        <v>45705.645752314813</v>
      </c>
      <c r="P625" s="72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96</v>
      </c>
      <c r="R625" s="72" t="s">
        <v>1001</v>
      </c>
      <c r="S625" s="71"/>
    </row>
    <row r="626" spans="1:19" hidden="1">
      <c r="A626" s="70" t="s">
        <v>2009</v>
      </c>
      <c r="B626" s="71" t="str">
        <f>IFERROR(VLOOKUP(Proc[[#This Row],[App]],Table2[],3,0),"open")</f>
        <v>ok</v>
      </c>
      <c r="C626" s="70" t="s">
        <v>369</v>
      </c>
      <c r="D626" t="s">
        <v>2013</v>
      </c>
      <c r="E626" t="s">
        <v>2018</v>
      </c>
      <c r="F626" s="105" t="s">
        <v>2018</v>
      </c>
      <c r="G626" s="70" t="s">
        <v>400</v>
      </c>
      <c r="H626" s="71" t="str">
        <f>IF(Proc[[#This Row],[type]]="LFF (MDG-F)",MID(Proc[[#This Row],[Obj]],13,10),"")</f>
        <v/>
      </c>
      <c r="J626" s="71" t="b">
        <f>Proc[[#This Row],[Requested]]=Proc[[#This Row],[CurrentParent]]</f>
        <v>1</v>
      </c>
      <c r="K626" s="71" t="str">
        <f>IF(Proc[[#This Row],[Author]]="Marcela Urrego",VLOOKUP(LEFT(Proc[[#This Row],[Requested]],1),Table3[#All],2,0),VLOOKUP(Proc[[#This Row],[Author]],Table4[],2,0))</f>
        <v>EL</v>
      </c>
      <c r="L626" s="71" t="s">
        <v>509</v>
      </c>
      <c r="M626" s="73">
        <v>45705.645752314813</v>
      </c>
      <c r="P626" s="72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96</v>
      </c>
      <c r="R626" s="72" t="s">
        <v>1001</v>
      </c>
      <c r="S626" s="71"/>
    </row>
    <row r="627" spans="1:19" hidden="1">
      <c r="A627" s="70" t="s">
        <v>2009</v>
      </c>
      <c r="B627" s="71" t="str">
        <f>IFERROR(VLOOKUP(Proc[[#This Row],[App]],Table2[],3,0),"open")</f>
        <v>ok</v>
      </c>
      <c r="C627" s="70" t="s">
        <v>369</v>
      </c>
      <c r="D627" t="s">
        <v>2014</v>
      </c>
      <c r="E627" t="s">
        <v>2018</v>
      </c>
      <c r="F627" s="105" t="s">
        <v>2018</v>
      </c>
      <c r="G627" s="70" t="s">
        <v>400</v>
      </c>
      <c r="H627" s="71" t="str">
        <f>IF(Proc[[#This Row],[type]]="LFF (MDG-F)",MID(Proc[[#This Row],[Obj]],13,10),"")</f>
        <v/>
      </c>
      <c r="J627" s="71" t="b">
        <f>Proc[[#This Row],[Requested]]=Proc[[#This Row],[CurrentParent]]</f>
        <v>1</v>
      </c>
      <c r="K627" s="71" t="str">
        <f>IF(Proc[[#This Row],[Author]]="Marcela Urrego",VLOOKUP(LEFT(Proc[[#This Row],[Requested]],1),Table3[#All],2,0),VLOOKUP(Proc[[#This Row],[Author]],Table4[],2,0))</f>
        <v>EL</v>
      </c>
      <c r="L627" s="71" t="s">
        <v>509</v>
      </c>
      <c r="M627" s="73">
        <v>45705.645752314813</v>
      </c>
      <c r="P627" s="72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96</v>
      </c>
      <c r="R627" s="72" t="s">
        <v>1001</v>
      </c>
      <c r="S627" s="71"/>
    </row>
    <row r="628" spans="1:19" hidden="1">
      <c r="A628" t="s">
        <v>2009</v>
      </c>
      <c r="B628" s="71" t="str">
        <f>IFERROR(VLOOKUP(Proc[[#This Row],[App]],Table2[],3,0),"open")</f>
        <v>ok</v>
      </c>
      <c r="C628" s="70" t="s">
        <v>369</v>
      </c>
      <c r="D628" t="s">
        <v>2015</v>
      </c>
      <c r="E628" t="s">
        <v>2018</v>
      </c>
      <c r="F628" s="105" t="s">
        <v>2018</v>
      </c>
      <c r="G628" s="70" t="s">
        <v>400</v>
      </c>
      <c r="H628" s="71" t="str">
        <f>IF(Proc[[#This Row],[type]]="LFF (MDG-F)",MID(Proc[[#This Row],[Obj]],13,10),"")</f>
        <v/>
      </c>
      <c r="J628" s="71" t="b">
        <f>Proc[[#This Row],[Requested]]=Proc[[#This Row],[CurrentParent]]</f>
        <v>1</v>
      </c>
      <c r="K628" s="71" t="str">
        <f>IF(Proc[[#This Row],[Author]]="Marcela Urrego",VLOOKUP(LEFT(Proc[[#This Row],[Requested]],1),Table3[#All],2,0),VLOOKUP(Proc[[#This Row],[Author]],Table4[],2,0))</f>
        <v>EL</v>
      </c>
      <c r="L628" s="71" t="s">
        <v>509</v>
      </c>
      <c r="M628" s="73">
        <v>45705.645752314813</v>
      </c>
      <c r="P628" s="72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96</v>
      </c>
      <c r="R628" s="72" t="s">
        <v>1001</v>
      </c>
      <c r="S628" s="71"/>
    </row>
    <row r="629" spans="1:19" hidden="1">
      <c r="A629" s="70" t="s">
        <v>2009</v>
      </c>
      <c r="B629" s="71" t="str">
        <f>IFERROR(VLOOKUP(Proc[[#This Row],[App]],Table2[],3,0),"open")</f>
        <v>ok</v>
      </c>
      <c r="C629" s="70" t="s">
        <v>369</v>
      </c>
      <c r="D629" t="s">
        <v>1592</v>
      </c>
      <c r="E629" t="s">
        <v>2019</v>
      </c>
      <c r="F629" s="105" t="s">
        <v>2019</v>
      </c>
      <c r="G629" s="70" t="s">
        <v>400</v>
      </c>
      <c r="H629" s="71" t="str">
        <f>IF(Proc[[#This Row],[type]]="LFF (MDG-F)",MID(Proc[[#This Row],[Obj]],13,10),"")</f>
        <v/>
      </c>
      <c r="J629" s="71" t="b">
        <f>Proc[[#This Row],[Requested]]=Proc[[#This Row],[CurrentParent]]</f>
        <v>1</v>
      </c>
      <c r="K629" s="71" t="str">
        <f>IF(Proc[[#This Row],[Author]]="Marcela Urrego",VLOOKUP(LEFT(Proc[[#This Row],[Requested]],1),Table3[#All],2,0),VLOOKUP(Proc[[#This Row],[Author]],Table4[],2,0))</f>
        <v>EL</v>
      </c>
      <c r="L629" s="71" t="s">
        <v>509</v>
      </c>
      <c r="M629" s="73">
        <v>45705.645752314813</v>
      </c>
      <c r="P629" s="72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96</v>
      </c>
      <c r="R629" s="72" t="s">
        <v>1001</v>
      </c>
      <c r="S629" s="71"/>
    </row>
    <row r="630" spans="1:19" hidden="1">
      <c r="A630" s="70" t="s">
        <v>2009</v>
      </c>
      <c r="B630" s="71" t="str">
        <f>IFERROR(VLOOKUP(Proc[[#This Row],[App]],Table2[],3,0),"open")</f>
        <v>ok</v>
      </c>
      <c r="C630" s="70" t="s">
        <v>369</v>
      </c>
      <c r="D630" t="s">
        <v>1598</v>
      </c>
      <c r="E630" t="s">
        <v>2019</v>
      </c>
      <c r="F630" s="105" t="s">
        <v>2019</v>
      </c>
      <c r="G630" s="70" t="s">
        <v>400</v>
      </c>
      <c r="H630" s="71" t="str">
        <f>IF(Proc[[#This Row],[type]]="LFF (MDG-F)",MID(Proc[[#This Row],[Obj]],13,10),"")</f>
        <v/>
      </c>
      <c r="J630" s="71" t="b">
        <f>Proc[[#This Row],[Requested]]=Proc[[#This Row],[CurrentParent]]</f>
        <v>1</v>
      </c>
      <c r="K630" s="71" t="str">
        <f>IF(Proc[[#This Row],[Author]]="Marcela Urrego",VLOOKUP(LEFT(Proc[[#This Row],[Requested]],1),Table3[#All],2,0),VLOOKUP(Proc[[#This Row],[Author]],Table4[],2,0))</f>
        <v>EL</v>
      </c>
      <c r="L630" s="71" t="s">
        <v>509</v>
      </c>
      <c r="M630" s="73">
        <v>45705.645752314813</v>
      </c>
      <c r="P630" s="72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96</v>
      </c>
      <c r="R630" s="72" t="s">
        <v>1001</v>
      </c>
      <c r="S630" s="71"/>
    </row>
    <row r="631" spans="1:19" hidden="1">
      <c r="A631" s="70" t="s">
        <v>2009</v>
      </c>
      <c r="B631" s="71" t="str">
        <f>IFERROR(VLOOKUP(Proc[[#This Row],[App]],Table2[],3,0),"open")</f>
        <v>ok</v>
      </c>
      <c r="C631" s="70" t="s">
        <v>369</v>
      </c>
      <c r="D631" t="s">
        <v>1593</v>
      </c>
      <c r="E631" t="s">
        <v>2020</v>
      </c>
      <c r="F631" s="105" t="s">
        <v>2020</v>
      </c>
      <c r="G631" s="70" t="s">
        <v>400</v>
      </c>
      <c r="H631" s="71" t="str">
        <f>IF(Proc[[#This Row],[type]]="LFF (MDG-F)",MID(Proc[[#This Row],[Obj]],13,10),"")</f>
        <v/>
      </c>
      <c r="J631" s="71" t="b">
        <f>Proc[[#This Row],[Requested]]=Proc[[#This Row],[CurrentParent]]</f>
        <v>1</v>
      </c>
      <c r="K631" s="71" t="str">
        <f>IF(Proc[[#This Row],[Author]]="Marcela Urrego",VLOOKUP(LEFT(Proc[[#This Row],[Requested]],1),Table3[#All],2,0),VLOOKUP(Proc[[#This Row],[Author]],Table4[],2,0))</f>
        <v>EL</v>
      </c>
      <c r="L631" s="71" t="s">
        <v>509</v>
      </c>
      <c r="M631" s="73">
        <v>45705.645752314813</v>
      </c>
      <c r="P631" s="72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96</v>
      </c>
      <c r="R631" s="72" t="s">
        <v>1001</v>
      </c>
      <c r="S631" s="71"/>
    </row>
    <row r="632" spans="1:19" hidden="1">
      <c r="A632" s="70" t="s">
        <v>2009</v>
      </c>
      <c r="B632" s="71" t="str">
        <f>IFERROR(VLOOKUP(Proc[[#This Row],[App]],Table2[],3,0),"open")</f>
        <v>ok</v>
      </c>
      <c r="C632" s="70" t="s">
        <v>369</v>
      </c>
      <c r="D632" t="s">
        <v>1599</v>
      </c>
      <c r="E632" t="s">
        <v>2020</v>
      </c>
      <c r="F632" s="105" t="s">
        <v>2020</v>
      </c>
      <c r="G632" s="70" t="s">
        <v>400</v>
      </c>
      <c r="H632" s="71" t="str">
        <f>IF(Proc[[#This Row],[type]]="LFF (MDG-F)",MID(Proc[[#This Row],[Obj]],13,10),"")</f>
        <v/>
      </c>
      <c r="J632" s="71" t="b">
        <f>Proc[[#This Row],[Requested]]=Proc[[#This Row],[CurrentParent]]</f>
        <v>1</v>
      </c>
      <c r="K632" s="71" t="str">
        <f>IF(Proc[[#This Row],[Author]]="Marcela Urrego",VLOOKUP(LEFT(Proc[[#This Row],[Requested]],1),Table3[#All],2,0),VLOOKUP(Proc[[#This Row],[Author]],Table4[],2,0))</f>
        <v>EL</v>
      </c>
      <c r="L632" s="71" t="s">
        <v>509</v>
      </c>
      <c r="M632" s="73">
        <v>45705.645752314813</v>
      </c>
      <c r="P632" s="72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96</v>
      </c>
      <c r="R632" s="72" t="s">
        <v>1001</v>
      </c>
      <c r="S632" s="71"/>
    </row>
    <row r="633" spans="1:19" hidden="1">
      <c r="A633" s="70" t="s">
        <v>2025</v>
      </c>
      <c r="B633" s="71" t="str">
        <f>IFERROR(VLOOKUP(Proc[[#This Row],[App]],Table2[],3,0),"open")</f>
        <v>ok</v>
      </c>
      <c r="C633" s="70" t="s">
        <v>369</v>
      </c>
      <c r="D633" t="s">
        <v>2021</v>
      </c>
      <c r="E633" t="s">
        <v>2023</v>
      </c>
      <c r="F633" s="105" t="s">
        <v>2023</v>
      </c>
      <c r="G633" s="70" t="s">
        <v>400</v>
      </c>
      <c r="H633" s="71" t="str">
        <f>IF(Proc[[#This Row],[type]]="LFF (MDG-F)",MID(Proc[[#This Row],[Obj]],13,10),"")</f>
        <v/>
      </c>
      <c r="J633" s="71" t="b">
        <f>Proc[[#This Row],[Requested]]=Proc[[#This Row],[CurrentParent]]</f>
        <v>1</v>
      </c>
      <c r="K633" s="71" t="str">
        <f>IF(Proc[[#This Row],[Author]]="Marcela Urrego",VLOOKUP(LEFT(Proc[[#This Row],[Requested]],1),Table3[#All],2,0),VLOOKUP(Proc[[#This Row],[Author]],Table4[],2,0))</f>
        <v>MGF</v>
      </c>
      <c r="L633" s="71" t="s">
        <v>509</v>
      </c>
      <c r="M633" s="73">
        <v>45705.71533564815</v>
      </c>
      <c r="N633" s="73">
        <v>45706</v>
      </c>
      <c r="O633" s="73">
        <v>45706</v>
      </c>
      <c r="P633" s="72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2" t="s">
        <v>515</v>
      </c>
      <c r="S633" s="71"/>
    </row>
    <row r="634" spans="1:19" hidden="1">
      <c r="A634" s="70" t="s">
        <v>2025</v>
      </c>
      <c r="B634" s="71" t="str">
        <f>IFERROR(VLOOKUP(Proc[[#This Row],[App]],Table2[],3,0),"open")</f>
        <v>ok</v>
      </c>
      <c r="C634" s="70" t="s">
        <v>369</v>
      </c>
      <c r="D634" t="s">
        <v>2022</v>
      </c>
      <c r="E634" t="s">
        <v>2024</v>
      </c>
      <c r="F634" s="105" t="s">
        <v>2024</v>
      </c>
      <c r="G634" s="70" t="s">
        <v>400</v>
      </c>
      <c r="H634" s="71" t="str">
        <f>IF(Proc[[#This Row],[type]]="LFF (MDG-F)",MID(Proc[[#This Row],[Obj]],13,10),"")</f>
        <v/>
      </c>
      <c r="J634" s="71" t="b">
        <f>Proc[[#This Row],[Requested]]=Proc[[#This Row],[CurrentParent]]</f>
        <v>1</v>
      </c>
      <c r="K634" s="71" t="str">
        <f>IF(Proc[[#This Row],[Author]]="Marcela Urrego",VLOOKUP(LEFT(Proc[[#This Row],[Requested]],1),Table3[#All],2,0),VLOOKUP(Proc[[#This Row],[Author]],Table4[],2,0))</f>
        <v>MGF</v>
      </c>
      <c r="L634" s="71" t="s">
        <v>509</v>
      </c>
      <c r="M634" s="73">
        <v>45705.71533564815</v>
      </c>
      <c r="N634" s="73">
        <v>45706</v>
      </c>
      <c r="O634" s="73">
        <v>45706</v>
      </c>
      <c r="P634" s="72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2" t="s">
        <v>515</v>
      </c>
      <c r="S634" s="71"/>
    </row>
    <row r="635" spans="1:19" hidden="1">
      <c r="A635" s="70" t="s">
        <v>2003</v>
      </c>
      <c r="B635" s="71" t="str">
        <f>IFERROR(VLOOKUP(Proc[[#This Row],[App]],Table2[],3,0),"open")</f>
        <v>ok</v>
      </c>
      <c r="C635" s="70" t="s">
        <v>369</v>
      </c>
      <c r="D635" t="s">
        <v>2004</v>
      </c>
      <c r="E635" t="s">
        <v>1522</v>
      </c>
      <c r="F635" s="105" t="s">
        <v>1522</v>
      </c>
      <c r="G635" s="70" t="s">
        <v>400</v>
      </c>
      <c r="H635" s="71" t="str">
        <f>IF(Proc[[#This Row],[type]]="LFF (MDG-F)",MID(Proc[[#This Row],[Obj]],13,10),"")</f>
        <v/>
      </c>
      <c r="J635" s="71" t="b">
        <f>Proc[[#This Row],[Requested]]=Proc[[#This Row],[CurrentParent]]</f>
        <v>1</v>
      </c>
      <c r="K635" s="71" t="str">
        <f>IF(Proc[[#This Row],[Author]]="Marcela Urrego",VLOOKUP(LEFT(Proc[[#This Row],[Requested]],1),Table3[#All],2,0),VLOOKUP(Proc[[#This Row],[Author]],Table4[],2,0))</f>
        <v>LS</v>
      </c>
      <c r="L635" s="71" t="s">
        <v>509</v>
      </c>
      <c r="M635" s="73">
        <v>45706.262858796297</v>
      </c>
      <c r="P635" s="72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95</v>
      </c>
      <c r="R635" s="72" t="s">
        <v>830</v>
      </c>
      <c r="S635" s="71"/>
    </row>
    <row r="636" spans="1:19" hidden="1">
      <c r="A636" s="70" t="s">
        <v>2003</v>
      </c>
      <c r="B636" s="71" t="str">
        <f>IFERROR(VLOOKUP(Proc[[#This Row],[App]],Table2[],3,0),"open")</f>
        <v>ok</v>
      </c>
      <c r="C636" s="70" t="s">
        <v>369</v>
      </c>
      <c r="D636" t="s">
        <v>2005</v>
      </c>
      <c r="E636" t="s">
        <v>1522</v>
      </c>
      <c r="F636" s="105" t="s">
        <v>1522</v>
      </c>
      <c r="G636" s="70" t="s">
        <v>400</v>
      </c>
      <c r="H636" s="71" t="str">
        <f>IF(Proc[[#This Row],[type]]="LFF (MDG-F)",MID(Proc[[#This Row],[Obj]],13,10),"")</f>
        <v/>
      </c>
      <c r="J636" s="71" t="b">
        <f>Proc[[#This Row],[Requested]]=Proc[[#This Row],[CurrentParent]]</f>
        <v>1</v>
      </c>
      <c r="K636" s="71" t="str">
        <f>IF(Proc[[#This Row],[Author]]="Marcela Urrego",VLOOKUP(LEFT(Proc[[#This Row],[Requested]],1),Table3[#All],2,0),VLOOKUP(Proc[[#This Row],[Author]],Table4[],2,0))</f>
        <v>LS</v>
      </c>
      <c r="L636" s="71" t="s">
        <v>509</v>
      </c>
      <c r="M636" s="73">
        <v>45706.262858796297</v>
      </c>
      <c r="P636" s="72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95</v>
      </c>
      <c r="R636" s="72" t="s">
        <v>830</v>
      </c>
      <c r="S636" s="71"/>
    </row>
    <row r="637" spans="1:19" hidden="1">
      <c r="A637" s="70" t="s">
        <v>2003</v>
      </c>
      <c r="B637" s="71" t="str">
        <f>IFERROR(VLOOKUP(Proc[[#This Row],[App]],Table2[],3,0),"open")</f>
        <v>ok</v>
      </c>
      <c r="C637" s="70" t="s">
        <v>369</v>
      </c>
      <c r="D637" t="s">
        <v>2006</v>
      </c>
      <c r="E637" t="s">
        <v>1522</v>
      </c>
      <c r="F637" s="105" t="s">
        <v>1522</v>
      </c>
      <c r="G637" s="70" t="s">
        <v>400</v>
      </c>
      <c r="H637" s="71" t="str">
        <f>IF(Proc[[#This Row],[type]]="LFF (MDG-F)",MID(Proc[[#This Row],[Obj]],13,10),"")</f>
        <v/>
      </c>
      <c r="J637" s="71" t="b">
        <f>Proc[[#This Row],[Requested]]=Proc[[#This Row],[CurrentParent]]</f>
        <v>1</v>
      </c>
      <c r="K637" s="71" t="str">
        <f>IF(Proc[[#This Row],[Author]]="Marcela Urrego",VLOOKUP(LEFT(Proc[[#This Row],[Requested]],1),Table3[#All],2,0),VLOOKUP(Proc[[#This Row],[Author]],Table4[],2,0))</f>
        <v>LS</v>
      </c>
      <c r="L637" s="71" t="s">
        <v>509</v>
      </c>
      <c r="M637" s="73">
        <v>45706.262858796297</v>
      </c>
      <c r="P637" s="72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95</v>
      </c>
      <c r="R637" s="72" t="s">
        <v>830</v>
      </c>
      <c r="S637" s="71"/>
    </row>
    <row r="638" spans="1:19" hidden="1">
      <c r="A638" t="s">
        <v>2003</v>
      </c>
      <c r="B638" s="71" t="str">
        <f>IFERROR(VLOOKUP(Proc[[#This Row],[App]],Table2[],3,0),"open")</f>
        <v>ok</v>
      </c>
      <c r="C638" s="70" t="s">
        <v>369</v>
      </c>
      <c r="D638" t="s">
        <v>2007</v>
      </c>
      <c r="E638" t="s">
        <v>1522</v>
      </c>
      <c r="F638" s="105" t="s">
        <v>1522</v>
      </c>
      <c r="G638" s="70" t="s">
        <v>400</v>
      </c>
      <c r="H638" s="71" t="str">
        <f>IF(Proc[[#This Row],[type]]="LFF (MDG-F)",MID(Proc[[#This Row],[Obj]],13,10),"")</f>
        <v/>
      </c>
      <c r="J638" s="71" t="b">
        <f>Proc[[#This Row],[Requested]]=Proc[[#This Row],[CurrentParent]]</f>
        <v>1</v>
      </c>
      <c r="K638" s="71" t="str">
        <f>IF(Proc[[#This Row],[Author]]="Marcela Urrego",VLOOKUP(LEFT(Proc[[#This Row],[Requested]],1),Table3[#All],2,0),VLOOKUP(Proc[[#This Row],[Author]],Table4[],2,0))</f>
        <v>LS</v>
      </c>
      <c r="L638" s="71" t="s">
        <v>509</v>
      </c>
      <c r="M638" s="73">
        <v>45706.262858796297</v>
      </c>
      <c r="P638" s="72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95</v>
      </c>
      <c r="R638" s="72" t="s">
        <v>830</v>
      </c>
      <c r="S638" s="71"/>
    </row>
    <row r="639" spans="1:19" hidden="1">
      <c r="A639" t="s">
        <v>2003</v>
      </c>
      <c r="B639" s="71" t="str">
        <f>IFERROR(VLOOKUP(Proc[[#This Row],[App]],Table2[],3,0),"open")</f>
        <v>ok</v>
      </c>
      <c r="C639" s="70" t="s">
        <v>369</v>
      </c>
      <c r="D639" t="s">
        <v>2008</v>
      </c>
      <c r="E639" t="s">
        <v>1522</v>
      </c>
      <c r="F639" s="105" t="s">
        <v>1522</v>
      </c>
      <c r="G639" s="70" t="s">
        <v>400</v>
      </c>
      <c r="H639" s="71" t="str">
        <f>IF(Proc[[#This Row],[type]]="LFF (MDG-F)",MID(Proc[[#This Row],[Obj]],13,10),"")</f>
        <v/>
      </c>
      <c r="J639" s="71" t="b">
        <f>Proc[[#This Row],[Requested]]=Proc[[#This Row],[CurrentParent]]</f>
        <v>1</v>
      </c>
      <c r="K639" s="71" t="str">
        <f>IF(Proc[[#This Row],[Author]]="Marcela Urrego",VLOOKUP(LEFT(Proc[[#This Row],[Requested]],1),Table3[#All],2,0),VLOOKUP(Proc[[#This Row],[Author]],Table4[],2,0))</f>
        <v>LS</v>
      </c>
      <c r="L639" s="71" t="s">
        <v>509</v>
      </c>
      <c r="M639" s="73">
        <v>45706.262858796297</v>
      </c>
      <c r="P639" s="72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95</v>
      </c>
      <c r="R639" s="72" t="s">
        <v>830</v>
      </c>
      <c r="S639" s="71"/>
    </row>
    <row r="640" spans="1:19" hidden="1">
      <c r="A640" t="s">
        <v>2026</v>
      </c>
      <c r="B640" s="71" t="str">
        <f>IFERROR(VLOOKUP(Proc[[#This Row],[App]],Table2[],3,0),"open")</f>
        <v>ok</v>
      </c>
      <c r="C640" t="s">
        <v>369</v>
      </c>
      <c r="D640" t="s">
        <v>2027</v>
      </c>
      <c r="E640" t="s">
        <v>2029</v>
      </c>
      <c r="F640" s="105" t="s">
        <v>2029</v>
      </c>
      <c r="G640" t="s">
        <v>406</v>
      </c>
      <c r="H640" s="71" t="str">
        <f>IF(Proc[[#This Row],[type]]="LFF (MDG-F)",MID(Proc[[#This Row],[Obj]],13,10),"")</f>
        <v>DE20538341</v>
      </c>
      <c r="J640" s="71" t="b">
        <f>Proc[[#This Row],[Requested]]=Proc[[#This Row],[CurrentParent]]</f>
        <v>1</v>
      </c>
      <c r="K640" s="71" t="str">
        <f>IF(Proc[[#This Row],[Author]]="Marcela Urrego",VLOOKUP(LEFT(Proc[[#This Row],[Requested]],1),Table3[#All],2,0),VLOOKUP(Proc[[#This Row],[Author]],Table4[],2,0))</f>
        <v>MGF</v>
      </c>
      <c r="L640" s="71" t="s">
        <v>509</v>
      </c>
      <c r="M640" s="73">
        <v>45706.507418981484</v>
      </c>
      <c r="N640" s="73">
        <v>45709</v>
      </c>
      <c r="O640" s="73">
        <v>45709</v>
      </c>
      <c r="P640" s="72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2" t="s">
        <v>549</v>
      </c>
      <c r="S640" s="71"/>
    </row>
    <row r="641" spans="1:19" hidden="1">
      <c r="A641" s="70" t="s">
        <v>2026</v>
      </c>
      <c r="B641" s="71" t="str">
        <f>IFERROR(VLOOKUP(Proc[[#This Row],[App]],Table2[],3,0),"open")</f>
        <v>ok</v>
      </c>
      <c r="C641" s="70" t="s">
        <v>369</v>
      </c>
      <c r="D641" t="s">
        <v>2028</v>
      </c>
      <c r="E641" t="s">
        <v>2030</v>
      </c>
      <c r="F641" s="105" t="s">
        <v>2030</v>
      </c>
      <c r="G641" s="70" t="s">
        <v>406</v>
      </c>
      <c r="H641" s="71" t="str">
        <f>IF(Proc[[#This Row],[type]]="LFF (MDG-F)",MID(Proc[[#This Row],[Obj]],13,10),"")</f>
        <v>DE10538341</v>
      </c>
      <c r="J641" s="71" t="b">
        <f>Proc[[#This Row],[Requested]]=Proc[[#This Row],[CurrentParent]]</f>
        <v>1</v>
      </c>
      <c r="K641" s="71" t="str">
        <f>IF(Proc[[#This Row],[Author]]="Marcela Urrego",VLOOKUP(LEFT(Proc[[#This Row],[Requested]],1),Table3[#All],2,0),VLOOKUP(Proc[[#This Row],[Author]],Table4[],2,0))</f>
        <v>MGF</v>
      </c>
      <c r="L641" s="71" t="s">
        <v>509</v>
      </c>
      <c r="M641" s="73">
        <v>45706.507418981484</v>
      </c>
      <c r="N641" s="73">
        <v>45709</v>
      </c>
      <c r="O641" s="73">
        <v>45709</v>
      </c>
      <c r="P641" s="72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2" t="s">
        <v>549</v>
      </c>
      <c r="S641" s="71"/>
    </row>
    <row r="642" spans="1:19" hidden="1">
      <c r="A642" t="s">
        <v>2031</v>
      </c>
      <c r="B642" s="71" t="str">
        <f>IFERROR(VLOOKUP(Proc[[#This Row],[App]],Table2[],3,0),"open")</f>
        <v>ok</v>
      </c>
      <c r="C642" t="s">
        <v>369</v>
      </c>
      <c r="D642" s="70" t="s">
        <v>1820</v>
      </c>
      <c r="E642" s="70" t="s">
        <v>2046</v>
      </c>
      <c r="F642" s="105" t="s">
        <v>2046</v>
      </c>
      <c r="G642" t="s">
        <v>406</v>
      </c>
      <c r="H642" s="71" t="str">
        <f>IF(Proc[[#This Row],[type]]="LFF (MDG-F)",MID(Proc[[#This Row],[Obj]],13,10),"")</f>
        <v>DE10G69660</v>
      </c>
      <c r="J642" s="71" t="b">
        <f>Proc[[#This Row],[Requested]]=Proc[[#This Row],[CurrentParent]]</f>
        <v>1</v>
      </c>
      <c r="K642" s="71" t="str">
        <f>IF(Proc[[#This Row],[Author]]="Marcela Urrego",VLOOKUP(LEFT(Proc[[#This Row],[Requested]],1),Table3[#All],2,0),VLOOKUP(Proc[[#This Row],[Author]],Table4[],2,0))</f>
        <v>MGF</v>
      </c>
      <c r="L642" s="71" t="s">
        <v>509</v>
      </c>
      <c r="M642" s="73">
        <v>45707.167048611111</v>
      </c>
      <c r="N642" s="73">
        <v>45709</v>
      </c>
      <c r="O642" s="73">
        <v>45709</v>
      </c>
      <c r="P642" s="72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2" t="s">
        <v>515</v>
      </c>
      <c r="S642" s="71"/>
    </row>
    <row r="643" spans="1:19" hidden="1">
      <c r="A643" t="s">
        <v>2048</v>
      </c>
      <c r="B643" s="71" t="str">
        <f>IFERROR(VLOOKUP(Proc[[#This Row],[App]],Table2[],3,0),"open")</f>
        <v>ok</v>
      </c>
      <c r="C643" t="s">
        <v>369</v>
      </c>
      <c r="D643" t="s">
        <v>2047</v>
      </c>
      <c r="E643" t="s">
        <v>2049</v>
      </c>
      <c r="F643" s="105" t="s">
        <v>2049</v>
      </c>
      <c r="G643" t="s">
        <v>406</v>
      </c>
      <c r="H643" s="71" t="str">
        <f>IF(Proc[[#This Row],[type]]="LFF (MDG-F)",MID(Proc[[#This Row],[Obj]],13,10),"")</f>
        <v>ZA50GM2260</v>
      </c>
      <c r="J643" s="71" t="b">
        <f>Proc[[#This Row],[Requested]]=Proc[[#This Row],[CurrentParent]]</f>
        <v>1</v>
      </c>
      <c r="K643" s="71" t="str">
        <f>IF(Proc[[#This Row],[Author]]="Marcela Urrego",VLOOKUP(LEFT(Proc[[#This Row],[Requested]],1),Table3[#All],2,0),VLOOKUP(Proc[[#This Row],[Author]],Table4[],2,0))</f>
        <v>MGF</v>
      </c>
      <c r="L643" s="71" t="s">
        <v>509</v>
      </c>
      <c r="M643" s="73">
        <v>45708.455127314817</v>
      </c>
      <c r="N643" s="73">
        <v>45712</v>
      </c>
      <c r="O643" s="73">
        <v>45712</v>
      </c>
      <c r="P643" s="72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2" t="s">
        <v>515</v>
      </c>
      <c r="S643" s="71"/>
    </row>
    <row r="644" spans="1:19" hidden="1">
      <c r="A644" t="s">
        <v>2045</v>
      </c>
      <c r="B644" s="71" t="str">
        <f>IFERROR(VLOOKUP(Proc[[#This Row],[App]],Table2[],3,0),"open")</f>
        <v>ok</v>
      </c>
      <c r="C644" s="70" t="s">
        <v>369</v>
      </c>
      <c r="D644" t="s">
        <v>2035</v>
      </c>
      <c r="E644" t="s">
        <v>2041</v>
      </c>
      <c r="F644" s="105" t="s">
        <v>2041</v>
      </c>
      <c r="G644" s="70" t="s">
        <v>400</v>
      </c>
      <c r="H644" s="71" t="str">
        <f>IF(Proc[[#This Row],[type]]="LFF (MDG-F)",MID(Proc[[#This Row],[Obj]],13,10),"")</f>
        <v/>
      </c>
      <c r="J644" s="71" t="b">
        <f>Proc[[#This Row],[Requested]]=Proc[[#This Row],[CurrentParent]]</f>
        <v>1</v>
      </c>
      <c r="K644" s="71" t="str">
        <f>IF(Proc[[#This Row],[Author]]="Marcela Urrego",VLOOKUP(LEFT(Proc[[#This Row],[Requested]],1),Table3[#All],2,0),VLOOKUP(Proc[[#This Row],[Author]],Table4[],2,0))</f>
        <v>MGF</v>
      </c>
      <c r="L644" s="71" t="s">
        <v>509</v>
      </c>
      <c r="M644" s="73">
        <v>45708.624907407408</v>
      </c>
      <c r="N644" s="73">
        <v>45712</v>
      </c>
      <c r="O644" s="73">
        <v>45712</v>
      </c>
      <c r="P644" s="72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2" t="s">
        <v>1076</v>
      </c>
      <c r="S644" s="71"/>
    </row>
    <row r="645" spans="1:19" hidden="1">
      <c r="A645" s="70" t="s">
        <v>2045</v>
      </c>
      <c r="B645" s="71" t="str">
        <f>IFERROR(VLOOKUP(Proc[[#This Row],[App]],Table2[],3,0),"open")</f>
        <v>ok</v>
      </c>
      <c r="C645" s="70" t="s">
        <v>369</v>
      </c>
      <c r="D645" t="s">
        <v>1550</v>
      </c>
      <c r="E645" t="s">
        <v>418</v>
      </c>
      <c r="F645" s="105" t="s">
        <v>418</v>
      </c>
      <c r="G645" s="70" t="s">
        <v>400</v>
      </c>
      <c r="H645" s="71" t="str">
        <f>IF(Proc[[#This Row],[type]]="LFF (MDG-F)",MID(Proc[[#This Row],[Obj]],13,10),"")</f>
        <v/>
      </c>
      <c r="I645" t="s">
        <v>2050</v>
      </c>
      <c r="J645" s="71" t="b">
        <f>Proc[[#This Row],[Requested]]=Proc[[#This Row],[CurrentParent]]</f>
        <v>1</v>
      </c>
      <c r="K645" s="71" t="str">
        <f>IF(Proc[[#This Row],[Author]]="Marcela Urrego",VLOOKUP(LEFT(Proc[[#This Row],[Requested]],1),Table3[#All],2,0),VLOOKUP(Proc[[#This Row],[Author]],Table4[],2,0))</f>
        <v>MGF</v>
      </c>
      <c r="L645" s="71" t="s">
        <v>509</v>
      </c>
      <c r="M645" s="73">
        <v>45708.624907407408</v>
      </c>
      <c r="N645" s="73">
        <v>45712</v>
      </c>
      <c r="O645" s="73">
        <v>45712</v>
      </c>
      <c r="P645" s="72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2" t="s">
        <v>1076</v>
      </c>
      <c r="S645" s="71"/>
    </row>
    <row r="646" spans="1:19" hidden="1">
      <c r="A646" s="70" t="s">
        <v>2045</v>
      </c>
      <c r="B646" s="71" t="str">
        <f>IFERROR(VLOOKUP(Proc[[#This Row],[App]],Table2[],3,0),"open")</f>
        <v>ok</v>
      </c>
      <c r="C646" s="70" t="s">
        <v>369</v>
      </c>
      <c r="D646" t="s">
        <v>2036</v>
      </c>
      <c r="E646" t="s">
        <v>2042</v>
      </c>
      <c r="F646" s="105" t="s">
        <v>2042</v>
      </c>
      <c r="G646" t="s">
        <v>406</v>
      </c>
      <c r="H646" s="71" t="str">
        <f>IF(Proc[[#This Row],[type]]="LFF (MDG-F)",MID(Proc[[#This Row],[Obj]],13,10),"")</f>
        <v>KR03C00402</v>
      </c>
      <c r="J646" s="71" t="b">
        <f>Proc[[#This Row],[Requested]]=Proc[[#This Row],[CurrentParent]]</f>
        <v>1</v>
      </c>
      <c r="K646" s="71" t="str">
        <f>IF(Proc[[#This Row],[Author]]="Marcela Urrego",VLOOKUP(LEFT(Proc[[#This Row],[Requested]],1),Table3[#All],2,0),VLOOKUP(Proc[[#This Row],[Author]],Table4[],2,0))</f>
        <v>MGF</v>
      </c>
      <c r="L646" s="71" t="s">
        <v>509</v>
      </c>
      <c r="M646" s="73">
        <v>45708.624907407408</v>
      </c>
      <c r="N646" s="73">
        <v>45712</v>
      </c>
      <c r="O646" s="73">
        <v>45712</v>
      </c>
      <c r="P646" s="72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2" t="s">
        <v>1076</v>
      </c>
      <c r="S646" s="71"/>
    </row>
    <row r="647" spans="1:19" hidden="1">
      <c r="A647" s="70" t="s">
        <v>2045</v>
      </c>
      <c r="B647" s="71" t="str">
        <f>IFERROR(VLOOKUP(Proc[[#This Row],[App]],Table2[],3,0),"open")</f>
        <v>ok</v>
      </c>
      <c r="C647" s="70" t="s">
        <v>369</v>
      </c>
      <c r="D647" t="s">
        <v>2037</v>
      </c>
      <c r="E647" t="s">
        <v>2042</v>
      </c>
      <c r="F647" s="105" t="s">
        <v>2042</v>
      </c>
      <c r="G647" s="70" t="s">
        <v>406</v>
      </c>
      <c r="H647" s="71" t="str">
        <f>IF(Proc[[#This Row],[type]]="LFF (MDG-F)",MID(Proc[[#This Row],[Obj]],13,10),"")</f>
        <v>US01C01107</v>
      </c>
      <c r="J647" s="71" t="b">
        <f>Proc[[#This Row],[Requested]]=Proc[[#This Row],[CurrentParent]]</f>
        <v>1</v>
      </c>
      <c r="K647" s="71" t="str">
        <f>IF(Proc[[#This Row],[Author]]="Marcela Urrego",VLOOKUP(LEFT(Proc[[#This Row],[Requested]],1),Table3[#All],2,0),VLOOKUP(Proc[[#This Row],[Author]],Table4[],2,0))</f>
        <v>MGF</v>
      </c>
      <c r="L647" s="71" t="s">
        <v>509</v>
      </c>
      <c r="M647" s="73">
        <v>45708.624907407408</v>
      </c>
      <c r="N647" s="73">
        <v>45712</v>
      </c>
      <c r="O647" s="73">
        <v>45712</v>
      </c>
      <c r="P647" s="72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2" t="s">
        <v>1076</v>
      </c>
      <c r="S647" s="71"/>
    </row>
    <row r="648" spans="1:19" hidden="1">
      <c r="A648" s="70" t="s">
        <v>2045</v>
      </c>
      <c r="B648" s="71" t="str">
        <f>IFERROR(VLOOKUP(Proc[[#This Row],[App]],Table2[],3,0),"open")</f>
        <v>ok</v>
      </c>
      <c r="C648" s="70" t="s">
        <v>369</v>
      </c>
      <c r="D648" t="s">
        <v>2038</v>
      </c>
      <c r="E648" t="s">
        <v>2043</v>
      </c>
      <c r="F648" s="105" t="s">
        <v>2043</v>
      </c>
      <c r="G648" s="70" t="s">
        <v>400</v>
      </c>
      <c r="H648" s="71" t="str">
        <f>IF(Proc[[#This Row],[type]]="LFF (MDG-F)",MID(Proc[[#This Row],[Obj]],13,10),"")</f>
        <v/>
      </c>
      <c r="J648" s="71" t="b">
        <f>Proc[[#This Row],[Requested]]=Proc[[#This Row],[CurrentParent]]</f>
        <v>1</v>
      </c>
      <c r="K648" s="71" t="str">
        <f>IF(Proc[[#This Row],[Author]]="Marcela Urrego",VLOOKUP(LEFT(Proc[[#This Row],[Requested]],1),Table3[#All],2,0),VLOOKUP(Proc[[#This Row],[Author]],Table4[],2,0))</f>
        <v>MGF</v>
      </c>
      <c r="L648" s="71" t="s">
        <v>509</v>
      </c>
      <c r="M648" s="73">
        <v>45708.624907407408</v>
      </c>
      <c r="N648" s="73">
        <v>45712</v>
      </c>
      <c r="O648" s="73">
        <v>45712</v>
      </c>
      <c r="P648" s="72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2" t="s">
        <v>1076</v>
      </c>
      <c r="S648" s="71"/>
    </row>
    <row r="649" spans="1:19" hidden="1">
      <c r="A649" s="70" t="s">
        <v>2045</v>
      </c>
      <c r="B649" s="71" t="str">
        <f>IFERROR(VLOOKUP(Proc[[#This Row],[App]],Table2[],3,0),"open")</f>
        <v>ok</v>
      </c>
      <c r="C649" s="70" t="s">
        <v>369</v>
      </c>
      <c r="D649" t="s">
        <v>2039</v>
      </c>
      <c r="E649" t="s">
        <v>2043</v>
      </c>
      <c r="F649" s="105" t="s">
        <v>2043</v>
      </c>
      <c r="G649" s="70" t="s">
        <v>400</v>
      </c>
      <c r="H649" s="71" t="str">
        <f>IF(Proc[[#This Row],[type]]="LFF (MDG-F)",MID(Proc[[#This Row],[Obj]],13,10),"")</f>
        <v/>
      </c>
      <c r="J649" s="71" t="b">
        <f>Proc[[#This Row],[Requested]]=Proc[[#This Row],[CurrentParent]]</f>
        <v>1</v>
      </c>
      <c r="K649" s="71" t="str">
        <f>IF(Proc[[#This Row],[Author]]="Marcela Urrego",VLOOKUP(LEFT(Proc[[#This Row],[Requested]],1),Table3[#All],2,0),VLOOKUP(Proc[[#This Row],[Author]],Table4[],2,0))</f>
        <v>MGF</v>
      </c>
      <c r="L649" s="71" t="s">
        <v>509</v>
      </c>
      <c r="M649" s="73">
        <v>45708.624907407408</v>
      </c>
      <c r="N649" s="73">
        <v>45712</v>
      </c>
      <c r="O649" s="73">
        <v>45712</v>
      </c>
      <c r="P649" s="72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2" t="s">
        <v>1076</v>
      </c>
      <c r="S649" s="71"/>
    </row>
    <row r="650" spans="1:19" hidden="1">
      <c r="A650" s="70" t="s">
        <v>2045</v>
      </c>
      <c r="B650" s="71" t="str">
        <f>IFERROR(VLOOKUP(Proc[[#This Row],[App]],Table2[],3,0),"open")</f>
        <v>ok</v>
      </c>
      <c r="C650" s="70" t="s">
        <v>369</v>
      </c>
      <c r="D650" t="s">
        <v>2040</v>
      </c>
      <c r="E650" t="s">
        <v>2044</v>
      </c>
      <c r="F650" s="105" t="s">
        <v>2044</v>
      </c>
      <c r="G650" s="70" t="s">
        <v>400</v>
      </c>
      <c r="H650" s="71" t="str">
        <f>IF(Proc[[#This Row],[type]]="LFF (MDG-F)",MID(Proc[[#This Row],[Obj]],13,10),"")</f>
        <v/>
      </c>
      <c r="J650" s="71" t="b">
        <f>Proc[[#This Row],[Requested]]=Proc[[#This Row],[CurrentParent]]</f>
        <v>1</v>
      </c>
      <c r="K650" s="71" t="str">
        <f>IF(Proc[[#This Row],[Author]]="Marcela Urrego",VLOOKUP(LEFT(Proc[[#This Row],[Requested]],1),Table3[#All],2,0),VLOOKUP(Proc[[#This Row],[Author]],Table4[],2,0))</f>
        <v>MGF</v>
      </c>
      <c r="L650" s="71" t="s">
        <v>509</v>
      </c>
      <c r="M650" s="73">
        <v>45708.624907407408</v>
      </c>
      <c r="N650" s="73">
        <v>45712</v>
      </c>
      <c r="O650" s="73">
        <v>45712</v>
      </c>
      <c r="P650" s="72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2" t="s">
        <v>1076</v>
      </c>
      <c r="S650" s="71"/>
    </row>
    <row r="651" spans="1:19" hidden="1">
      <c r="A651" t="s">
        <v>2034</v>
      </c>
      <c r="B651" s="71" t="str">
        <f>IFERROR(VLOOKUP(Proc[[#This Row],[App]],Table2[],3,0),"open")</f>
        <v>ok</v>
      </c>
      <c r="C651" s="70" t="s">
        <v>369</v>
      </c>
      <c r="D651" t="s">
        <v>2032</v>
      </c>
      <c r="E651" t="s">
        <v>2033</v>
      </c>
      <c r="F651" s="105" t="s">
        <v>2033</v>
      </c>
      <c r="G651" t="s">
        <v>400</v>
      </c>
      <c r="H651" s="71" t="str">
        <f>IF(Proc[[#This Row],[type]]="LFF (MDG-F)",MID(Proc[[#This Row],[Obj]],13,10),"")</f>
        <v/>
      </c>
      <c r="J651" s="71" t="b">
        <f>Proc[[#This Row],[Requested]]=Proc[[#This Row],[CurrentParent]]</f>
        <v>1</v>
      </c>
      <c r="K651" s="71" t="str">
        <f>IF(Proc[[#This Row],[Author]]="Marcela Urrego",VLOOKUP(LEFT(Proc[[#This Row],[Requested]],1),Table3[#All],2,0),VLOOKUP(Proc[[#This Row],[Author]],Table4[],2,0))</f>
        <v>LS</v>
      </c>
      <c r="L651" s="71" t="s">
        <v>509</v>
      </c>
      <c r="M651" s="73">
        <v>45708.640300925923</v>
      </c>
      <c r="N651" s="73">
        <v>45712</v>
      </c>
      <c r="O651" s="73">
        <v>45712</v>
      </c>
      <c r="P651" s="72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2" t="s">
        <v>1833</v>
      </c>
      <c r="S651" s="71"/>
    </row>
    <row r="652" spans="1:19" hidden="1">
      <c r="A652" t="s">
        <v>2051</v>
      </c>
      <c r="B652" s="71" t="str">
        <f>IFERROR(VLOOKUP(Proc[[#This Row],[App]],Table2[],3,0),"open")</f>
        <v>ok</v>
      </c>
      <c r="C652" t="s">
        <v>369</v>
      </c>
      <c r="D652" t="s">
        <v>2052</v>
      </c>
      <c r="E652" t="s">
        <v>466</v>
      </c>
      <c r="F652" s="105" t="s">
        <v>466</v>
      </c>
      <c r="G652" t="s">
        <v>406</v>
      </c>
      <c r="H652" s="71" t="str">
        <f>IF(Proc[[#This Row],[type]]="LFF (MDG-F)",MID(Proc[[#This Row],[Obj]],13,10),"")</f>
        <v>AE50GCO220</v>
      </c>
      <c r="J652" s="71" t="b">
        <f>Proc[[#This Row],[Requested]]=Proc[[#This Row],[CurrentParent]]</f>
        <v>1</v>
      </c>
      <c r="K652" s="71" t="str">
        <f>IF(Proc[[#This Row],[Author]]="Marcela Urrego",VLOOKUP(LEFT(Proc[[#This Row],[Requested]],1),Table3[#All],2,0),VLOOKUP(Proc[[#This Row],[Author]],Table4[],2,0))</f>
        <v>HC</v>
      </c>
      <c r="L652" s="71" t="s">
        <v>509</v>
      </c>
      <c r="M652" s="73">
        <v>45709.554386574076</v>
      </c>
      <c r="N652" s="73">
        <v>45713</v>
      </c>
      <c r="O652" s="73">
        <v>45713</v>
      </c>
      <c r="P652" s="72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2" t="s">
        <v>410</v>
      </c>
      <c r="S652" s="71"/>
    </row>
    <row r="653" spans="1:19" hidden="1">
      <c r="A653" t="s">
        <v>2062</v>
      </c>
      <c r="B653" s="71" t="str">
        <f>IFERROR(VLOOKUP(Proc[[#This Row],[App]],Table2[],3,0),"open")</f>
        <v>ok</v>
      </c>
      <c r="C653" s="70" t="s">
        <v>369</v>
      </c>
      <c r="D653" t="s">
        <v>2053</v>
      </c>
      <c r="E653" t="s">
        <v>2418</v>
      </c>
      <c r="F653" s="105" t="s">
        <v>2418</v>
      </c>
      <c r="G653" t="s">
        <v>400</v>
      </c>
      <c r="H653" s="71" t="str">
        <f>IF(Proc[[#This Row],[type]]="LFF (MDG-F)",MID(Proc[[#This Row],[Obj]],13,10),"")</f>
        <v/>
      </c>
      <c r="J653" s="71" t="b">
        <f>Proc[[#This Row],[Requested]]=Proc[[#This Row],[CurrentParent]]</f>
        <v>1</v>
      </c>
      <c r="K653" s="71" t="str">
        <f>IF(Proc[[#This Row],[Author]]="Marcela Urrego",VLOOKUP(LEFT(Proc[[#This Row],[Requested]],1),Table3[#All],2,0),VLOOKUP(Proc[[#This Row],[Author]],Table4[],2,0))</f>
        <v>LS</v>
      </c>
      <c r="L653" s="32" t="s">
        <v>509</v>
      </c>
      <c r="M653" s="73">
        <v>45712.326793981483</v>
      </c>
      <c r="N653" s="73">
        <v>45713</v>
      </c>
      <c r="O653" s="73">
        <v>45713</v>
      </c>
      <c r="P653" s="72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2" t="s">
        <v>830</v>
      </c>
      <c r="S653" s="71"/>
    </row>
    <row r="654" spans="1:19" hidden="1">
      <c r="A654" s="70" t="s">
        <v>2062</v>
      </c>
      <c r="B654" s="71" t="str">
        <f>IFERROR(VLOOKUP(Proc[[#This Row],[App]],Table2[],3,0),"open")</f>
        <v>ok</v>
      </c>
      <c r="C654" s="70" t="s">
        <v>369</v>
      </c>
      <c r="D654" t="s">
        <v>2054</v>
      </c>
      <c r="E654" t="s">
        <v>2418</v>
      </c>
      <c r="F654" s="105" t="s">
        <v>2418</v>
      </c>
      <c r="G654" s="70" t="s">
        <v>400</v>
      </c>
      <c r="H654" s="71" t="str">
        <f>IF(Proc[[#This Row],[type]]="LFF (MDG-F)",MID(Proc[[#This Row],[Obj]],13,10),"")</f>
        <v/>
      </c>
      <c r="J654" s="71" t="b">
        <f>Proc[[#This Row],[Requested]]=Proc[[#This Row],[CurrentParent]]</f>
        <v>1</v>
      </c>
      <c r="K654" s="71" t="str">
        <f>IF(Proc[[#This Row],[Author]]="Marcela Urrego",VLOOKUP(LEFT(Proc[[#This Row],[Requested]],1),Table3[#All],2,0),VLOOKUP(Proc[[#This Row],[Author]],Table4[],2,0))</f>
        <v>LS</v>
      </c>
      <c r="L654" s="32" t="s">
        <v>509</v>
      </c>
      <c r="M654" s="73">
        <v>45712.326793981483</v>
      </c>
      <c r="N654" s="73">
        <v>45713</v>
      </c>
      <c r="O654" s="73">
        <v>45713</v>
      </c>
      <c r="P654" s="72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2" t="s">
        <v>830</v>
      </c>
      <c r="S654" s="71"/>
    </row>
    <row r="655" spans="1:19" hidden="1">
      <c r="A655" s="70" t="s">
        <v>2062</v>
      </c>
      <c r="B655" s="71" t="str">
        <f>IFERROR(VLOOKUP(Proc[[#This Row],[App]],Table2[],3,0),"open")</f>
        <v>ok</v>
      </c>
      <c r="C655" s="70" t="s">
        <v>369</v>
      </c>
      <c r="D655" t="s">
        <v>2055</v>
      </c>
      <c r="E655" t="s">
        <v>1233</v>
      </c>
      <c r="F655" s="105" t="s">
        <v>1233</v>
      </c>
      <c r="G655" s="70" t="s">
        <v>400</v>
      </c>
      <c r="H655" s="71" t="str">
        <f>IF(Proc[[#This Row],[type]]="LFF (MDG-F)",MID(Proc[[#This Row],[Obj]],13,10),"")</f>
        <v/>
      </c>
      <c r="J655" s="71" t="b">
        <f>Proc[[#This Row],[Requested]]=Proc[[#This Row],[CurrentParent]]</f>
        <v>1</v>
      </c>
      <c r="K655" s="71" t="str">
        <f>IF(Proc[[#This Row],[Author]]="Marcela Urrego",VLOOKUP(LEFT(Proc[[#This Row],[Requested]],1),Table3[#All],2,0),VLOOKUP(Proc[[#This Row],[Author]],Table4[],2,0))</f>
        <v>LS</v>
      </c>
      <c r="L655" s="32" t="s">
        <v>509</v>
      </c>
      <c r="M655" s="73">
        <v>45712.326793981483</v>
      </c>
      <c r="N655" s="73">
        <v>45713</v>
      </c>
      <c r="O655" s="73">
        <v>45713</v>
      </c>
      <c r="P655" s="72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2" t="s">
        <v>830</v>
      </c>
      <c r="S655" s="71"/>
    </row>
    <row r="656" spans="1:19" hidden="1">
      <c r="A656" s="70" t="s">
        <v>2062</v>
      </c>
      <c r="B656" s="71" t="str">
        <f>IFERROR(VLOOKUP(Proc[[#This Row],[App]],Table2[],3,0),"open")</f>
        <v>ok</v>
      </c>
      <c r="C656" s="70" t="s">
        <v>369</v>
      </c>
      <c r="D656" t="s">
        <v>2056</v>
      </c>
      <c r="E656" t="s">
        <v>2063</v>
      </c>
      <c r="F656" s="105" t="s">
        <v>2063</v>
      </c>
      <c r="G656" t="s">
        <v>406</v>
      </c>
      <c r="H656" s="71" t="str">
        <f>IF(Proc[[#This Row],[type]]="LFF (MDG-F)",MID(Proc[[#This Row],[Obj]],13,10),"")</f>
        <v>DE10OF0005</v>
      </c>
      <c r="J656" s="71" t="b">
        <f>Proc[[#This Row],[Requested]]=Proc[[#This Row],[CurrentParent]]</f>
        <v>1</v>
      </c>
      <c r="K656" s="71" t="str">
        <f>IF(Proc[[#This Row],[Author]]="Marcela Urrego",VLOOKUP(LEFT(Proc[[#This Row],[Requested]],1),Table3[#All],2,0),VLOOKUP(Proc[[#This Row],[Author]],Table4[],2,0))</f>
        <v>LS</v>
      </c>
      <c r="L656" s="32" t="s">
        <v>509</v>
      </c>
      <c r="M656" s="73">
        <v>45712.326793981483</v>
      </c>
      <c r="N656" s="73">
        <v>45713</v>
      </c>
      <c r="O656" s="73">
        <v>45713</v>
      </c>
      <c r="P656" s="72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2" t="s">
        <v>830</v>
      </c>
      <c r="S656" s="71"/>
    </row>
    <row r="657" spans="1:19" hidden="1">
      <c r="A657" s="70" t="s">
        <v>2062</v>
      </c>
      <c r="B657" s="71" t="str">
        <f>IFERROR(VLOOKUP(Proc[[#This Row],[App]],Table2[],3,0),"open")</f>
        <v>ok</v>
      </c>
      <c r="C657" s="70" t="s">
        <v>369</v>
      </c>
      <c r="D657" t="s">
        <v>2057</v>
      </c>
      <c r="E657" t="s">
        <v>2063</v>
      </c>
      <c r="F657" s="105" t="s">
        <v>2063</v>
      </c>
      <c r="G657" s="70" t="s">
        <v>406</v>
      </c>
      <c r="H657" s="71" t="str">
        <f>IF(Proc[[#This Row],[type]]="LFF (MDG-F)",MID(Proc[[#This Row],[Obj]],13,10),"")</f>
        <v>2123OF0029</v>
      </c>
      <c r="J657" s="71" t="b">
        <f>Proc[[#This Row],[Requested]]=Proc[[#This Row],[CurrentParent]]</f>
        <v>1</v>
      </c>
      <c r="K657" s="71" t="str">
        <f>IF(Proc[[#This Row],[Author]]="Marcela Urrego",VLOOKUP(LEFT(Proc[[#This Row],[Requested]],1),Table3[#All],2,0),VLOOKUP(Proc[[#This Row],[Author]],Table4[],2,0))</f>
        <v>LS</v>
      </c>
      <c r="L657" s="32" t="s">
        <v>509</v>
      </c>
      <c r="M657" s="73">
        <v>45712.326793981483</v>
      </c>
      <c r="N657" s="73">
        <v>45713</v>
      </c>
      <c r="O657" s="73">
        <v>45713</v>
      </c>
      <c r="P657" s="72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2" t="s">
        <v>830</v>
      </c>
      <c r="S657" s="71"/>
    </row>
    <row r="658" spans="1:19" hidden="1">
      <c r="A658" s="70" t="s">
        <v>2062</v>
      </c>
      <c r="B658" s="71" t="str">
        <f>IFERROR(VLOOKUP(Proc[[#This Row],[App]],Table2[],3,0),"open")</f>
        <v>ok</v>
      </c>
      <c r="C658" s="70" t="s">
        <v>369</v>
      </c>
      <c r="D658" t="s">
        <v>2058</v>
      </c>
      <c r="E658" t="s">
        <v>2063</v>
      </c>
      <c r="F658" s="105" t="s">
        <v>2063</v>
      </c>
      <c r="G658" s="70" t="s">
        <v>400</v>
      </c>
      <c r="H658" s="71" t="str">
        <f>IF(Proc[[#This Row],[type]]="LFF (MDG-F)",MID(Proc[[#This Row],[Obj]],13,10),"")</f>
        <v/>
      </c>
      <c r="J658" s="71" t="b">
        <f>Proc[[#This Row],[Requested]]=Proc[[#This Row],[CurrentParent]]</f>
        <v>1</v>
      </c>
      <c r="K658" s="71" t="str">
        <f>IF(Proc[[#This Row],[Author]]="Marcela Urrego",VLOOKUP(LEFT(Proc[[#This Row],[Requested]],1),Table3[#All],2,0),VLOOKUP(Proc[[#This Row],[Author]],Table4[],2,0))</f>
        <v>LS</v>
      </c>
      <c r="L658" s="32" t="s">
        <v>509</v>
      </c>
      <c r="M658" s="73">
        <v>45712.326793981483</v>
      </c>
      <c r="N658" s="73">
        <v>45713</v>
      </c>
      <c r="O658" s="73">
        <v>45713</v>
      </c>
      <c r="P658" s="72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2" t="s">
        <v>830</v>
      </c>
      <c r="S658" s="71"/>
    </row>
    <row r="659" spans="1:19" hidden="1">
      <c r="A659" s="70" t="s">
        <v>2062</v>
      </c>
      <c r="B659" s="71" t="str">
        <f>IFERROR(VLOOKUP(Proc[[#This Row],[App]],Table2[],3,0),"open")</f>
        <v>ok</v>
      </c>
      <c r="C659" s="70" t="s">
        <v>369</v>
      </c>
      <c r="D659" t="s">
        <v>2059</v>
      </c>
      <c r="E659" t="s">
        <v>2063</v>
      </c>
      <c r="F659" s="105" t="s">
        <v>2063</v>
      </c>
      <c r="G659" s="70" t="s">
        <v>400</v>
      </c>
      <c r="H659" s="71" t="str">
        <f>IF(Proc[[#This Row],[type]]="LFF (MDG-F)",MID(Proc[[#This Row],[Obj]],13,10),"")</f>
        <v/>
      </c>
      <c r="J659" s="71" t="b">
        <f>Proc[[#This Row],[Requested]]=Proc[[#This Row],[CurrentParent]]</f>
        <v>1</v>
      </c>
      <c r="K659" s="71" t="str">
        <f>IF(Proc[[#This Row],[Author]]="Marcela Urrego",VLOOKUP(LEFT(Proc[[#This Row],[Requested]],1),Table3[#All],2,0),VLOOKUP(Proc[[#This Row],[Author]],Table4[],2,0))</f>
        <v>LS</v>
      </c>
      <c r="L659" s="32" t="s">
        <v>509</v>
      </c>
      <c r="M659" s="73">
        <v>45712.326793981483</v>
      </c>
      <c r="N659" s="73">
        <v>45713</v>
      </c>
      <c r="O659" s="73">
        <v>45713</v>
      </c>
      <c r="P659" s="72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2" t="s">
        <v>830</v>
      </c>
      <c r="S659" s="71"/>
    </row>
    <row r="660" spans="1:19" hidden="1">
      <c r="A660" s="70" t="s">
        <v>2062</v>
      </c>
      <c r="B660" s="71" t="str">
        <f>IFERROR(VLOOKUP(Proc[[#This Row],[App]],Table2[],3,0),"open")</f>
        <v>ok</v>
      </c>
      <c r="C660" s="70" t="s">
        <v>369</v>
      </c>
      <c r="D660" t="s">
        <v>2060</v>
      </c>
      <c r="E660" t="s">
        <v>2063</v>
      </c>
      <c r="F660" s="105" t="s">
        <v>2063</v>
      </c>
      <c r="G660" s="70" t="s">
        <v>400</v>
      </c>
      <c r="H660" s="71" t="str">
        <f>IF(Proc[[#This Row],[type]]="LFF (MDG-F)",MID(Proc[[#This Row],[Obj]],13,10),"")</f>
        <v/>
      </c>
      <c r="J660" s="71" t="b">
        <f>Proc[[#This Row],[Requested]]=Proc[[#This Row],[CurrentParent]]</f>
        <v>1</v>
      </c>
      <c r="K660" s="71" t="str">
        <f>IF(Proc[[#This Row],[Author]]="Marcela Urrego",VLOOKUP(LEFT(Proc[[#This Row],[Requested]],1),Table3[#All],2,0),VLOOKUP(Proc[[#This Row],[Author]],Table4[],2,0))</f>
        <v>LS</v>
      </c>
      <c r="L660" s="32" t="s">
        <v>509</v>
      </c>
      <c r="M660" s="73">
        <v>45712.326793981483</v>
      </c>
      <c r="N660" s="73">
        <v>45713</v>
      </c>
      <c r="O660" s="73">
        <v>45713</v>
      </c>
      <c r="P660" s="72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2" t="s">
        <v>830</v>
      </c>
      <c r="S660" s="71"/>
    </row>
    <row r="661" spans="1:19" hidden="1">
      <c r="A661" s="70" t="s">
        <v>2062</v>
      </c>
      <c r="B661" s="71" t="str">
        <f>IFERROR(VLOOKUP(Proc[[#This Row],[App]],Table2[],3,0),"open")</f>
        <v>ok</v>
      </c>
      <c r="C661" s="70" t="s">
        <v>369</v>
      </c>
      <c r="D661" t="s">
        <v>2061</v>
      </c>
      <c r="E661" t="s">
        <v>2063</v>
      </c>
      <c r="F661" s="105" t="s">
        <v>2063</v>
      </c>
      <c r="G661" s="70" t="s">
        <v>400</v>
      </c>
      <c r="H661" s="71" t="str">
        <f>IF(Proc[[#This Row],[type]]="LFF (MDG-F)",MID(Proc[[#This Row],[Obj]],13,10),"")</f>
        <v/>
      </c>
      <c r="J661" s="71" t="b">
        <f>Proc[[#This Row],[Requested]]=Proc[[#This Row],[CurrentParent]]</f>
        <v>1</v>
      </c>
      <c r="K661" s="71" t="str">
        <f>IF(Proc[[#This Row],[Author]]="Marcela Urrego",VLOOKUP(LEFT(Proc[[#This Row],[Requested]],1),Table3[#All],2,0),VLOOKUP(Proc[[#This Row],[Author]],Table4[],2,0))</f>
        <v>LS</v>
      </c>
      <c r="L661" s="32" t="s">
        <v>509</v>
      </c>
      <c r="M661" s="73">
        <v>45712.326793981483</v>
      </c>
      <c r="N661" s="73">
        <v>45713</v>
      </c>
      <c r="O661" s="73">
        <v>45713</v>
      </c>
      <c r="P661" s="72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2" t="s">
        <v>830</v>
      </c>
      <c r="S661" s="71"/>
    </row>
    <row r="662" spans="1:19" hidden="1">
      <c r="A662" t="s">
        <v>2080</v>
      </c>
      <c r="B662" s="71" t="str">
        <f>IFERROR(VLOOKUP(Proc[[#This Row],[App]],Table2[],3,0),"open")</f>
        <v>ok</v>
      </c>
      <c r="C662" s="70" t="s">
        <v>369</v>
      </c>
      <c r="D662" t="s">
        <v>2081</v>
      </c>
      <c r="E662" t="s">
        <v>2085</v>
      </c>
      <c r="F662" s="105" t="s">
        <v>2085</v>
      </c>
      <c r="G662" t="s">
        <v>400</v>
      </c>
      <c r="H662" s="71" t="str">
        <f>IF(Proc[[#This Row],[type]]="LFF (MDG-F)",MID(Proc[[#This Row],[Obj]],13,10),"")</f>
        <v/>
      </c>
      <c r="J662" s="71" t="b">
        <f>Proc[[#This Row],[Requested]]=Proc[[#This Row],[CurrentParent]]</f>
        <v>1</v>
      </c>
      <c r="K662" s="71" t="str">
        <f>IF(Proc[[#This Row],[Author]]="Marcela Urrego",VLOOKUP(LEFT(Proc[[#This Row],[Requested]],1),Table3[#All],2,0),VLOOKUP(Proc[[#This Row],[Author]],Table4[],2,0))</f>
        <v>HC</v>
      </c>
      <c r="L662" s="32" t="s">
        <v>509</v>
      </c>
      <c r="M662" s="73">
        <v>45712.395381944443</v>
      </c>
      <c r="N662" s="73">
        <v>45713</v>
      </c>
      <c r="O662" s="73">
        <v>45713</v>
      </c>
      <c r="P662" s="72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2" t="s">
        <v>494</v>
      </c>
      <c r="S662" s="71"/>
    </row>
    <row r="663" spans="1:19" hidden="1">
      <c r="A663" s="70" t="s">
        <v>2080</v>
      </c>
      <c r="B663" s="71" t="str">
        <f>IFERROR(VLOOKUP(Proc[[#This Row],[App]],Table2[],3,0),"open")</f>
        <v>ok</v>
      </c>
      <c r="C663" s="70" t="s">
        <v>369</v>
      </c>
      <c r="D663" t="s">
        <v>2082</v>
      </c>
      <c r="E663" t="s">
        <v>2086</v>
      </c>
      <c r="F663" s="105" t="s">
        <v>2086</v>
      </c>
      <c r="G663" s="70" t="s">
        <v>400</v>
      </c>
      <c r="H663" s="71" t="str">
        <f>IF(Proc[[#This Row],[type]]="LFF (MDG-F)",MID(Proc[[#This Row],[Obj]],13,10),"")</f>
        <v/>
      </c>
      <c r="J663" s="71" t="b">
        <f>Proc[[#This Row],[Requested]]=Proc[[#This Row],[CurrentParent]]</f>
        <v>1</v>
      </c>
      <c r="K663" s="71" t="str">
        <f>IF(Proc[[#This Row],[Author]]="Marcela Urrego",VLOOKUP(LEFT(Proc[[#This Row],[Requested]],1),Table3[#All],2,0),VLOOKUP(Proc[[#This Row],[Author]],Table4[],2,0))</f>
        <v>HC</v>
      </c>
      <c r="L663" s="32" t="s">
        <v>509</v>
      </c>
      <c r="M663" s="73">
        <v>45712.395381944443</v>
      </c>
      <c r="N663" s="73">
        <v>45713</v>
      </c>
      <c r="O663" s="73">
        <v>45713</v>
      </c>
      <c r="P663" s="72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2" t="s">
        <v>494</v>
      </c>
      <c r="S663" s="71"/>
    </row>
    <row r="664" spans="1:19" hidden="1">
      <c r="A664" s="70" t="s">
        <v>2080</v>
      </c>
      <c r="B664" s="71" t="str">
        <f>IFERROR(VLOOKUP(Proc[[#This Row],[App]],Table2[],3,0),"open")</f>
        <v>ok</v>
      </c>
      <c r="C664" s="70" t="s">
        <v>369</v>
      </c>
      <c r="D664" t="s">
        <v>2083</v>
      </c>
      <c r="E664" t="s">
        <v>2086</v>
      </c>
      <c r="F664" s="105" t="s">
        <v>2086</v>
      </c>
      <c r="G664" s="70" t="s">
        <v>400</v>
      </c>
      <c r="H664" s="71" t="str">
        <f>IF(Proc[[#This Row],[type]]="LFF (MDG-F)",MID(Proc[[#This Row],[Obj]],13,10),"")</f>
        <v/>
      </c>
      <c r="J664" s="71" t="b">
        <f>Proc[[#This Row],[Requested]]=Proc[[#This Row],[CurrentParent]]</f>
        <v>1</v>
      </c>
      <c r="K664" s="71" t="str">
        <f>IF(Proc[[#This Row],[Author]]="Marcela Urrego",VLOOKUP(LEFT(Proc[[#This Row],[Requested]],1),Table3[#All],2,0),VLOOKUP(Proc[[#This Row],[Author]],Table4[],2,0))</f>
        <v>HC</v>
      </c>
      <c r="L664" s="32" t="s">
        <v>509</v>
      </c>
      <c r="M664" s="73">
        <v>45712.395381944443</v>
      </c>
      <c r="N664" s="73">
        <v>45713</v>
      </c>
      <c r="O664" s="73">
        <v>45713</v>
      </c>
      <c r="P664" s="72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2" t="s">
        <v>494</v>
      </c>
      <c r="S664" s="71"/>
    </row>
    <row r="665" spans="1:19" hidden="1">
      <c r="A665" s="70" t="s">
        <v>2080</v>
      </c>
      <c r="B665" s="71" t="str">
        <f>IFERROR(VLOOKUP(Proc[[#This Row],[App]],Table2[],3,0),"open")</f>
        <v>ok</v>
      </c>
      <c r="C665" s="70" t="s">
        <v>369</v>
      </c>
      <c r="D665" t="s">
        <v>2084</v>
      </c>
      <c r="E665" t="s">
        <v>2086</v>
      </c>
      <c r="F665" s="105" t="s">
        <v>2086</v>
      </c>
      <c r="G665" s="70" t="s">
        <v>400</v>
      </c>
      <c r="H665" s="71" t="str">
        <f>IF(Proc[[#This Row],[type]]="LFF (MDG-F)",MID(Proc[[#This Row],[Obj]],13,10),"")</f>
        <v/>
      </c>
      <c r="J665" s="71" t="b">
        <f>Proc[[#This Row],[Requested]]=Proc[[#This Row],[CurrentParent]]</f>
        <v>1</v>
      </c>
      <c r="K665" s="71" t="str">
        <f>IF(Proc[[#This Row],[Author]]="Marcela Urrego",VLOOKUP(LEFT(Proc[[#This Row],[Requested]],1),Table3[#All],2,0),VLOOKUP(Proc[[#This Row],[Author]],Table4[],2,0))</f>
        <v>HC</v>
      </c>
      <c r="L665" s="32" t="s">
        <v>509</v>
      </c>
      <c r="M665" s="73">
        <v>45712.395381944443</v>
      </c>
      <c r="N665" s="73">
        <v>45713</v>
      </c>
      <c r="O665" s="73">
        <v>45713</v>
      </c>
      <c r="P665" s="72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2" t="s">
        <v>494</v>
      </c>
      <c r="S665" s="71"/>
    </row>
    <row r="666" spans="1:19" hidden="1">
      <c r="A666" s="70" t="s">
        <v>2064</v>
      </c>
      <c r="B666" s="71" t="str">
        <f>IFERROR(VLOOKUP(Proc[[#This Row],[App]],Table2[],3,0),"open")</f>
        <v>ok</v>
      </c>
      <c r="C666" s="70" t="s">
        <v>369</v>
      </c>
      <c r="D666" t="s">
        <v>2065</v>
      </c>
      <c r="E666" t="s">
        <v>2075</v>
      </c>
      <c r="F666" s="105" t="s">
        <v>2075</v>
      </c>
      <c r="G666" s="70" t="s">
        <v>406</v>
      </c>
      <c r="H666" s="71" t="str">
        <f>IF(Proc[[#This Row],[type]]="LFF (MDG-F)",MID(Proc[[#This Row],[Obj]],13,10),"")</f>
        <v>DE10GIN006</v>
      </c>
      <c r="I666" t="s">
        <v>2076</v>
      </c>
      <c r="J666" s="71" t="b">
        <f>Proc[[#This Row],[Requested]]=Proc[[#This Row],[CurrentParent]]</f>
        <v>1</v>
      </c>
      <c r="K666" s="71" t="str">
        <f>IF(Proc[[#This Row],[Author]]="Marcela Urrego",VLOOKUP(LEFT(Proc[[#This Row],[Requested]],1),Table3[#All],2,0),VLOOKUP(Proc[[#This Row],[Author]],Table4[],2,0))</f>
        <v>MGF</v>
      </c>
      <c r="L666" s="32" t="s">
        <v>509</v>
      </c>
      <c r="M666" s="73">
        <v>45712.411909722221</v>
      </c>
      <c r="N666" s="73">
        <v>45715</v>
      </c>
      <c r="O666" s="73">
        <v>45716</v>
      </c>
      <c r="P666" s="72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2" t="s">
        <v>515</v>
      </c>
      <c r="S666" s="71"/>
    </row>
    <row r="667" spans="1:19" hidden="1">
      <c r="A667" s="70" t="s">
        <v>2064</v>
      </c>
      <c r="B667" s="71" t="str">
        <f>IFERROR(VLOOKUP(Proc[[#This Row],[App]],Table2[],3,0),"open")</f>
        <v>ok</v>
      </c>
      <c r="C667" s="70" t="s">
        <v>369</v>
      </c>
      <c r="D667" t="s">
        <v>2066</v>
      </c>
      <c r="E667" t="s">
        <v>2075</v>
      </c>
      <c r="F667" s="105" t="s">
        <v>2075</v>
      </c>
      <c r="G667" s="70" t="s">
        <v>406</v>
      </c>
      <c r="H667" s="71" t="str">
        <f>IF(Proc[[#This Row],[type]]="LFF (MDG-F)",MID(Proc[[#This Row],[Obj]],13,10),"")</f>
        <v>DE10GM1008</v>
      </c>
      <c r="I667" t="s">
        <v>2077</v>
      </c>
      <c r="J667" s="71" t="b">
        <f>Proc[[#This Row],[Requested]]=Proc[[#This Row],[CurrentParent]]</f>
        <v>1</v>
      </c>
      <c r="K667" s="71" t="str">
        <f>IF(Proc[[#This Row],[Author]]="Marcela Urrego",VLOOKUP(LEFT(Proc[[#This Row],[Requested]],1),Table3[#All],2,0),VLOOKUP(Proc[[#This Row],[Author]],Table4[],2,0))</f>
        <v>MGF</v>
      </c>
      <c r="L667" s="32" t="s">
        <v>509</v>
      </c>
      <c r="M667" s="73">
        <v>45712.411909722221</v>
      </c>
      <c r="N667" s="73">
        <v>45715</v>
      </c>
      <c r="O667" s="73">
        <v>45716</v>
      </c>
      <c r="P667" s="72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2" t="s">
        <v>515</v>
      </c>
      <c r="S667" s="71"/>
    </row>
    <row r="668" spans="1:19" hidden="1">
      <c r="A668" s="70" t="s">
        <v>2064</v>
      </c>
      <c r="B668" s="71" t="str">
        <f>IFERROR(VLOOKUP(Proc[[#This Row],[App]],Table2[],3,0),"open")</f>
        <v>ok</v>
      </c>
      <c r="C668" s="70" t="s">
        <v>369</v>
      </c>
      <c r="D668" t="s">
        <v>2067</v>
      </c>
      <c r="E668" t="s">
        <v>2075</v>
      </c>
      <c r="F668" s="105" t="s">
        <v>2075</v>
      </c>
      <c r="G668" s="70" t="s">
        <v>406</v>
      </c>
      <c r="H668" s="71" t="str">
        <f>IF(Proc[[#This Row],[type]]="LFF (MDG-F)",MID(Proc[[#This Row],[Obj]],13,10),"")</f>
        <v>DE10GM2000</v>
      </c>
      <c r="I668" t="s">
        <v>2087</v>
      </c>
      <c r="J668" s="71" t="b">
        <f>Proc[[#This Row],[Requested]]=Proc[[#This Row],[CurrentParent]]</f>
        <v>1</v>
      </c>
      <c r="K668" s="71" t="str">
        <f>IF(Proc[[#This Row],[Author]]="Marcela Urrego",VLOOKUP(LEFT(Proc[[#This Row],[Requested]],1),Table3[#All],2,0),VLOOKUP(Proc[[#This Row],[Author]],Table4[],2,0))</f>
        <v>MGF</v>
      </c>
      <c r="L668" s="32" t="s">
        <v>509</v>
      </c>
      <c r="M668" s="73">
        <v>45712.411909722221</v>
      </c>
      <c r="N668" s="73">
        <v>45716</v>
      </c>
      <c r="O668" s="73">
        <v>45716</v>
      </c>
      <c r="P668" s="72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2" t="s">
        <v>515</v>
      </c>
      <c r="S668" s="71"/>
    </row>
    <row r="669" spans="1:19" hidden="1">
      <c r="A669" s="70" t="s">
        <v>2064</v>
      </c>
      <c r="B669" s="71" t="str">
        <f>IFERROR(VLOOKUP(Proc[[#This Row],[App]],Table2[],3,0),"open")</f>
        <v>ok</v>
      </c>
      <c r="C669" s="70" t="s">
        <v>369</v>
      </c>
      <c r="D669" t="s">
        <v>2068</v>
      </c>
      <c r="E669" t="s">
        <v>2075</v>
      </c>
      <c r="F669" s="105" t="s">
        <v>2075</v>
      </c>
      <c r="G669" s="70" t="s">
        <v>406</v>
      </c>
      <c r="H669" s="71" t="str">
        <f>IF(Proc[[#This Row],[type]]="LFF (MDG-F)",MID(Proc[[#This Row],[Obj]],13,10),"")</f>
        <v>DE10GM4009</v>
      </c>
      <c r="I669" t="s">
        <v>2078</v>
      </c>
      <c r="J669" s="71" t="b">
        <f>Proc[[#This Row],[Requested]]=Proc[[#This Row],[CurrentParent]]</f>
        <v>1</v>
      </c>
      <c r="K669" s="71" t="str">
        <f>IF(Proc[[#This Row],[Author]]="Marcela Urrego",VLOOKUP(LEFT(Proc[[#This Row],[Requested]],1),Table3[#All],2,0),VLOOKUP(Proc[[#This Row],[Author]],Table4[],2,0))</f>
        <v>MGF</v>
      </c>
      <c r="L669" s="32" t="s">
        <v>509</v>
      </c>
      <c r="M669" s="73">
        <v>45712.411909722221</v>
      </c>
      <c r="N669" s="73">
        <v>45715</v>
      </c>
      <c r="O669" s="73">
        <v>45716</v>
      </c>
      <c r="P669" s="72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2" t="s">
        <v>515</v>
      </c>
      <c r="S669" s="71"/>
    </row>
    <row r="670" spans="1:19" hidden="1">
      <c r="A670" s="70" t="s">
        <v>2064</v>
      </c>
      <c r="B670" s="71" t="str">
        <f>IFERROR(VLOOKUP(Proc[[#This Row],[App]],Table2[],3,0),"open")</f>
        <v>ok</v>
      </c>
      <c r="C670" s="70" t="s">
        <v>369</v>
      </c>
      <c r="D670" t="s">
        <v>2069</v>
      </c>
      <c r="E670" t="s">
        <v>2075</v>
      </c>
      <c r="F670" s="105" t="s">
        <v>2075</v>
      </c>
      <c r="G670" s="70" t="s">
        <v>406</v>
      </c>
      <c r="H670" s="71" t="str">
        <f>IF(Proc[[#This Row],[type]]="LFF (MDG-F)",MID(Proc[[#This Row],[Obj]],13,10),"")</f>
        <v>DE10GM8003</v>
      </c>
      <c r="I670" t="s">
        <v>2079</v>
      </c>
      <c r="J670" s="71" t="b">
        <f>Proc[[#This Row],[Requested]]=Proc[[#This Row],[CurrentParent]]</f>
        <v>1</v>
      </c>
      <c r="K670" s="71" t="str">
        <f>IF(Proc[[#This Row],[Author]]="Marcela Urrego",VLOOKUP(LEFT(Proc[[#This Row],[Requested]],1),Table3[#All],2,0),VLOOKUP(Proc[[#This Row],[Author]],Table4[],2,0))</f>
        <v>MGF</v>
      </c>
      <c r="L670" s="32" t="s">
        <v>509</v>
      </c>
      <c r="M670" s="73">
        <v>45712.411909722221</v>
      </c>
      <c r="N670" s="73">
        <v>45715</v>
      </c>
      <c r="O670" s="73">
        <v>45716</v>
      </c>
      <c r="P670" s="72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2" t="s">
        <v>515</v>
      </c>
      <c r="S670" s="71"/>
    </row>
    <row r="671" spans="1:19" hidden="1">
      <c r="A671" s="70" t="s">
        <v>2064</v>
      </c>
      <c r="B671" s="71" t="str">
        <f>IFERROR(VLOOKUP(Proc[[#This Row],[App]],Table2[],3,0),"open")</f>
        <v>ok</v>
      </c>
      <c r="C671" s="70" t="s">
        <v>369</v>
      </c>
      <c r="D671" t="s">
        <v>2070</v>
      </c>
      <c r="E671" t="s">
        <v>2075</v>
      </c>
      <c r="F671" s="105" t="s">
        <v>2075</v>
      </c>
      <c r="G671" s="70" t="s">
        <v>406</v>
      </c>
      <c r="H671" s="71" t="str">
        <f>IF(Proc[[#This Row],[type]]="LFF (MDG-F)",MID(Proc[[#This Row],[Obj]],13,10),"")</f>
        <v>KR08GLE009</v>
      </c>
      <c r="J671" s="71" t="b">
        <f>Proc[[#This Row],[Requested]]=Proc[[#This Row],[CurrentParent]]</f>
        <v>1</v>
      </c>
      <c r="K671" s="71" t="str">
        <f>IF(Proc[[#This Row],[Author]]="Marcela Urrego",VLOOKUP(LEFT(Proc[[#This Row],[Requested]],1),Table3[#All],2,0),VLOOKUP(Proc[[#This Row],[Author]],Table4[],2,0))</f>
        <v>MGF</v>
      </c>
      <c r="L671" s="32" t="s">
        <v>509</v>
      </c>
      <c r="M671" s="73">
        <v>45712.411909722221</v>
      </c>
      <c r="N671" s="73">
        <v>45715</v>
      </c>
      <c r="O671" s="73">
        <v>45716</v>
      </c>
      <c r="P671" s="72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2" t="s">
        <v>515</v>
      </c>
      <c r="S671" s="71"/>
    </row>
    <row r="672" spans="1:19" hidden="1">
      <c r="A672" s="70" t="s">
        <v>2064</v>
      </c>
      <c r="B672" s="71" t="str">
        <f>IFERROR(VLOOKUP(Proc[[#This Row],[App]],Table2[],3,0),"open")</f>
        <v>ok</v>
      </c>
      <c r="C672" s="70" t="s">
        <v>369</v>
      </c>
      <c r="D672" t="s">
        <v>2071</v>
      </c>
      <c r="E672" t="s">
        <v>2075</v>
      </c>
      <c r="F672" s="105" t="s">
        <v>2075</v>
      </c>
      <c r="G672" s="70" t="s">
        <v>406</v>
      </c>
      <c r="H672" s="71" t="str">
        <f>IF(Proc[[#This Row],[type]]="LFF (MDG-F)",MID(Proc[[#This Row],[Obj]],13,10),"")</f>
        <v>KR11GLE006</v>
      </c>
      <c r="J672" s="71" t="b">
        <f>Proc[[#This Row],[Requested]]=Proc[[#This Row],[CurrentParent]]</f>
        <v>1</v>
      </c>
      <c r="K672" s="71" t="str">
        <f>IF(Proc[[#This Row],[Author]]="Marcela Urrego",VLOOKUP(LEFT(Proc[[#This Row],[Requested]],1),Table3[#All],2,0),VLOOKUP(Proc[[#This Row],[Author]],Table4[],2,0))</f>
        <v>MGF</v>
      </c>
      <c r="L672" s="32" t="s">
        <v>509</v>
      </c>
      <c r="M672" s="73">
        <v>45712.411909722221</v>
      </c>
      <c r="N672" s="73">
        <v>45715</v>
      </c>
      <c r="O672" s="73">
        <v>45716</v>
      </c>
      <c r="P672" s="72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2" t="s">
        <v>515</v>
      </c>
      <c r="S672" s="71"/>
    </row>
    <row r="673" spans="1:19" hidden="1">
      <c r="A673" s="70" t="s">
        <v>2064</v>
      </c>
      <c r="B673" s="71" t="str">
        <f>IFERROR(VLOOKUP(Proc[[#This Row],[App]],Table2[],3,0),"open")</f>
        <v>ok</v>
      </c>
      <c r="C673" s="70" t="s">
        <v>369</v>
      </c>
      <c r="D673" t="s">
        <v>2072</v>
      </c>
      <c r="E673" t="s">
        <v>2075</v>
      </c>
      <c r="F673" s="105" t="s">
        <v>2075</v>
      </c>
      <c r="G673" s="70" t="s">
        <v>406</v>
      </c>
      <c r="H673" s="71" t="str">
        <f>IF(Proc[[#This Row],[type]]="LFF (MDG-F)",MID(Proc[[#This Row],[Obj]],13,10),"")</f>
        <v>KR15GLE006</v>
      </c>
      <c r="J673" s="71" t="b">
        <f>Proc[[#This Row],[Requested]]=Proc[[#This Row],[CurrentParent]]</f>
        <v>1</v>
      </c>
      <c r="K673" s="71" t="str">
        <f>IF(Proc[[#This Row],[Author]]="Marcela Urrego",VLOOKUP(LEFT(Proc[[#This Row],[Requested]],1),Table3[#All],2,0),VLOOKUP(Proc[[#This Row],[Author]],Table4[],2,0))</f>
        <v>MGF</v>
      </c>
      <c r="L673" s="32" t="s">
        <v>509</v>
      </c>
      <c r="M673" s="73">
        <v>45712.411909722221</v>
      </c>
      <c r="N673" s="73">
        <v>45715</v>
      </c>
      <c r="O673" s="73">
        <v>45716</v>
      </c>
      <c r="P673" s="72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2" t="s">
        <v>515</v>
      </c>
      <c r="S673" s="71"/>
    </row>
    <row r="674" spans="1:19" hidden="1">
      <c r="A674" t="s">
        <v>2064</v>
      </c>
      <c r="B674" s="71" t="str">
        <f>IFERROR(VLOOKUP(Proc[[#This Row],[App]],Table2[],3,0),"open")</f>
        <v>ok</v>
      </c>
      <c r="C674" s="70" t="s">
        <v>369</v>
      </c>
      <c r="D674" t="s">
        <v>2073</v>
      </c>
      <c r="E674" t="s">
        <v>2075</v>
      </c>
      <c r="F674" s="105" t="s">
        <v>2075</v>
      </c>
      <c r="G674" s="70" t="s">
        <v>406</v>
      </c>
      <c r="H674" s="71" t="str">
        <f>IF(Proc[[#This Row],[type]]="LFF (MDG-F)",MID(Proc[[#This Row],[Obj]],13,10),"")</f>
        <v>KR16GLE006</v>
      </c>
      <c r="J674" s="71" t="b">
        <f>Proc[[#This Row],[Requested]]=Proc[[#This Row],[CurrentParent]]</f>
        <v>1</v>
      </c>
      <c r="K674" s="71" t="str">
        <f>IF(Proc[[#This Row],[Author]]="Marcela Urrego",VLOOKUP(LEFT(Proc[[#This Row],[Requested]],1),Table3[#All],2,0),VLOOKUP(Proc[[#This Row],[Author]],Table4[],2,0))</f>
        <v>MGF</v>
      </c>
      <c r="L674" s="32" t="s">
        <v>509</v>
      </c>
      <c r="M674" s="73">
        <v>45712.411909722221</v>
      </c>
      <c r="N674" s="73">
        <v>45715</v>
      </c>
      <c r="O674" s="73">
        <v>45716</v>
      </c>
      <c r="P674" s="72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2" t="s">
        <v>515</v>
      </c>
      <c r="S674" s="71"/>
    </row>
    <row r="675" spans="1:19" hidden="1">
      <c r="A675" s="70" t="s">
        <v>2064</v>
      </c>
      <c r="B675" s="71" t="str">
        <f>IFERROR(VLOOKUP(Proc[[#This Row],[App]],Table2[],3,0),"open")</f>
        <v>ok</v>
      </c>
      <c r="C675" s="70" t="s">
        <v>369</v>
      </c>
      <c r="D675" t="s">
        <v>2074</v>
      </c>
      <c r="E675" t="s">
        <v>2075</v>
      </c>
      <c r="F675" s="105" t="s">
        <v>2075</v>
      </c>
      <c r="G675" s="70" t="s">
        <v>406</v>
      </c>
      <c r="H675" s="71" t="str">
        <f>IF(Proc[[#This Row],[type]]="LFF (MDG-F)",MID(Proc[[#This Row],[Obj]],13,10),"")</f>
        <v>SG10GM2004</v>
      </c>
      <c r="J675" s="71" t="b">
        <f>Proc[[#This Row],[Requested]]=Proc[[#This Row],[CurrentParent]]</f>
        <v>1</v>
      </c>
      <c r="K675" s="71" t="str">
        <f>IF(Proc[[#This Row],[Author]]="Marcela Urrego",VLOOKUP(LEFT(Proc[[#This Row],[Requested]],1),Table3[#All],2,0),VLOOKUP(Proc[[#This Row],[Author]],Table4[],2,0))</f>
        <v>MGF</v>
      </c>
      <c r="L675" s="32" t="s">
        <v>509</v>
      </c>
      <c r="M675" s="73">
        <v>45712.411909722221</v>
      </c>
      <c r="N675" s="73">
        <v>45715</v>
      </c>
      <c r="O675" s="73">
        <v>45716</v>
      </c>
      <c r="P675" s="72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2" t="s">
        <v>515</v>
      </c>
      <c r="S675" s="71"/>
    </row>
    <row r="676" spans="1:19" hidden="1">
      <c r="A676" t="s">
        <v>2176</v>
      </c>
      <c r="B676" s="71" t="str">
        <f>IFERROR(VLOOKUP(Proc[[#This Row],[App]],Table2[],3,0),"open")</f>
        <v>ok</v>
      </c>
      <c r="C676" t="s">
        <v>369</v>
      </c>
      <c r="D676" t="s">
        <v>2160</v>
      </c>
      <c r="E676" t="s">
        <v>2161</v>
      </c>
      <c r="F676" s="105" t="s">
        <v>2161</v>
      </c>
      <c r="G676" t="s">
        <v>400</v>
      </c>
      <c r="H676" s="71" t="str">
        <f>IF(Proc[[#This Row],[type]]="LFF (MDG-F)",MID(Proc[[#This Row],[Obj]],13,10),"")</f>
        <v/>
      </c>
      <c r="J676" s="71" t="b">
        <f>Proc[[#This Row],[Requested]]=Proc[[#This Row],[CurrentParent]]</f>
        <v>1</v>
      </c>
      <c r="K676" s="71" t="str">
        <f>IF(Proc[[#This Row],[Author]]="Marcela Urrego",VLOOKUP(LEFT(Proc[[#This Row],[Requested]],1),Table3[#All],2,0),VLOOKUP(Proc[[#This Row],[Author]],Table4[],2,0))</f>
        <v>HC</v>
      </c>
      <c r="L676" s="32" t="s">
        <v>509</v>
      </c>
      <c r="M676" s="73">
        <v>45713.21603009259</v>
      </c>
      <c r="N676" s="73">
        <v>45715</v>
      </c>
      <c r="O676" s="73">
        <v>45715</v>
      </c>
      <c r="P676" s="72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2" t="s">
        <v>478</v>
      </c>
      <c r="S676" s="71"/>
    </row>
    <row r="677" spans="1:19" hidden="1">
      <c r="A677" s="70" t="s">
        <v>2176</v>
      </c>
      <c r="B677" s="71" t="str">
        <f>IFERROR(VLOOKUP(Proc[[#This Row],[App]],Table2[],3,0),"open")</f>
        <v>ok</v>
      </c>
      <c r="C677" s="70" t="s">
        <v>369</v>
      </c>
      <c r="D677" t="s">
        <v>2162</v>
      </c>
      <c r="E677" t="s">
        <v>2161</v>
      </c>
      <c r="F677" s="105" t="s">
        <v>2161</v>
      </c>
      <c r="G677" s="70" t="s">
        <v>400</v>
      </c>
      <c r="H677" s="71" t="str">
        <f>IF(Proc[[#This Row],[type]]="LFF (MDG-F)",MID(Proc[[#This Row],[Obj]],13,10),"")</f>
        <v/>
      </c>
      <c r="I677" s="70"/>
      <c r="J677" s="71" t="b">
        <f>Proc[[#This Row],[Requested]]=Proc[[#This Row],[CurrentParent]]</f>
        <v>1</v>
      </c>
      <c r="K677" s="71" t="str">
        <f>IF(Proc[[#This Row],[Author]]="Marcela Urrego",VLOOKUP(LEFT(Proc[[#This Row],[Requested]],1),Table3[#All],2,0),VLOOKUP(Proc[[#This Row],[Author]],Table4[],2,0))</f>
        <v>HC</v>
      </c>
      <c r="L677" s="32" t="s">
        <v>509</v>
      </c>
      <c r="M677" s="73">
        <v>45713.21603009259</v>
      </c>
      <c r="N677" s="73">
        <v>45715</v>
      </c>
      <c r="O677" s="73">
        <v>45715</v>
      </c>
      <c r="P677" s="72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2" t="s">
        <v>478</v>
      </c>
      <c r="S677" s="71"/>
    </row>
    <row r="678" spans="1:19" hidden="1">
      <c r="A678" s="70" t="s">
        <v>2176</v>
      </c>
      <c r="B678" s="71" t="str">
        <f>IFERROR(VLOOKUP(Proc[[#This Row],[App]],Table2[],3,0),"open")</f>
        <v>ok</v>
      </c>
      <c r="C678" s="70" t="s">
        <v>369</v>
      </c>
      <c r="D678" t="s">
        <v>2163</v>
      </c>
      <c r="E678" t="s">
        <v>2161</v>
      </c>
      <c r="F678" s="105" t="s">
        <v>2161</v>
      </c>
      <c r="G678" s="70" t="s">
        <v>400</v>
      </c>
      <c r="H678" s="71" t="str">
        <f>IF(Proc[[#This Row],[type]]="LFF (MDG-F)",MID(Proc[[#This Row],[Obj]],13,10),"")</f>
        <v/>
      </c>
      <c r="I678" s="70"/>
      <c r="J678" s="71" t="b">
        <f>Proc[[#This Row],[Requested]]=Proc[[#This Row],[CurrentParent]]</f>
        <v>1</v>
      </c>
      <c r="K678" s="71" t="str">
        <f>IF(Proc[[#This Row],[Author]]="Marcela Urrego",VLOOKUP(LEFT(Proc[[#This Row],[Requested]],1),Table3[#All],2,0),VLOOKUP(Proc[[#This Row],[Author]],Table4[],2,0))</f>
        <v>HC</v>
      </c>
      <c r="L678" s="32" t="s">
        <v>509</v>
      </c>
      <c r="M678" s="73">
        <v>45713.21603009259</v>
      </c>
      <c r="N678" s="73">
        <v>45715</v>
      </c>
      <c r="O678" s="73">
        <v>45715</v>
      </c>
      <c r="P678" s="72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2" t="s">
        <v>478</v>
      </c>
      <c r="S678" s="71"/>
    </row>
    <row r="679" spans="1:19" hidden="1">
      <c r="A679" t="s">
        <v>2176</v>
      </c>
      <c r="B679" s="71" t="str">
        <f>IFERROR(VLOOKUP(Proc[[#This Row],[App]],Table2[],3,0),"open")</f>
        <v>ok</v>
      </c>
      <c r="C679" t="s">
        <v>369</v>
      </c>
      <c r="D679" t="s">
        <v>2164</v>
      </c>
      <c r="E679" t="s">
        <v>2161</v>
      </c>
      <c r="F679" s="105" t="s">
        <v>2161</v>
      </c>
      <c r="G679" s="70" t="s">
        <v>400</v>
      </c>
      <c r="H679" s="71" t="str">
        <f>IF(Proc[[#This Row],[type]]="LFF (MDG-F)",MID(Proc[[#This Row],[Obj]],13,10),"")</f>
        <v/>
      </c>
      <c r="J679" s="71" t="b">
        <f>Proc[[#This Row],[Requested]]=Proc[[#This Row],[CurrentParent]]</f>
        <v>1</v>
      </c>
      <c r="K679" s="71" t="str">
        <f>IF(Proc[[#This Row],[Author]]="Marcela Urrego",VLOOKUP(LEFT(Proc[[#This Row],[Requested]],1),Table3[#All],2,0),VLOOKUP(Proc[[#This Row],[Author]],Table4[],2,0))</f>
        <v>HC</v>
      </c>
      <c r="L679" s="32" t="s">
        <v>509</v>
      </c>
      <c r="M679" s="73">
        <v>45713.21603009259</v>
      </c>
      <c r="N679" s="73">
        <v>45715</v>
      </c>
      <c r="O679" s="73">
        <v>45715</v>
      </c>
      <c r="P679" s="72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2" t="s">
        <v>478</v>
      </c>
      <c r="S679" s="71"/>
    </row>
    <row r="680" spans="1:19" hidden="1">
      <c r="A680" s="70" t="s">
        <v>2176</v>
      </c>
      <c r="B680" s="71" t="str">
        <f>IFERROR(VLOOKUP(Proc[[#This Row],[App]],Table2[],3,0),"open")</f>
        <v>ok</v>
      </c>
      <c r="C680" s="70" t="s">
        <v>369</v>
      </c>
      <c r="D680" t="s">
        <v>2165</v>
      </c>
      <c r="E680" t="s">
        <v>2161</v>
      </c>
      <c r="F680" s="105" t="s">
        <v>2161</v>
      </c>
      <c r="G680" s="70" t="s">
        <v>400</v>
      </c>
      <c r="H680" s="71" t="str">
        <f>IF(Proc[[#This Row],[type]]="LFF (MDG-F)",MID(Proc[[#This Row],[Obj]],13,10),"")</f>
        <v/>
      </c>
      <c r="J680" s="71" t="b">
        <f>Proc[[#This Row],[Requested]]=Proc[[#This Row],[CurrentParent]]</f>
        <v>1</v>
      </c>
      <c r="K680" s="71" t="str">
        <f>IF(Proc[[#This Row],[Author]]="Marcela Urrego",VLOOKUP(LEFT(Proc[[#This Row],[Requested]],1),Table3[#All],2,0),VLOOKUP(Proc[[#This Row],[Author]],Table4[],2,0))</f>
        <v>HC</v>
      </c>
      <c r="L680" s="32" t="s">
        <v>509</v>
      </c>
      <c r="M680" s="73">
        <v>45713.21603009259</v>
      </c>
      <c r="N680" s="73">
        <v>45715</v>
      </c>
      <c r="O680" s="73">
        <v>45715</v>
      </c>
      <c r="P680" s="72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2" t="s">
        <v>478</v>
      </c>
      <c r="S680" s="71"/>
    </row>
    <row r="681" spans="1:19" hidden="1">
      <c r="A681" s="70" t="s">
        <v>2176</v>
      </c>
      <c r="B681" s="71" t="str">
        <f>IFERROR(VLOOKUP(Proc[[#This Row],[App]],Table2[],3,0),"open")</f>
        <v>ok</v>
      </c>
      <c r="C681" s="70" t="s">
        <v>369</v>
      </c>
      <c r="D681" t="s">
        <v>2166</v>
      </c>
      <c r="E681" t="s">
        <v>2161</v>
      </c>
      <c r="F681" s="105" t="s">
        <v>2161</v>
      </c>
      <c r="G681" s="70" t="s">
        <v>400</v>
      </c>
      <c r="H681" s="71" t="str">
        <f>IF(Proc[[#This Row],[type]]="LFF (MDG-F)",MID(Proc[[#This Row],[Obj]],13,10),"")</f>
        <v/>
      </c>
      <c r="J681" s="71" t="b">
        <f>Proc[[#This Row],[Requested]]=Proc[[#This Row],[CurrentParent]]</f>
        <v>1</v>
      </c>
      <c r="K681" s="71" t="str">
        <f>IF(Proc[[#This Row],[Author]]="Marcela Urrego",VLOOKUP(LEFT(Proc[[#This Row],[Requested]],1),Table3[#All],2,0),VLOOKUP(Proc[[#This Row],[Author]],Table4[],2,0))</f>
        <v>HC</v>
      </c>
      <c r="L681" s="32" t="s">
        <v>509</v>
      </c>
      <c r="M681" s="73">
        <v>45713.21603009259</v>
      </c>
      <c r="N681" s="73">
        <v>45715</v>
      </c>
      <c r="O681" s="73">
        <v>45715</v>
      </c>
      <c r="P681" s="72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2" t="s">
        <v>478</v>
      </c>
      <c r="S681" s="71"/>
    </row>
    <row r="682" spans="1:19" hidden="1">
      <c r="A682" s="70" t="s">
        <v>2176</v>
      </c>
      <c r="B682" s="71" t="str">
        <f>IFERROR(VLOOKUP(Proc[[#This Row],[App]],Table2[],3,0),"open")</f>
        <v>ok</v>
      </c>
      <c r="C682" s="70" t="s">
        <v>369</v>
      </c>
      <c r="D682" t="s">
        <v>2167</v>
      </c>
      <c r="E682" t="s">
        <v>2161</v>
      </c>
      <c r="F682" s="105" t="s">
        <v>2161</v>
      </c>
      <c r="G682" s="70" t="s">
        <v>400</v>
      </c>
      <c r="H682" s="71" t="str">
        <f>IF(Proc[[#This Row],[type]]="LFF (MDG-F)",MID(Proc[[#This Row],[Obj]],13,10),"")</f>
        <v/>
      </c>
      <c r="J682" s="71" t="b">
        <f>Proc[[#This Row],[Requested]]=Proc[[#This Row],[CurrentParent]]</f>
        <v>1</v>
      </c>
      <c r="K682" s="71" t="str">
        <f>IF(Proc[[#This Row],[Author]]="Marcela Urrego",VLOOKUP(LEFT(Proc[[#This Row],[Requested]],1),Table3[#All],2,0),VLOOKUP(Proc[[#This Row],[Author]],Table4[],2,0))</f>
        <v>HC</v>
      </c>
      <c r="L682" s="32" t="s">
        <v>509</v>
      </c>
      <c r="M682" s="73">
        <v>45713.21603009259</v>
      </c>
      <c r="N682" s="73">
        <v>45715</v>
      </c>
      <c r="O682" s="73">
        <v>45715</v>
      </c>
      <c r="P682" s="72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2" t="s">
        <v>478</v>
      </c>
      <c r="S682" s="71"/>
    </row>
    <row r="683" spans="1:19" hidden="1">
      <c r="A683" s="70" t="s">
        <v>2176</v>
      </c>
      <c r="B683" s="71" t="str">
        <f>IFERROR(VLOOKUP(Proc[[#This Row],[App]],Table2[],3,0),"open")</f>
        <v>ok</v>
      </c>
      <c r="C683" s="70" t="s">
        <v>369</v>
      </c>
      <c r="D683" t="s">
        <v>2168</v>
      </c>
      <c r="E683" t="s">
        <v>2161</v>
      </c>
      <c r="F683" s="105" t="s">
        <v>2161</v>
      </c>
      <c r="G683" s="70" t="s">
        <v>400</v>
      </c>
      <c r="H683" s="71" t="str">
        <f>IF(Proc[[#This Row],[type]]="LFF (MDG-F)",MID(Proc[[#This Row],[Obj]],13,10),"")</f>
        <v/>
      </c>
      <c r="J683" s="71" t="b">
        <f>Proc[[#This Row],[Requested]]=Proc[[#This Row],[CurrentParent]]</f>
        <v>1</v>
      </c>
      <c r="K683" s="71" t="str">
        <f>IF(Proc[[#This Row],[Author]]="Marcela Urrego",VLOOKUP(LEFT(Proc[[#This Row],[Requested]],1),Table3[#All],2,0),VLOOKUP(Proc[[#This Row],[Author]],Table4[],2,0))</f>
        <v>HC</v>
      </c>
      <c r="L683" s="32" t="s">
        <v>509</v>
      </c>
      <c r="M683" s="73">
        <v>45713.21603009259</v>
      </c>
      <c r="N683" s="73">
        <v>45715</v>
      </c>
      <c r="O683" s="73">
        <v>45715</v>
      </c>
      <c r="P683" s="72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2" t="s">
        <v>478</v>
      </c>
      <c r="S683" s="71"/>
    </row>
    <row r="684" spans="1:19" hidden="1">
      <c r="A684" s="70" t="s">
        <v>2176</v>
      </c>
      <c r="B684" s="71" t="str">
        <f>IFERROR(VLOOKUP(Proc[[#This Row],[App]],Table2[],3,0),"open")</f>
        <v>ok</v>
      </c>
      <c r="C684" s="70" t="s">
        <v>369</v>
      </c>
      <c r="D684" t="s">
        <v>2169</v>
      </c>
      <c r="E684" t="s">
        <v>2161</v>
      </c>
      <c r="F684" s="105" t="s">
        <v>2161</v>
      </c>
      <c r="G684" s="70" t="s">
        <v>400</v>
      </c>
      <c r="H684" s="71" t="str">
        <f>IF(Proc[[#This Row],[type]]="LFF (MDG-F)",MID(Proc[[#This Row],[Obj]],13,10),"")</f>
        <v/>
      </c>
      <c r="J684" s="71" t="b">
        <f>Proc[[#This Row],[Requested]]=Proc[[#This Row],[CurrentParent]]</f>
        <v>1</v>
      </c>
      <c r="K684" s="71" t="str">
        <f>IF(Proc[[#This Row],[Author]]="Marcela Urrego",VLOOKUP(LEFT(Proc[[#This Row],[Requested]],1),Table3[#All],2,0),VLOOKUP(Proc[[#This Row],[Author]],Table4[],2,0))</f>
        <v>HC</v>
      </c>
      <c r="L684" s="32" t="s">
        <v>509</v>
      </c>
      <c r="M684" s="73">
        <v>45713.21603009259</v>
      </c>
      <c r="N684" s="73">
        <v>45715</v>
      </c>
      <c r="O684" s="73">
        <v>45715</v>
      </c>
      <c r="P684" s="72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2" t="s">
        <v>478</v>
      </c>
      <c r="S684" s="71"/>
    </row>
    <row r="685" spans="1:19" hidden="1">
      <c r="A685" s="70" t="s">
        <v>2176</v>
      </c>
      <c r="B685" s="71" t="str">
        <f>IFERROR(VLOOKUP(Proc[[#This Row],[App]],Table2[],3,0),"open")</f>
        <v>ok</v>
      </c>
      <c r="C685" s="70" t="s">
        <v>369</v>
      </c>
      <c r="D685" t="s">
        <v>2170</v>
      </c>
      <c r="E685" t="s">
        <v>2161</v>
      </c>
      <c r="F685" s="105" t="s">
        <v>2161</v>
      </c>
      <c r="G685" s="70" t="s">
        <v>400</v>
      </c>
      <c r="H685" s="71" t="str">
        <f>IF(Proc[[#This Row],[type]]="LFF (MDG-F)",MID(Proc[[#This Row],[Obj]],13,10),"")</f>
        <v/>
      </c>
      <c r="J685" s="71" t="b">
        <f>Proc[[#This Row],[Requested]]=Proc[[#This Row],[CurrentParent]]</f>
        <v>1</v>
      </c>
      <c r="K685" s="71" t="str">
        <f>IF(Proc[[#This Row],[Author]]="Marcela Urrego",VLOOKUP(LEFT(Proc[[#This Row],[Requested]],1),Table3[#All],2,0),VLOOKUP(Proc[[#This Row],[Author]],Table4[],2,0))</f>
        <v>HC</v>
      </c>
      <c r="L685" s="32" t="s">
        <v>509</v>
      </c>
      <c r="M685" s="73">
        <v>45713.21603009259</v>
      </c>
      <c r="N685" s="73">
        <v>45715</v>
      </c>
      <c r="O685" s="73">
        <v>45715</v>
      </c>
      <c r="P685" s="72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2" t="s">
        <v>478</v>
      </c>
      <c r="S685" s="71"/>
    </row>
    <row r="686" spans="1:19" hidden="1">
      <c r="A686" s="70" t="s">
        <v>2176</v>
      </c>
      <c r="B686" s="71" t="str">
        <f>IFERROR(VLOOKUP(Proc[[#This Row],[App]],Table2[],3,0),"open")</f>
        <v>ok</v>
      </c>
      <c r="C686" s="70" t="s">
        <v>369</v>
      </c>
      <c r="D686" t="s">
        <v>2171</v>
      </c>
      <c r="E686" t="s">
        <v>2161</v>
      </c>
      <c r="F686" s="105" t="s">
        <v>2161</v>
      </c>
      <c r="G686" s="70" t="s">
        <v>400</v>
      </c>
      <c r="H686" s="71" t="str">
        <f>IF(Proc[[#This Row],[type]]="LFF (MDG-F)",MID(Proc[[#This Row],[Obj]],13,10),"")</f>
        <v/>
      </c>
      <c r="J686" s="71" t="b">
        <f>Proc[[#This Row],[Requested]]=Proc[[#This Row],[CurrentParent]]</f>
        <v>1</v>
      </c>
      <c r="K686" s="71" t="str">
        <f>IF(Proc[[#This Row],[Author]]="Marcela Urrego",VLOOKUP(LEFT(Proc[[#This Row],[Requested]],1),Table3[#All],2,0),VLOOKUP(Proc[[#This Row],[Author]],Table4[],2,0))</f>
        <v>HC</v>
      </c>
      <c r="L686" s="32" t="s">
        <v>509</v>
      </c>
      <c r="M686" s="73">
        <v>45713.21603009259</v>
      </c>
      <c r="N686" s="73">
        <v>45715</v>
      </c>
      <c r="O686" s="73">
        <v>45715</v>
      </c>
      <c r="P686" s="72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2" t="s">
        <v>478</v>
      </c>
      <c r="S686" s="71"/>
    </row>
    <row r="687" spans="1:19" hidden="1">
      <c r="A687" s="70" t="s">
        <v>2176</v>
      </c>
      <c r="B687" s="71" t="str">
        <f>IFERROR(VLOOKUP(Proc[[#This Row],[App]],Table2[],3,0),"open")</f>
        <v>ok</v>
      </c>
      <c r="C687" s="70" t="s">
        <v>369</v>
      </c>
      <c r="D687" t="s">
        <v>2172</v>
      </c>
      <c r="E687" t="s">
        <v>2161</v>
      </c>
      <c r="F687" s="105" t="s">
        <v>2161</v>
      </c>
      <c r="G687" s="70" t="s">
        <v>400</v>
      </c>
      <c r="H687" s="71" t="str">
        <f>IF(Proc[[#This Row],[type]]="LFF (MDG-F)",MID(Proc[[#This Row],[Obj]],13,10),"")</f>
        <v/>
      </c>
      <c r="J687" s="71" t="b">
        <f>Proc[[#This Row],[Requested]]=Proc[[#This Row],[CurrentParent]]</f>
        <v>1</v>
      </c>
      <c r="K687" s="71" t="str">
        <f>IF(Proc[[#This Row],[Author]]="Marcela Urrego",VLOOKUP(LEFT(Proc[[#This Row],[Requested]],1),Table3[#All],2,0),VLOOKUP(Proc[[#This Row],[Author]],Table4[],2,0))</f>
        <v>HC</v>
      </c>
      <c r="L687" s="32" t="s">
        <v>509</v>
      </c>
      <c r="M687" s="73">
        <v>45713.21603009259</v>
      </c>
      <c r="N687" s="73">
        <v>45715</v>
      </c>
      <c r="O687" s="73">
        <v>45715</v>
      </c>
      <c r="P687" s="72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2" t="s">
        <v>478</v>
      </c>
      <c r="S687" s="71"/>
    </row>
    <row r="688" spans="1:19" hidden="1">
      <c r="A688" s="70" t="s">
        <v>2176</v>
      </c>
      <c r="B688" s="71" t="str">
        <f>IFERROR(VLOOKUP(Proc[[#This Row],[App]],Table2[],3,0),"open")</f>
        <v>ok</v>
      </c>
      <c r="C688" s="70" t="s">
        <v>369</v>
      </c>
      <c r="D688" t="s">
        <v>2173</v>
      </c>
      <c r="E688" t="s">
        <v>2174</v>
      </c>
      <c r="F688" s="105" t="s">
        <v>2174</v>
      </c>
      <c r="G688" s="70" t="s">
        <v>400</v>
      </c>
      <c r="H688" s="71" t="str">
        <f>IF(Proc[[#This Row],[type]]="LFF (MDG-F)",MID(Proc[[#This Row],[Obj]],13,10),"")</f>
        <v/>
      </c>
      <c r="J688" s="71" t="b">
        <f>Proc[[#This Row],[Requested]]=Proc[[#This Row],[CurrentParent]]</f>
        <v>1</v>
      </c>
      <c r="K688" s="71" t="str">
        <f>IF(Proc[[#This Row],[Author]]="Marcela Urrego",VLOOKUP(LEFT(Proc[[#This Row],[Requested]],1),Table3[#All],2,0),VLOOKUP(Proc[[#This Row],[Author]],Table4[],2,0))</f>
        <v>HC</v>
      </c>
      <c r="L688" s="32" t="s">
        <v>509</v>
      </c>
      <c r="M688" s="73">
        <v>45713.21603009259</v>
      </c>
      <c r="N688" s="73">
        <v>45715</v>
      </c>
      <c r="O688" s="73">
        <v>45715</v>
      </c>
      <c r="P688" s="72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2" t="s">
        <v>478</v>
      </c>
      <c r="S688" s="71"/>
    </row>
    <row r="689" spans="1:19" hidden="1">
      <c r="A689" s="70" t="s">
        <v>2176</v>
      </c>
      <c r="B689" s="71" t="str">
        <f>IFERROR(VLOOKUP(Proc[[#This Row],[App]],Table2[],3,0),"open")</f>
        <v>ok</v>
      </c>
      <c r="C689" s="70" t="s">
        <v>369</v>
      </c>
      <c r="D689" t="s">
        <v>2175</v>
      </c>
      <c r="E689" t="s">
        <v>2174</v>
      </c>
      <c r="F689" s="105" t="s">
        <v>2174</v>
      </c>
      <c r="G689" s="70" t="s">
        <v>400</v>
      </c>
      <c r="H689" s="71" t="str">
        <f>IF(Proc[[#This Row],[type]]="LFF (MDG-F)",MID(Proc[[#This Row],[Obj]],13,10),"")</f>
        <v/>
      </c>
      <c r="J689" s="71" t="b">
        <f>Proc[[#This Row],[Requested]]=Proc[[#This Row],[CurrentParent]]</f>
        <v>1</v>
      </c>
      <c r="K689" s="71" t="str">
        <f>IF(Proc[[#This Row],[Author]]="Marcela Urrego",VLOOKUP(LEFT(Proc[[#This Row],[Requested]],1),Table3[#All],2,0),VLOOKUP(Proc[[#This Row],[Author]],Table4[],2,0))</f>
        <v>HC</v>
      </c>
      <c r="L689" s="32" t="s">
        <v>509</v>
      </c>
      <c r="M689" s="73">
        <v>45713.21603009259</v>
      </c>
      <c r="N689" s="73">
        <v>45715</v>
      </c>
      <c r="O689" s="73">
        <v>45715</v>
      </c>
      <c r="P689" s="72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2" t="s">
        <v>478</v>
      </c>
      <c r="S689" s="71"/>
    </row>
    <row r="690" spans="1:19" hidden="1">
      <c r="A690" s="70" t="s">
        <v>2096</v>
      </c>
      <c r="B690" s="71" t="str">
        <f>IFERROR(VLOOKUP(Proc[[#This Row],[App]],Table2[],3,0),"open")</f>
        <v>ok</v>
      </c>
      <c r="C690" s="70" t="s">
        <v>369</v>
      </c>
      <c r="D690" t="s">
        <v>2097</v>
      </c>
      <c r="E690" t="s">
        <v>2098</v>
      </c>
      <c r="F690" s="105" t="s">
        <v>2098</v>
      </c>
      <c r="G690" s="70" t="s">
        <v>406</v>
      </c>
      <c r="H690" s="71" t="str">
        <f>IF(Proc[[#This Row],[type]]="LFF (MDG-F)",MID(Proc[[#This Row],[Obj]],13,10),"")</f>
        <v>CN50C01602</v>
      </c>
      <c r="J690" s="71" t="b">
        <f>Proc[[#This Row],[Requested]]=Proc[[#This Row],[CurrentParent]]</f>
        <v>1</v>
      </c>
      <c r="K690" s="71" t="str">
        <f>IF(Proc[[#This Row],[Author]]="Marcela Urrego",VLOOKUP(LEFT(Proc[[#This Row],[Requested]],1),Table3[#All],2,0),VLOOKUP(Proc[[#This Row],[Author]],Table4[],2,0))</f>
        <v>HC</v>
      </c>
      <c r="L690" s="32" t="s">
        <v>509</v>
      </c>
      <c r="M690" s="73">
        <v>45713.229062500002</v>
      </c>
      <c r="N690" s="73">
        <v>45715</v>
      </c>
      <c r="O690" s="73">
        <v>45715</v>
      </c>
      <c r="P690" s="72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2" t="s">
        <v>478</v>
      </c>
      <c r="S690" s="71"/>
    </row>
    <row r="691" spans="1:19" hidden="1">
      <c r="A691" s="70" t="s">
        <v>2096</v>
      </c>
      <c r="B691" s="71" t="str">
        <f>IFERROR(VLOOKUP(Proc[[#This Row],[App]],Table2[],3,0),"open")</f>
        <v>ok</v>
      </c>
      <c r="C691" s="70" t="s">
        <v>369</v>
      </c>
      <c r="D691" t="s">
        <v>2099</v>
      </c>
      <c r="E691" t="s">
        <v>2100</v>
      </c>
      <c r="F691" s="105" t="s">
        <v>2100</v>
      </c>
      <c r="G691" s="70" t="s">
        <v>406</v>
      </c>
      <c r="H691" s="71" t="str">
        <f>IF(Proc[[#This Row],[type]]="LFF (MDG-F)",MID(Proc[[#This Row],[Obj]],13,10),"")</f>
        <v>CN90L50000</v>
      </c>
      <c r="J691" s="71" t="b">
        <f>Proc[[#This Row],[Requested]]=Proc[[#This Row],[CurrentParent]]</f>
        <v>1</v>
      </c>
      <c r="K691" s="71" t="str">
        <f>IF(Proc[[#This Row],[Author]]="Marcela Urrego",VLOOKUP(LEFT(Proc[[#This Row],[Requested]],1),Table3[#All],2,0),VLOOKUP(Proc[[#This Row],[Author]],Table4[],2,0))</f>
        <v>HC</v>
      </c>
      <c r="L691" s="32" t="s">
        <v>509</v>
      </c>
      <c r="M691" s="73">
        <v>45713.229062500002</v>
      </c>
      <c r="N691" s="73">
        <v>45715</v>
      </c>
      <c r="O691" s="73">
        <v>45715</v>
      </c>
      <c r="P691" s="72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2" t="s">
        <v>478</v>
      </c>
      <c r="S691" s="71"/>
    </row>
    <row r="692" spans="1:19" hidden="1">
      <c r="A692" s="70" t="s">
        <v>2096</v>
      </c>
      <c r="B692" s="71" t="str">
        <f>IFERROR(VLOOKUP(Proc[[#This Row],[App]],Table2[],3,0),"open")</f>
        <v>ok</v>
      </c>
      <c r="C692" s="70" t="s">
        <v>369</v>
      </c>
      <c r="D692" t="s">
        <v>2101</v>
      </c>
      <c r="E692" t="s">
        <v>2100</v>
      </c>
      <c r="F692" s="105" t="s">
        <v>2100</v>
      </c>
      <c r="G692" s="70" t="s">
        <v>406</v>
      </c>
      <c r="H692" s="71" t="str">
        <f>IF(Proc[[#This Row],[type]]="LFF (MDG-F)",MID(Proc[[#This Row],[Obj]],13,10),"")</f>
        <v>CN90L80001</v>
      </c>
      <c r="J692" s="71" t="b">
        <f>Proc[[#This Row],[Requested]]=Proc[[#This Row],[CurrentParent]]</f>
        <v>1</v>
      </c>
      <c r="K692" s="71" t="str">
        <f>IF(Proc[[#This Row],[Author]]="Marcela Urrego",VLOOKUP(LEFT(Proc[[#This Row],[Requested]],1),Table3[#All],2,0),VLOOKUP(Proc[[#This Row],[Author]],Table4[],2,0))</f>
        <v>HC</v>
      </c>
      <c r="L692" s="32" t="s">
        <v>509</v>
      </c>
      <c r="M692" s="73">
        <v>45713.229062500002</v>
      </c>
      <c r="N692" s="73">
        <v>45715</v>
      </c>
      <c r="O692" s="73">
        <v>45715</v>
      </c>
      <c r="P692" s="72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2" t="s">
        <v>478</v>
      </c>
      <c r="S692" s="71"/>
    </row>
    <row r="693" spans="1:19" hidden="1">
      <c r="A693" s="70" t="s">
        <v>2096</v>
      </c>
      <c r="B693" s="71" t="str">
        <f>IFERROR(VLOOKUP(Proc[[#This Row],[App]],Table2[],3,0),"open")</f>
        <v>ok</v>
      </c>
      <c r="C693" s="70" t="s">
        <v>369</v>
      </c>
      <c r="D693" t="s">
        <v>2102</v>
      </c>
      <c r="E693" t="s">
        <v>2103</v>
      </c>
      <c r="F693" s="105" t="s">
        <v>2103</v>
      </c>
      <c r="G693" s="70" t="s">
        <v>400</v>
      </c>
      <c r="H693" s="71" t="str">
        <f>IF(Proc[[#This Row],[type]]="LFF (MDG-F)",MID(Proc[[#This Row],[Obj]],13,10),"")</f>
        <v/>
      </c>
      <c r="J693" s="71" t="b">
        <f>Proc[[#This Row],[Requested]]=Proc[[#This Row],[CurrentParent]]</f>
        <v>1</v>
      </c>
      <c r="K693" s="71" t="str">
        <f>IF(Proc[[#This Row],[Author]]="Marcela Urrego",VLOOKUP(LEFT(Proc[[#This Row],[Requested]],1),Table3[#All],2,0),VLOOKUP(Proc[[#This Row],[Author]],Table4[],2,0))</f>
        <v>HC</v>
      </c>
      <c r="L693" s="32" t="s">
        <v>509</v>
      </c>
      <c r="M693" s="73">
        <v>45713.229062500002</v>
      </c>
      <c r="N693" s="73">
        <v>45715</v>
      </c>
      <c r="O693" s="73">
        <v>45715</v>
      </c>
      <c r="P693" s="72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2" t="s">
        <v>478</v>
      </c>
      <c r="S693" s="71"/>
    </row>
    <row r="694" spans="1:19" hidden="1">
      <c r="A694" s="70" t="s">
        <v>2096</v>
      </c>
      <c r="B694" s="71" t="str">
        <f>IFERROR(VLOOKUP(Proc[[#This Row],[App]],Table2[],3,0),"open")</f>
        <v>ok</v>
      </c>
      <c r="C694" s="70" t="s">
        <v>369</v>
      </c>
      <c r="D694" t="s">
        <v>2104</v>
      </c>
      <c r="E694" t="s">
        <v>2105</v>
      </c>
      <c r="F694" s="105" t="s">
        <v>2105</v>
      </c>
      <c r="G694" s="70" t="s">
        <v>400</v>
      </c>
      <c r="H694" s="71" t="str">
        <f>IF(Proc[[#This Row],[type]]="LFF (MDG-F)",MID(Proc[[#This Row],[Obj]],13,10),"")</f>
        <v/>
      </c>
      <c r="J694" s="71" t="b">
        <f>Proc[[#This Row],[Requested]]=Proc[[#This Row],[CurrentParent]]</f>
        <v>1</v>
      </c>
      <c r="K694" s="71" t="str">
        <f>IF(Proc[[#This Row],[Author]]="Marcela Urrego",VLOOKUP(LEFT(Proc[[#This Row],[Requested]],1),Table3[#All],2,0),VLOOKUP(Proc[[#This Row],[Author]],Table4[],2,0))</f>
        <v>HC</v>
      </c>
      <c r="L694" s="32" t="s">
        <v>509</v>
      </c>
      <c r="M694" s="73">
        <v>45713.229062500002</v>
      </c>
      <c r="N694" s="73">
        <v>45715</v>
      </c>
      <c r="O694" s="73">
        <v>45715</v>
      </c>
      <c r="P694" s="72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2" t="s">
        <v>478</v>
      </c>
      <c r="S694" s="71"/>
    </row>
    <row r="695" spans="1:19" hidden="1">
      <c r="A695" s="70" t="s">
        <v>2096</v>
      </c>
      <c r="B695" s="71" t="str">
        <f>IFERROR(VLOOKUP(Proc[[#This Row],[App]],Table2[],3,0),"open")</f>
        <v>ok</v>
      </c>
      <c r="C695" s="70" t="s">
        <v>369</v>
      </c>
      <c r="D695" t="s">
        <v>2106</v>
      </c>
      <c r="E695" t="s">
        <v>2105</v>
      </c>
      <c r="F695" s="105" t="s">
        <v>2105</v>
      </c>
      <c r="G695" s="70" t="s">
        <v>400</v>
      </c>
      <c r="H695" s="71" t="str">
        <f>IF(Proc[[#This Row],[type]]="LFF (MDG-F)",MID(Proc[[#This Row],[Obj]],13,10),"")</f>
        <v/>
      </c>
      <c r="J695" s="71" t="b">
        <f>Proc[[#This Row],[Requested]]=Proc[[#This Row],[CurrentParent]]</f>
        <v>1</v>
      </c>
      <c r="K695" s="71" t="str">
        <f>IF(Proc[[#This Row],[Author]]="Marcela Urrego",VLOOKUP(LEFT(Proc[[#This Row],[Requested]],1),Table3[#All],2,0),VLOOKUP(Proc[[#This Row],[Author]],Table4[],2,0))</f>
        <v>HC</v>
      </c>
      <c r="L695" s="32" t="s">
        <v>509</v>
      </c>
      <c r="M695" s="73">
        <v>45713.229062500002</v>
      </c>
      <c r="N695" s="73">
        <v>45715</v>
      </c>
      <c r="O695" s="73">
        <v>45715</v>
      </c>
      <c r="P695" s="72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2" t="s">
        <v>478</v>
      </c>
      <c r="S695" s="71"/>
    </row>
    <row r="696" spans="1:19" hidden="1">
      <c r="A696" s="70" t="s">
        <v>2096</v>
      </c>
      <c r="B696" s="71" t="str">
        <f>IFERROR(VLOOKUP(Proc[[#This Row],[App]],Table2[],3,0),"open")</f>
        <v>ok</v>
      </c>
      <c r="C696" s="70" t="s">
        <v>369</v>
      </c>
      <c r="D696" t="s">
        <v>2107</v>
      </c>
      <c r="E696" t="s">
        <v>2103</v>
      </c>
      <c r="F696" s="105" t="s">
        <v>2103</v>
      </c>
      <c r="G696" s="70" t="s">
        <v>400</v>
      </c>
      <c r="H696" s="71" t="str">
        <f>IF(Proc[[#This Row],[type]]="LFF (MDG-F)",MID(Proc[[#This Row],[Obj]],13,10),"")</f>
        <v/>
      </c>
      <c r="J696" s="71" t="b">
        <f>Proc[[#This Row],[Requested]]=Proc[[#This Row],[CurrentParent]]</f>
        <v>1</v>
      </c>
      <c r="K696" s="71" t="str">
        <f>IF(Proc[[#This Row],[Author]]="Marcela Urrego",VLOOKUP(LEFT(Proc[[#This Row],[Requested]],1),Table3[#All],2,0),VLOOKUP(Proc[[#This Row],[Author]],Table4[],2,0))</f>
        <v>HC</v>
      </c>
      <c r="L696" s="32" t="s">
        <v>509</v>
      </c>
      <c r="M696" s="73">
        <v>45713.229062500002</v>
      </c>
      <c r="N696" s="73">
        <v>45715</v>
      </c>
      <c r="O696" s="73">
        <v>45715</v>
      </c>
      <c r="P696" s="72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2" t="s">
        <v>478</v>
      </c>
      <c r="S696" s="71"/>
    </row>
    <row r="697" spans="1:19" hidden="1">
      <c r="A697" s="70" t="s">
        <v>2096</v>
      </c>
      <c r="B697" s="71" t="str">
        <f>IFERROR(VLOOKUP(Proc[[#This Row],[App]],Table2[],3,0),"open")</f>
        <v>ok</v>
      </c>
      <c r="C697" s="70" t="s">
        <v>369</v>
      </c>
      <c r="D697" t="s">
        <v>2108</v>
      </c>
      <c r="E697" t="s">
        <v>2109</v>
      </c>
      <c r="F697" s="105" t="s">
        <v>2109</v>
      </c>
      <c r="G697" s="70" t="s">
        <v>400</v>
      </c>
      <c r="H697" s="71" t="str">
        <f>IF(Proc[[#This Row],[type]]="LFF (MDG-F)",MID(Proc[[#This Row],[Obj]],13,10),"")</f>
        <v/>
      </c>
      <c r="J697" s="71" t="b">
        <f>Proc[[#This Row],[Requested]]=Proc[[#This Row],[CurrentParent]]</f>
        <v>1</v>
      </c>
      <c r="K697" s="71" t="str">
        <f>IF(Proc[[#This Row],[Author]]="Marcela Urrego",VLOOKUP(LEFT(Proc[[#This Row],[Requested]],1),Table3[#All],2,0),VLOOKUP(Proc[[#This Row],[Author]],Table4[],2,0))</f>
        <v>HC</v>
      </c>
      <c r="L697" s="32" t="s">
        <v>509</v>
      </c>
      <c r="M697" s="73">
        <v>45713.229062500002</v>
      </c>
      <c r="N697" s="73">
        <v>45715</v>
      </c>
      <c r="O697" s="73">
        <v>45715</v>
      </c>
      <c r="P697" s="72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2" t="s">
        <v>478</v>
      </c>
      <c r="S697" s="71"/>
    </row>
    <row r="698" spans="1:19" hidden="1">
      <c r="A698" s="70" t="s">
        <v>2096</v>
      </c>
      <c r="B698" s="71" t="str">
        <f>IFERROR(VLOOKUP(Proc[[#This Row],[App]],Table2[],3,0),"open")</f>
        <v>ok</v>
      </c>
      <c r="C698" s="70" t="s">
        <v>369</v>
      </c>
      <c r="D698" t="s">
        <v>2110</v>
      </c>
      <c r="E698" t="s">
        <v>2109</v>
      </c>
      <c r="F698" s="105" t="s">
        <v>2109</v>
      </c>
      <c r="G698" s="70" t="s">
        <v>400</v>
      </c>
      <c r="H698" s="71" t="str">
        <f>IF(Proc[[#This Row],[type]]="LFF (MDG-F)",MID(Proc[[#This Row],[Obj]],13,10),"")</f>
        <v/>
      </c>
      <c r="J698" s="71" t="b">
        <f>Proc[[#This Row],[Requested]]=Proc[[#This Row],[CurrentParent]]</f>
        <v>1</v>
      </c>
      <c r="K698" s="71" t="str">
        <f>IF(Proc[[#This Row],[Author]]="Marcela Urrego",VLOOKUP(LEFT(Proc[[#This Row],[Requested]],1),Table3[#All],2,0),VLOOKUP(Proc[[#This Row],[Author]],Table4[],2,0))</f>
        <v>HC</v>
      </c>
      <c r="L698" s="32" t="s">
        <v>509</v>
      </c>
      <c r="M698" s="73">
        <v>45713.229062500002</v>
      </c>
      <c r="N698" s="73">
        <v>45715</v>
      </c>
      <c r="O698" s="73">
        <v>45715</v>
      </c>
      <c r="P698" s="72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2" t="s">
        <v>478</v>
      </c>
      <c r="S698" s="71"/>
    </row>
    <row r="699" spans="1:19" hidden="1">
      <c r="A699" s="70" t="s">
        <v>2096</v>
      </c>
      <c r="B699" s="71" t="str">
        <f>IFERROR(VLOOKUP(Proc[[#This Row],[App]],Table2[],3,0),"open")</f>
        <v>ok</v>
      </c>
      <c r="C699" s="70" t="s">
        <v>369</v>
      </c>
      <c r="D699" t="s">
        <v>2111</v>
      </c>
      <c r="E699" t="s">
        <v>2109</v>
      </c>
      <c r="F699" s="105" t="s">
        <v>2109</v>
      </c>
      <c r="G699" s="70" t="s">
        <v>400</v>
      </c>
      <c r="H699" s="71" t="str">
        <f>IF(Proc[[#This Row],[type]]="LFF (MDG-F)",MID(Proc[[#This Row],[Obj]],13,10),"")</f>
        <v/>
      </c>
      <c r="J699" s="71" t="b">
        <f>Proc[[#This Row],[Requested]]=Proc[[#This Row],[CurrentParent]]</f>
        <v>1</v>
      </c>
      <c r="K699" s="71" t="str">
        <f>IF(Proc[[#This Row],[Author]]="Marcela Urrego",VLOOKUP(LEFT(Proc[[#This Row],[Requested]],1),Table3[#All],2,0),VLOOKUP(Proc[[#This Row],[Author]],Table4[],2,0))</f>
        <v>HC</v>
      </c>
      <c r="L699" s="32" t="s">
        <v>509</v>
      </c>
      <c r="M699" s="73">
        <v>45713.229062500002</v>
      </c>
      <c r="N699" s="73">
        <v>45715</v>
      </c>
      <c r="O699" s="73">
        <v>45715</v>
      </c>
      <c r="P699" s="72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2" t="s">
        <v>478</v>
      </c>
      <c r="S699" s="71"/>
    </row>
    <row r="700" spans="1:19" hidden="1">
      <c r="A700" s="70" t="s">
        <v>2096</v>
      </c>
      <c r="B700" s="71" t="str">
        <f>IFERROR(VLOOKUP(Proc[[#This Row],[App]],Table2[],3,0),"open")</f>
        <v>ok</v>
      </c>
      <c r="C700" s="70" t="s">
        <v>369</v>
      </c>
      <c r="D700" t="s">
        <v>2112</v>
      </c>
      <c r="E700" t="s">
        <v>2109</v>
      </c>
      <c r="F700" s="105" t="s">
        <v>2109</v>
      </c>
      <c r="G700" s="70" t="s">
        <v>400</v>
      </c>
      <c r="H700" s="71" t="str">
        <f>IF(Proc[[#This Row],[type]]="LFF (MDG-F)",MID(Proc[[#This Row],[Obj]],13,10),"")</f>
        <v/>
      </c>
      <c r="J700" s="71" t="b">
        <f>Proc[[#This Row],[Requested]]=Proc[[#This Row],[CurrentParent]]</f>
        <v>1</v>
      </c>
      <c r="K700" s="71" t="str">
        <f>IF(Proc[[#This Row],[Author]]="Marcela Urrego",VLOOKUP(LEFT(Proc[[#This Row],[Requested]],1),Table3[#All],2,0),VLOOKUP(Proc[[#This Row],[Author]],Table4[],2,0))</f>
        <v>HC</v>
      </c>
      <c r="L700" s="32" t="s">
        <v>509</v>
      </c>
      <c r="M700" s="73">
        <v>45713.229062500002</v>
      </c>
      <c r="N700" s="73">
        <v>45715</v>
      </c>
      <c r="O700" s="73">
        <v>45715</v>
      </c>
      <c r="P700" s="72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2" t="s">
        <v>478</v>
      </c>
      <c r="S700" s="71"/>
    </row>
    <row r="701" spans="1:19" hidden="1">
      <c r="A701" s="70" t="s">
        <v>2096</v>
      </c>
      <c r="B701" s="71" t="str">
        <f>IFERROR(VLOOKUP(Proc[[#This Row],[App]],Table2[],3,0),"open")</f>
        <v>ok</v>
      </c>
      <c r="C701" s="70" t="s">
        <v>369</v>
      </c>
      <c r="D701" t="s">
        <v>2113</v>
      </c>
      <c r="E701" t="s">
        <v>2109</v>
      </c>
      <c r="F701" s="105" t="s">
        <v>2109</v>
      </c>
      <c r="G701" s="70" t="s">
        <v>400</v>
      </c>
      <c r="H701" s="71" t="str">
        <f>IF(Proc[[#This Row],[type]]="LFF (MDG-F)",MID(Proc[[#This Row],[Obj]],13,10),"")</f>
        <v/>
      </c>
      <c r="J701" s="71" t="b">
        <f>Proc[[#This Row],[Requested]]=Proc[[#This Row],[CurrentParent]]</f>
        <v>1</v>
      </c>
      <c r="K701" s="71" t="str">
        <f>IF(Proc[[#This Row],[Author]]="Marcela Urrego",VLOOKUP(LEFT(Proc[[#This Row],[Requested]],1),Table3[#All],2,0),VLOOKUP(Proc[[#This Row],[Author]],Table4[],2,0))</f>
        <v>HC</v>
      </c>
      <c r="L701" s="32" t="s">
        <v>509</v>
      </c>
      <c r="M701" s="73">
        <v>45713.229062500002</v>
      </c>
      <c r="N701" s="73">
        <v>45715</v>
      </c>
      <c r="O701" s="73">
        <v>45715</v>
      </c>
      <c r="P701" s="72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2" t="s">
        <v>478</v>
      </c>
      <c r="S701" s="71"/>
    </row>
    <row r="702" spans="1:19" hidden="1">
      <c r="A702" s="70" t="s">
        <v>2096</v>
      </c>
      <c r="B702" s="71" t="str">
        <f>IFERROR(VLOOKUP(Proc[[#This Row],[App]],Table2[],3,0),"open")</f>
        <v>ok</v>
      </c>
      <c r="C702" s="70" t="s">
        <v>369</v>
      </c>
      <c r="D702" t="s">
        <v>2114</v>
      </c>
      <c r="E702" t="s">
        <v>2109</v>
      </c>
      <c r="F702" s="105" t="s">
        <v>2109</v>
      </c>
      <c r="G702" s="70" t="s">
        <v>400</v>
      </c>
      <c r="H702" s="71" t="str">
        <f>IF(Proc[[#This Row],[type]]="LFF (MDG-F)",MID(Proc[[#This Row],[Obj]],13,10),"")</f>
        <v/>
      </c>
      <c r="J702" s="71" t="b">
        <f>Proc[[#This Row],[Requested]]=Proc[[#This Row],[CurrentParent]]</f>
        <v>1</v>
      </c>
      <c r="K702" s="71" t="str">
        <f>IF(Proc[[#This Row],[Author]]="Marcela Urrego",VLOOKUP(LEFT(Proc[[#This Row],[Requested]],1),Table3[#All],2,0),VLOOKUP(Proc[[#This Row],[Author]],Table4[],2,0))</f>
        <v>HC</v>
      </c>
      <c r="L702" s="32" t="s">
        <v>509</v>
      </c>
      <c r="M702" s="73">
        <v>45713.229062500002</v>
      </c>
      <c r="N702" s="73">
        <v>45715</v>
      </c>
      <c r="O702" s="73">
        <v>45715</v>
      </c>
      <c r="P702" s="72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2" t="s">
        <v>478</v>
      </c>
      <c r="S702" s="71"/>
    </row>
    <row r="703" spans="1:19" hidden="1">
      <c r="A703" s="70" t="s">
        <v>2096</v>
      </c>
      <c r="B703" s="71" t="str">
        <f>IFERROR(VLOOKUP(Proc[[#This Row],[App]],Table2[],3,0),"open")</f>
        <v>ok</v>
      </c>
      <c r="C703" s="70" t="s">
        <v>369</v>
      </c>
      <c r="D703" t="s">
        <v>2115</v>
      </c>
      <c r="E703" t="s">
        <v>2109</v>
      </c>
      <c r="F703" s="105" t="s">
        <v>2109</v>
      </c>
      <c r="G703" s="70" t="s">
        <v>400</v>
      </c>
      <c r="H703" s="71" t="str">
        <f>IF(Proc[[#This Row],[type]]="LFF (MDG-F)",MID(Proc[[#This Row],[Obj]],13,10),"")</f>
        <v/>
      </c>
      <c r="J703" s="71" t="b">
        <f>Proc[[#This Row],[Requested]]=Proc[[#This Row],[CurrentParent]]</f>
        <v>1</v>
      </c>
      <c r="K703" s="71" t="str">
        <f>IF(Proc[[#This Row],[Author]]="Marcela Urrego",VLOOKUP(LEFT(Proc[[#This Row],[Requested]],1),Table3[#All],2,0),VLOOKUP(Proc[[#This Row],[Author]],Table4[],2,0))</f>
        <v>HC</v>
      </c>
      <c r="L703" s="32" t="s">
        <v>509</v>
      </c>
      <c r="M703" s="73">
        <v>45713.229062500002</v>
      </c>
      <c r="N703" s="73">
        <v>45715</v>
      </c>
      <c r="O703" s="73">
        <v>45715</v>
      </c>
      <c r="P703" s="72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2" t="s">
        <v>478</v>
      </c>
      <c r="S703" s="71"/>
    </row>
    <row r="704" spans="1:19" hidden="1">
      <c r="A704" s="70" t="s">
        <v>2096</v>
      </c>
      <c r="B704" s="71" t="str">
        <f>IFERROR(VLOOKUP(Proc[[#This Row],[App]],Table2[],3,0),"open")</f>
        <v>ok</v>
      </c>
      <c r="C704" s="70" t="s">
        <v>369</v>
      </c>
      <c r="D704" t="s">
        <v>2116</v>
      </c>
      <c r="E704" t="s">
        <v>2117</v>
      </c>
      <c r="F704" s="105" t="s">
        <v>2117</v>
      </c>
      <c r="G704" s="70" t="s">
        <v>400</v>
      </c>
      <c r="H704" s="71" t="str">
        <f>IF(Proc[[#This Row],[type]]="LFF (MDG-F)",MID(Proc[[#This Row],[Obj]],13,10),"")</f>
        <v/>
      </c>
      <c r="J704" s="71" t="b">
        <f>Proc[[#This Row],[Requested]]=Proc[[#This Row],[CurrentParent]]</f>
        <v>1</v>
      </c>
      <c r="K704" s="71" t="str">
        <f>IF(Proc[[#This Row],[Author]]="Marcela Urrego",VLOOKUP(LEFT(Proc[[#This Row],[Requested]],1),Table3[#All],2,0),VLOOKUP(Proc[[#This Row],[Author]],Table4[],2,0))</f>
        <v>HC</v>
      </c>
      <c r="L704" s="32" t="s">
        <v>509</v>
      </c>
      <c r="M704" s="73">
        <v>45713.229062500002</v>
      </c>
      <c r="N704" s="73">
        <v>45715</v>
      </c>
      <c r="O704" s="73">
        <v>45715</v>
      </c>
      <c r="P704" s="72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2" t="s">
        <v>478</v>
      </c>
      <c r="S704" s="71"/>
    </row>
    <row r="705" spans="1:19" hidden="1">
      <c r="A705" s="70" t="s">
        <v>2096</v>
      </c>
      <c r="B705" s="71" t="str">
        <f>IFERROR(VLOOKUP(Proc[[#This Row],[App]],Table2[],3,0),"open")</f>
        <v>ok</v>
      </c>
      <c r="C705" s="70" t="s">
        <v>369</v>
      </c>
      <c r="D705" t="s">
        <v>2118</v>
      </c>
      <c r="E705" t="s">
        <v>2119</v>
      </c>
      <c r="F705" s="105" t="s">
        <v>2119</v>
      </c>
      <c r="G705" s="70" t="s">
        <v>400</v>
      </c>
      <c r="H705" s="71" t="str">
        <f>IF(Proc[[#This Row],[type]]="LFF (MDG-F)",MID(Proc[[#This Row],[Obj]],13,10),"")</f>
        <v/>
      </c>
      <c r="J705" s="71" t="b">
        <f>Proc[[#This Row],[Requested]]=Proc[[#This Row],[CurrentParent]]</f>
        <v>1</v>
      </c>
      <c r="K705" s="71" t="str">
        <f>IF(Proc[[#This Row],[Author]]="Marcela Urrego",VLOOKUP(LEFT(Proc[[#This Row],[Requested]],1),Table3[#All],2,0),VLOOKUP(Proc[[#This Row],[Author]],Table4[],2,0))</f>
        <v>HC</v>
      </c>
      <c r="L705" s="32" t="s">
        <v>509</v>
      </c>
      <c r="M705" s="73">
        <v>45713.229062500002</v>
      </c>
      <c r="N705" s="73">
        <v>45715</v>
      </c>
      <c r="O705" s="73">
        <v>45715</v>
      </c>
      <c r="P705" s="72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2" t="s">
        <v>478</v>
      </c>
      <c r="S705" s="71"/>
    </row>
    <row r="706" spans="1:19" hidden="1">
      <c r="A706" s="70" t="s">
        <v>2096</v>
      </c>
      <c r="B706" s="71" t="str">
        <f>IFERROR(VLOOKUP(Proc[[#This Row],[App]],Table2[],3,0),"open")</f>
        <v>ok</v>
      </c>
      <c r="C706" s="70" t="s">
        <v>369</v>
      </c>
      <c r="D706" t="s">
        <v>2120</v>
      </c>
      <c r="E706" t="s">
        <v>2121</v>
      </c>
      <c r="F706" s="105" t="s">
        <v>2121</v>
      </c>
      <c r="G706" s="70" t="s">
        <v>400</v>
      </c>
      <c r="H706" s="71" t="str">
        <f>IF(Proc[[#This Row],[type]]="LFF (MDG-F)",MID(Proc[[#This Row],[Obj]],13,10),"")</f>
        <v/>
      </c>
      <c r="J706" s="71" t="b">
        <f>Proc[[#This Row],[Requested]]=Proc[[#This Row],[CurrentParent]]</f>
        <v>1</v>
      </c>
      <c r="K706" s="71" t="str">
        <f>IF(Proc[[#This Row],[Author]]="Marcela Urrego",VLOOKUP(LEFT(Proc[[#This Row],[Requested]],1),Table3[#All],2,0),VLOOKUP(Proc[[#This Row],[Author]],Table4[],2,0))</f>
        <v>HC</v>
      </c>
      <c r="L706" s="32" t="s">
        <v>509</v>
      </c>
      <c r="M706" s="73">
        <v>45713.229062500002</v>
      </c>
      <c r="N706" s="73">
        <v>45715</v>
      </c>
      <c r="O706" s="73">
        <v>45715</v>
      </c>
      <c r="P706" s="72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2" t="s">
        <v>478</v>
      </c>
      <c r="S706" s="71"/>
    </row>
    <row r="707" spans="1:19" hidden="1">
      <c r="A707" s="70" t="s">
        <v>2096</v>
      </c>
      <c r="B707" s="71" t="str">
        <f>IFERROR(VLOOKUP(Proc[[#This Row],[App]],Table2[],3,0),"open")</f>
        <v>ok</v>
      </c>
      <c r="C707" s="70" t="s">
        <v>369</v>
      </c>
      <c r="D707" t="s">
        <v>2122</v>
      </c>
      <c r="E707" t="s">
        <v>2123</v>
      </c>
      <c r="F707" s="105" t="s">
        <v>2123</v>
      </c>
      <c r="G707" s="70" t="s">
        <v>400</v>
      </c>
      <c r="H707" s="71" t="str">
        <f>IF(Proc[[#This Row],[type]]="LFF (MDG-F)",MID(Proc[[#This Row],[Obj]],13,10),"")</f>
        <v/>
      </c>
      <c r="J707" s="71" t="b">
        <f>Proc[[#This Row],[Requested]]=Proc[[#This Row],[CurrentParent]]</f>
        <v>1</v>
      </c>
      <c r="K707" s="71" t="str">
        <f>IF(Proc[[#This Row],[Author]]="Marcela Urrego",VLOOKUP(LEFT(Proc[[#This Row],[Requested]],1),Table3[#All],2,0),VLOOKUP(Proc[[#This Row],[Author]],Table4[],2,0))</f>
        <v>HC</v>
      </c>
      <c r="L707" s="32" t="s">
        <v>509</v>
      </c>
      <c r="M707" s="73">
        <v>45713.229062500002</v>
      </c>
      <c r="N707" s="73">
        <v>45715</v>
      </c>
      <c r="O707" s="73">
        <v>45715</v>
      </c>
      <c r="P707" s="72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2" t="s">
        <v>478</v>
      </c>
      <c r="S707" s="71"/>
    </row>
    <row r="708" spans="1:19" hidden="1">
      <c r="A708" s="70" t="s">
        <v>2096</v>
      </c>
      <c r="B708" s="71" t="str">
        <f>IFERROR(VLOOKUP(Proc[[#This Row],[App]],Table2[],3,0),"open")</f>
        <v>ok</v>
      </c>
      <c r="C708" s="70" t="s">
        <v>369</v>
      </c>
      <c r="D708" t="s">
        <v>2124</v>
      </c>
      <c r="E708" t="s">
        <v>2123</v>
      </c>
      <c r="F708" s="105" t="s">
        <v>2123</v>
      </c>
      <c r="G708" s="70" t="s">
        <v>400</v>
      </c>
      <c r="H708" s="71" t="str">
        <f>IF(Proc[[#This Row],[type]]="LFF (MDG-F)",MID(Proc[[#This Row],[Obj]],13,10),"")</f>
        <v/>
      </c>
      <c r="J708" s="71" t="b">
        <f>Proc[[#This Row],[Requested]]=Proc[[#This Row],[CurrentParent]]</f>
        <v>1</v>
      </c>
      <c r="K708" s="71" t="str">
        <f>IF(Proc[[#This Row],[Author]]="Marcela Urrego",VLOOKUP(LEFT(Proc[[#This Row],[Requested]],1),Table3[#All],2,0),VLOOKUP(Proc[[#This Row],[Author]],Table4[],2,0))</f>
        <v>HC</v>
      </c>
      <c r="L708" s="32" t="s">
        <v>509</v>
      </c>
      <c r="M708" s="73">
        <v>45713.229062500002</v>
      </c>
      <c r="N708" s="73">
        <v>45715</v>
      </c>
      <c r="O708" s="73">
        <v>45715</v>
      </c>
      <c r="P708" s="72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2" t="s">
        <v>478</v>
      </c>
      <c r="S708" s="71"/>
    </row>
    <row r="709" spans="1:19" hidden="1">
      <c r="A709" s="70" t="s">
        <v>2096</v>
      </c>
      <c r="B709" s="71" t="str">
        <f>IFERROR(VLOOKUP(Proc[[#This Row],[App]],Table2[],3,0),"open")</f>
        <v>ok</v>
      </c>
      <c r="C709" s="70" t="s">
        <v>369</v>
      </c>
      <c r="D709" t="s">
        <v>2125</v>
      </c>
      <c r="E709" t="s">
        <v>2119</v>
      </c>
      <c r="F709" s="105" t="s">
        <v>2119</v>
      </c>
      <c r="G709" s="70" t="s">
        <v>400</v>
      </c>
      <c r="H709" s="71" t="str">
        <f>IF(Proc[[#This Row],[type]]="LFF (MDG-F)",MID(Proc[[#This Row],[Obj]],13,10),"")</f>
        <v/>
      </c>
      <c r="J709" s="71" t="b">
        <f>Proc[[#This Row],[Requested]]=Proc[[#This Row],[CurrentParent]]</f>
        <v>1</v>
      </c>
      <c r="K709" s="71" t="str">
        <f>IF(Proc[[#This Row],[Author]]="Marcela Urrego",VLOOKUP(LEFT(Proc[[#This Row],[Requested]],1),Table3[#All],2,0),VLOOKUP(Proc[[#This Row],[Author]],Table4[],2,0))</f>
        <v>HC</v>
      </c>
      <c r="L709" s="32" t="s">
        <v>509</v>
      </c>
      <c r="M709" s="73">
        <v>45713.229062500002</v>
      </c>
      <c r="N709" s="73">
        <v>45715</v>
      </c>
      <c r="O709" s="73">
        <v>45715</v>
      </c>
      <c r="P709" s="72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2" t="s">
        <v>478</v>
      </c>
      <c r="S709" s="71"/>
    </row>
    <row r="710" spans="1:19" hidden="1">
      <c r="A710" s="70" t="s">
        <v>2096</v>
      </c>
      <c r="B710" s="71" t="str">
        <f>IFERROR(VLOOKUP(Proc[[#This Row],[App]],Table2[],3,0),"open")</f>
        <v>ok</v>
      </c>
      <c r="C710" s="70" t="s">
        <v>369</v>
      </c>
      <c r="D710" t="s">
        <v>2126</v>
      </c>
      <c r="E710" t="s">
        <v>2119</v>
      </c>
      <c r="F710" s="105" t="s">
        <v>2119</v>
      </c>
      <c r="G710" s="70" t="s">
        <v>400</v>
      </c>
      <c r="H710" s="71" t="str">
        <f>IF(Proc[[#This Row],[type]]="LFF (MDG-F)",MID(Proc[[#This Row],[Obj]],13,10),"")</f>
        <v/>
      </c>
      <c r="J710" s="71" t="b">
        <f>Proc[[#This Row],[Requested]]=Proc[[#This Row],[CurrentParent]]</f>
        <v>1</v>
      </c>
      <c r="K710" s="71" t="str">
        <f>IF(Proc[[#This Row],[Author]]="Marcela Urrego",VLOOKUP(LEFT(Proc[[#This Row],[Requested]],1),Table3[#All],2,0),VLOOKUP(Proc[[#This Row],[Author]],Table4[],2,0))</f>
        <v>HC</v>
      </c>
      <c r="L710" s="32" t="s">
        <v>509</v>
      </c>
      <c r="M710" s="73">
        <v>45713.229062500002</v>
      </c>
      <c r="N710" s="73">
        <v>45715</v>
      </c>
      <c r="O710" s="73">
        <v>45715</v>
      </c>
      <c r="P710" s="72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2" t="s">
        <v>478</v>
      </c>
      <c r="S710" s="71"/>
    </row>
    <row r="711" spans="1:19" hidden="1">
      <c r="A711" s="70" t="s">
        <v>2096</v>
      </c>
      <c r="B711" s="71" t="str">
        <f>IFERROR(VLOOKUP(Proc[[#This Row],[App]],Table2[],3,0),"open")</f>
        <v>ok</v>
      </c>
      <c r="C711" s="70" t="s">
        <v>369</v>
      </c>
      <c r="D711" t="s">
        <v>2127</v>
      </c>
      <c r="E711" t="s">
        <v>2119</v>
      </c>
      <c r="F711" s="105" t="s">
        <v>2119</v>
      </c>
      <c r="G711" s="70" t="s">
        <v>400</v>
      </c>
      <c r="H711" s="71" t="str">
        <f>IF(Proc[[#This Row],[type]]="LFF (MDG-F)",MID(Proc[[#This Row],[Obj]],13,10),"")</f>
        <v/>
      </c>
      <c r="J711" s="71" t="b">
        <f>Proc[[#This Row],[Requested]]=Proc[[#This Row],[CurrentParent]]</f>
        <v>1</v>
      </c>
      <c r="K711" s="71" t="str">
        <f>IF(Proc[[#This Row],[Author]]="Marcela Urrego",VLOOKUP(LEFT(Proc[[#This Row],[Requested]],1),Table3[#All],2,0),VLOOKUP(Proc[[#This Row],[Author]],Table4[],2,0))</f>
        <v>HC</v>
      </c>
      <c r="L711" s="32" t="s">
        <v>509</v>
      </c>
      <c r="M711" s="73">
        <v>45713.229062500002</v>
      </c>
      <c r="N711" s="73">
        <v>45715</v>
      </c>
      <c r="O711" s="73">
        <v>45715</v>
      </c>
      <c r="P711" s="72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2" t="s">
        <v>478</v>
      </c>
      <c r="S711" s="71"/>
    </row>
    <row r="712" spans="1:19" hidden="1">
      <c r="A712" s="70" t="s">
        <v>2096</v>
      </c>
      <c r="B712" s="71" t="str">
        <f>IFERROR(VLOOKUP(Proc[[#This Row],[App]],Table2[],3,0),"open")</f>
        <v>ok</v>
      </c>
      <c r="C712" s="70" t="s">
        <v>369</v>
      </c>
      <c r="D712" t="s">
        <v>2128</v>
      </c>
      <c r="E712" t="s">
        <v>2103</v>
      </c>
      <c r="F712" s="105" t="s">
        <v>2103</v>
      </c>
      <c r="G712" s="70" t="s">
        <v>400</v>
      </c>
      <c r="H712" s="71" t="str">
        <f>IF(Proc[[#This Row],[type]]="LFF (MDG-F)",MID(Proc[[#This Row],[Obj]],13,10),"")</f>
        <v/>
      </c>
      <c r="J712" s="71" t="b">
        <f>Proc[[#This Row],[Requested]]=Proc[[#This Row],[CurrentParent]]</f>
        <v>1</v>
      </c>
      <c r="K712" s="71" t="str">
        <f>IF(Proc[[#This Row],[Author]]="Marcela Urrego",VLOOKUP(LEFT(Proc[[#This Row],[Requested]],1),Table3[#All],2,0),VLOOKUP(Proc[[#This Row],[Author]],Table4[],2,0))</f>
        <v>HC</v>
      </c>
      <c r="L712" s="32" t="s">
        <v>509</v>
      </c>
      <c r="M712" s="73">
        <v>45713.229062500002</v>
      </c>
      <c r="N712" s="73">
        <v>45715</v>
      </c>
      <c r="O712" s="73">
        <v>45715</v>
      </c>
      <c r="P712" s="72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2" t="s">
        <v>478</v>
      </c>
      <c r="S712" s="71"/>
    </row>
    <row r="713" spans="1:19" hidden="1">
      <c r="A713" s="70" t="s">
        <v>2096</v>
      </c>
      <c r="B713" s="71" t="str">
        <f>IFERROR(VLOOKUP(Proc[[#This Row],[App]],Table2[],3,0),"open")</f>
        <v>ok</v>
      </c>
      <c r="C713" s="70" t="s">
        <v>369</v>
      </c>
      <c r="D713" t="s">
        <v>2129</v>
      </c>
      <c r="E713" t="s">
        <v>2130</v>
      </c>
      <c r="F713" s="105" t="s">
        <v>2130</v>
      </c>
      <c r="G713" s="70" t="s">
        <v>400</v>
      </c>
      <c r="H713" s="71" t="str">
        <f>IF(Proc[[#This Row],[type]]="LFF (MDG-F)",MID(Proc[[#This Row],[Obj]],13,10),"")</f>
        <v/>
      </c>
      <c r="J713" s="71" t="b">
        <f>Proc[[#This Row],[Requested]]=Proc[[#This Row],[CurrentParent]]</f>
        <v>1</v>
      </c>
      <c r="K713" s="71" t="str">
        <f>IF(Proc[[#This Row],[Author]]="Marcela Urrego",VLOOKUP(LEFT(Proc[[#This Row],[Requested]],1),Table3[#All],2,0),VLOOKUP(Proc[[#This Row],[Author]],Table4[],2,0))</f>
        <v>HC</v>
      </c>
      <c r="L713" s="32" t="s">
        <v>509</v>
      </c>
      <c r="M713" s="73">
        <v>45713.229062500002</v>
      </c>
      <c r="N713" s="73">
        <v>45715</v>
      </c>
      <c r="O713" s="73">
        <v>45715</v>
      </c>
      <c r="P713" s="72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2" t="s">
        <v>478</v>
      </c>
      <c r="S713" s="71"/>
    </row>
    <row r="714" spans="1:19" hidden="1">
      <c r="A714" s="70" t="s">
        <v>2096</v>
      </c>
      <c r="B714" s="71" t="str">
        <f>IFERROR(VLOOKUP(Proc[[#This Row],[App]],Table2[],3,0),"open")</f>
        <v>ok</v>
      </c>
      <c r="C714" s="70" t="s">
        <v>369</v>
      </c>
      <c r="D714" t="s">
        <v>2131</v>
      </c>
      <c r="E714" t="s">
        <v>2132</v>
      </c>
      <c r="F714" s="105" t="s">
        <v>2132</v>
      </c>
      <c r="G714" s="70" t="s">
        <v>400</v>
      </c>
      <c r="H714" s="71" t="str">
        <f>IF(Proc[[#This Row],[type]]="LFF (MDG-F)",MID(Proc[[#This Row],[Obj]],13,10),"")</f>
        <v/>
      </c>
      <c r="J714" s="71" t="b">
        <f>Proc[[#This Row],[Requested]]=Proc[[#This Row],[CurrentParent]]</f>
        <v>1</v>
      </c>
      <c r="K714" s="71" t="str">
        <f>IF(Proc[[#This Row],[Author]]="Marcela Urrego",VLOOKUP(LEFT(Proc[[#This Row],[Requested]],1),Table3[#All],2,0),VLOOKUP(Proc[[#This Row],[Author]],Table4[],2,0))</f>
        <v>HC</v>
      </c>
      <c r="L714" s="32" t="s">
        <v>509</v>
      </c>
      <c r="M714" s="73">
        <v>45713.229062500002</v>
      </c>
      <c r="N714" s="73">
        <v>45715</v>
      </c>
      <c r="O714" s="73">
        <v>45715</v>
      </c>
      <c r="P714" s="72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2" t="s">
        <v>478</v>
      </c>
      <c r="S714" s="71"/>
    </row>
    <row r="715" spans="1:19" hidden="1">
      <c r="A715" s="70" t="s">
        <v>2096</v>
      </c>
      <c r="B715" s="71" t="str">
        <f>IFERROR(VLOOKUP(Proc[[#This Row],[App]],Table2[],3,0),"open")</f>
        <v>ok</v>
      </c>
      <c r="C715" s="70" t="s">
        <v>369</v>
      </c>
      <c r="D715" t="s">
        <v>2133</v>
      </c>
      <c r="E715" t="s">
        <v>2132</v>
      </c>
      <c r="F715" s="105" t="s">
        <v>2132</v>
      </c>
      <c r="G715" s="70" t="s">
        <v>400</v>
      </c>
      <c r="H715" s="71" t="str">
        <f>IF(Proc[[#This Row],[type]]="LFF (MDG-F)",MID(Proc[[#This Row],[Obj]],13,10),"")</f>
        <v/>
      </c>
      <c r="J715" s="71" t="b">
        <f>Proc[[#This Row],[Requested]]=Proc[[#This Row],[CurrentParent]]</f>
        <v>1</v>
      </c>
      <c r="K715" s="71" t="str">
        <f>IF(Proc[[#This Row],[Author]]="Marcela Urrego",VLOOKUP(LEFT(Proc[[#This Row],[Requested]],1),Table3[#All],2,0),VLOOKUP(Proc[[#This Row],[Author]],Table4[],2,0))</f>
        <v>HC</v>
      </c>
      <c r="L715" s="32" t="s">
        <v>509</v>
      </c>
      <c r="M715" s="73">
        <v>45713.229062500002</v>
      </c>
      <c r="N715" s="73">
        <v>45715</v>
      </c>
      <c r="O715" s="73">
        <v>45715</v>
      </c>
      <c r="P715" s="72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2" t="s">
        <v>478</v>
      </c>
      <c r="S715" s="71"/>
    </row>
    <row r="716" spans="1:19" hidden="1">
      <c r="A716" s="70" t="s">
        <v>2096</v>
      </c>
      <c r="B716" s="71" t="str">
        <f>IFERROR(VLOOKUP(Proc[[#This Row],[App]],Table2[],3,0),"open")</f>
        <v>ok</v>
      </c>
      <c r="C716" s="70" t="s">
        <v>369</v>
      </c>
      <c r="D716" t="s">
        <v>2134</v>
      </c>
      <c r="E716" t="s">
        <v>2132</v>
      </c>
      <c r="F716" s="105" t="s">
        <v>2132</v>
      </c>
      <c r="G716" s="70" t="s">
        <v>400</v>
      </c>
      <c r="H716" s="71" t="str">
        <f>IF(Proc[[#This Row],[type]]="LFF (MDG-F)",MID(Proc[[#This Row],[Obj]],13,10),"")</f>
        <v/>
      </c>
      <c r="J716" s="71" t="b">
        <f>Proc[[#This Row],[Requested]]=Proc[[#This Row],[CurrentParent]]</f>
        <v>1</v>
      </c>
      <c r="K716" s="71" t="str">
        <f>IF(Proc[[#This Row],[Author]]="Marcela Urrego",VLOOKUP(LEFT(Proc[[#This Row],[Requested]],1),Table3[#All],2,0),VLOOKUP(Proc[[#This Row],[Author]],Table4[],2,0))</f>
        <v>HC</v>
      </c>
      <c r="L716" s="32" t="s">
        <v>509</v>
      </c>
      <c r="M716" s="73">
        <v>45713.229062500002</v>
      </c>
      <c r="N716" s="73">
        <v>45715</v>
      </c>
      <c r="O716" s="73">
        <v>45715</v>
      </c>
      <c r="P716" s="72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2" t="s">
        <v>478</v>
      </c>
      <c r="S716" s="71"/>
    </row>
    <row r="717" spans="1:19" hidden="1">
      <c r="A717" s="70" t="s">
        <v>2096</v>
      </c>
      <c r="B717" s="71" t="str">
        <f>IFERROR(VLOOKUP(Proc[[#This Row],[App]],Table2[],3,0),"open")</f>
        <v>ok</v>
      </c>
      <c r="C717" s="70" t="s">
        <v>369</v>
      </c>
      <c r="D717" t="s">
        <v>2135</v>
      </c>
      <c r="E717" t="s">
        <v>2132</v>
      </c>
      <c r="F717" s="105" t="s">
        <v>2132</v>
      </c>
      <c r="G717" s="70" t="s">
        <v>400</v>
      </c>
      <c r="H717" s="71" t="str">
        <f>IF(Proc[[#This Row],[type]]="LFF (MDG-F)",MID(Proc[[#This Row],[Obj]],13,10),"")</f>
        <v/>
      </c>
      <c r="J717" s="71" t="b">
        <f>Proc[[#This Row],[Requested]]=Proc[[#This Row],[CurrentParent]]</f>
        <v>1</v>
      </c>
      <c r="K717" s="71" t="str">
        <f>IF(Proc[[#This Row],[Author]]="Marcela Urrego",VLOOKUP(LEFT(Proc[[#This Row],[Requested]],1),Table3[#All],2,0),VLOOKUP(Proc[[#This Row],[Author]],Table4[],2,0))</f>
        <v>HC</v>
      </c>
      <c r="L717" s="32" t="s">
        <v>509</v>
      </c>
      <c r="M717" s="73">
        <v>45713.229062500002</v>
      </c>
      <c r="N717" s="73">
        <v>45715</v>
      </c>
      <c r="O717" s="73">
        <v>45715</v>
      </c>
      <c r="P717" s="72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2" t="s">
        <v>478</v>
      </c>
      <c r="S717" s="71"/>
    </row>
    <row r="718" spans="1:19" hidden="1">
      <c r="A718" s="70" t="s">
        <v>2096</v>
      </c>
      <c r="B718" s="71" t="str">
        <f>IFERROR(VLOOKUP(Proc[[#This Row],[App]],Table2[],3,0),"open")</f>
        <v>ok</v>
      </c>
      <c r="C718" s="70" t="s">
        <v>369</v>
      </c>
      <c r="D718" t="s">
        <v>2136</v>
      </c>
      <c r="E718" t="s">
        <v>2132</v>
      </c>
      <c r="F718" s="105" t="s">
        <v>2132</v>
      </c>
      <c r="G718" s="70" t="s">
        <v>400</v>
      </c>
      <c r="H718" s="71" t="str">
        <f>IF(Proc[[#This Row],[type]]="LFF (MDG-F)",MID(Proc[[#This Row],[Obj]],13,10),"")</f>
        <v/>
      </c>
      <c r="J718" s="71" t="b">
        <f>Proc[[#This Row],[Requested]]=Proc[[#This Row],[CurrentParent]]</f>
        <v>1</v>
      </c>
      <c r="K718" s="71" t="str">
        <f>IF(Proc[[#This Row],[Author]]="Marcela Urrego",VLOOKUP(LEFT(Proc[[#This Row],[Requested]],1),Table3[#All],2,0),VLOOKUP(Proc[[#This Row],[Author]],Table4[],2,0))</f>
        <v>HC</v>
      </c>
      <c r="L718" s="32" t="s">
        <v>509</v>
      </c>
      <c r="M718" s="73">
        <v>45713.229062500002</v>
      </c>
      <c r="N718" s="73">
        <v>45715</v>
      </c>
      <c r="O718" s="73">
        <v>45715</v>
      </c>
      <c r="P718" s="72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2" t="s">
        <v>478</v>
      </c>
      <c r="S718" s="71"/>
    </row>
    <row r="719" spans="1:19" hidden="1">
      <c r="A719" s="70" t="s">
        <v>2096</v>
      </c>
      <c r="B719" s="71" t="str">
        <f>IFERROR(VLOOKUP(Proc[[#This Row],[App]],Table2[],3,0),"open")</f>
        <v>ok</v>
      </c>
      <c r="C719" s="70" t="s">
        <v>369</v>
      </c>
      <c r="D719" t="s">
        <v>2137</v>
      </c>
      <c r="E719" t="s">
        <v>2132</v>
      </c>
      <c r="F719" s="105" t="s">
        <v>2132</v>
      </c>
      <c r="G719" s="70" t="s">
        <v>400</v>
      </c>
      <c r="H719" s="71" t="str">
        <f>IF(Proc[[#This Row],[type]]="LFF (MDG-F)",MID(Proc[[#This Row],[Obj]],13,10),"")</f>
        <v/>
      </c>
      <c r="J719" s="71" t="b">
        <f>Proc[[#This Row],[Requested]]=Proc[[#This Row],[CurrentParent]]</f>
        <v>1</v>
      </c>
      <c r="K719" s="71" t="str">
        <f>IF(Proc[[#This Row],[Author]]="Marcela Urrego",VLOOKUP(LEFT(Proc[[#This Row],[Requested]],1),Table3[#All],2,0),VLOOKUP(Proc[[#This Row],[Author]],Table4[],2,0))</f>
        <v>HC</v>
      </c>
      <c r="L719" s="32" t="s">
        <v>509</v>
      </c>
      <c r="M719" s="73">
        <v>45713.229062500002</v>
      </c>
      <c r="N719" s="73">
        <v>45715</v>
      </c>
      <c r="O719" s="73">
        <v>45715</v>
      </c>
      <c r="P719" s="72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2" t="s">
        <v>478</v>
      </c>
      <c r="S719" s="71"/>
    </row>
    <row r="720" spans="1:19" hidden="1">
      <c r="A720" s="70" t="s">
        <v>2096</v>
      </c>
      <c r="B720" s="71" t="str">
        <f>IFERROR(VLOOKUP(Proc[[#This Row],[App]],Table2[],3,0),"open")</f>
        <v>ok</v>
      </c>
      <c r="C720" s="70" t="s">
        <v>369</v>
      </c>
      <c r="D720" t="s">
        <v>2138</v>
      </c>
      <c r="E720" t="s">
        <v>2139</v>
      </c>
      <c r="F720" s="105" t="s">
        <v>2139</v>
      </c>
      <c r="G720" s="70" t="s">
        <v>400</v>
      </c>
      <c r="H720" s="71" t="str">
        <f>IF(Proc[[#This Row],[type]]="LFF (MDG-F)",MID(Proc[[#This Row],[Obj]],13,10),"")</f>
        <v/>
      </c>
      <c r="J720" s="71" t="b">
        <f>Proc[[#This Row],[Requested]]=Proc[[#This Row],[CurrentParent]]</f>
        <v>1</v>
      </c>
      <c r="K720" s="71" t="str">
        <f>IF(Proc[[#This Row],[Author]]="Marcela Urrego",VLOOKUP(LEFT(Proc[[#This Row],[Requested]],1),Table3[#All],2,0),VLOOKUP(Proc[[#This Row],[Author]],Table4[],2,0))</f>
        <v>HC</v>
      </c>
      <c r="L720" s="32" t="s">
        <v>509</v>
      </c>
      <c r="M720" s="73">
        <v>45713.229062500002</v>
      </c>
      <c r="N720" s="73">
        <v>45715</v>
      </c>
      <c r="O720" s="73">
        <v>45715</v>
      </c>
      <c r="P720" s="72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2" t="s">
        <v>478</v>
      </c>
      <c r="S720" s="71"/>
    </row>
    <row r="721" spans="1:19" hidden="1">
      <c r="A721" s="70" t="s">
        <v>2096</v>
      </c>
      <c r="B721" s="71" t="str">
        <f>IFERROR(VLOOKUP(Proc[[#This Row],[App]],Table2[],3,0),"open")</f>
        <v>ok</v>
      </c>
      <c r="C721" s="70" t="s">
        <v>369</v>
      </c>
      <c r="D721" t="s">
        <v>2140</v>
      </c>
      <c r="E721" t="s">
        <v>2139</v>
      </c>
      <c r="F721" s="105" t="s">
        <v>2139</v>
      </c>
      <c r="G721" s="70" t="s">
        <v>400</v>
      </c>
      <c r="H721" s="71" t="str">
        <f>IF(Proc[[#This Row],[type]]="LFF (MDG-F)",MID(Proc[[#This Row],[Obj]],13,10),"")</f>
        <v/>
      </c>
      <c r="J721" s="71" t="b">
        <f>Proc[[#This Row],[Requested]]=Proc[[#This Row],[CurrentParent]]</f>
        <v>1</v>
      </c>
      <c r="K721" s="71" t="str">
        <f>IF(Proc[[#This Row],[Author]]="Marcela Urrego",VLOOKUP(LEFT(Proc[[#This Row],[Requested]],1),Table3[#All],2,0),VLOOKUP(Proc[[#This Row],[Author]],Table4[],2,0))</f>
        <v>HC</v>
      </c>
      <c r="L721" s="32" t="s">
        <v>509</v>
      </c>
      <c r="M721" s="73">
        <v>45713.229062500002</v>
      </c>
      <c r="N721" s="73">
        <v>45715</v>
      </c>
      <c r="O721" s="73">
        <v>45715</v>
      </c>
      <c r="P721" s="72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2" t="s">
        <v>478</v>
      </c>
      <c r="S721" s="71"/>
    </row>
    <row r="722" spans="1:19" hidden="1">
      <c r="A722" s="70" t="s">
        <v>2096</v>
      </c>
      <c r="B722" s="71" t="str">
        <f>IFERROR(VLOOKUP(Proc[[#This Row],[App]],Table2[],3,0),"open")</f>
        <v>ok</v>
      </c>
      <c r="C722" s="70" t="s">
        <v>369</v>
      </c>
      <c r="D722" t="s">
        <v>2141</v>
      </c>
      <c r="E722" t="s">
        <v>2142</v>
      </c>
      <c r="F722" s="105" t="s">
        <v>2142</v>
      </c>
      <c r="G722" s="70" t="s">
        <v>400</v>
      </c>
      <c r="H722" s="71" t="str">
        <f>IF(Proc[[#This Row],[type]]="LFF (MDG-F)",MID(Proc[[#This Row],[Obj]],13,10),"")</f>
        <v/>
      </c>
      <c r="J722" s="71" t="b">
        <f>Proc[[#This Row],[Requested]]=Proc[[#This Row],[CurrentParent]]</f>
        <v>1</v>
      </c>
      <c r="K722" s="71" t="str">
        <f>IF(Proc[[#This Row],[Author]]="Marcela Urrego",VLOOKUP(LEFT(Proc[[#This Row],[Requested]],1),Table3[#All],2,0),VLOOKUP(Proc[[#This Row],[Author]],Table4[],2,0))</f>
        <v>HC</v>
      </c>
      <c r="L722" s="32" t="s">
        <v>509</v>
      </c>
      <c r="M722" s="73">
        <v>45713.229062500002</v>
      </c>
      <c r="N722" s="73">
        <v>45715</v>
      </c>
      <c r="O722" s="73">
        <v>45715</v>
      </c>
      <c r="P722" s="72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2" t="s">
        <v>478</v>
      </c>
      <c r="S722" s="71"/>
    </row>
    <row r="723" spans="1:19" hidden="1">
      <c r="A723" s="70" t="s">
        <v>2096</v>
      </c>
      <c r="B723" s="71" t="str">
        <f>IFERROR(VLOOKUP(Proc[[#This Row],[App]],Table2[],3,0),"open")</f>
        <v>ok</v>
      </c>
      <c r="C723" s="70" t="s">
        <v>369</v>
      </c>
      <c r="D723" t="s">
        <v>2143</v>
      </c>
      <c r="E723" t="s">
        <v>2144</v>
      </c>
      <c r="F723" s="105" t="s">
        <v>2144</v>
      </c>
      <c r="G723" s="70" t="s">
        <v>400</v>
      </c>
      <c r="H723" s="71" t="str">
        <f>IF(Proc[[#This Row],[type]]="LFF (MDG-F)",MID(Proc[[#This Row],[Obj]],13,10),"")</f>
        <v/>
      </c>
      <c r="J723" s="71" t="b">
        <f>Proc[[#This Row],[Requested]]=Proc[[#This Row],[CurrentParent]]</f>
        <v>1</v>
      </c>
      <c r="K723" s="71" t="str">
        <f>IF(Proc[[#This Row],[Author]]="Marcela Urrego",VLOOKUP(LEFT(Proc[[#This Row],[Requested]],1),Table3[#All],2,0),VLOOKUP(Proc[[#This Row],[Author]],Table4[],2,0))</f>
        <v>HC</v>
      </c>
      <c r="L723" s="32" t="s">
        <v>509</v>
      </c>
      <c r="M723" s="73">
        <v>45713.229062500002</v>
      </c>
      <c r="N723" s="73">
        <v>45715</v>
      </c>
      <c r="O723" s="73">
        <v>45715</v>
      </c>
      <c r="P723" s="72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2" t="s">
        <v>478</v>
      </c>
      <c r="S723" s="71"/>
    </row>
    <row r="724" spans="1:19" hidden="1">
      <c r="A724" s="70" t="s">
        <v>2096</v>
      </c>
      <c r="B724" s="71" t="str">
        <f>IFERROR(VLOOKUP(Proc[[#This Row],[App]],Table2[],3,0),"open")</f>
        <v>ok</v>
      </c>
      <c r="C724" s="70" t="s">
        <v>369</v>
      </c>
      <c r="D724" t="s">
        <v>2145</v>
      </c>
      <c r="E724" t="s">
        <v>2144</v>
      </c>
      <c r="F724" s="105" t="s">
        <v>2144</v>
      </c>
      <c r="G724" s="70" t="s">
        <v>400</v>
      </c>
      <c r="H724" s="71" t="str">
        <f>IF(Proc[[#This Row],[type]]="LFF (MDG-F)",MID(Proc[[#This Row],[Obj]],13,10),"")</f>
        <v/>
      </c>
      <c r="J724" s="71" t="b">
        <f>Proc[[#This Row],[Requested]]=Proc[[#This Row],[CurrentParent]]</f>
        <v>1</v>
      </c>
      <c r="K724" s="71" t="str">
        <f>IF(Proc[[#This Row],[Author]]="Marcela Urrego",VLOOKUP(LEFT(Proc[[#This Row],[Requested]],1),Table3[#All],2,0),VLOOKUP(Proc[[#This Row],[Author]],Table4[],2,0))</f>
        <v>HC</v>
      </c>
      <c r="L724" s="32" t="s">
        <v>509</v>
      </c>
      <c r="M724" s="73">
        <v>45713.229062500002</v>
      </c>
      <c r="N724" s="73">
        <v>45715</v>
      </c>
      <c r="O724" s="73">
        <v>45715</v>
      </c>
      <c r="P724" s="72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2" t="s">
        <v>478</v>
      </c>
      <c r="S724" s="71"/>
    </row>
    <row r="725" spans="1:19" hidden="1">
      <c r="A725" t="s">
        <v>2096</v>
      </c>
      <c r="B725" s="71" t="str">
        <f>IFERROR(VLOOKUP(Proc[[#This Row],[App]],Table2[],3,0),"open")</f>
        <v>ok</v>
      </c>
      <c r="C725" s="70" t="s">
        <v>369</v>
      </c>
      <c r="D725" t="s">
        <v>2146</v>
      </c>
      <c r="E725" t="s">
        <v>2144</v>
      </c>
      <c r="F725" s="105" t="s">
        <v>2144</v>
      </c>
      <c r="G725" s="70" t="s">
        <v>400</v>
      </c>
      <c r="H725" s="71" t="str">
        <f>IF(Proc[[#This Row],[type]]="LFF (MDG-F)",MID(Proc[[#This Row],[Obj]],13,10),"")</f>
        <v/>
      </c>
      <c r="J725" s="71" t="b">
        <f>Proc[[#This Row],[Requested]]=Proc[[#This Row],[CurrentParent]]</f>
        <v>1</v>
      </c>
      <c r="K725" s="71" t="str">
        <f>IF(Proc[[#This Row],[Author]]="Marcela Urrego",VLOOKUP(LEFT(Proc[[#This Row],[Requested]],1),Table3[#All],2,0),VLOOKUP(Proc[[#This Row],[Author]],Table4[],2,0))</f>
        <v>HC</v>
      </c>
      <c r="L725" s="32" t="s">
        <v>509</v>
      </c>
      <c r="M725" s="73">
        <v>45713.229062500002</v>
      </c>
      <c r="N725" s="73">
        <v>45715</v>
      </c>
      <c r="O725" s="73">
        <v>45715</v>
      </c>
      <c r="P725" s="72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2" t="s">
        <v>478</v>
      </c>
      <c r="S725" s="71"/>
    </row>
    <row r="726" spans="1:19" hidden="1">
      <c r="A726" s="70" t="s">
        <v>2096</v>
      </c>
      <c r="B726" s="71" t="str">
        <f>IFERROR(VLOOKUP(Proc[[#This Row],[App]],Table2[],3,0),"open")</f>
        <v>ok</v>
      </c>
      <c r="C726" s="70" t="s">
        <v>369</v>
      </c>
      <c r="D726" t="s">
        <v>2147</v>
      </c>
      <c r="E726" t="s">
        <v>2144</v>
      </c>
      <c r="F726" s="105" t="s">
        <v>2144</v>
      </c>
      <c r="G726" s="70" t="s">
        <v>400</v>
      </c>
      <c r="H726" s="71" t="str">
        <f>IF(Proc[[#This Row],[type]]="LFF (MDG-F)",MID(Proc[[#This Row],[Obj]],13,10),"")</f>
        <v/>
      </c>
      <c r="J726" s="71" t="b">
        <f>Proc[[#This Row],[Requested]]=Proc[[#This Row],[CurrentParent]]</f>
        <v>1</v>
      </c>
      <c r="K726" s="71" t="str">
        <f>IF(Proc[[#This Row],[Author]]="Marcela Urrego",VLOOKUP(LEFT(Proc[[#This Row],[Requested]],1),Table3[#All],2,0),VLOOKUP(Proc[[#This Row],[Author]],Table4[],2,0))</f>
        <v>HC</v>
      </c>
      <c r="L726" s="32" t="s">
        <v>509</v>
      </c>
      <c r="M726" s="73">
        <v>45713.229062500002</v>
      </c>
      <c r="N726" s="73">
        <v>45715</v>
      </c>
      <c r="O726" s="73">
        <v>45715</v>
      </c>
      <c r="P726" s="72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2" t="s">
        <v>478</v>
      </c>
      <c r="S726" s="71"/>
    </row>
    <row r="727" spans="1:19" hidden="1">
      <c r="A727" s="70" t="s">
        <v>2096</v>
      </c>
      <c r="B727" s="71" t="str">
        <f>IFERROR(VLOOKUP(Proc[[#This Row],[App]],Table2[],3,0),"open")</f>
        <v>ok</v>
      </c>
      <c r="C727" s="70" t="s">
        <v>369</v>
      </c>
      <c r="D727" t="s">
        <v>2148</v>
      </c>
      <c r="E727" t="s">
        <v>2149</v>
      </c>
      <c r="F727" s="105" t="s">
        <v>2149</v>
      </c>
      <c r="G727" s="70" t="s">
        <v>400</v>
      </c>
      <c r="H727" s="71" t="str">
        <f>IF(Proc[[#This Row],[type]]="LFF (MDG-F)",MID(Proc[[#This Row],[Obj]],13,10),"")</f>
        <v/>
      </c>
      <c r="J727" s="71" t="b">
        <f>Proc[[#This Row],[Requested]]=Proc[[#This Row],[CurrentParent]]</f>
        <v>1</v>
      </c>
      <c r="K727" s="71" t="str">
        <f>IF(Proc[[#This Row],[Author]]="Marcela Urrego",VLOOKUP(LEFT(Proc[[#This Row],[Requested]],1),Table3[#All],2,0),VLOOKUP(Proc[[#This Row],[Author]],Table4[],2,0))</f>
        <v>HC</v>
      </c>
      <c r="L727" s="32" t="s">
        <v>509</v>
      </c>
      <c r="M727" s="73">
        <v>45713.229062500002</v>
      </c>
      <c r="N727" s="73">
        <v>45715</v>
      </c>
      <c r="O727" s="73">
        <v>45715</v>
      </c>
      <c r="P727" s="72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2" t="s">
        <v>478</v>
      </c>
      <c r="S727" s="71"/>
    </row>
    <row r="728" spans="1:19" hidden="1">
      <c r="A728" s="70" t="s">
        <v>2096</v>
      </c>
      <c r="B728" s="71" t="str">
        <f>IFERROR(VLOOKUP(Proc[[#This Row],[App]],Table2[],3,0),"open")</f>
        <v>ok</v>
      </c>
      <c r="C728" s="70" t="s">
        <v>369</v>
      </c>
      <c r="D728" t="s">
        <v>2150</v>
      </c>
      <c r="E728" t="s">
        <v>2144</v>
      </c>
      <c r="F728" s="105" t="s">
        <v>2144</v>
      </c>
      <c r="G728" s="70" t="s">
        <v>400</v>
      </c>
      <c r="H728" s="71" t="str">
        <f>IF(Proc[[#This Row],[type]]="LFF (MDG-F)",MID(Proc[[#This Row],[Obj]],13,10),"")</f>
        <v/>
      </c>
      <c r="J728" s="71" t="b">
        <f>Proc[[#This Row],[Requested]]=Proc[[#This Row],[CurrentParent]]</f>
        <v>1</v>
      </c>
      <c r="K728" s="71" t="str">
        <f>IF(Proc[[#This Row],[Author]]="Marcela Urrego",VLOOKUP(LEFT(Proc[[#This Row],[Requested]],1),Table3[#All],2,0),VLOOKUP(Proc[[#This Row],[Author]],Table4[],2,0))</f>
        <v>HC</v>
      </c>
      <c r="L728" s="32" t="s">
        <v>509</v>
      </c>
      <c r="M728" s="73">
        <v>45713.229062500002</v>
      </c>
      <c r="N728" s="73">
        <v>45715</v>
      </c>
      <c r="O728" s="73">
        <v>45715</v>
      </c>
      <c r="P728" s="72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2" t="s">
        <v>478</v>
      </c>
      <c r="S728" s="71"/>
    </row>
    <row r="729" spans="1:19" hidden="1">
      <c r="A729" s="70" t="s">
        <v>2096</v>
      </c>
      <c r="B729" s="71" t="str">
        <f>IFERROR(VLOOKUP(Proc[[#This Row],[App]],Table2[],3,0),"open")</f>
        <v>ok</v>
      </c>
      <c r="C729" s="70" t="s">
        <v>369</v>
      </c>
      <c r="D729" t="s">
        <v>2151</v>
      </c>
      <c r="E729" t="s">
        <v>2144</v>
      </c>
      <c r="F729" s="105" t="s">
        <v>2144</v>
      </c>
      <c r="G729" s="70" t="s">
        <v>400</v>
      </c>
      <c r="H729" s="71" t="str">
        <f>IF(Proc[[#This Row],[type]]="LFF (MDG-F)",MID(Proc[[#This Row],[Obj]],13,10),"")</f>
        <v/>
      </c>
      <c r="J729" s="71" t="b">
        <f>Proc[[#This Row],[Requested]]=Proc[[#This Row],[CurrentParent]]</f>
        <v>1</v>
      </c>
      <c r="K729" s="71" t="str">
        <f>IF(Proc[[#This Row],[Author]]="Marcela Urrego",VLOOKUP(LEFT(Proc[[#This Row],[Requested]],1),Table3[#All],2,0),VLOOKUP(Proc[[#This Row],[Author]],Table4[],2,0))</f>
        <v>HC</v>
      </c>
      <c r="L729" s="32" t="s">
        <v>509</v>
      </c>
      <c r="M729" s="73">
        <v>45713.229062500002</v>
      </c>
      <c r="N729" s="73">
        <v>45715</v>
      </c>
      <c r="O729" s="73">
        <v>45715</v>
      </c>
      <c r="P729" s="72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2" t="s">
        <v>478</v>
      </c>
      <c r="S729" s="71"/>
    </row>
    <row r="730" spans="1:19" hidden="1">
      <c r="A730" s="70" t="s">
        <v>2096</v>
      </c>
      <c r="B730" s="71" t="str">
        <f>IFERROR(VLOOKUP(Proc[[#This Row],[App]],Table2[],3,0),"open")</f>
        <v>ok</v>
      </c>
      <c r="C730" s="70" t="s">
        <v>369</v>
      </c>
      <c r="D730" t="s">
        <v>2152</v>
      </c>
      <c r="E730" t="s">
        <v>2144</v>
      </c>
      <c r="F730" s="105" t="s">
        <v>2144</v>
      </c>
      <c r="G730" s="70" t="s">
        <v>400</v>
      </c>
      <c r="H730" s="71" t="str">
        <f>IF(Proc[[#This Row],[type]]="LFF (MDG-F)",MID(Proc[[#This Row],[Obj]],13,10),"")</f>
        <v/>
      </c>
      <c r="J730" s="71" t="b">
        <f>Proc[[#This Row],[Requested]]=Proc[[#This Row],[CurrentParent]]</f>
        <v>1</v>
      </c>
      <c r="K730" s="71" t="str">
        <f>IF(Proc[[#This Row],[Author]]="Marcela Urrego",VLOOKUP(LEFT(Proc[[#This Row],[Requested]],1),Table3[#All],2,0),VLOOKUP(Proc[[#This Row],[Author]],Table4[],2,0))</f>
        <v>HC</v>
      </c>
      <c r="L730" s="32" t="s">
        <v>509</v>
      </c>
      <c r="M730" s="73">
        <v>45713.229062500002</v>
      </c>
      <c r="N730" s="73">
        <v>45715</v>
      </c>
      <c r="O730" s="73">
        <v>45715</v>
      </c>
      <c r="P730" s="72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2" t="s">
        <v>478</v>
      </c>
      <c r="S730" s="71"/>
    </row>
    <row r="731" spans="1:19" hidden="1">
      <c r="A731" s="70" t="s">
        <v>2096</v>
      </c>
      <c r="B731" s="71" t="str">
        <f>IFERROR(VLOOKUP(Proc[[#This Row],[App]],Table2[],3,0),"open")</f>
        <v>ok</v>
      </c>
      <c r="C731" s="70" t="s">
        <v>369</v>
      </c>
      <c r="D731" t="s">
        <v>2153</v>
      </c>
      <c r="E731" t="s">
        <v>2103</v>
      </c>
      <c r="F731" s="105" t="s">
        <v>2103</v>
      </c>
      <c r="G731" s="70" t="s">
        <v>400</v>
      </c>
      <c r="H731" s="71" t="str">
        <f>IF(Proc[[#This Row],[type]]="LFF (MDG-F)",MID(Proc[[#This Row],[Obj]],13,10),"")</f>
        <v/>
      </c>
      <c r="J731" s="71" t="b">
        <f>Proc[[#This Row],[Requested]]=Proc[[#This Row],[CurrentParent]]</f>
        <v>1</v>
      </c>
      <c r="K731" s="71" t="str">
        <f>IF(Proc[[#This Row],[Author]]="Marcela Urrego",VLOOKUP(LEFT(Proc[[#This Row],[Requested]],1),Table3[#All],2,0),VLOOKUP(Proc[[#This Row],[Author]],Table4[],2,0))</f>
        <v>HC</v>
      </c>
      <c r="L731" s="32" t="s">
        <v>509</v>
      </c>
      <c r="M731" s="73">
        <v>45713.229062500002</v>
      </c>
      <c r="N731" s="73">
        <v>45715</v>
      </c>
      <c r="O731" s="73">
        <v>45715</v>
      </c>
      <c r="P731" s="72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2" t="s">
        <v>478</v>
      </c>
      <c r="S731" s="71"/>
    </row>
    <row r="732" spans="1:19" hidden="1">
      <c r="A732" s="70" t="s">
        <v>2096</v>
      </c>
      <c r="B732" s="71" t="str">
        <f>IFERROR(VLOOKUP(Proc[[#This Row],[App]],Table2[],3,0),"open")</f>
        <v>ok</v>
      </c>
      <c r="C732" s="70" t="s">
        <v>369</v>
      </c>
      <c r="D732" t="s">
        <v>2154</v>
      </c>
      <c r="E732" t="s">
        <v>2155</v>
      </c>
      <c r="F732" s="105" t="s">
        <v>2155</v>
      </c>
      <c r="G732" s="70" t="s">
        <v>400</v>
      </c>
      <c r="H732" s="71" t="str">
        <f>IF(Proc[[#This Row],[type]]="LFF (MDG-F)",MID(Proc[[#This Row],[Obj]],13,10),"")</f>
        <v/>
      </c>
      <c r="J732" s="71" t="b">
        <f>Proc[[#This Row],[Requested]]=Proc[[#This Row],[CurrentParent]]</f>
        <v>1</v>
      </c>
      <c r="K732" s="71" t="str">
        <f>IF(Proc[[#This Row],[Author]]="Marcela Urrego",VLOOKUP(LEFT(Proc[[#This Row],[Requested]],1),Table3[#All],2,0),VLOOKUP(Proc[[#This Row],[Author]],Table4[],2,0))</f>
        <v>HC</v>
      </c>
      <c r="L732" s="32" t="s">
        <v>509</v>
      </c>
      <c r="M732" s="73">
        <v>45713.229062500002</v>
      </c>
      <c r="N732" s="73">
        <v>45715</v>
      </c>
      <c r="O732" s="73">
        <v>45715</v>
      </c>
      <c r="P732" s="72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2" t="s">
        <v>478</v>
      </c>
      <c r="S732" s="71"/>
    </row>
    <row r="733" spans="1:19" hidden="1">
      <c r="A733" s="70" t="s">
        <v>2096</v>
      </c>
      <c r="B733" s="71" t="str">
        <f>IFERROR(VLOOKUP(Proc[[#This Row],[App]],Table2[],3,0),"open")</f>
        <v>ok</v>
      </c>
      <c r="C733" s="70" t="s">
        <v>369</v>
      </c>
      <c r="D733" t="s">
        <v>2156</v>
      </c>
      <c r="E733" t="s">
        <v>2144</v>
      </c>
      <c r="F733" s="105" t="s">
        <v>2144</v>
      </c>
      <c r="G733" s="70" t="s">
        <v>400</v>
      </c>
      <c r="H733" s="71" t="str">
        <f>IF(Proc[[#This Row],[type]]="LFF (MDG-F)",MID(Proc[[#This Row],[Obj]],13,10),"")</f>
        <v/>
      </c>
      <c r="J733" s="71" t="b">
        <f>Proc[[#This Row],[Requested]]=Proc[[#This Row],[CurrentParent]]</f>
        <v>1</v>
      </c>
      <c r="K733" s="71" t="str">
        <f>IF(Proc[[#This Row],[Author]]="Marcela Urrego",VLOOKUP(LEFT(Proc[[#This Row],[Requested]],1),Table3[#All],2,0),VLOOKUP(Proc[[#This Row],[Author]],Table4[],2,0))</f>
        <v>HC</v>
      </c>
      <c r="L733" s="32" t="s">
        <v>509</v>
      </c>
      <c r="M733" s="73">
        <v>45713.229062500002</v>
      </c>
      <c r="N733" s="73">
        <v>45715</v>
      </c>
      <c r="O733" s="73">
        <v>45715</v>
      </c>
      <c r="P733" s="72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2" t="s">
        <v>478</v>
      </c>
      <c r="S733" s="71"/>
    </row>
    <row r="734" spans="1:19" hidden="1">
      <c r="A734" s="70" t="s">
        <v>2096</v>
      </c>
      <c r="B734" s="71" t="str">
        <f>IFERROR(VLOOKUP(Proc[[#This Row],[App]],Table2[],3,0),"open")</f>
        <v>ok</v>
      </c>
      <c r="C734" s="70" t="s">
        <v>369</v>
      </c>
      <c r="D734" t="s">
        <v>2157</v>
      </c>
      <c r="E734" t="s">
        <v>2144</v>
      </c>
      <c r="F734" s="105" t="s">
        <v>2144</v>
      </c>
      <c r="G734" s="70" t="s">
        <v>400</v>
      </c>
      <c r="H734" s="71" t="str">
        <f>IF(Proc[[#This Row],[type]]="LFF (MDG-F)",MID(Proc[[#This Row],[Obj]],13,10),"")</f>
        <v/>
      </c>
      <c r="J734" s="71" t="b">
        <f>Proc[[#This Row],[Requested]]=Proc[[#This Row],[CurrentParent]]</f>
        <v>1</v>
      </c>
      <c r="K734" s="71" t="str">
        <f>IF(Proc[[#This Row],[Author]]="Marcela Urrego",VLOOKUP(LEFT(Proc[[#This Row],[Requested]],1),Table3[#All],2,0),VLOOKUP(Proc[[#This Row],[Author]],Table4[],2,0))</f>
        <v>HC</v>
      </c>
      <c r="L734" s="32" t="s">
        <v>509</v>
      </c>
      <c r="M734" s="73">
        <v>45713.229062500002</v>
      </c>
      <c r="N734" s="73">
        <v>45715</v>
      </c>
      <c r="O734" s="73">
        <v>45715</v>
      </c>
      <c r="P734" s="72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2" t="s">
        <v>478</v>
      </c>
      <c r="S734" s="71"/>
    </row>
    <row r="735" spans="1:19" hidden="1">
      <c r="A735" s="70" t="s">
        <v>2096</v>
      </c>
      <c r="B735" s="71" t="str">
        <f>IFERROR(VLOOKUP(Proc[[#This Row],[App]],Table2[],3,0),"open")</f>
        <v>ok</v>
      </c>
      <c r="C735" s="70" t="s">
        <v>369</v>
      </c>
      <c r="D735" t="s">
        <v>2158</v>
      </c>
      <c r="E735" t="s">
        <v>2159</v>
      </c>
      <c r="F735" s="105" t="s">
        <v>2159</v>
      </c>
      <c r="G735" s="70" t="s">
        <v>400</v>
      </c>
      <c r="H735" s="71" t="str">
        <f>IF(Proc[[#This Row],[type]]="LFF (MDG-F)",MID(Proc[[#This Row],[Obj]],13,10),"")</f>
        <v/>
      </c>
      <c r="J735" s="71" t="b">
        <f>Proc[[#This Row],[Requested]]=Proc[[#This Row],[CurrentParent]]</f>
        <v>1</v>
      </c>
      <c r="K735" s="71" t="str">
        <f>IF(Proc[[#This Row],[Author]]="Marcela Urrego",VLOOKUP(LEFT(Proc[[#This Row],[Requested]],1),Table3[#All],2,0),VLOOKUP(Proc[[#This Row],[Author]],Table4[],2,0))</f>
        <v>HC</v>
      </c>
      <c r="L735" s="32" t="s">
        <v>509</v>
      </c>
      <c r="M735" s="73">
        <v>45713.229062500002</v>
      </c>
      <c r="N735" s="73">
        <v>45715</v>
      </c>
      <c r="O735" s="73">
        <v>45715</v>
      </c>
      <c r="P735" s="72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2" t="s">
        <v>478</v>
      </c>
      <c r="S735" s="71"/>
    </row>
    <row r="736" spans="1:19" hidden="1">
      <c r="A736" s="70" t="s">
        <v>2088</v>
      </c>
      <c r="B736" s="71" t="str">
        <f>IFERROR(VLOOKUP(Proc[[#This Row],[App]],Table2[],3,0),"open")</f>
        <v>ok</v>
      </c>
      <c r="C736" s="70" t="s">
        <v>369</v>
      </c>
      <c r="D736" t="s">
        <v>2089</v>
      </c>
      <c r="E736" t="s">
        <v>2092</v>
      </c>
      <c r="F736" s="105" t="s">
        <v>2092</v>
      </c>
      <c r="G736" s="70" t="s">
        <v>400</v>
      </c>
      <c r="H736" s="71" t="str">
        <f>IF(Proc[[#This Row],[type]]="LFF (MDG-F)",MID(Proc[[#This Row],[Obj]],13,10),"")</f>
        <v/>
      </c>
      <c r="I736" t="s">
        <v>2095</v>
      </c>
      <c r="J736" s="71" t="b">
        <f>Proc[[#This Row],[Requested]]=Proc[[#This Row],[CurrentParent]]</f>
        <v>1</v>
      </c>
      <c r="K736" s="71" t="str">
        <f>IF(Proc[[#This Row],[Author]]="Marcela Urrego",VLOOKUP(LEFT(Proc[[#This Row],[Requested]],1),Table3[#All],2,0),VLOOKUP(Proc[[#This Row],[Author]],Table4[],2,0))</f>
        <v>HC</v>
      </c>
      <c r="L736" s="32" t="s">
        <v>509</v>
      </c>
      <c r="M736" s="73">
        <v>45713.312280092592</v>
      </c>
      <c r="P736" s="72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90</v>
      </c>
      <c r="R736" s="72" t="s">
        <v>484</v>
      </c>
      <c r="S736" s="71"/>
    </row>
    <row r="737" spans="1:19" hidden="1">
      <c r="A737" s="70" t="s">
        <v>2088</v>
      </c>
      <c r="B737" s="71" t="str">
        <f>IFERROR(VLOOKUP(Proc[[#This Row],[App]],Table2[],3,0),"open")</f>
        <v>ok</v>
      </c>
      <c r="C737" s="70" t="s">
        <v>369</v>
      </c>
      <c r="D737" t="s">
        <v>2090</v>
      </c>
      <c r="E737" t="s">
        <v>2093</v>
      </c>
      <c r="F737" s="105" t="s">
        <v>2093</v>
      </c>
      <c r="G737" s="70" t="s">
        <v>400</v>
      </c>
      <c r="H737" s="71" t="str">
        <f>IF(Proc[[#This Row],[type]]="LFF (MDG-F)",MID(Proc[[#This Row],[Obj]],13,10),"")</f>
        <v/>
      </c>
      <c r="I737" t="s">
        <v>2095</v>
      </c>
      <c r="J737" s="71" t="b">
        <f>Proc[[#This Row],[Requested]]=Proc[[#This Row],[CurrentParent]]</f>
        <v>1</v>
      </c>
      <c r="K737" s="71" t="str">
        <f>IF(Proc[[#This Row],[Author]]="Marcela Urrego",VLOOKUP(LEFT(Proc[[#This Row],[Requested]],1),Table3[#All],2,0),VLOOKUP(Proc[[#This Row],[Author]],Table4[],2,0))</f>
        <v>HC</v>
      </c>
      <c r="L737" s="32" t="s">
        <v>509</v>
      </c>
      <c r="M737" s="73">
        <v>45713.312280092592</v>
      </c>
      <c r="P737" s="72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90</v>
      </c>
      <c r="R737" s="72" t="s">
        <v>484</v>
      </c>
      <c r="S737" s="71"/>
    </row>
    <row r="738" spans="1:19" hidden="1">
      <c r="A738" s="70" t="s">
        <v>2088</v>
      </c>
      <c r="B738" s="71" t="str">
        <f>IFERROR(VLOOKUP(Proc[[#This Row],[App]],Table2[],3,0),"open")</f>
        <v>ok</v>
      </c>
      <c r="C738" s="70" t="s">
        <v>369</v>
      </c>
      <c r="D738" t="s">
        <v>2091</v>
      </c>
      <c r="E738" t="s">
        <v>2094</v>
      </c>
      <c r="F738" s="105" t="s">
        <v>2094</v>
      </c>
      <c r="G738" s="70" t="s">
        <v>400</v>
      </c>
      <c r="H738" s="71" t="str">
        <f>IF(Proc[[#This Row],[type]]="LFF (MDG-F)",MID(Proc[[#This Row],[Obj]],13,10),"")</f>
        <v/>
      </c>
      <c r="I738" t="s">
        <v>2095</v>
      </c>
      <c r="J738" s="71" t="b">
        <f>Proc[[#This Row],[Requested]]=Proc[[#This Row],[CurrentParent]]</f>
        <v>1</v>
      </c>
      <c r="K738" s="71" t="str">
        <f>IF(Proc[[#This Row],[Author]]="Marcela Urrego",VLOOKUP(LEFT(Proc[[#This Row],[Requested]],1),Table3[#All],2,0),VLOOKUP(Proc[[#This Row],[Author]],Table4[],2,0))</f>
        <v>HC</v>
      </c>
      <c r="L738" s="32" t="s">
        <v>509</v>
      </c>
      <c r="M738" s="73">
        <v>45713.312280092592</v>
      </c>
      <c r="P738" s="72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90</v>
      </c>
      <c r="R738" s="72" t="s">
        <v>484</v>
      </c>
      <c r="S738" s="71"/>
    </row>
    <row r="739" spans="1:19" hidden="1">
      <c r="A739" t="s">
        <v>2197</v>
      </c>
      <c r="B739" s="71" t="str">
        <f>IFERROR(VLOOKUP(Proc[[#This Row],[App]],Table2[],3,0),"open")</f>
        <v>ok</v>
      </c>
      <c r="C739" t="s">
        <v>369</v>
      </c>
      <c r="D739" t="s">
        <v>2177</v>
      </c>
      <c r="E739" t="s">
        <v>2178</v>
      </c>
      <c r="F739" s="105" t="s">
        <v>2178</v>
      </c>
      <c r="G739" s="70" t="s">
        <v>400</v>
      </c>
      <c r="H739" s="71" t="str">
        <f>IF(Proc[[#This Row],[type]]="LFF (MDG-F)",MID(Proc[[#This Row],[Obj]],13,10),"")</f>
        <v/>
      </c>
      <c r="J739" s="71" t="b">
        <f>Proc[[#This Row],[Requested]]=Proc[[#This Row],[CurrentParent]]</f>
        <v>1</v>
      </c>
      <c r="K739" s="71" t="str">
        <f>IF(Proc[[#This Row],[Author]]="Marcela Urrego",VLOOKUP(LEFT(Proc[[#This Row],[Requested]],1),Table3[#All],2,0),VLOOKUP(Proc[[#This Row],[Author]],Table4[],2,0))</f>
        <v>LS</v>
      </c>
      <c r="L739" s="32" t="s">
        <v>509</v>
      </c>
      <c r="M739" s="73">
        <v>45713.460798611108</v>
      </c>
      <c r="N739" s="73">
        <v>45715</v>
      </c>
      <c r="O739" s="73">
        <v>45715</v>
      </c>
      <c r="P739" s="72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2" t="s">
        <v>972</v>
      </c>
      <c r="S739" s="71"/>
    </row>
    <row r="740" spans="1:19" hidden="1">
      <c r="A740" s="70" t="s">
        <v>2197</v>
      </c>
      <c r="B740" s="71" t="str">
        <f>IFERROR(VLOOKUP(Proc[[#This Row],[App]],Table2[],3,0),"open")</f>
        <v>ok</v>
      </c>
      <c r="C740" s="70" t="s">
        <v>369</v>
      </c>
      <c r="D740" t="s">
        <v>2179</v>
      </c>
      <c r="E740" t="s">
        <v>2178</v>
      </c>
      <c r="F740" s="105" t="s">
        <v>2178</v>
      </c>
      <c r="G740" s="70" t="s">
        <v>400</v>
      </c>
      <c r="H740" s="71" t="str">
        <f>IF(Proc[[#This Row],[type]]="LFF (MDG-F)",MID(Proc[[#This Row],[Obj]],13,10),"")</f>
        <v/>
      </c>
      <c r="J740" s="71" t="b">
        <f>Proc[[#This Row],[Requested]]=Proc[[#This Row],[CurrentParent]]</f>
        <v>1</v>
      </c>
      <c r="K740" s="71" t="str">
        <f>IF(Proc[[#This Row],[Author]]="Marcela Urrego",VLOOKUP(LEFT(Proc[[#This Row],[Requested]],1),Table3[#All],2,0),VLOOKUP(Proc[[#This Row],[Author]],Table4[],2,0))</f>
        <v>LS</v>
      </c>
      <c r="L740" s="32" t="s">
        <v>509</v>
      </c>
      <c r="M740" s="73">
        <v>45713.460798611108</v>
      </c>
      <c r="N740" s="73">
        <v>45715</v>
      </c>
      <c r="O740" s="73">
        <v>45715</v>
      </c>
      <c r="P740" s="72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2" t="s">
        <v>972</v>
      </c>
      <c r="S740" s="71"/>
    </row>
    <row r="741" spans="1:19" hidden="1">
      <c r="A741" s="70" t="s">
        <v>2197</v>
      </c>
      <c r="B741" s="71" t="str">
        <f>IFERROR(VLOOKUP(Proc[[#This Row],[App]],Table2[],3,0),"open")</f>
        <v>ok</v>
      </c>
      <c r="C741" s="70" t="s">
        <v>369</v>
      </c>
      <c r="D741" t="s">
        <v>2179</v>
      </c>
      <c r="E741" t="s">
        <v>2178</v>
      </c>
      <c r="F741" s="105" t="s">
        <v>2178</v>
      </c>
      <c r="G741" s="70" t="s">
        <v>400</v>
      </c>
      <c r="H741" s="71" t="str">
        <f>IF(Proc[[#This Row],[type]]="LFF (MDG-F)",MID(Proc[[#This Row],[Obj]],13,10),"")</f>
        <v/>
      </c>
      <c r="J741" s="71" t="b">
        <f>Proc[[#This Row],[Requested]]=Proc[[#This Row],[CurrentParent]]</f>
        <v>1</v>
      </c>
      <c r="K741" s="71" t="str">
        <f>IF(Proc[[#This Row],[Author]]="Marcela Urrego",VLOOKUP(LEFT(Proc[[#This Row],[Requested]],1),Table3[#All],2,0),VLOOKUP(Proc[[#This Row],[Author]],Table4[],2,0))</f>
        <v>LS</v>
      </c>
      <c r="L741" s="32" t="s">
        <v>509</v>
      </c>
      <c r="M741" s="73">
        <v>45713.460798611108</v>
      </c>
      <c r="N741" s="73">
        <v>45715</v>
      </c>
      <c r="O741" s="73">
        <v>45715</v>
      </c>
      <c r="P741" s="72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2" t="s">
        <v>972</v>
      </c>
      <c r="S741" s="71"/>
    </row>
    <row r="742" spans="1:19" hidden="1">
      <c r="A742" s="70" t="s">
        <v>2197</v>
      </c>
      <c r="B742" s="71" t="str">
        <f>IFERROR(VLOOKUP(Proc[[#This Row],[App]],Table2[],3,0),"open")</f>
        <v>ok</v>
      </c>
      <c r="C742" t="s">
        <v>369</v>
      </c>
      <c r="D742" t="s">
        <v>2180</v>
      </c>
      <c r="E742" t="s">
        <v>1232</v>
      </c>
      <c r="F742" s="105" t="s">
        <v>1232</v>
      </c>
      <c r="G742" s="70" t="s">
        <v>400</v>
      </c>
      <c r="H742" s="71" t="str">
        <f>IF(Proc[[#This Row],[type]]="LFF (MDG-F)",MID(Proc[[#This Row],[Obj]],13,10),"")</f>
        <v/>
      </c>
      <c r="I742" t="s">
        <v>1198</v>
      </c>
      <c r="J742" s="71" t="b">
        <f>Proc[[#This Row],[Requested]]=Proc[[#This Row],[CurrentParent]]</f>
        <v>1</v>
      </c>
      <c r="K742" s="71" t="str">
        <f>IF(Proc[[#This Row],[Author]]="Marcela Urrego",VLOOKUP(LEFT(Proc[[#This Row],[Requested]],1),Table3[#All],2,0),VLOOKUP(Proc[[#This Row],[Author]],Table4[],2,0))</f>
        <v>LS</v>
      </c>
      <c r="L742" s="32" t="s">
        <v>509</v>
      </c>
      <c r="M742" s="73">
        <v>45713.460798611108</v>
      </c>
      <c r="N742" s="73">
        <v>45715</v>
      </c>
      <c r="O742" s="73">
        <v>45715</v>
      </c>
      <c r="P742" s="72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2" t="s">
        <v>972</v>
      </c>
      <c r="S742" s="71"/>
    </row>
    <row r="743" spans="1:19" hidden="1">
      <c r="A743" s="70" t="s">
        <v>2197</v>
      </c>
      <c r="B743" s="71" t="str">
        <f>IFERROR(VLOOKUP(Proc[[#This Row],[App]],Table2[],3,0),"open")</f>
        <v>ok</v>
      </c>
      <c r="C743" s="70" t="s">
        <v>369</v>
      </c>
      <c r="D743" t="s">
        <v>2181</v>
      </c>
      <c r="E743" t="s">
        <v>1232</v>
      </c>
      <c r="F743" s="105" t="s">
        <v>1232</v>
      </c>
      <c r="G743" s="70" t="s">
        <v>400</v>
      </c>
      <c r="H743" s="71" t="str">
        <f>IF(Proc[[#This Row],[type]]="LFF (MDG-F)",MID(Proc[[#This Row],[Obj]],13,10),"")</f>
        <v/>
      </c>
      <c r="I743" s="70" t="s">
        <v>1198</v>
      </c>
      <c r="J743" s="71" t="b">
        <f>Proc[[#This Row],[Requested]]=Proc[[#This Row],[CurrentParent]]</f>
        <v>1</v>
      </c>
      <c r="K743" s="71" t="str">
        <f>IF(Proc[[#This Row],[Author]]="Marcela Urrego",VLOOKUP(LEFT(Proc[[#This Row],[Requested]],1),Table3[#All],2,0),VLOOKUP(Proc[[#This Row],[Author]],Table4[],2,0))</f>
        <v>LS</v>
      </c>
      <c r="L743" s="32" t="s">
        <v>509</v>
      </c>
      <c r="M743" s="73">
        <v>45713.460798611108</v>
      </c>
      <c r="N743" s="73">
        <v>45715</v>
      </c>
      <c r="O743" s="73">
        <v>45715</v>
      </c>
      <c r="P743" s="72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2" t="s">
        <v>972</v>
      </c>
      <c r="S743" s="71"/>
    </row>
    <row r="744" spans="1:19" hidden="1">
      <c r="A744" s="70" t="s">
        <v>2197</v>
      </c>
      <c r="B744" s="71" t="str">
        <f>IFERROR(VLOOKUP(Proc[[#This Row],[App]],Table2[],3,0),"open")</f>
        <v>ok</v>
      </c>
      <c r="C744" s="70" t="s">
        <v>369</v>
      </c>
      <c r="D744" t="s">
        <v>2182</v>
      </c>
      <c r="E744" t="s">
        <v>1232</v>
      </c>
      <c r="F744" s="105" t="s">
        <v>1232</v>
      </c>
      <c r="G744" s="70" t="s">
        <v>400</v>
      </c>
      <c r="H744" s="71" t="str">
        <f>IF(Proc[[#This Row],[type]]="LFF (MDG-F)",MID(Proc[[#This Row],[Obj]],13,10),"")</f>
        <v/>
      </c>
      <c r="I744" s="70" t="s">
        <v>1198</v>
      </c>
      <c r="J744" s="71" t="b">
        <f>Proc[[#This Row],[Requested]]=Proc[[#This Row],[CurrentParent]]</f>
        <v>1</v>
      </c>
      <c r="K744" s="71" t="str">
        <f>IF(Proc[[#This Row],[Author]]="Marcela Urrego",VLOOKUP(LEFT(Proc[[#This Row],[Requested]],1),Table3[#All],2,0),VLOOKUP(Proc[[#This Row],[Author]],Table4[],2,0))</f>
        <v>LS</v>
      </c>
      <c r="L744" s="32" t="s">
        <v>509</v>
      </c>
      <c r="M744" s="73">
        <v>45713.460798611108</v>
      </c>
      <c r="N744" s="73">
        <v>45715</v>
      </c>
      <c r="O744" s="73">
        <v>45715</v>
      </c>
      <c r="P744" s="72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2" t="s">
        <v>972</v>
      </c>
      <c r="S744" s="71"/>
    </row>
    <row r="745" spans="1:19" hidden="1">
      <c r="A745" s="70" t="s">
        <v>2197</v>
      </c>
      <c r="B745" s="71" t="str">
        <f>IFERROR(VLOOKUP(Proc[[#This Row],[App]],Table2[],3,0),"open")</f>
        <v>ok</v>
      </c>
      <c r="C745" t="s">
        <v>369</v>
      </c>
      <c r="D745" t="s">
        <v>2183</v>
      </c>
      <c r="E745" t="s">
        <v>2184</v>
      </c>
      <c r="F745" s="105" t="s">
        <v>2184</v>
      </c>
      <c r="G745" s="70" t="s">
        <v>400</v>
      </c>
      <c r="H745" s="71" t="str">
        <f>IF(Proc[[#This Row],[type]]="LFF (MDG-F)",MID(Proc[[#This Row],[Obj]],13,10),"")</f>
        <v/>
      </c>
      <c r="J745" s="71" t="b">
        <f>Proc[[#This Row],[Requested]]=Proc[[#This Row],[CurrentParent]]</f>
        <v>1</v>
      </c>
      <c r="K745" s="71" t="str">
        <f>IF(Proc[[#This Row],[Author]]="Marcela Urrego",VLOOKUP(LEFT(Proc[[#This Row],[Requested]],1),Table3[#All],2,0),VLOOKUP(Proc[[#This Row],[Author]],Table4[],2,0))</f>
        <v>LS</v>
      </c>
      <c r="L745" s="32" t="s">
        <v>509</v>
      </c>
      <c r="M745" s="73">
        <v>45713.460798611108</v>
      </c>
      <c r="N745" s="73">
        <v>45715</v>
      </c>
      <c r="O745" s="73">
        <v>45715</v>
      </c>
      <c r="P745" s="72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2" t="s">
        <v>972</v>
      </c>
      <c r="S745" s="71"/>
    </row>
    <row r="746" spans="1:19" hidden="1">
      <c r="A746" s="70" t="s">
        <v>2197</v>
      </c>
      <c r="B746" s="71" t="str">
        <f>IFERROR(VLOOKUP(Proc[[#This Row],[App]],Table2[],3,0),"open")</f>
        <v>ok</v>
      </c>
      <c r="C746" s="70" t="s">
        <v>369</v>
      </c>
      <c r="D746" t="s">
        <v>2185</v>
      </c>
      <c r="E746" t="s">
        <v>2186</v>
      </c>
      <c r="F746" s="105" t="s">
        <v>2186</v>
      </c>
      <c r="G746" s="70" t="s">
        <v>400</v>
      </c>
      <c r="H746" s="71" t="str">
        <f>IF(Proc[[#This Row],[type]]="LFF (MDG-F)",MID(Proc[[#This Row],[Obj]],13,10),"")</f>
        <v/>
      </c>
      <c r="J746" s="71" t="b">
        <f>Proc[[#This Row],[Requested]]=Proc[[#This Row],[CurrentParent]]</f>
        <v>1</v>
      </c>
      <c r="K746" s="71" t="str">
        <f>IF(Proc[[#This Row],[Author]]="Marcela Urrego",VLOOKUP(LEFT(Proc[[#This Row],[Requested]],1),Table3[#All],2,0),VLOOKUP(Proc[[#This Row],[Author]],Table4[],2,0))</f>
        <v>LS</v>
      </c>
      <c r="L746" s="32" t="s">
        <v>509</v>
      </c>
      <c r="M746" s="73">
        <v>45713.460798611108</v>
      </c>
      <c r="N746" s="73">
        <v>45715</v>
      </c>
      <c r="O746" s="73">
        <v>45715</v>
      </c>
      <c r="P746" s="72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2" t="s">
        <v>972</v>
      </c>
      <c r="S746" s="71"/>
    </row>
    <row r="747" spans="1:19" hidden="1">
      <c r="A747" s="70" t="s">
        <v>2197</v>
      </c>
      <c r="B747" s="71" t="str">
        <f>IFERROR(VLOOKUP(Proc[[#This Row],[App]],Table2[],3,0),"open")</f>
        <v>ok</v>
      </c>
      <c r="C747" s="70" t="s">
        <v>369</v>
      </c>
      <c r="D747" t="s">
        <v>2187</v>
      </c>
      <c r="E747" t="s">
        <v>652</v>
      </c>
      <c r="F747" s="105" t="s">
        <v>652</v>
      </c>
      <c r="G747" s="70" t="s">
        <v>400</v>
      </c>
      <c r="H747" s="71" t="str">
        <f>IF(Proc[[#This Row],[type]]="LFF (MDG-F)",MID(Proc[[#This Row],[Obj]],13,10),"")</f>
        <v/>
      </c>
      <c r="J747" s="71" t="b">
        <f>Proc[[#This Row],[Requested]]=Proc[[#This Row],[CurrentParent]]</f>
        <v>1</v>
      </c>
      <c r="K747" s="71" t="str">
        <f>IF(Proc[[#This Row],[Author]]="Marcela Urrego",VLOOKUP(LEFT(Proc[[#This Row],[Requested]],1),Table3[#All],2,0),VLOOKUP(Proc[[#This Row],[Author]],Table4[],2,0))</f>
        <v>LS</v>
      </c>
      <c r="L747" s="32" t="s">
        <v>509</v>
      </c>
      <c r="M747" s="73">
        <v>45713.460798611108</v>
      </c>
      <c r="N747" s="73">
        <v>45715</v>
      </c>
      <c r="O747" s="73">
        <v>45715</v>
      </c>
      <c r="P747" s="72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2" t="s">
        <v>972</v>
      </c>
      <c r="S747" s="71"/>
    </row>
    <row r="748" spans="1:19" hidden="1">
      <c r="A748" s="70" t="s">
        <v>2197</v>
      </c>
      <c r="B748" s="71" t="str">
        <f>IFERROR(VLOOKUP(Proc[[#This Row],[App]],Table2[],3,0),"open")</f>
        <v>ok</v>
      </c>
      <c r="C748" s="70" t="s">
        <v>369</v>
      </c>
      <c r="D748" t="s">
        <v>2188</v>
      </c>
      <c r="E748" t="s">
        <v>652</v>
      </c>
      <c r="F748" s="105" t="s">
        <v>652</v>
      </c>
      <c r="G748" s="70" t="s">
        <v>400</v>
      </c>
      <c r="H748" s="71" t="str">
        <f>IF(Proc[[#This Row],[type]]="LFF (MDG-F)",MID(Proc[[#This Row],[Obj]],13,10),"")</f>
        <v/>
      </c>
      <c r="J748" s="71" t="b">
        <f>Proc[[#This Row],[Requested]]=Proc[[#This Row],[CurrentParent]]</f>
        <v>1</v>
      </c>
      <c r="K748" s="71" t="str">
        <f>IF(Proc[[#This Row],[Author]]="Marcela Urrego",VLOOKUP(LEFT(Proc[[#This Row],[Requested]],1),Table3[#All],2,0),VLOOKUP(Proc[[#This Row],[Author]],Table4[],2,0))</f>
        <v>LS</v>
      </c>
      <c r="L748" s="32" t="s">
        <v>509</v>
      </c>
      <c r="M748" s="73">
        <v>45713.460798611108</v>
      </c>
      <c r="N748" s="73">
        <v>45715</v>
      </c>
      <c r="O748" s="73">
        <v>45715</v>
      </c>
      <c r="P748" s="72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2" t="s">
        <v>972</v>
      </c>
      <c r="S748" s="71"/>
    </row>
    <row r="749" spans="1:19" hidden="1">
      <c r="A749" s="70" t="s">
        <v>2197</v>
      </c>
      <c r="B749" s="71" t="str">
        <f>IFERROR(VLOOKUP(Proc[[#This Row],[App]],Table2[],3,0),"open")</f>
        <v>ok</v>
      </c>
      <c r="C749" s="70" t="s">
        <v>369</v>
      </c>
      <c r="D749" t="s">
        <v>2189</v>
      </c>
      <c r="E749" t="s">
        <v>652</v>
      </c>
      <c r="F749" s="105" t="s">
        <v>652</v>
      </c>
      <c r="G749" s="70" t="s">
        <v>400</v>
      </c>
      <c r="H749" s="71" t="str">
        <f>IF(Proc[[#This Row],[type]]="LFF (MDG-F)",MID(Proc[[#This Row],[Obj]],13,10),"")</f>
        <v/>
      </c>
      <c r="J749" s="71" t="b">
        <f>Proc[[#This Row],[Requested]]=Proc[[#This Row],[CurrentParent]]</f>
        <v>1</v>
      </c>
      <c r="K749" s="71" t="str">
        <f>IF(Proc[[#This Row],[Author]]="Marcela Urrego",VLOOKUP(LEFT(Proc[[#This Row],[Requested]],1),Table3[#All],2,0),VLOOKUP(Proc[[#This Row],[Author]],Table4[],2,0))</f>
        <v>LS</v>
      </c>
      <c r="L749" s="32" t="s">
        <v>509</v>
      </c>
      <c r="M749" s="73">
        <v>45713.460798611108</v>
      </c>
      <c r="N749" s="73">
        <v>45715</v>
      </c>
      <c r="O749" s="73">
        <v>45715</v>
      </c>
      <c r="P749" s="72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2" t="s">
        <v>972</v>
      </c>
      <c r="S749" s="71"/>
    </row>
    <row r="750" spans="1:19" hidden="1">
      <c r="A750" s="70" t="s">
        <v>2197</v>
      </c>
      <c r="B750" s="71" t="str">
        <f>IFERROR(VLOOKUP(Proc[[#This Row],[App]],Table2[],3,0),"open")</f>
        <v>ok</v>
      </c>
      <c r="C750" s="70" t="s">
        <v>369</v>
      </c>
      <c r="D750" t="s">
        <v>2190</v>
      </c>
      <c r="E750" t="s">
        <v>2191</v>
      </c>
      <c r="F750" s="105" t="s">
        <v>2191</v>
      </c>
      <c r="G750" s="70" t="s">
        <v>400</v>
      </c>
      <c r="H750" s="71" t="str">
        <f>IF(Proc[[#This Row],[type]]="LFF (MDG-F)",MID(Proc[[#This Row],[Obj]],13,10),"")</f>
        <v/>
      </c>
      <c r="J750" s="71" t="b">
        <f>Proc[[#This Row],[Requested]]=Proc[[#This Row],[CurrentParent]]</f>
        <v>1</v>
      </c>
      <c r="K750" s="71" t="str">
        <f>IF(Proc[[#This Row],[Author]]="Marcela Urrego",VLOOKUP(LEFT(Proc[[#This Row],[Requested]],1),Table3[#All],2,0),VLOOKUP(Proc[[#This Row],[Author]],Table4[],2,0))</f>
        <v>LS</v>
      </c>
      <c r="L750" s="32" t="s">
        <v>509</v>
      </c>
      <c r="M750" s="73">
        <v>45713.460798611108</v>
      </c>
      <c r="N750" s="73">
        <v>45715</v>
      </c>
      <c r="O750" s="73">
        <v>45715</v>
      </c>
      <c r="P750" s="72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2" t="s">
        <v>972</v>
      </c>
      <c r="S750" s="71"/>
    </row>
    <row r="751" spans="1:19" hidden="1">
      <c r="A751" s="70" t="s">
        <v>2197</v>
      </c>
      <c r="B751" s="71" t="str">
        <f>IFERROR(VLOOKUP(Proc[[#This Row],[App]],Table2[],3,0),"open")</f>
        <v>ok</v>
      </c>
      <c r="C751" s="70" t="s">
        <v>369</v>
      </c>
      <c r="D751" t="s">
        <v>2192</v>
      </c>
      <c r="E751" t="s">
        <v>2193</v>
      </c>
      <c r="F751" s="105" t="s">
        <v>2193</v>
      </c>
      <c r="G751" s="70" t="s">
        <v>400</v>
      </c>
      <c r="H751" s="71" t="str">
        <f>IF(Proc[[#This Row],[type]]="LFF (MDG-F)",MID(Proc[[#This Row],[Obj]],13,10),"")</f>
        <v/>
      </c>
      <c r="J751" s="71" t="b">
        <f>Proc[[#This Row],[Requested]]=Proc[[#This Row],[CurrentParent]]</f>
        <v>1</v>
      </c>
      <c r="K751" s="71" t="str">
        <f>IF(Proc[[#This Row],[Author]]="Marcela Urrego",VLOOKUP(LEFT(Proc[[#This Row],[Requested]],1),Table3[#All],2,0),VLOOKUP(Proc[[#This Row],[Author]],Table4[],2,0))</f>
        <v>LS</v>
      </c>
      <c r="L751" s="32" t="s">
        <v>509</v>
      </c>
      <c r="M751" s="73">
        <v>45713.460798611108</v>
      </c>
      <c r="N751" s="73">
        <v>45715</v>
      </c>
      <c r="O751" s="73">
        <v>45715</v>
      </c>
      <c r="P751" s="72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2" t="s">
        <v>972</v>
      </c>
      <c r="S751" s="71"/>
    </row>
    <row r="752" spans="1:19" hidden="1">
      <c r="A752" s="70" t="s">
        <v>2197</v>
      </c>
      <c r="B752" s="71" t="str">
        <f>IFERROR(VLOOKUP(Proc[[#This Row],[App]],Table2[],3,0),"open")</f>
        <v>ok</v>
      </c>
      <c r="C752" s="70" t="s">
        <v>369</v>
      </c>
      <c r="D752" t="s">
        <v>2194</v>
      </c>
      <c r="E752" t="s">
        <v>2193</v>
      </c>
      <c r="F752" s="105" t="s">
        <v>2193</v>
      </c>
      <c r="G752" s="70" t="s">
        <v>400</v>
      </c>
      <c r="H752" s="71" t="str">
        <f>IF(Proc[[#This Row],[type]]="LFF (MDG-F)",MID(Proc[[#This Row],[Obj]],13,10),"")</f>
        <v/>
      </c>
      <c r="J752" s="71" t="b">
        <f>Proc[[#This Row],[Requested]]=Proc[[#This Row],[CurrentParent]]</f>
        <v>1</v>
      </c>
      <c r="K752" s="71" t="str">
        <f>IF(Proc[[#This Row],[Author]]="Marcela Urrego",VLOOKUP(LEFT(Proc[[#This Row],[Requested]],1),Table3[#All],2,0),VLOOKUP(Proc[[#This Row],[Author]],Table4[],2,0))</f>
        <v>LS</v>
      </c>
      <c r="L752" s="32" t="s">
        <v>509</v>
      </c>
      <c r="M752" s="73">
        <v>45713.460798611108</v>
      </c>
      <c r="N752" s="73">
        <v>45715</v>
      </c>
      <c r="O752" s="73">
        <v>45715</v>
      </c>
      <c r="P752" s="72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2" t="s">
        <v>972</v>
      </c>
      <c r="S752" s="71"/>
    </row>
    <row r="753" spans="1:19" hidden="1">
      <c r="A753" s="70" t="s">
        <v>2197</v>
      </c>
      <c r="B753" s="71" t="str">
        <f>IFERROR(VLOOKUP(Proc[[#This Row],[App]],Table2[],3,0),"open")</f>
        <v>ok</v>
      </c>
      <c r="C753" s="70" t="s">
        <v>369</v>
      </c>
      <c r="D753" t="s">
        <v>2195</v>
      </c>
      <c r="E753" t="s">
        <v>2196</v>
      </c>
      <c r="F753" s="105" t="s">
        <v>2196</v>
      </c>
      <c r="G753" s="70" t="s">
        <v>400</v>
      </c>
      <c r="H753" s="71" t="str">
        <f>IF(Proc[[#This Row],[type]]="LFF (MDG-F)",MID(Proc[[#This Row],[Obj]],13,10),"")</f>
        <v/>
      </c>
      <c r="J753" s="71" t="b">
        <f>Proc[[#This Row],[Requested]]=Proc[[#This Row],[CurrentParent]]</f>
        <v>1</v>
      </c>
      <c r="K753" s="71" t="str">
        <f>IF(Proc[[#This Row],[Author]]="Marcela Urrego",VLOOKUP(LEFT(Proc[[#This Row],[Requested]],1),Table3[#All],2,0),VLOOKUP(Proc[[#This Row],[Author]],Table4[],2,0))</f>
        <v>LS</v>
      </c>
      <c r="L753" s="32" t="s">
        <v>509</v>
      </c>
      <c r="M753" s="73">
        <v>45713.460798611108</v>
      </c>
      <c r="N753" s="73">
        <v>45715</v>
      </c>
      <c r="O753" s="73">
        <v>45715</v>
      </c>
      <c r="P753" s="72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2" t="s">
        <v>972</v>
      </c>
      <c r="S753" s="71"/>
    </row>
    <row r="754" spans="1:19" hidden="1">
      <c r="A754" t="s">
        <v>2209</v>
      </c>
      <c r="B754" s="71" t="str">
        <f>IFERROR(VLOOKUP(Proc[[#This Row],[App]],Table2[],3,0),"open")</f>
        <v>ok</v>
      </c>
      <c r="C754" t="s">
        <v>369</v>
      </c>
      <c r="D754" t="s">
        <v>2207</v>
      </c>
      <c r="E754" t="s">
        <v>2208</v>
      </c>
      <c r="F754" s="105" t="s">
        <v>2208</v>
      </c>
      <c r="G754" t="s">
        <v>400</v>
      </c>
      <c r="H754" s="71" t="str">
        <f>IF(Proc[[#This Row],[type]]="LFF (MDG-F)",MID(Proc[[#This Row],[Obj]],13,10),"")</f>
        <v/>
      </c>
      <c r="J754" s="71" t="b">
        <f>Proc[[#This Row],[Requested]]=Proc[[#This Row],[CurrentParent]]</f>
        <v>1</v>
      </c>
      <c r="K754" s="71" t="str">
        <f>IF(Proc[[#This Row],[Author]]="Marcela Urrego",VLOOKUP(LEFT(Proc[[#This Row],[Requested]],1),Table3[#All],2,0),VLOOKUP(Proc[[#This Row],[Author]],Table4[],2,0))</f>
        <v>LS</v>
      </c>
      <c r="L754" s="32" t="s">
        <v>509</v>
      </c>
      <c r="M754" s="73">
        <v>45714.355810185189</v>
      </c>
      <c r="N754" s="73">
        <v>45716</v>
      </c>
      <c r="O754" s="73">
        <v>45716</v>
      </c>
      <c r="P754" s="72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2" t="s">
        <v>830</v>
      </c>
      <c r="S754" s="71"/>
    </row>
    <row r="755" spans="1:19" hidden="1">
      <c r="A755" t="s">
        <v>2210</v>
      </c>
      <c r="B755" s="71" t="str">
        <f>IFERROR(VLOOKUP(Proc[[#This Row],[App]],Table2[],3,0),"open")</f>
        <v>ok</v>
      </c>
      <c r="C755" s="70" t="s">
        <v>369</v>
      </c>
      <c r="D755" t="s">
        <v>2211</v>
      </c>
      <c r="E755" t="s">
        <v>2212</v>
      </c>
      <c r="F755" s="105" t="s">
        <v>2212</v>
      </c>
      <c r="G755" s="70" t="s">
        <v>406</v>
      </c>
      <c r="H755" s="71" t="str">
        <f>IF(Proc[[#This Row],[type]]="LFF (MDG-F)",MID(Proc[[#This Row],[Obj]],13,10),"")</f>
        <v>KR07C06030</v>
      </c>
      <c r="J755" s="71" t="b">
        <f>Proc[[#This Row],[Requested]]=Proc[[#This Row],[CurrentParent]]</f>
        <v>1</v>
      </c>
      <c r="K755" s="71" t="str">
        <f>IF(Proc[[#This Row],[Author]]="Marcela Urrego",VLOOKUP(LEFT(Proc[[#This Row],[Requested]],1),Table3[#All],2,0),VLOOKUP(Proc[[#This Row],[Author]],Table4[],2,0))</f>
        <v>MGF</v>
      </c>
      <c r="L755" s="32" t="s">
        <v>509</v>
      </c>
      <c r="M755" s="73">
        <v>45714.387881944444</v>
      </c>
      <c r="N755" s="73">
        <v>45716</v>
      </c>
      <c r="O755" s="73">
        <v>45716</v>
      </c>
      <c r="P755" s="72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2" t="s">
        <v>1076</v>
      </c>
      <c r="S755" s="71"/>
    </row>
    <row r="756" spans="1:19" hidden="1">
      <c r="A756" s="70" t="s">
        <v>2201</v>
      </c>
      <c r="B756" s="71" t="str">
        <f>IFERROR(VLOOKUP(Proc[[#This Row],[App]],Table2[],3,0),"open")</f>
        <v>ok</v>
      </c>
      <c r="C756" s="70" t="s">
        <v>369</v>
      </c>
      <c r="D756" t="s">
        <v>2213</v>
      </c>
      <c r="E756" t="s">
        <v>523</v>
      </c>
      <c r="F756" s="105" t="s">
        <v>523</v>
      </c>
      <c r="G756" s="70" t="s">
        <v>400</v>
      </c>
      <c r="H756" s="71" t="str">
        <f>IF(Proc[[#This Row],[type]]="LFF (MDG-F)",MID(Proc[[#This Row],[Obj]],13,10),"")</f>
        <v/>
      </c>
      <c r="J756" s="71" t="b">
        <f>Proc[[#This Row],[Requested]]=Proc[[#This Row],[CurrentParent]]</f>
        <v>1</v>
      </c>
      <c r="K756" s="71" t="str">
        <f>IF(Proc[[#This Row],[Author]]="Marcela Urrego",VLOOKUP(LEFT(Proc[[#This Row],[Requested]],1),Table3[#All],2,0),VLOOKUP(Proc[[#This Row],[Author]],Table4[],2,0))</f>
        <v>LS</v>
      </c>
      <c r="L756" s="32" t="s">
        <v>509</v>
      </c>
      <c r="M756" s="73">
        <v>45714.490324074075</v>
      </c>
      <c r="N756" s="73">
        <v>45716</v>
      </c>
      <c r="O756" s="73">
        <v>45716</v>
      </c>
      <c r="P756" s="72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2" t="s">
        <v>972</v>
      </c>
      <c r="S756" s="71"/>
    </row>
    <row r="757" spans="1:19" hidden="1">
      <c r="A757" s="70" t="s">
        <v>2201</v>
      </c>
      <c r="B757" s="71" t="str">
        <f>IFERROR(VLOOKUP(Proc[[#This Row],[App]],Table2[],3,0),"open")</f>
        <v>ok</v>
      </c>
      <c r="C757" s="70" t="s">
        <v>369</v>
      </c>
      <c r="D757" t="s">
        <v>2203</v>
      </c>
      <c r="E757" t="s">
        <v>2205</v>
      </c>
      <c r="F757" s="105" t="s">
        <v>2205</v>
      </c>
      <c r="G757" s="70" t="s">
        <v>400</v>
      </c>
      <c r="H757" s="71" t="str">
        <f>IF(Proc[[#This Row],[type]]="LFF (MDG-F)",MID(Proc[[#This Row],[Obj]],13,10),"")</f>
        <v/>
      </c>
      <c r="J757" s="71" t="b">
        <f>Proc[[#This Row],[Requested]]=Proc[[#This Row],[CurrentParent]]</f>
        <v>1</v>
      </c>
      <c r="K757" s="71" t="str">
        <f>IF(Proc[[#This Row],[Author]]="Marcela Urrego",VLOOKUP(LEFT(Proc[[#This Row],[Requested]],1),Table3[#All],2,0),VLOOKUP(Proc[[#This Row],[Author]],Table4[],2,0))</f>
        <v>LS</v>
      </c>
      <c r="L757" s="32" t="s">
        <v>509</v>
      </c>
      <c r="M757" s="73">
        <v>45714.490324074075</v>
      </c>
      <c r="N757" s="73">
        <v>45716</v>
      </c>
      <c r="O757" s="73">
        <v>45716</v>
      </c>
      <c r="P757" s="72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2" t="s">
        <v>972</v>
      </c>
      <c r="S757" s="71"/>
    </row>
    <row r="758" spans="1:19" hidden="1">
      <c r="A758" s="70" t="s">
        <v>2201</v>
      </c>
      <c r="B758" s="71" t="str">
        <f>IFERROR(VLOOKUP(Proc[[#This Row],[App]],Table2[],3,0),"open")</f>
        <v>ok</v>
      </c>
      <c r="C758" s="70" t="s">
        <v>369</v>
      </c>
      <c r="D758" t="s">
        <v>2204</v>
      </c>
      <c r="E758" t="s">
        <v>2206</v>
      </c>
      <c r="F758" s="105" t="s">
        <v>2206</v>
      </c>
      <c r="G758" s="70" t="s">
        <v>400</v>
      </c>
      <c r="H758" s="71" t="str">
        <f>IF(Proc[[#This Row],[type]]="LFF (MDG-F)",MID(Proc[[#This Row],[Obj]],13,10),"")</f>
        <v/>
      </c>
      <c r="J758" s="71" t="b">
        <f>Proc[[#This Row],[Requested]]=Proc[[#This Row],[CurrentParent]]</f>
        <v>1</v>
      </c>
      <c r="K758" s="71" t="str">
        <f>IF(Proc[[#This Row],[Author]]="Marcela Urrego",VLOOKUP(LEFT(Proc[[#This Row],[Requested]],1),Table3[#All],2,0),VLOOKUP(Proc[[#This Row],[Author]],Table4[],2,0))</f>
        <v>LS</v>
      </c>
      <c r="L758" s="32" t="s">
        <v>509</v>
      </c>
      <c r="M758" s="73">
        <v>45714.490324074075</v>
      </c>
      <c r="N758" s="73">
        <v>45716</v>
      </c>
      <c r="O758" s="73">
        <v>45716</v>
      </c>
      <c r="P758" s="72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2" t="s">
        <v>972</v>
      </c>
      <c r="S758" s="71"/>
    </row>
    <row r="759" spans="1:19" hidden="1">
      <c r="A759" t="s">
        <v>2201</v>
      </c>
      <c r="B759" s="71" t="str">
        <f>IFERROR(VLOOKUP(Proc[[#This Row],[App]],Table2[],3,0),"open")</f>
        <v>ok</v>
      </c>
      <c r="C759" s="70" t="s">
        <v>369</v>
      </c>
      <c r="D759" s="70" t="s">
        <v>2202</v>
      </c>
      <c r="E759" t="s">
        <v>2205</v>
      </c>
      <c r="F759" s="105" t="s">
        <v>2205</v>
      </c>
      <c r="G759" s="70" t="s">
        <v>400</v>
      </c>
      <c r="H759" s="71" t="str">
        <f>IF(Proc[[#This Row],[type]]="LFF (MDG-F)",MID(Proc[[#This Row],[Obj]],13,10),"")</f>
        <v/>
      </c>
      <c r="J759" s="71" t="b">
        <f>Proc[[#This Row],[Requested]]=Proc[[#This Row],[CurrentParent]]</f>
        <v>1</v>
      </c>
      <c r="K759" s="71" t="str">
        <f>IF(Proc[[#This Row],[Author]]="Marcela Urrego",VLOOKUP(LEFT(Proc[[#This Row],[Requested]],1),Table3[#All],2,0),VLOOKUP(Proc[[#This Row],[Author]],Table4[],2,0))</f>
        <v>LS</v>
      </c>
      <c r="L759" s="32" t="s">
        <v>509</v>
      </c>
      <c r="M759" s="73">
        <v>45714.490324074075</v>
      </c>
      <c r="N759" s="73">
        <v>45716</v>
      </c>
      <c r="O759" s="73">
        <v>45716</v>
      </c>
      <c r="P759" s="72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2" t="s">
        <v>972</v>
      </c>
      <c r="S759" s="71"/>
    </row>
    <row r="760" spans="1:19" hidden="1">
      <c r="A760" t="s">
        <v>2198</v>
      </c>
      <c r="B760" s="71" t="str">
        <f>IFERROR(VLOOKUP(Proc[[#This Row],[App]],Table2[],3,0),"open")</f>
        <v>ok</v>
      </c>
      <c r="C760" s="70" t="s">
        <v>369</v>
      </c>
      <c r="D760" t="s">
        <v>2199</v>
      </c>
      <c r="E760" t="s">
        <v>2200</v>
      </c>
      <c r="F760" s="105" t="s">
        <v>2200</v>
      </c>
      <c r="G760" t="s">
        <v>400</v>
      </c>
      <c r="H760" s="71" t="str">
        <f>IF(Proc[[#This Row],[type]]="LFF (MDG-F)",MID(Proc[[#This Row],[Obj]],13,10),"")</f>
        <v/>
      </c>
      <c r="J760" s="71" t="b">
        <f>Proc[[#This Row],[Requested]]=Proc[[#This Row],[CurrentParent]]</f>
        <v>1</v>
      </c>
      <c r="K760" s="71" t="str">
        <f>IF(Proc[[#This Row],[Author]]="Marcela Urrego",VLOOKUP(LEFT(Proc[[#This Row],[Requested]],1),Table3[#All],2,0),VLOOKUP(Proc[[#This Row],[Author]],Table4[],2,0))</f>
        <v>LS</v>
      </c>
      <c r="L760" s="32" t="s">
        <v>509</v>
      </c>
      <c r="M760" s="73">
        <v>45714.601423611108</v>
      </c>
      <c r="N760" s="73">
        <v>45716</v>
      </c>
      <c r="O760" s="73">
        <v>45716</v>
      </c>
      <c r="P760" s="72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2" t="s">
        <v>972</v>
      </c>
      <c r="S760" s="71"/>
    </row>
    <row r="761" spans="1:19" hidden="1">
      <c r="A761" t="s">
        <v>2217</v>
      </c>
      <c r="B761" s="71" t="str">
        <f>IFERROR(VLOOKUP(Proc[[#This Row],[App]],Table2[],3,0),"open")</f>
        <v>ok</v>
      </c>
      <c r="C761" s="70" t="s">
        <v>369</v>
      </c>
      <c r="D761" t="s">
        <v>2218</v>
      </c>
      <c r="E761" t="s">
        <v>2219</v>
      </c>
      <c r="F761" s="105" t="s">
        <v>2219</v>
      </c>
      <c r="G761" t="s">
        <v>406</v>
      </c>
      <c r="H761" s="71" t="str">
        <f>IF(Proc[[#This Row],[type]]="LFF (MDG-F)",MID(Proc[[#This Row],[Obj]],13,10),"")</f>
        <v>KR02TPAZ06</v>
      </c>
      <c r="J761" s="71" t="b">
        <f>Proc[[#This Row],[Requested]]=Proc[[#This Row],[CurrentParent]]</f>
        <v>1</v>
      </c>
      <c r="K761" s="71" t="str">
        <f>IF(Proc[[#This Row],[Author]]="Marcela Urrego",VLOOKUP(LEFT(Proc[[#This Row],[Requested]],1),Table3[#All],2,0),VLOOKUP(Proc[[#This Row],[Author]],Table4[],2,0))</f>
        <v>MGF</v>
      </c>
      <c r="L761" s="32" t="s">
        <v>509</v>
      </c>
      <c r="M761" s="73">
        <v>45715.620972222219</v>
      </c>
      <c r="N761" s="73">
        <v>45719</v>
      </c>
      <c r="O761" s="73">
        <v>45719</v>
      </c>
      <c r="P761" s="72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2" t="s">
        <v>1076</v>
      </c>
      <c r="S761" s="71"/>
    </row>
    <row r="762" spans="1:19" hidden="1">
      <c r="A762" t="s">
        <v>2216</v>
      </c>
      <c r="B762" s="71" t="str">
        <f>IFERROR(VLOOKUP(Proc[[#This Row],[App]],Table2[],3,0),"open")</f>
        <v>ok</v>
      </c>
      <c r="C762" s="70" t="s">
        <v>369</v>
      </c>
      <c r="D762" t="s">
        <v>2214</v>
      </c>
      <c r="E762" t="s">
        <v>413</v>
      </c>
      <c r="F762" s="105" t="s">
        <v>413</v>
      </c>
      <c r="G762" t="s">
        <v>400</v>
      </c>
      <c r="H762" s="71" t="str">
        <f>IF(Proc[[#This Row],[type]]="LFF (MDG-F)",MID(Proc[[#This Row],[Obj]],13,10),"")</f>
        <v/>
      </c>
      <c r="J762" s="71" t="b">
        <f>Proc[[#This Row],[Requested]]=Proc[[#This Row],[CurrentParent]]</f>
        <v>1</v>
      </c>
      <c r="K762" s="71" t="str">
        <f>IF(Proc[[#This Row],[Author]]="Marcela Urrego",VLOOKUP(LEFT(Proc[[#This Row],[Requested]],1),Table3[#All],2,0),VLOOKUP(Proc[[#This Row],[Author]],Table4[],2,0))</f>
        <v>MGF</v>
      </c>
      <c r="L762" s="32" t="s">
        <v>509</v>
      </c>
      <c r="M762" s="73">
        <v>45715.634722222225</v>
      </c>
      <c r="N762" s="73">
        <v>45716</v>
      </c>
      <c r="O762" s="73">
        <v>45716</v>
      </c>
      <c r="P762" s="72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2" t="s">
        <v>515</v>
      </c>
      <c r="S762" s="71"/>
    </row>
    <row r="763" spans="1:19" hidden="1">
      <c r="A763" t="s">
        <v>2216</v>
      </c>
      <c r="B763" s="71" t="str">
        <f>IFERROR(VLOOKUP(Proc[[#This Row],[App]],Table2[],3,0),"open")</f>
        <v>ok</v>
      </c>
      <c r="C763" t="s">
        <v>369</v>
      </c>
      <c r="D763" t="s">
        <v>2215</v>
      </c>
      <c r="E763" t="s">
        <v>413</v>
      </c>
      <c r="F763" s="105" t="s">
        <v>413</v>
      </c>
      <c r="G763" s="70" t="s">
        <v>400</v>
      </c>
      <c r="H763" s="71" t="str">
        <f>IF(Proc[[#This Row],[type]]="LFF (MDG-F)",MID(Proc[[#This Row],[Obj]],13,10),"")</f>
        <v/>
      </c>
      <c r="J763" s="71" t="b">
        <f>Proc[[#This Row],[Requested]]=Proc[[#This Row],[CurrentParent]]</f>
        <v>1</v>
      </c>
      <c r="K763" s="71" t="str">
        <f>IF(Proc[[#This Row],[Author]]="Marcela Urrego",VLOOKUP(LEFT(Proc[[#This Row],[Requested]],1),Table3[#All],2,0),VLOOKUP(Proc[[#This Row],[Author]],Table4[],2,0))</f>
        <v>MGF</v>
      </c>
      <c r="L763" s="32" t="s">
        <v>509</v>
      </c>
      <c r="M763" s="73">
        <v>45715.634722222225</v>
      </c>
      <c r="N763" s="73">
        <v>45716</v>
      </c>
      <c r="O763" s="73">
        <v>45716</v>
      </c>
      <c r="P763" s="72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2" t="s">
        <v>515</v>
      </c>
      <c r="S763" s="71"/>
    </row>
    <row r="764" spans="1:19" hidden="1">
      <c r="A764" t="s">
        <v>2279</v>
      </c>
      <c r="B764" s="71" t="str">
        <f>IFERROR(VLOOKUP(Proc[[#This Row],[App]],Table2[],3,0),"open")</f>
        <v>ok</v>
      </c>
      <c r="C764" t="s">
        <v>369</v>
      </c>
      <c r="D764" t="s">
        <v>2268</v>
      </c>
      <c r="E764" t="s">
        <v>2269</v>
      </c>
      <c r="F764" s="105" t="s">
        <v>2269</v>
      </c>
      <c r="G764" t="s">
        <v>400</v>
      </c>
      <c r="H764" s="71" t="str">
        <f>IF(Proc[[#This Row],[type]]="LFF (MDG-F)",MID(Proc[[#This Row],[Obj]],13,10),"")</f>
        <v/>
      </c>
      <c r="J764" s="71" t="b">
        <f>Proc[[#This Row],[Requested]]=Proc[[#This Row],[CurrentParent]]</f>
        <v>1</v>
      </c>
      <c r="K764" s="71" t="str">
        <f>IF(Proc[[#This Row],[Author]]="Marcela Urrego",VLOOKUP(LEFT(Proc[[#This Row],[Requested]],1),Table3[#All],2,0),VLOOKUP(Proc[[#This Row],[Author]],Table4[],2,0))</f>
        <v>HC</v>
      </c>
      <c r="L764" s="32" t="s">
        <v>509</v>
      </c>
      <c r="M764" s="73">
        <v>45716.405740740738</v>
      </c>
      <c r="N764" s="73">
        <v>45721</v>
      </c>
      <c r="O764" s="73">
        <v>45721</v>
      </c>
      <c r="P764" s="72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2" t="s">
        <v>738</v>
      </c>
      <c r="S764" s="71"/>
    </row>
    <row r="765" spans="1:19" hidden="1">
      <c r="A765" s="70" t="s">
        <v>2279</v>
      </c>
      <c r="B765" s="71" t="str">
        <f>IFERROR(VLOOKUP(Proc[[#This Row],[App]],Table2[],3,0),"open")</f>
        <v>ok</v>
      </c>
      <c r="C765" s="70" t="s">
        <v>369</v>
      </c>
      <c r="D765" t="s">
        <v>2270</v>
      </c>
      <c r="E765" t="s">
        <v>2269</v>
      </c>
      <c r="F765" s="105" t="s">
        <v>2269</v>
      </c>
      <c r="G765" s="70" t="s">
        <v>400</v>
      </c>
      <c r="H765" s="71" t="str">
        <f>IF(Proc[[#This Row],[type]]="LFF (MDG-F)",MID(Proc[[#This Row],[Obj]],13,10),"")</f>
        <v/>
      </c>
      <c r="J765" s="71" t="b">
        <f>Proc[[#This Row],[Requested]]=Proc[[#This Row],[CurrentParent]]</f>
        <v>1</v>
      </c>
      <c r="K765" s="71" t="str">
        <f>IF(Proc[[#This Row],[Author]]="Marcela Urrego",VLOOKUP(LEFT(Proc[[#This Row],[Requested]],1),Table3[#All],2,0),VLOOKUP(Proc[[#This Row],[Author]],Table4[],2,0))</f>
        <v>HC</v>
      </c>
      <c r="L765" s="32" t="s">
        <v>509</v>
      </c>
      <c r="M765" s="73">
        <v>45716.405740740738</v>
      </c>
      <c r="N765" s="73">
        <v>45721</v>
      </c>
      <c r="O765" s="73">
        <v>45721</v>
      </c>
      <c r="P765" s="72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2" t="s">
        <v>738</v>
      </c>
      <c r="S765" s="71"/>
    </row>
    <row r="766" spans="1:19" hidden="1">
      <c r="A766" s="70" t="s">
        <v>2279</v>
      </c>
      <c r="B766" s="71" t="str">
        <f>IFERROR(VLOOKUP(Proc[[#This Row],[App]],Table2[],3,0),"open")</f>
        <v>ok</v>
      </c>
      <c r="C766" s="70" t="s">
        <v>369</v>
      </c>
      <c r="D766" t="s">
        <v>2271</v>
      </c>
      <c r="E766" t="s">
        <v>2269</v>
      </c>
      <c r="F766" s="105" t="s">
        <v>2269</v>
      </c>
      <c r="G766" s="70" t="s">
        <v>400</v>
      </c>
      <c r="H766" s="71" t="str">
        <f>IF(Proc[[#This Row],[type]]="LFF (MDG-F)",MID(Proc[[#This Row],[Obj]],13,10),"")</f>
        <v/>
      </c>
      <c r="J766" s="71" t="b">
        <f>Proc[[#This Row],[Requested]]=Proc[[#This Row],[CurrentParent]]</f>
        <v>1</v>
      </c>
      <c r="K766" s="71" t="str">
        <f>IF(Proc[[#This Row],[Author]]="Marcela Urrego",VLOOKUP(LEFT(Proc[[#This Row],[Requested]],1),Table3[#All],2,0),VLOOKUP(Proc[[#This Row],[Author]],Table4[],2,0))</f>
        <v>HC</v>
      </c>
      <c r="L766" s="32" t="s">
        <v>509</v>
      </c>
      <c r="M766" s="73">
        <v>45716.405740740738</v>
      </c>
      <c r="N766" s="73">
        <v>45721</v>
      </c>
      <c r="O766" s="73">
        <v>45721</v>
      </c>
      <c r="P766" s="72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2" t="s">
        <v>738</v>
      </c>
      <c r="S766" s="71"/>
    </row>
    <row r="767" spans="1:19" hidden="1">
      <c r="A767" s="70" t="s">
        <v>2279</v>
      </c>
      <c r="B767" s="71" t="str">
        <f>IFERROR(VLOOKUP(Proc[[#This Row],[App]],Table2[],3,0),"open")</f>
        <v>ok</v>
      </c>
      <c r="C767" s="70" t="s">
        <v>369</v>
      </c>
      <c r="D767" t="s">
        <v>2272</v>
      </c>
      <c r="E767" t="s">
        <v>2269</v>
      </c>
      <c r="F767" s="105" t="s">
        <v>2269</v>
      </c>
      <c r="G767" s="70" t="s">
        <v>400</v>
      </c>
      <c r="H767" s="71" t="str">
        <f>IF(Proc[[#This Row],[type]]="LFF (MDG-F)",MID(Proc[[#This Row],[Obj]],13,10),"")</f>
        <v/>
      </c>
      <c r="J767" s="71" t="b">
        <f>Proc[[#This Row],[Requested]]=Proc[[#This Row],[CurrentParent]]</f>
        <v>1</v>
      </c>
      <c r="K767" s="71" t="str">
        <f>IF(Proc[[#This Row],[Author]]="Marcela Urrego",VLOOKUP(LEFT(Proc[[#This Row],[Requested]],1),Table3[#All],2,0),VLOOKUP(Proc[[#This Row],[Author]],Table4[],2,0))</f>
        <v>HC</v>
      </c>
      <c r="L767" s="32" t="s">
        <v>509</v>
      </c>
      <c r="M767" s="73">
        <v>45716.405740740738</v>
      </c>
      <c r="N767" s="73">
        <v>45721</v>
      </c>
      <c r="O767" s="73">
        <v>45721</v>
      </c>
      <c r="P767" s="72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2" t="s">
        <v>738</v>
      </c>
      <c r="S767" s="71"/>
    </row>
    <row r="768" spans="1:19" hidden="1">
      <c r="A768" s="70" t="s">
        <v>2279</v>
      </c>
      <c r="B768" s="71" t="str">
        <f>IFERROR(VLOOKUP(Proc[[#This Row],[App]],Table2[],3,0),"open")</f>
        <v>ok</v>
      </c>
      <c r="C768" s="70" t="s">
        <v>369</v>
      </c>
      <c r="D768" t="s">
        <v>2273</v>
      </c>
      <c r="E768" t="s">
        <v>2274</v>
      </c>
      <c r="F768" s="105" t="s">
        <v>2274</v>
      </c>
      <c r="G768" s="70" t="s">
        <v>400</v>
      </c>
      <c r="H768" s="71" t="str">
        <f>IF(Proc[[#This Row],[type]]="LFF (MDG-F)",MID(Proc[[#This Row],[Obj]],13,10),"")</f>
        <v/>
      </c>
      <c r="J768" s="71" t="b">
        <f>Proc[[#This Row],[Requested]]=Proc[[#This Row],[CurrentParent]]</f>
        <v>1</v>
      </c>
      <c r="K768" s="71" t="str">
        <f>IF(Proc[[#This Row],[Author]]="Marcela Urrego",VLOOKUP(LEFT(Proc[[#This Row],[Requested]],1),Table3[#All],2,0),VLOOKUP(Proc[[#This Row],[Author]],Table4[],2,0))</f>
        <v>HC</v>
      </c>
      <c r="L768" s="32" t="s">
        <v>509</v>
      </c>
      <c r="M768" s="73">
        <v>45716.405740740738</v>
      </c>
      <c r="N768" s="73">
        <v>45721</v>
      </c>
      <c r="O768" s="73">
        <v>45721</v>
      </c>
      <c r="P768" s="72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2" t="s">
        <v>738</v>
      </c>
      <c r="S768" s="71"/>
    </row>
    <row r="769" spans="1:19" hidden="1">
      <c r="A769" s="70" t="s">
        <v>2279</v>
      </c>
      <c r="B769" s="71" t="str">
        <f>IFERROR(VLOOKUP(Proc[[#This Row],[App]],Table2[],3,0),"open")</f>
        <v>ok</v>
      </c>
      <c r="C769" s="70" t="s">
        <v>369</v>
      </c>
      <c r="D769" t="s">
        <v>2275</v>
      </c>
      <c r="E769" t="s">
        <v>2274</v>
      </c>
      <c r="F769" s="105" t="s">
        <v>2274</v>
      </c>
      <c r="G769" s="70" t="s">
        <v>400</v>
      </c>
      <c r="H769" s="71" t="str">
        <f>IF(Proc[[#This Row],[type]]="LFF (MDG-F)",MID(Proc[[#This Row],[Obj]],13,10),"")</f>
        <v/>
      </c>
      <c r="J769" s="71" t="b">
        <f>Proc[[#This Row],[Requested]]=Proc[[#This Row],[CurrentParent]]</f>
        <v>1</v>
      </c>
      <c r="K769" s="71" t="str">
        <f>IF(Proc[[#This Row],[Author]]="Marcela Urrego",VLOOKUP(LEFT(Proc[[#This Row],[Requested]],1),Table3[#All],2,0),VLOOKUP(Proc[[#This Row],[Author]],Table4[],2,0))</f>
        <v>HC</v>
      </c>
      <c r="L769" s="32" t="s">
        <v>509</v>
      </c>
      <c r="M769" s="73">
        <v>45716.405740740738</v>
      </c>
      <c r="N769" s="73">
        <v>45721</v>
      </c>
      <c r="O769" s="73">
        <v>45721</v>
      </c>
      <c r="P769" s="72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2" t="s">
        <v>738</v>
      </c>
      <c r="S769" s="71"/>
    </row>
    <row r="770" spans="1:19" hidden="1">
      <c r="A770" s="70" t="s">
        <v>2279</v>
      </c>
      <c r="B770" s="71" t="str">
        <f>IFERROR(VLOOKUP(Proc[[#This Row],[App]],Table2[],3,0),"open")</f>
        <v>ok</v>
      </c>
      <c r="C770" s="70" t="s">
        <v>369</v>
      </c>
      <c r="D770" t="s">
        <v>2276</v>
      </c>
      <c r="E770" t="s">
        <v>2274</v>
      </c>
      <c r="F770" s="105" t="s">
        <v>2274</v>
      </c>
      <c r="G770" s="70" t="s">
        <v>400</v>
      </c>
      <c r="H770" s="71" t="str">
        <f>IF(Proc[[#This Row],[type]]="LFF (MDG-F)",MID(Proc[[#This Row],[Obj]],13,10),"")</f>
        <v/>
      </c>
      <c r="J770" s="71" t="b">
        <f>Proc[[#This Row],[Requested]]=Proc[[#This Row],[CurrentParent]]</f>
        <v>1</v>
      </c>
      <c r="K770" s="71" t="str">
        <f>IF(Proc[[#This Row],[Author]]="Marcela Urrego",VLOOKUP(LEFT(Proc[[#This Row],[Requested]],1),Table3[#All],2,0),VLOOKUP(Proc[[#This Row],[Author]],Table4[],2,0))</f>
        <v>HC</v>
      </c>
      <c r="L770" s="32" t="s">
        <v>509</v>
      </c>
      <c r="M770" s="73">
        <v>45716.405740740738</v>
      </c>
      <c r="N770" s="73">
        <v>45721</v>
      </c>
      <c r="O770" s="73">
        <v>45721</v>
      </c>
      <c r="P770" s="72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2" t="s">
        <v>738</v>
      </c>
      <c r="S770" s="71"/>
    </row>
    <row r="771" spans="1:19" hidden="1">
      <c r="A771" s="70" t="s">
        <v>2279</v>
      </c>
      <c r="B771" s="71" t="str">
        <f>IFERROR(VLOOKUP(Proc[[#This Row],[App]],Table2[],3,0),"open")</f>
        <v>ok</v>
      </c>
      <c r="C771" s="70" t="s">
        <v>369</v>
      </c>
      <c r="D771" t="s">
        <v>2277</v>
      </c>
      <c r="E771" t="s">
        <v>2278</v>
      </c>
      <c r="F771" s="105" t="s">
        <v>2278</v>
      </c>
      <c r="G771" s="70" t="s">
        <v>400</v>
      </c>
      <c r="H771" s="71" t="str">
        <f>IF(Proc[[#This Row],[type]]="LFF (MDG-F)",MID(Proc[[#This Row],[Obj]],13,10),"")</f>
        <v/>
      </c>
      <c r="J771" s="71" t="b">
        <f>Proc[[#This Row],[Requested]]=Proc[[#This Row],[CurrentParent]]</f>
        <v>1</v>
      </c>
      <c r="K771" s="71" t="str">
        <f>IF(Proc[[#This Row],[Author]]="Marcela Urrego",VLOOKUP(LEFT(Proc[[#This Row],[Requested]],1),Table3[#All],2,0),VLOOKUP(Proc[[#This Row],[Author]],Table4[],2,0))</f>
        <v>HC</v>
      </c>
      <c r="L771" s="32" t="s">
        <v>509</v>
      </c>
      <c r="M771" s="73">
        <v>45716.405740740738</v>
      </c>
      <c r="N771" s="73">
        <v>45721</v>
      </c>
      <c r="O771" s="73">
        <v>45721</v>
      </c>
      <c r="P771" s="72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2" t="s">
        <v>738</v>
      </c>
      <c r="S771" s="71"/>
    </row>
    <row r="772" spans="1:19" hidden="1">
      <c r="A772" s="70" t="s">
        <v>2266</v>
      </c>
      <c r="B772" s="71" t="str">
        <f>IFERROR(VLOOKUP(Proc[[#This Row],[App]],Table2[],3,0),"open")</f>
        <v>ok</v>
      </c>
      <c r="C772" s="70" t="s">
        <v>369</v>
      </c>
      <c r="D772" t="s">
        <v>1745</v>
      </c>
      <c r="E772" t="s">
        <v>493</v>
      </c>
      <c r="F772" s="105" t="s">
        <v>493</v>
      </c>
      <c r="G772" s="70" t="s">
        <v>400</v>
      </c>
      <c r="H772" s="71" t="str">
        <f>IF(Proc[[#This Row],[type]]="LFF (MDG-F)",MID(Proc[[#This Row],[Obj]],13,10),"")</f>
        <v/>
      </c>
      <c r="I772" t="s">
        <v>1198</v>
      </c>
      <c r="J772" s="71" t="b">
        <f>Proc[[#This Row],[Requested]]=Proc[[#This Row],[CurrentParent]]</f>
        <v>1</v>
      </c>
      <c r="K772" s="71" t="str">
        <f>IF(Proc[[#This Row],[Author]]="Marcela Urrego",VLOOKUP(LEFT(Proc[[#This Row],[Requested]],1),Table3[#All],2,0),VLOOKUP(Proc[[#This Row],[Author]],Table4[],2,0))</f>
        <v>HC</v>
      </c>
      <c r="L772" s="32" t="s">
        <v>509</v>
      </c>
      <c r="M772" s="73">
        <v>45716.407511574071</v>
      </c>
      <c r="N772" s="73">
        <v>45721</v>
      </c>
      <c r="O772" s="73">
        <v>45721</v>
      </c>
      <c r="P772" s="72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2" t="s">
        <v>478</v>
      </c>
      <c r="S772" s="71"/>
    </row>
    <row r="773" spans="1:19" hidden="1">
      <c r="A773" s="70" t="s">
        <v>2266</v>
      </c>
      <c r="B773" s="71" t="str">
        <f>IFERROR(VLOOKUP(Proc[[#This Row],[App]],Table2[],3,0),"open")</f>
        <v>ok</v>
      </c>
      <c r="C773" s="70" t="s">
        <v>369</v>
      </c>
      <c r="D773" t="s">
        <v>2265</v>
      </c>
      <c r="E773" t="s">
        <v>2267</v>
      </c>
      <c r="F773" s="105" t="s">
        <v>2267</v>
      </c>
      <c r="G773" s="70" t="s">
        <v>400</v>
      </c>
      <c r="H773" s="71" t="str">
        <f>IF(Proc[[#This Row],[type]]="LFF (MDG-F)",MID(Proc[[#This Row],[Obj]],13,10),"")</f>
        <v/>
      </c>
      <c r="J773" s="71" t="b">
        <f>Proc[[#This Row],[Requested]]=Proc[[#This Row],[CurrentParent]]</f>
        <v>1</v>
      </c>
      <c r="K773" s="71" t="str">
        <f>IF(Proc[[#This Row],[Author]]="Marcela Urrego",VLOOKUP(LEFT(Proc[[#This Row],[Requested]],1),Table3[#All],2,0),VLOOKUP(Proc[[#This Row],[Author]],Table4[],2,0))</f>
        <v>HC</v>
      </c>
      <c r="L773" s="32" t="s">
        <v>509</v>
      </c>
      <c r="M773" s="73">
        <v>45716.407511574071</v>
      </c>
      <c r="N773" s="73">
        <v>45721</v>
      </c>
      <c r="O773" s="73">
        <v>45721</v>
      </c>
      <c r="P773" s="72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2" t="s">
        <v>478</v>
      </c>
      <c r="S773" s="71"/>
    </row>
    <row r="774" spans="1:19" hidden="1">
      <c r="A774" s="70" t="s">
        <v>2264</v>
      </c>
      <c r="B774" s="71" t="str">
        <f>IFERROR(VLOOKUP(Proc[[#This Row],[App]],Table2[],3,0),"open")</f>
        <v>ok</v>
      </c>
      <c r="C774" s="70" t="s">
        <v>369</v>
      </c>
      <c r="D774" t="s">
        <v>2262</v>
      </c>
      <c r="E774" t="s">
        <v>540</v>
      </c>
      <c r="F774" s="105" t="s">
        <v>540</v>
      </c>
      <c r="G774" s="70" t="s">
        <v>400</v>
      </c>
      <c r="H774" s="71" t="str">
        <f>IF(Proc[[#This Row],[type]]="LFF (MDG-F)",MID(Proc[[#This Row],[Obj]],13,10),"")</f>
        <v/>
      </c>
      <c r="J774" s="71" t="b">
        <f>Proc[[#This Row],[Requested]]=Proc[[#This Row],[CurrentParent]]</f>
        <v>1</v>
      </c>
      <c r="K774" s="71" t="str">
        <f>IF(Proc[[#This Row],[Author]]="Marcela Urrego",VLOOKUP(LEFT(Proc[[#This Row],[Requested]],1),Table3[#All],2,0),VLOOKUP(Proc[[#This Row],[Author]],Table4[],2,0))</f>
        <v>MGF</v>
      </c>
      <c r="L774" s="32" t="s">
        <v>509</v>
      </c>
      <c r="M774" s="73">
        <v>45716.515300925923</v>
      </c>
      <c r="N774" s="73">
        <v>45721</v>
      </c>
      <c r="O774" s="73">
        <v>45721</v>
      </c>
      <c r="P774" s="72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2" t="s">
        <v>2263</v>
      </c>
      <c r="S774" s="71"/>
    </row>
    <row r="775" spans="1:19" hidden="1">
      <c r="A775" s="70" t="s">
        <v>2261</v>
      </c>
      <c r="B775" s="71" t="str">
        <f>IFERROR(VLOOKUP(Proc[[#This Row],[App]],Table2[],3,0),"open")</f>
        <v>ok</v>
      </c>
      <c r="C775" s="70" t="s">
        <v>369</v>
      </c>
      <c r="D775" t="s">
        <v>2245</v>
      </c>
      <c r="E775" t="s">
        <v>2246</v>
      </c>
      <c r="F775" s="105" t="s">
        <v>2246</v>
      </c>
      <c r="G775" s="70" t="s">
        <v>400</v>
      </c>
      <c r="H775" s="71" t="str">
        <f>IF(Proc[[#This Row],[type]]="LFF (MDG-F)",MID(Proc[[#This Row],[Obj]],13,10),"")</f>
        <v/>
      </c>
      <c r="J775" s="71" t="b">
        <f>Proc[[#This Row],[Requested]]=Proc[[#This Row],[CurrentParent]]</f>
        <v>1</v>
      </c>
      <c r="K775" s="71" t="str">
        <f>IF(Proc[[#This Row],[Author]]="Marcela Urrego",VLOOKUP(LEFT(Proc[[#This Row],[Requested]],1),Table3[#All],2,0),VLOOKUP(Proc[[#This Row],[Author]],Table4[],2,0))</f>
        <v>HC</v>
      </c>
      <c r="L775" s="32" t="s">
        <v>509</v>
      </c>
      <c r="M775" s="73">
        <v>45716.548854166664</v>
      </c>
      <c r="N775" s="73">
        <v>45721</v>
      </c>
      <c r="O775" s="73">
        <v>45721</v>
      </c>
      <c r="P775" s="72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2" t="s">
        <v>1013</v>
      </c>
      <c r="S775" s="71"/>
    </row>
    <row r="776" spans="1:19" hidden="1">
      <c r="A776" s="70" t="s">
        <v>2261</v>
      </c>
      <c r="B776" s="71" t="str">
        <f>IFERROR(VLOOKUP(Proc[[#This Row],[App]],Table2[],3,0),"open")</f>
        <v>ok</v>
      </c>
      <c r="C776" s="70" t="s">
        <v>369</v>
      </c>
      <c r="D776" t="s">
        <v>2247</v>
      </c>
      <c r="E776" t="s">
        <v>2248</v>
      </c>
      <c r="F776" s="105" t="s">
        <v>2248</v>
      </c>
      <c r="G776" s="70" t="s">
        <v>400</v>
      </c>
      <c r="H776" s="71" t="str">
        <f>IF(Proc[[#This Row],[type]]="LFF (MDG-F)",MID(Proc[[#This Row],[Obj]],13,10),"")</f>
        <v/>
      </c>
      <c r="I776" t="s">
        <v>2280</v>
      </c>
      <c r="J776" s="71" t="b">
        <f>Proc[[#This Row],[Requested]]=Proc[[#This Row],[CurrentParent]]</f>
        <v>1</v>
      </c>
      <c r="K776" s="71" t="str">
        <f>IF(Proc[[#This Row],[Author]]="Marcela Urrego",VLOOKUP(LEFT(Proc[[#This Row],[Requested]],1),Table3[#All],2,0),VLOOKUP(Proc[[#This Row],[Author]],Table4[],2,0))</f>
        <v>HC</v>
      </c>
      <c r="L776" s="32" t="s">
        <v>509</v>
      </c>
      <c r="M776" s="73">
        <v>45716.548854166664</v>
      </c>
      <c r="N776" s="73">
        <v>45721</v>
      </c>
      <c r="O776" s="73">
        <v>45721</v>
      </c>
      <c r="P776" s="72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2" t="s">
        <v>1013</v>
      </c>
      <c r="S776" s="71"/>
    </row>
    <row r="777" spans="1:19" hidden="1">
      <c r="A777" s="70" t="s">
        <v>2261</v>
      </c>
      <c r="B777" s="71" t="str">
        <f>IFERROR(VLOOKUP(Proc[[#This Row],[App]],Table2[],3,0),"open")</f>
        <v>ok</v>
      </c>
      <c r="C777" s="70" t="s">
        <v>369</v>
      </c>
      <c r="D777" t="s">
        <v>2249</v>
      </c>
      <c r="E777" t="s">
        <v>2250</v>
      </c>
      <c r="F777" s="105" t="s">
        <v>2250</v>
      </c>
      <c r="G777" s="70" t="s">
        <v>400</v>
      </c>
      <c r="H777" s="71" t="str">
        <f>IF(Proc[[#This Row],[type]]="LFF (MDG-F)",MID(Proc[[#This Row],[Obj]],13,10),"")</f>
        <v/>
      </c>
      <c r="J777" s="71" t="b">
        <f>Proc[[#This Row],[Requested]]=Proc[[#This Row],[CurrentParent]]</f>
        <v>1</v>
      </c>
      <c r="K777" s="71" t="str">
        <f>IF(Proc[[#This Row],[Author]]="Marcela Urrego",VLOOKUP(LEFT(Proc[[#This Row],[Requested]],1),Table3[#All],2,0),VLOOKUP(Proc[[#This Row],[Author]],Table4[],2,0))</f>
        <v>HC</v>
      </c>
      <c r="L777" s="32" t="s">
        <v>509</v>
      </c>
      <c r="M777" s="73">
        <v>45716.548854166664</v>
      </c>
      <c r="N777" s="73">
        <v>45721</v>
      </c>
      <c r="O777" s="73">
        <v>45721</v>
      </c>
      <c r="P777" s="72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2" t="s">
        <v>1013</v>
      </c>
      <c r="S777" s="71"/>
    </row>
    <row r="778" spans="1:19" hidden="1">
      <c r="A778" s="70" t="s">
        <v>2261</v>
      </c>
      <c r="B778" s="71" t="str">
        <f>IFERROR(VLOOKUP(Proc[[#This Row],[App]],Table2[],3,0),"open")</f>
        <v>ok</v>
      </c>
      <c r="C778" s="70" t="s">
        <v>369</v>
      </c>
      <c r="D778" t="s">
        <v>2251</v>
      </c>
      <c r="E778" t="s">
        <v>2250</v>
      </c>
      <c r="F778" s="105" t="s">
        <v>2250</v>
      </c>
      <c r="G778" s="70" t="s">
        <v>400</v>
      </c>
      <c r="H778" s="71" t="str">
        <f>IF(Proc[[#This Row],[type]]="LFF (MDG-F)",MID(Proc[[#This Row],[Obj]],13,10),"")</f>
        <v/>
      </c>
      <c r="J778" s="71" t="b">
        <f>Proc[[#This Row],[Requested]]=Proc[[#This Row],[CurrentParent]]</f>
        <v>1</v>
      </c>
      <c r="K778" s="71" t="str">
        <f>IF(Proc[[#This Row],[Author]]="Marcela Urrego",VLOOKUP(LEFT(Proc[[#This Row],[Requested]],1),Table3[#All],2,0),VLOOKUP(Proc[[#This Row],[Author]],Table4[],2,0))</f>
        <v>HC</v>
      </c>
      <c r="L778" s="32" t="s">
        <v>509</v>
      </c>
      <c r="M778" s="73">
        <v>45716.548854166664</v>
      </c>
      <c r="N778" s="73">
        <v>45721</v>
      </c>
      <c r="O778" s="73">
        <v>45721</v>
      </c>
      <c r="P778" s="72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2" t="s">
        <v>1013</v>
      </c>
      <c r="S778" s="71"/>
    </row>
    <row r="779" spans="1:19" hidden="1">
      <c r="A779" s="70" t="s">
        <v>2261</v>
      </c>
      <c r="B779" s="71" t="str">
        <f>IFERROR(VLOOKUP(Proc[[#This Row],[App]],Table2[],3,0),"open")</f>
        <v>ok</v>
      </c>
      <c r="C779" s="70" t="s">
        <v>369</v>
      </c>
      <c r="D779" t="s">
        <v>2252</v>
      </c>
      <c r="E779" t="s">
        <v>2250</v>
      </c>
      <c r="F779" s="105" t="s">
        <v>2250</v>
      </c>
      <c r="G779" s="70" t="s">
        <v>400</v>
      </c>
      <c r="H779" s="71" t="str">
        <f>IF(Proc[[#This Row],[type]]="LFF (MDG-F)",MID(Proc[[#This Row],[Obj]],13,10),"")</f>
        <v/>
      </c>
      <c r="J779" s="71" t="b">
        <f>Proc[[#This Row],[Requested]]=Proc[[#This Row],[CurrentParent]]</f>
        <v>1</v>
      </c>
      <c r="K779" s="71" t="str">
        <f>IF(Proc[[#This Row],[Author]]="Marcela Urrego",VLOOKUP(LEFT(Proc[[#This Row],[Requested]],1),Table3[#All],2,0),VLOOKUP(Proc[[#This Row],[Author]],Table4[],2,0))</f>
        <v>HC</v>
      </c>
      <c r="L779" s="32" t="s">
        <v>509</v>
      </c>
      <c r="M779" s="73">
        <v>45716.548854166664</v>
      </c>
      <c r="N779" s="73">
        <v>45721</v>
      </c>
      <c r="O779" s="73">
        <v>45721</v>
      </c>
      <c r="P779" s="72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2" t="s">
        <v>1013</v>
      </c>
      <c r="S779" s="71"/>
    </row>
    <row r="780" spans="1:19" hidden="1">
      <c r="A780" s="70" t="s">
        <v>2261</v>
      </c>
      <c r="B780" s="71" t="str">
        <f>IFERROR(VLOOKUP(Proc[[#This Row],[App]],Table2[],3,0),"open")</f>
        <v>ok</v>
      </c>
      <c r="C780" s="70" t="s">
        <v>369</v>
      </c>
      <c r="D780" t="s">
        <v>2253</v>
      </c>
      <c r="E780" t="s">
        <v>2250</v>
      </c>
      <c r="F780" s="105" t="s">
        <v>2250</v>
      </c>
      <c r="G780" s="70" t="s">
        <v>400</v>
      </c>
      <c r="H780" s="71" t="str">
        <f>IF(Proc[[#This Row],[type]]="LFF (MDG-F)",MID(Proc[[#This Row],[Obj]],13,10),"")</f>
        <v/>
      </c>
      <c r="J780" s="71" t="b">
        <f>Proc[[#This Row],[Requested]]=Proc[[#This Row],[CurrentParent]]</f>
        <v>1</v>
      </c>
      <c r="K780" s="71" t="str">
        <f>IF(Proc[[#This Row],[Author]]="Marcela Urrego",VLOOKUP(LEFT(Proc[[#This Row],[Requested]],1),Table3[#All],2,0),VLOOKUP(Proc[[#This Row],[Author]],Table4[],2,0))</f>
        <v>HC</v>
      </c>
      <c r="L780" s="32" t="s">
        <v>509</v>
      </c>
      <c r="M780" s="73">
        <v>45716.548854166664</v>
      </c>
      <c r="N780" s="73">
        <v>45721</v>
      </c>
      <c r="O780" s="73">
        <v>45721</v>
      </c>
      <c r="P780" s="72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2" t="s">
        <v>1013</v>
      </c>
      <c r="S780" s="71"/>
    </row>
    <row r="781" spans="1:19" hidden="1">
      <c r="A781" s="70" t="s">
        <v>2261</v>
      </c>
      <c r="B781" s="71" t="str">
        <f>IFERROR(VLOOKUP(Proc[[#This Row],[App]],Table2[],3,0),"open")</f>
        <v>ok</v>
      </c>
      <c r="C781" s="70" t="s">
        <v>369</v>
      </c>
      <c r="D781" t="s">
        <v>2254</v>
      </c>
      <c r="E781" t="s">
        <v>2255</v>
      </c>
      <c r="F781" s="105" t="s">
        <v>2255</v>
      </c>
      <c r="G781" s="70" t="s">
        <v>400</v>
      </c>
      <c r="H781" s="71" t="str">
        <f>IF(Proc[[#This Row],[type]]="LFF (MDG-F)",MID(Proc[[#This Row],[Obj]],13,10),"")</f>
        <v/>
      </c>
      <c r="J781" s="71" t="b">
        <f>Proc[[#This Row],[Requested]]=Proc[[#This Row],[CurrentParent]]</f>
        <v>1</v>
      </c>
      <c r="K781" s="71" t="str">
        <f>IF(Proc[[#This Row],[Author]]="Marcela Urrego",VLOOKUP(LEFT(Proc[[#This Row],[Requested]],1),Table3[#All],2,0),VLOOKUP(Proc[[#This Row],[Author]],Table4[],2,0))</f>
        <v>HC</v>
      </c>
      <c r="L781" s="32" t="s">
        <v>509</v>
      </c>
      <c r="M781" s="73">
        <v>45716.548854166664</v>
      </c>
      <c r="N781" s="73">
        <v>45721</v>
      </c>
      <c r="O781" s="73">
        <v>45721</v>
      </c>
      <c r="P781" s="72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2" t="s">
        <v>1013</v>
      </c>
      <c r="S781" s="71"/>
    </row>
    <row r="782" spans="1:19" hidden="1">
      <c r="A782" s="70" t="s">
        <v>2261</v>
      </c>
      <c r="B782" s="71" t="str">
        <f>IFERROR(VLOOKUP(Proc[[#This Row],[App]],Table2[],3,0),"open")</f>
        <v>ok</v>
      </c>
      <c r="C782" s="70" t="s">
        <v>369</v>
      </c>
      <c r="D782" t="s">
        <v>2256</v>
      </c>
      <c r="E782" t="s">
        <v>2257</v>
      </c>
      <c r="F782" s="105" t="s">
        <v>2257</v>
      </c>
      <c r="G782" s="70" t="s">
        <v>400</v>
      </c>
      <c r="H782" s="71" t="str">
        <f>IF(Proc[[#This Row],[type]]="LFF (MDG-F)",MID(Proc[[#This Row],[Obj]],13,10),"")</f>
        <v/>
      </c>
      <c r="J782" s="71" t="b">
        <f>Proc[[#This Row],[Requested]]=Proc[[#This Row],[CurrentParent]]</f>
        <v>1</v>
      </c>
      <c r="K782" s="71" t="str">
        <f>IF(Proc[[#This Row],[Author]]="Marcela Urrego",VLOOKUP(LEFT(Proc[[#This Row],[Requested]],1),Table3[#All],2,0),VLOOKUP(Proc[[#This Row],[Author]],Table4[],2,0))</f>
        <v>HC</v>
      </c>
      <c r="L782" s="32" t="s">
        <v>509</v>
      </c>
      <c r="M782" s="73">
        <v>45716.548854166664</v>
      </c>
      <c r="N782" s="73">
        <v>45721</v>
      </c>
      <c r="O782" s="73">
        <v>45721</v>
      </c>
      <c r="P782" s="72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2" t="s">
        <v>1013</v>
      </c>
      <c r="S782" s="71"/>
    </row>
    <row r="783" spans="1:19" hidden="1">
      <c r="A783" s="70" t="s">
        <v>2261</v>
      </c>
      <c r="B783" s="71" t="str">
        <f>IFERROR(VLOOKUP(Proc[[#This Row],[App]],Table2[],3,0),"open")</f>
        <v>ok</v>
      </c>
      <c r="C783" s="70" t="s">
        <v>369</v>
      </c>
      <c r="D783" t="s">
        <v>2258</v>
      </c>
      <c r="E783" t="s">
        <v>2248</v>
      </c>
      <c r="F783" s="105" t="s">
        <v>2248</v>
      </c>
      <c r="G783" s="70" t="s">
        <v>400</v>
      </c>
      <c r="H783" s="71" t="str">
        <f>IF(Proc[[#This Row],[type]]="LFF (MDG-F)",MID(Proc[[#This Row],[Obj]],13,10),"")</f>
        <v/>
      </c>
      <c r="I783" t="s">
        <v>2280</v>
      </c>
      <c r="J783" s="71" t="b">
        <f>Proc[[#This Row],[Requested]]=Proc[[#This Row],[CurrentParent]]</f>
        <v>1</v>
      </c>
      <c r="K783" s="71" t="str">
        <f>IF(Proc[[#This Row],[Author]]="Marcela Urrego",VLOOKUP(LEFT(Proc[[#This Row],[Requested]],1),Table3[#All],2,0),VLOOKUP(Proc[[#This Row],[Author]],Table4[],2,0))</f>
        <v>HC</v>
      </c>
      <c r="L783" s="32" t="s">
        <v>509</v>
      </c>
      <c r="M783" s="73">
        <v>45716.548854166664</v>
      </c>
      <c r="N783" s="73">
        <v>45721</v>
      </c>
      <c r="O783" s="73">
        <v>45721</v>
      </c>
      <c r="P783" s="72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2" t="s">
        <v>1013</v>
      </c>
      <c r="S783" s="71"/>
    </row>
    <row r="784" spans="1:19" hidden="1">
      <c r="A784" s="70" t="s">
        <v>2261</v>
      </c>
      <c r="B784" s="71" t="str">
        <f>IFERROR(VLOOKUP(Proc[[#This Row],[App]],Table2[],3,0),"open")</f>
        <v>ok</v>
      </c>
      <c r="C784" s="70" t="s">
        <v>369</v>
      </c>
      <c r="D784" t="s">
        <v>2259</v>
      </c>
      <c r="E784" t="s">
        <v>2250</v>
      </c>
      <c r="F784" s="105" t="s">
        <v>2250</v>
      </c>
      <c r="G784" s="70" t="s">
        <v>400</v>
      </c>
      <c r="H784" s="71" t="str">
        <f>IF(Proc[[#This Row],[type]]="LFF (MDG-F)",MID(Proc[[#This Row],[Obj]],13,10),"")</f>
        <v/>
      </c>
      <c r="J784" s="71" t="b">
        <f>Proc[[#This Row],[Requested]]=Proc[[#This Row],[CurrentParent]]</f>
        <v>1</v>
      </c>
      <c r="K784" s="71" t="str">
        <f>IF(Proc[[#This Row],[Author]]="Marcela Urrego",VLOOKUP(LEFT(Proc[[#This Row],[Requested]],1),Table3[#All],2,0),VLOOKUP(Proc[[#This Row],[Author]],Table4[],2,0))</f>
        <v>HC</v>
      </c>
      <c r="L784" s="32" t="s">
        <v>509</v>
      </c>
      <c r="M784" s="73">
        <v>45716.548854166664</v>
      </c>
      <c r="N784" s="73">
        <v>45721</v>
      </c>
      <c r="O784" s="73">
        <v>45721</v>
      </c>
      <c r="P784" s="72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2" t="s">
        <v>1013</v>
      </c>
      <c r="S784" s="71"/>
    </row>
    <row r="785" spans="1:19" hidden="1">
      <c r="A785" s="70" t="s">
        <v>2261</v>
      </c>
      <c r="B785" s="71" t="str">
        <f>IFERROR(VLOOKUP(Proc[[#This Row],[App]],Table2[],3,0),"open")</f>
        <v>ok</v>
      </c>
      <c r="C785" s="70" t="s">
        <v>369</v>
      </c>
      <c r="D785" t="s">
        <v>2260</v>
      </c>
      <c r="E785" t="s">
        <v>2250</v>
      </c>
      <c r="F785" s="105" t="s">
        <v>2250</v>
      </c>
      <c r="G785" s="70" t="s">
        <v>400</v>
      </c>
      <c r="H785" s="71" t="str">
        <f>IF(Proc[[#This Row],[type]]="LFF (MDG-F)",MID(Proc[[#This Row],[Obj]],13,10),"")</f>
        <v/>
      </c>
      <c r="J785" s="71" t="b">
        <f>Proc[[#This Row],[Requested]]=Proc[[#This Row],[CurrentParent]]</f>
        <v>1</v>
      </c>
      <c r="K785" s="71" t="str">
        <f>IF(Proc[[#This Row],[Author]]="Marcela Urrego",VLOOKUP(LEFT(Proc[[#This Row],[Requested]],1),Table3[#All],2,0),VLOOKUP(Proc[[#This Row],[Author]],Table4[],2,0))</f>
        <v>HC</v>
      </c>
      <c r="L785" s="32" t="s">
        <v>509</v>
      </c>
      <c r="M785" s="73">
        <v>45716.548854166664</v>
      </c>
      <c r="N785" s="73">
        <v>45721</v>
      </c>
      <c r="O785" s="73">
        <v>45721</v>
      </c>
      <c r="P785" s="72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2" t="s">
        <v>1013</v>
      </c>
      <c r="S785" s="71"/>
    </row>
    <row r="786" spans="1:19" hidden="1">
      <c r="A786" t="s">
        <v>2244</v>
      </c>
      <c r="B786" s="71" t="str">
        <f>IFERROR(VLOOKUP(Proc[[#This Row],[App]],Table2[],3,0),"open")</f>
        <v>ok</v>
      </c>
      <c r="C786" s="70" t="s">
        <v>369</v>
      </c>
      <c r="D786" t="s">
        <v>2221</v>
      </c>
      <c r="E786" t="s">
        <v>2222</v>
      </c>
      <c r="F786" s="105" t="s">
        <v>2222</v>
      </c>
      <c r="G786" s="70" t="s">
        <v>400</v>
      </c>
      <c r="H786" s="71" t="str">
        <f>IF(Proc[[#This Row],[type]]="LFF (MDG-F)",MID(Proc[[#This Row],[Obj]],13,10),"")</f>
        <v/>
      </c>
      <c r="J786" s="71" t="b">
        <f>Proc[[#This Row],[Requested]]=Proc[[#This Row],[CurrentParent]]</f>
        <v>1</v>
      </c>
      <c r="K786" s="71" t="str">
        <f>IF(Proc[[#This Row],[Author]]="Marcela Urrego",VLOOKUP(LEFT(Proc[[#This Row],[Requested]],1),Table3[#All],2,0),VLOOKUP(Proc[[#This Row],[Author]],Table4[],2,0))</f>
        <v>HC</v>
      </c>
      <c r="L786" s="32" t="s">
        <v>509</v>
      </c>
      <c r="M786" s="73">
        <v>45716.734988425924</v>
      </c>
      <c r="N786" s="73">
        <v>45721</v>
      </c>
      <c r="O786" s="73">
        <v>45721</v>
      </c>
      <c r="P786" s="72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2" t="s">
        <v>1013</v>
      </c>
      <c r="S786" s="71"/>
    </row>
    <row r="787" spans="1:19" hidden="1">
      <c r="A787" s="70" t="s">
        <v>2244</v>
      </c>
      <c r="B787" s="71" t="str">
        <f>IFERROR(VLOOKUP(Proc[[#This Row],[App]],Table2[],3,0),"open")</f>
        <v>ok</v>
      </c>
      <c r="C787" s="70" t="s">
        <v>369</v>
      </c>
      <c r="D787" t="s">
        <v>2223</v>
      </c>
      <c r="E787" t="s">
        <v>2224</v>
      </c>
      <c r="F787" s="105" t="s">
        <v>2224</v>
      </c>
      <c r="G787" s="70" t="s">
        <v>400</v>
      </c>
      <c r="H787" s="71" t="str">
        <f>IF(Proc[[#This Row],[type]]="LFF (MDG-F)",MID(Proc[[#This Row],[Obj]],13,10),"")</f>
        <v/>
      </c>
      <c r="J787" s="71" t="b">
        <f>Proc[[#This Row],[Requested]]=Proc[[#This Row],[CurrentParent]]</f>
        <v>1</v>
      </c>
      <c r="K787" s="71" t="str">
        <f>IF(Proc[[#This Row],[Author]]="Marcela Urrego",VLOOKUP(LEFT(Proc[[#This Row],[Requested]],1),Table3[#All],2,0),VLOOKUP(Proc[[#This Row],[Author]],Table4[],2,0))</f>
        <v>HC</v>
      </c>
      <c r="L787" s="32" t="s">
        <v>509</v>
      </c>
      <c r="M787" s="73">
        <v>45716.734988425924</v>
      </c>
      <c r="N787" s="73">
        <v>45721</v>
      </c>
      <c r="O787" s="73">
        <v>45721</v>
      </c>
      <c r="P787" s="72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2" t="s">
        <v>1013</v>
      </c>
      <c r="S787" s="71"/>
    </row>
    <row r="788" spans="1:19" hidden="1">
      <c r="A788" s="70" t="s">
        <v>2244</v>
      </c>
      <c r="B788" s="71" t="str">
        <f>IFERROR(VLOOKUP(Proc[[#This Row],[App]],Table2[],3,0),"open")</f>
        <v>ok</v>
      </c>
      <c r="C788" s="70" t="s">
        <v>369</v>
      </c>
      <c r="D788" t="s">
        <v>2225</v>
      </c>
      <c r="E788" t="s">
        <v>2224</v>
      </c>
      <c r="F788" s="105" t="s">
        <v>2224</v>
      </c>
      <c r="G788" s="70" t="s">
        <v>400</v>
      </c>
      <c r="H788" s="71" t="str">
        <f>IF(Proc[[#This Row],[type]]="LFF (MDG-F)",MID(Proc[[#This Row],[Obj]],13,10),"")</f>
        <v/>
      </c>
      <c r="J788" s="71" t="b">
        <f>Proc[[#This Row],[Requested]]=Proc[[#This Row],[CurrentParent]]</f>
        <v>1</v>
      </c>
      <c r="K788" s="71" t="str">
        <f>IF(Proc[[#This Row],[Author]]="Marcela Urrego",VLOOKUP(LEFT(Proc[[#This Row],[Requested]],1),Table3[#All],2,0),VLOOKUP(Proc[[#This Row],[Author]],Table4[],2,0))</f>
        <v>HC</v>
      </c>
      <c r="L788" s="32" t="s">
        <v>509</v>
      </c>
      <c r="M788" s="73">
        <v>45716.734988425924</v>
      </c>
      <c r="N788" s="73">
        <v>45721</v>
      </c>
      <c r="O788" s="73">
        <v>45721</v>
      </c>
      <c r="P788" s="72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2" t="s">
        <v>1013</v>
      </c>
      <c r="S788" s="71"/>
    </row>
    <row r="789" spans="1:19" hidden="1">
      <c r="A789" s="70" t="s">
        <v>2244</v>
      </c>
      <c r="B789" s="71" t="str">
        <f>IFERROR(VLOOKUP(Proc[[#This Row],[App]],Table2[],3,0),"open")</f>
        <v>ok</v>
      </c>
      <c r="C789" s="70" t="s">
        <v>369</v>
      </c>
      <c r="D789" t="s">
        <v>2226</v>
      </c>
      <c r="E789" t="s">
        <v>2224</v>
      </c>
      <c r="F789" s="105" t="s">
        <v>2224</v>
      </c>
      <c r="G789" s="70" t="s">
        <v>400</v>
      </c>
      <c r="H789" s="71" t="str">
        <f>IF(Proc[[#This Row],[type]]="LFF (MDG-F)",MID(Proc[[#This Row],[Obj]],13,10),"")</f>
        <v/>
      </c>
      <c r="J789" s="71" t="b">
        <f>Proc[[#This Row],[Requested]]=Proc[[#This Row],[CurrentParent]]</f>
        <v>1</v>
      </c>
      <c r="K789" s="71" t="str">
        <f>IF(Proc[[#This Row],[Author]]="Marcela Urrego",VLOOKUP(LEFT(Proc[[#This Row],[Requested]],1),Table3[#All],2,0),VLOOKUP(Proc[[#This Row],[Author]],Table4[],2,0))</f>
        <v>HC</v>
      </c>
      <c r="L789" s="32" t="s">
        <v>509</v>
      </c>
      <c r="M789" s="73">
        <v>45716.734988425924</v>
      </c>
      <c r="N789" s="73">
        <v>45721</v>
      </c>
      <c r="O789" s="73">
        <v>45721</v>
      </c>
      <c r="P789" s="72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2" t="s">
        <v>1013</v>
      </c>
      <c r="S789" s="71"/>
    </row>
    <row r="790" spans="1:19" hidden="1">
      <c r="A790" s="70" t="s">
        <v>2244</v>
      </c>
      <c r="B790" s="71" t="str">
        <f>IFERROR(VLOOKUP(Proc[[#This Row],[App]],Table2[],3,0),"open")</f>
        <v>ok</v>
      </c>
      <c r="C790" s="70" t="s">
        <v>369</v>
      </c>
      <c r="D790" t="s">
        <v>2227</v>
      </c>
      <c r="E790" t="s">
        <v>2224</v>
      </c>
      <c r="F790" s="105" t="s">
        <v>2224</v>
      </c>
      <c r="G790" s="70" t="s">
        <v>400</v>
      </c>
      <c r="H790" s="71" t="str">
        <f>IF(Proc[[#This Row],[type]]="LFF (MDG-F)",MID(Proc[[#This Row],[Obj]],13,10),"")</f>
        <v/>
      </c>
      <c r="J790" s="71" t="b">
        <f>Proc[[#This Row],[Requested]]=Proc[[#This Row],[CurrentParent]]</f>
        <v>1</v>
      </c>
      <c r="K790" s="71" t="str">
        <f>IF(Proc[[#This Row],[Author]]="Marcela Urrego",VLOOKUP(LEFT(Proc[[#This Row],[Requested]],1),Table3[#All],2,0),VLOOKUP(Proc[[#This Row],[Author]],Table4[],2,0))</f>
        <v>HC</v>
      </c>
      <c r="L790" s="32" t="s">
        <v>509</v>
      </c>
      <c r="M790" s="73">
        <v>45716.734988425924</v>
      </c>
      <c r="N790" s="73">
        <v>45721</v>
      </c>
      <c r="O790" s="73">
        <v>45721</v>
      </c>
      <c r="P790" s="72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2" t="s">
        <v>1013</v>
      </c>
      <c r="S790" s="71"/>
    </row>
    <row r="791" spans="1:19" hidden="1">
      <c r="A791" s="70" t="s">
        <v>2244</v>
      </c>
      <c r="B791" s="71" t="str">
        <f>IFERROR(VLOOKUP(Proc[[#This Row],[App]],Table2[],3,0),"open")</f>
        <v>ok</v>
      </c>
      <c r="C791" s="70" t="s">
        <v>369</v>
      </c>
      <c r="D791" t="s">
        <v>2228</v>
      </c>
      <c r="E791" t="s">
        <v>2224</v>
      </c>
      <c r="F791" s="105" t="s">
        <v>2224</v>
      </c>
      <c r="G791" s="70" t="s">
        <v>400</v>
      </c>
      <c r="H791" s="71" t="str">
        <f>IF(Proc[[#This Row],[type]]="LFF (MDG-F)",MID(Proc[[#This Row],[Obj]],13,10),"")</f>
        <v/>
      </c>
      <c r="J791" s="71" t="b">
        <f>Proc[[#This Row],[Requested]]=Proc[[#This Row],[CurrentParent]]</f>
        <v>1</v>
      </c>
      <c r="K791" s="71" t="str">
        <f>IF(Proc[[#This Row],[Author]]="Marcela Urrego",VLOOKUP(LEFT(Proc[[#This Row],[Requested]],1),Table3[#All],2,0),VLOOKUP(Proc[[#This Row],[Author]],Table4[],2,0))</f>
        <v>HC</v>
      </c>
      <c r="L791" s="32" t="s">
        <v>509</v>
      </c>
      <c r="M791" s="73">
        <v>45716.734988425924</v>
      </c>
      <c r="N791" s="73">
        <v>45721</v>
      </c>
      <c r="O791" s="73">
        <v>45721</v>
      </c>
      <c r="P791" s="72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2" t="s">
        <v>1013</v>
      </c>
      <c r="S791" s="71"/>
    </row>
    <row r="792" spans="1:19" hidden="1">
      <c r="A792" s="70" t="s">
        <v>2244</v>
      </c>
      <c r="B792" s="71" t="str">
        <f>IFERROR(VLOOKUP(Proc[[#This Row],[App]],Table2[],3,0),"open")</f>
        <v>ok</v>
      </c>
      <c r="C792" s="70" t="s">
        <v>369</v>
      </c>
      <c r="D792" t="s">
        <v>2229</v>
      </c>
      <c r="E792" t="s">
        <v>2224</v>
      </c>
      <c r="F792" s="105" t="s">
        <v>2224</v>
      </c>
      <c r="G792" s="70" t="s">
        <v>400</v>
      </c>
      <c r="H792" s="71" t="str">
        <f>IF(Proc[[#This Row],[type]]="LFF (MDG-F)",MID(Proc[[#This Row],[Obj]],13,10),"")</f>
        <v/>
      </c>
      <c r="J792" s="71" t="b">
        <f>Proc[[#This Row],[Requested]]=Proc[[#This Row],[CurrentParent]]</f>
        <v>1</v>
      </c>
      <c r="K792" s="71" t="str">
        <f>IF(Proc[[#This Row],[Author]]="Marcela Urrego",VLOOKUP(LEFT(Proc[[#This Row],[Requested]],1),Table3[#All],2,0),VLOOKUP(Proc[[#This Row],[Author]],Table4[],2,0))</f>
        <v>HC</v>
      </c>
      <c r="L792" s="32" t="s">
        <v>509</v>
      </c>
      <c r="M792" s="73">
        <v>45716.734988425924</v>
      </c>
      <c r="N792" s="73">
        <v>45721</v>
      </c>
      <c r="O792" s="73">
        <v>45721</v>
      </c>
      <c r="P792" s="72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2" t="s">
        <v>1013</v>
      </c>
      <c r="S792" s="71"/>
    </row>
    <row r="793" spans="1:19" hidden="1">
      <c r="A793" s="70" t="s">
        <v>2244</v>
      </c>
      <c r="B793" s="71" t="str">
        <f>IFERROR(VLOOKUP(Proc[[#This Row],[App]],Table2[],3,0),"open")</f>
        <v>ok</v>
      </c>
      <c r="C793" s="70" t="s">
        <v>369</v>
      </c>
      <c r="D793" t="s">
        <v>2230</v>
      </c>
      <c r="E793" t="s">
        <v>2224</v>
      </c>
      <c r="F793" s="105" t="s">
        <v>2224</v>
      </c>
      <c r="G793" s="70" t="s">
        <v>400</v>
      </c>
      <c r="H793" s="71" t="str">
        <f>IF(Proc[[#This Row],[type]]="LFF (MDG-F)",MID(Proc[[#This Row],[Obj]],13,10),"")</f>
        <v/>
      </c>
      <c r="J793" s="71" t="b">
        <f>Proc[[#This Row],[Requested]]=Proc[[#This Row],[CurrentParent]]</f>
        <v>1</v>
      </c>
      <c r="K793" s="71" t="str">
        <f>IF(Proc[[#This Row],[Author]]="Marcela Urrego",VLOOKUP(LEFT(Proc[[#This Row],[Requested]],1),Table3[#All],2,0),VLOOKUP(Proc[[#This Row],[Author]],Table4[],2,0))</f>
        <v>HC</v>
      </c>
      <c r="L793" s="32" t="s">
        <v>509</v>
      </c>
      <c r="M793" s="73">
        <v>45716.734988425924</v>
      </c>
      <c r="N793" s="73">
        <v>45721</v>
      </c>
      <c r="O793" s="73">
        <v>45721</v>
      </c>
      <c r="P793" s="72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2" t="s">
        <v>1013</v>
      </c>
      <c r="S793" s="71"/>
    </row>
    <row r="794" spans="1:19" hidden="1">
      <c r="A794" s="70" t="s">
        <v>2244</v>
      </c>
      <c r="B794" s="71" t="str">
        <f>IFERROR(VLOOKUP(Proc[[#This Row],[App]],Table2[],3,0),"open")</f>
        <v>ok</v>
      </c>
      <c r="C794" s="70" t="s">
        <v>369</v>
      </c>
      <c r="D794" t="s">
        <v>2231</v>
      </c>
      <c r="E794" t="s">
        <v>2224</v>
      </c>
      <c r="F794" s="105" t="s">
        <v>2224</v>
      </c>
      <c r="G794" s="70" t="s">
        <v>400</v>
      </c>
      <c r="H794" s="71" t="str">
        <f>IF(Proc[[#This Row],[type]]="LFF (MDG-F)",MID(Proc[[#This Row],[Obj]],13,10),"")</f>
        <v/>
      </c>
      <c r="I794" s="70"/>
      <c r="J794" s="71" t="b">
        <f>Proc[[#This Row],[Requested]]=Proc[[#This Row],[CurrentParent]]</f>
        <v>1</v>
      </c>
      <c r="K794" s="71" t="str">
        <f>IF(Proc[[#This Row],[Author]]="Marcela Urrego",VLOOKUP(LEFT(Proc[[#This Row],[Requested]],1),Table3[#All],2,0),VLOOKUP(Proc[[#This Row],[Author]],Table4[],2,0))</f>
        <v>HC</v>
      </c>
      <c r="L794" s="32" t="s">
        <v>509</v>
      </c>
      <c r="M794" s="73">
        <v>45716.734988425924</v>
      </c>
      <c r="N794" s="73">
        <v>45721</v>
      </c>
      <c r="O794" s="73">
        <v>45721</v>
      </c>
      <c r="P794" s="72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2" t="s">
        <v>1013</v>
      </c>
      <c r="S794" s="71"/>
    </row>
    <row r="795" spans="1:19" hidden="1">
      <c r="A795" s="70" t="s">
        <v>2244</v>
      </c>
      <c r="B795" s="71" t="str">
        <f>IFERROR(VLOOKUP(Proc[[#This Row],[App]],Table2[],3,0),"open")</f>
        <v>ok</v>
      </c>
      <c r="C795" s="70" t="s">
        <v>369</v>
      </c>
      <c r="D795" t="s">
        <v>2232</v>
      </c>
      <c r="E795" t="s">
        <v>2224</v>
      </c>
      <c r="F795" s="105" t="s">
        <v>2224</v>
      </c>
      <c r="G795" s="70" t="s">
        <v>400</v>
      </c>
      <c r="H795" s="71" t="str">
        <f>IF(Proc[[#This Row],[type]]="LFF (MDG-F)",MID(Proc[[#This Row],[Obj]],13,10),"")</f>
        <v/>
      </c>
      <c r="J795" s="71" t="b">
        <f>Proc[[#This Row],[Requested]]=Proc[[#This Row],[CurrentParent]]</f>
        <v>1</v>
      </c>
      <c r="K795" s="71" t="str">
        <f>IF(Proc[[#This Row],[Author]]="Marcela Urrego",VLOOKUP(LEFT(Proc[[#This Row],[Requested]],1),Table3[#All],2,0),VLOOKUP(Proc[[#This Row],[Author]],Table4[],2,0))</f>
        <v>HC</v>
      </c>
      <c r="L795" s="32" t="s">
        <v>509</v>
      </c>
      <c r="M795" s="73">
        <v>45716.734988425924</v>
      </c>
      <c r="N795" s="73">
        <v>45721</v>
      </c>
      <c r="O795" s="73">
        <v>45721</v>
      </c>
      <c r="P795" s="72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2" t="s">
        <v>1013</v>
      </c>
      <c r="S795" s="71"/>
    </row>
    <row r="796" spans="1:19" hidden="1">
      <c r="A796" s="70" t="s">
        <v>2244</v>
      </c>
      <c r="B796" s="71" t="str">
        <f>IFERROR(VLOOKUP(Proc[[#This Row],[App]],Table2[],3,0),"open")</f>
        <v>ok</v>
      </c>
      <c r="C796" s="70" t="s">
        <v>369</v>
      </c>
      <c r="D796" t="s">
        <v>2233</v>
      </c>
      <c r="E796" t="s">
        <v>2224</v>
      </c>
      <c r="F796" s="105" t="s">
        <v>2224</v>
      </c>
      <c r="G796" s="70" t="s">
        <v>400</v>
      </c>
      <c r="H796" s="71" t="str">
        <f>IF(Proc[[#This Row],[type]]="LFF (MDG-F)",MID(Proc[[#This Row],[Obj]],13,10),"")</f>
        <v/>
      </c>
      <c r="J796" s="71" t="b">
        <f>Proc[[#This Row],[Requested]]=Proc[[#This Row],[CurrentParent]]</f>
        <v>1</v>
      </c>
      <c r="K796" s="71" t="str">
        <f>IF(Proc[[#This Row],[Author]]="Marcela Urrego",VLOOKUP(LEFT(Proc[[#This Row],[Requested]],1),Table3[#All],2,0),VLOOKUP(Proc[[#This Row],[Author]],Table4[],2,0))</f>
        <v>HC</v>
      </c>
      <c r="L796" s="32" t="s">
        <v>509</v>
      </c>
      <c r="M796" s="73">
        <v>45716.734988425924</v>
      </c>
      <c r="N796" s="73">
        <v>45721</v>
      </c>
      <c r="O796" s="73">
        <v>45721</v>
      </c>
      <c r="P796" s="72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2" t="s">
        <v>1013</v>
      </c>
      <c r="S796" s="71"/>
    </row>
    <row r="797" spans="1:19" hidden="1">
      <c r="A797" t="s">
        <v>2244</v>
      </c>
      <c r="B797" s="71" t="str">
        <f>IFERROR(VLOOKUP(Proc[[#This Row],[App]],Table2[],3,0),"open")</f>
        <v>ok</v>
      </c>
      <c r="C797" s="70" t="s">
        <v>369</v>
      </c>
      <c r="D797" t="s">
        <v>2234</v>
      </c>
      <c r="E797" t="s">
        <v>2224</v>
      </c>
      <c r="F797" s="105" t="s">
        <v>2224</v>
      </c>
      <c r="G797" s="70" t="s">
        <v>400</v>
      </c>
      <c r="H797" s="71" t="str">
        <f>IF(Proc[[#This Row],[type]]="LFF (MDG-F)",MID(Proc[[#This Row],[Obj]],13,10),"")</f>
        <v/>
      </c>
      <c r="J797" s="71" t="b">
        <f>Proc[[#This Row],[Requested]]=Proc[[#This Row],[CurrentParent]]</f>
        <v>1</v>
      </c>
      <c r="K797" s="71" t="str">
        <f>IF(Proc[[#This Row],[Author]]="Marcela Urrego",VLOOKUP(LEFT(Proc[[#This Row],[Requested]],1),Table3[#All],2,0),VLOOKUP(Proc[[#This Row],[Author]],Table4[],2,0))</f>
        <v>HC</v>
      </c>
      <c r="L797" s="32" t="s">
        <v>509</v>
      </c>
      <c r="M797" s="73">
        <v>45716.734988425924</v>
      </c>
      <c r="N797" s="73">
        <v>45721</v>
      </c>
      <c r="O797" s="73">
        <v>45721</v>
      </c>
      <c r="P797" s="72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2" t="s">
        <v>1013</v>
      </c>
      <c r="S797" s="71"/>
    </row>
    <row r="798" spans="1:19" hidden="1">
      <c r="A798" t="s">
        <v>2244</v>
      </c>
      <c r="B798" s="71" t="str">
        <f>IFERROR(VLOOKUP(Proc[[#This Row],[App]],Table2[],3,0),"open")</f>
        <v>ok</v>
      </c>
      <c r="C798" s="70" t="s">
        <v>369</v>
      </c>
      <c r="D798" t="s">
        <v>2235</v>
      </c>
      <c r="E798" t="s">
        <v>2224</v>
      </c>
      <c r="F798" s="105" t="s">
        <v>2224</v>
      </c>
      <c r="G798" s="70" t="s">
        <v>400</v>
      </c>
      <c r="H798" s="71" t="str">
        <f>IF(Proc[[#This Row],[type]]="LFF (MDG-F)",MID(Proc[[#This Row],[Obj]],13,10),"")</f>
        <v/>
      </c>
      <c r="J798" s="71" t="b">
        <f>Proc[[#This Row],[Requested]]=Proc[[#This Row],[CurrentParent]]</f>
        <v>1</v>
      </c>
      <c r="K798" s="71" t="str">
        <f>IF(Proc[[#This Row],[Author]]="Marcela Urrego",VLOOKUP(LEFT(Proc[[#This Row],[Requested]],1),Table3[#All],2,0),VLOOKUP(Proc[[#This Row],[Author]],Table4[],2,0))</f>
        <v>HC</v>
      </c>
      <c r="L798" s="32" t="s">
        <v>509</v>
      </c>
      <c r="M798" s="73">
        <v>45716.734988425924</v>
      </c>
      <c r="N798" s="73">
        <v>45721</v>
      </c>
      <c r="O798" s="73">
        <v>45721</v>
      </c>
      <c r="P798" s="72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2" t="s">
        <v>1013</v>
      </c>
      <c r="S798" s="71"/>
    </row>
    <row r="799" spans="1:19" hidden="1">
      <c r="A799" s="70" t="s">
        <v>2244</v>
      </c>
      <c r="B799" s="71" t="str">
        <f>IFERROR(VLOOKUP(Proc[[#This Row],[App]],Table2[],3,0),"open")</f>
        <v>ok</v>
      </c>
      <c r="C799" s="70" t="s">
        <v>369</v>
      </c>
      <c r="D799" t="s">
        <v>2236</v>
      </c>
      <c r="E799" t="s">
        <v>2224</v>
      </c>
      <c r="F799" s="105" t="s">
        <v>2224</v>
      </c>
      <c r="G799" s="70" t="s">
        <v>400</v>
      </c>
      <c r="H799" s="71" t="str">
        <f>IF(Proc[[#This Row],[type]]="LFF (MDG-F)",MID(Proc[[#This Row],[Obj]],13,10),"")</f>
        <v/>
      </c>
      <c r="J799" s="71" t="b">
        <f>Proc[[#This Row],[Requested]]=Proc[[#This Row],[CurrentParent]]</f>
        <v>1</v>
      </c>
      <c r="K799" s="71" t="str">
        <f>IF(Proc[[#This Row],[Author]]="Marcela Urrego",VLOOKUP(LEFT(Proc[[#This Row],[Requested]],1),Table3[#All],2,0),VLOOKUP(Proc[[#This Row],[Author]],Table4[],2,0))</f>
        <v>HC</v>
      </c>
      <c r="L799" s="32" t="s">
        <v>509</v>
      </c>
      <c r="M799" s="73">
        <v>45716.734988425924</v>
      </c>
      <c r="N799" s="73">
        <v>45721</v>
      </c>
      <c r="O799" s="73">
        <v>45721</v>
      </c>
      <c r="P799" s="72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2" t="s">
        <v>1013</v>
      </c>
      <c r="S799" s="71"/>
    </row>
    <row r="800" spans="1:19" hidden="1">
      <c r="A800" t="s">
        <v>2244</v>
      </c>
      <c r="B800" s="71" t="str">
        <f>IFERROR(VLOOKUP(Proc[[#This Row],[App]],Table2[],3,0),"open")</f>
        <v>ok</v>
      </c>
      <c r="C800" s="70" t="s">
        <v>369</v>
      </c>
      <c r="D800" t="s">
        <v>2237</v>
      </c>
      <c r="E800" t="s">
        <v>2224</v>
      </c>
      <c r="F800" s="105" t="s">
        <v>2224</v>
      </c>
      <c r="G800" s="70" t="s">
        <v>400</v>
      </c>
      <c r="H800" s="71" t="str">
        <f>IF(Proc[[#This Row],[type]]="LFF (MDG-F)",MID(Proc[[#This Row],[Obj]],13,10),"")</f>
        <v/>
      </c>
      <c r="J800" s="71" t="b">
        <f>Proc[[#This Row],[Requested]]=Proc[[#This Row],[CurrentParent]]</f>
        <v>1</v>
      </c>
      <c r="K800" s="71" t="str">
        <f>IF(Proc[[#This Row],[Author]]="Marcela Urrego",VLOOKUP(LEFT(Proc[[#This Row],[Requested]],1),Table3[#All],2,0),VLOOKUP(Proc[[#This Row],[Author]],Table4[],2,0))</f>
        <v>HC</v>
      </c>
      <c r="L800" s="32" t="s">
        <v>509</v>
      </c>
      <c r="M800" s="73">
        <v>45716.734988425924</v>
      </c>
      <c r="N800" s="73">
        <v>45721</v>
      </c>
      <c r="O800" s="73">
        <v>45721</v>
      </c>
      <c r="P800" s="72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2" t="s">
        <v>1013</v>
      </c>
      <c r="S800" s="71"/>
    </row>
    <row r="801" spans="1:19" hidden="1">
      <c r="A801" s="70" t="s">
        <v>2244</v>
      </c>
      <c r="B801" s="71" t="str">
        <f>IFERROR(VLOOKUP(Proc[[#This Row],[App]],Table2[],3,0),"open")</f>
        <v>ok</v>
      </c>
      <c r="C801" s="70" t="s">
        <v>369</v>
      </c>
      <c r="D801" t="s">
        <v>2238</v>
      </c>
      <c r="E801" t="s">
        <v>2224</v>
      </c>
      <c r="F801" s="105" t="s">
        <v>2224</v>
      </c>
      <c r="G801" s="70" t="s">
        <v>400</v>
      </c>
      <c r="H801" s="71" t="str">
        <f>IF(Proc[[#This Row],[type]]="LFF (MDG-F)",MID(Proc[[#This Row],[Obj]],13,10),"")</f>
        <v/>
      </c>
      <c r="J801" s="71" t="b">
        <f>Proc[[#This Row],[Requested]]=Proc[[#This Row],[CurrentParent]]</f>
        <v>1</v>
      </c>
      <c r="K801" s="71" t="str">
        <f>IF(Proc[[#This Row],[Author]]="Marcela Urrego",VLOOKUP(LEFT(Proc[[#This Row],[Requested]],1),Table3[#All],2,0),VLOOKUP(Proc[[#This Row],[Author]],Table4[],2,0))</f>
        <v>HC</v>
      </c>
      <c r="L801" s="32" t="s">
        <v>509</v>
      </c>
      <c r="M801" s="73">
        <v>45716.734988425924</v>
      </c>
      <c r="N801" s="73">
        <v>45721</v>
      </c>
      <c r="O801" s="73">
        <v>45721</v>
      </c>
      <c r="P801" s="72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2" t="s">
        <v>1013</v>
      </c>
      <c r="S801" s="71"/>
    </row>
    <row r="802" spans="1:19" hidden="1">
      <c r="A802" s="70" t="s">
        <v>2244</v>
      </c>
      <c r="B802" s="71" t="str">
        <f>IFERROR(VLOOKUP(Proc[[#This Row],[App]],Table2[],3,0),"open")</f>
        <v>ok</v>
      </c>
      <c r="C802" s="70" t="s">
        <v>369</v>
      </c>
      <c r="D802" t="s">
        <v>2239</v>
      </c>
      <c r="E802" t="s">
        <v>2224</v>
      </c>
      <c r="F802" s="105" t="s">
        <v>2224</v>
      </c>
      <c r="G802" s="70" t="s">
        <v>400</v>
      </c>
      <c r="H802" s="71" t="str">
        <f>IF(Proc[[#This Row],[type]]="LFF (MDG-F)",MID(Proc[[#This Row],[Obj]],13,10),"")</f>
        <v/>
      </c>
      <c r="J802" s="71" t="b">
        <f>Proc[[#This Row],[Requested]]=Proc[[#This Row],[CurrentParent]]</f>
        <v>1</v>
      </c>
      <c r="K802" s="71" t="str">
        <f>IF(Proc[[#This Row],[Author]]="Marcela Urrego",VLOOKUP(LEFT(Proc[[#This Row],[Requested]],1),Table3[#All],2,0),VLOOKUP(Proc[[#This Row],[Author]],Table4[],2,0))</f>
        <v>HC</v>
      </c>
      <c r="L802" s="32" t="s">
        <v>509</v>
      </c>
      <c r="M802" s="73">
        <v>45716.734988425924</v>
      </c>
      <c r="N802" s="73">
        <v>45721</v>
      </c>
      <c r="O802" s="73">
        <v>45721</v>
      </c>
      <c r="P802" s="72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2" t="s">
        <v>1013</v>
      </c>
      <c r="S802" s="71"/>
    </row>
    <row r="803" spans="1:19" hidden="1">
      <c r="A803" s="70" t="s">
        <v>2244</v>
      </c>
      <c r="B803" s="71" t="str">
        <f>IFERROR(VLOOKUP(Proc[[#This Row],[App]],Table2[],3,0),"open")</f>
        <v>ok</v>
      </c>
      <c r="C803" s="70" t="s">
        <v>369</v>
      </c>
      <c r="D803" t="s">
        <v>2115</v>
      </c>
      <c r="E803" t="s">
        <v>2222</v>
      </c>
      <c r="F803" s="105" t="s">
        <v>2222</v>
      </c>
      <c r="G803" s="70" t="s">
        <v>400</v>
      </c>
      <c r="H803" s="71" t="str">
        <f>IF(Proc[[#This Row],[type]]="LFF (MDG-F)",MID(Proc[[#This Row],[Obj]],13,10),"")</f>
        <v/>
      </c>
      <c r="J803" s="71" t="b">
        <f>Proc[[#This Row],[Requested]]=Proc[[#This Row],[CurrentParent]]</f>
        <v>1</v>
      </c>
      <c r="K803" s="71" t="str">
        <f>IF(Proc[[#This Row],[Author]]="Marcela Urrego",VLOOKUP(LEFT(Proc[[#This Row],[Requested]],1),Table3[#All],2,0),VLOOKUP(Proc[[#This Row],[Author]],Table4[],2,0))</f>
        <v>HC</v>
      </c>
      <c r="L803" s="32" t="s">
        <v>509</v>
      </c>
      <c r="M803" s="73">
        <v>45716.734988425924</v>
      </c>
      <c r="N803" s="73">
        <v>45721</v>
      </c>
      <c r="O803" s="73">
        <v>45721</v>
      </c>
      <c r="P803" s="72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2" t="s">
        <v>1013</v>
      </c>
      <c r="S803" s="71"/>
    </row>
    <row r="804" spans="1:19" hidden="1">
      <c r="A804" s="70" t="s">
        <v>2244</v>
      </c>
      <c r="B804" s="71" t="str">
        <f>IFERROR(VLOOKUP(Proc[[#This Row],[App]],Table2[],3,0),"open")</f>
        <v>ok</v>
      </c>
      <c r="C804" s="70" t="s">
        <v>369</v>
      </c>
      <c r="D804" t="s">
        <v>2240</v>
      </c>
      <c r="E804" t="s">
        <v>2224</v>
      </c>
      <c r="F804" s="105" t="s">
        <v>2224</v>
      </c>
      <c r="G804" s="70" t="s">
        <v>400</v>
      </c>
      <c r="H804" s="71" t="str">
        <f>IF(Proc[[#This Row],[type]]="LFF (MDG-F)",MID(Proc[[#This Row],[Obj]],13,10),"")</f>
        <v/>
      </c>
      <c r="J804" s="71" t="b">
        <f>Proc[[#This Row],[Requested]]=Proc[[#This Row],[CurrentParent]]</f>
        <v>1</v>
      </c>
      <c r="K804" s="71" t="str">
        <f>IF(Proc[[#This Row],[Author]]="Marcela Urrego",VLOOKUP(LEFT(Proc[[#This Row],[Requested]],1),Table3[#All],2,0),VLOOKUP(Proc[[#This Row],[Author]],Table4[],2,0))</f>
        <v>HC</v>
      </c>
      <c r="L804" s="32" t="s">
        <v>509</v>
      </c>
      <c r="M804" s="73">
        <v>45716.734988425924</v>
      </c>
      <c r="N804" s="73">
        <v>45721</v>
      </c>
      <c r="O804" s="73">
        <v>45721</v>
      </c>
      <c r="P804" s="72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2" t="s">
        <v>1013</v>
      </c>
      <c r="S804" s="71"/>
    </row>
    <row r="805" spans="1:19" hidden="1">
      <c r="A805" s="70" t="s">
        <v>2244</v>
      </c>
      <c r="B805" s="71" t="str">
        <f>IFERROR(VLOOKUP(Proc[[#This Row],[App]],Table2[],3,0),"open")</f>
        <v>ok</v>
      </c>
      <c r="C805" s="70" t="s">
        <v>369</v>
      </c>
      <c r="D805" t="s">
        <v>2241</v>
      </c>
      <c r="E805" t="s">
        <v>2224</v>
      </c>
      <c r="F805" s="105" t="s">
        <v>2224</v>
      </c>
      <c r="G805" s="70" t="s">
        <v>400</v>
      </c>
      <c r="H805" s="71" t="str">
        <f>IF(Proc[[#This Row],[type]]="LFF (MDG-F)",MID(Proc[[#This Row],[Obj]],13,10),"")</f>
        <v/>
      </c>
      <c r="J805" s="71" t="b">
        <f>Proc[[#This Row],[Requested]]=Proc[[#This Row],[CurrentParent]]</f>
        <v>1</v>
      </c>
      <c r="K805" s="71" t="str">
        <f>IF(Proc[[#This Row],[Author]]="Marcela Urrego",VLOOKUP(LEFT(Proc[[#This Row],[Requested]],1),Table3[#All],2,0),VLOOKUP(Proc[[#This Row],[Author]],Table4[],2,0))</f>
        <v>HC</v>
      </c>
      <c r="L805" s="32" t="s">
        <v>509</v>
      </c>
      <c r="M805" s="73">
        <v>45716.734988425924</v>
      </c>
      <c r="N805" s="73">
        <v>45721</v>
      </c>
      <c r="O805" s="73">
        <v>45721</v>
      </c>
      <c r="P805" s="72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2" t="s">
        <v>1013</v>
      </c>
      <c r="S805" s="71"/>
    </row>
    <row r="806" spans="1:19" hidden="1">
      <c r="A806" s="70" t="s">
        <v>2244</v>
      </c>
      <c r="B806" s="71" t="str">
        <f>IFERROR(VLOOKUP(Proc[[#This Row],[App]],Table2[],3,0),"open")</f>
        <v>ok</v>
      </c>
      <c r="C806" s="70" t="s">
        <v>369</v>
      </c>
      <c r="D806" t="s">
        <v>2242</v>
      </c>
      <c r="E806" t="s">
        <v>2224</v>
      </c>
      <c r="F806" s="105" t="s">
        <v>2224</v>
      </c>
      <c r="G806" s="70" t="s">
        <v>400</v>
      </c>
      <c r="H806" s="71" t="str">
        <f>IF(Proc[[#This Row],[type]]="LFF (MDG-F)",MID(Proc[[#This Row],[Obj]],13,10),"")</f>
        <v/>
      </c>
      <c r="J806" s="71" t="b">
        <f>Proc[[#This Row],[Requested]]=Proc[[#This Row],[CurrentParent]]</f>
        <v>1</v>
      </c>
      <c r="K806" s="71" t="str">
        <f>IF(Proc[[#This Row],[Author]]="Marcela Urrego",VLOOKUP(LEFT(Proc[[#This Row],[Requested]],1),Table3[#All],2,0),VLOOKUP(Proc[[#This Row],[Author]],Table4[],2,0))</f>
        <v>HC</v>
      </c>
      <c r="L806" s="32" t="s">
        <v>509</v>
      </c>
      <c r="M806" s="73">
        <v>45716.734988425924</v>
      </c>
      <c r="N806" s="73">
        <v>45721</v>
      </c>
      <c r="O806" s="73">
        <v>45721</v>
      </c>
      <c r="P806" s="72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2" t="s">
        <v>1013</v>
      </c>
      <c r="S806" s="71"/>
    </row>
    <row r="807" spans="1:19" hidden="1">
      <c r="A807" s="70" t="s">
        <v>2244</v>
      </c>
      <c r="B807" s="71" t="str">
        <f>IFERROR(VLOOKUP(Proc[[#This Row],[App]],Table2[],3,0),"open")</f>
        <v>ok</v>
      </c>
      <c r="C807" s="70" t="s">
        <v>369</v>
      </c>
      <c r="D807" t="s">
        <v>2243</v>
      </c>
      <c r="E807" t="s">
        <v>2224</v>
      </c>
      <c r="F807" s="105" t="s">
        <v>2224</v>
      </c>
      <c r="G807" s="70" t="s">
        <v>400</v>
      </c>
      <c r="H807" s="71" t="str">
        <f>IF(Proc[[#This Row],[type]]="LFF (MDG-F)",MID(Proc[[#This Row],[Obj]],13,10),"")</f>
        <v/>
      </c>
      <c r="J807" s="71" t="b">
        <f>Proc[[#This Row],[Requested]]=Proc[[#This Row],[CurrentParent]]</f>
        <v>1</v>
      </c>
      <c r="K807" s="71" t="str">
        <f>IF(Proc[[#This Row],[Author]]="Marcela Urrego",VLOOKUP(LEFT(Proc[[#This Row],[Requested]],1),Table3[#All],2,0),VLOOKUP(Proc[[#This Row],[Author]],Table4[],2,0))</f>
        <v>HC</v>
      </c>
      <c r="L807" s="32" t="s">
        <v>509</v>
      </c>
      <c r="M807" s="73">
        <v>45716.734988425924</v>
      </c>
      <c r="N807" s="73">
        <v>45721</v>
      </c>
      <c r="O807" s="73">
        <v>45721</v>
      </c>
      <c r="P807" s="72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2" t="s">
        <v>1013</v>
      </c>
      <c r="S807" s="71"/>
    </row>
    <row r="808" spans="1:19" hidden="1">
      <c r="A808" t="s">
        <v>2305</v>
      </c>
      <c r="B808" s="71" t="str">
        <f>IFERROR(VLOOKUP(Proc[[#This Row],[App]],Table2[],3,0),"open")</f>
        <v>ok</v>
      </c>
      <c r="C808" t="s">
        <v>369</v>
      </c>
      <c r="D808" t="s">
        <v>2300</v>
      </c>
      <c r="E808" t="s">
        <v>631</v>
      </c>
      <c r="F808" s="105" t="s">
        <v>631</v>
      </c>
      <c r="G808" t="s">
        <v>406</v>
      </c>
      <c r="H808" s="71" t="str">
        <f>IF(Proc[[#This Row],[type]]="LFF (MDG-F)",MID(Proc[[#This Row],[Obj]],13,10),"")</f>
        <v>DE20517200</v>
      </c>
      <c r="J808" s="71" t="b">
        <f>Proc[[#This Row],[Requested]]=Proc[[#This Row],[CurrentParent]]</f>
        <v>1</v>
      </c>
      <c r="K808" s="71" t="str">
        <f>IF(Proc[[#This Row],[Author]]="Marcela Urrego",VLOOKUP(LEFT(Proc[[#This Row],[Requested]],1),Table3[#All],2,0),VLOOKUP(Proc[[#This Row],[Author]],Table4[],2,0))</f>
        <v>MGF</v>
      </c>
      <c r="L808" s="32" t="s">
        <v>509</v>
      </c>
      <c r="M808" s="73">
        <v>45719.3903125</v>
      </c>
      <c r="N808" s="73">
        <v>45721</v>
      </c>
      <c r="O808" s="73">
        <v>45721</v>
      </c>
      <c r="P808" s="72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2" t="s">
        <v>549</v>
      </c>
      <c r="S808" s="71"/>
    </row>
    <row r="809" spans="1:19" hidden="1">
      <c r="A809" s="70" t="s">
        <v>2305</v>
      </c>
      <c r="B809" s="71" t="str">
        <f>IFERROR(VLOOKUP(Proc[[#This Row],[App]],Table2[],3,0),"open")</f>
        <v>ok</v>
      </c>
      <c r="C809" s="70" t="s">
        <v>369</v>
      </c>
      <c r="D809" t="s">
        <v>2301</v>
      </c>
      <c r="E809" t="s">
        <v>631</v>
      </c>
      <c r="F809" s="105" t="s">
        <v>631</v>
      </c>
      <c r="G809" s="70" t="s">
        <v>406</v>
      </c>
      <c r="H809" s="71" t="str">
        <f>IF(Proc[[#This Row],[type]]="LFF (MDG-F)",MID(Proc[[#This Row],[Obj]],13,10),"")</f>
        <v>DE20847204</v>
      </c>
      <c r="I809" s="70"/>
      <c r="J809" s="71" t="b">
        <f>Proc[[#This Row],[Requested]]=Proc[[#This Row],[CurrentParent]]</f>
        <v>1</v>
      </c>
      <c r="K809" s="71" t="str">
        <f>IF(Proc[[#This Row],[Author]]="Marcela Urrego",VLOOKUP(LEFT(Proc[[#This Row],[Requested]],1),Table3[#All],2,0),VLOOKUP(Proc[[#This Row],[Author]],Table4[],2,0))</f>
        <v>MGF</v>
      </c>
      <c r="L809" s="32" t="s">
        <v>509</v>
      </c>
      <c r="M809" s="73">
        <v>45719.3903125</v>
      </c>
      <c r="N809" s="73">
        <v>45721</v>
      </c>
      <c r="O809" s="73">
        <v>45721</v>
      </c>
      <c r="P809" s="72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2" t="s">
        <v>549</v>
      </c>
      <c r="S809" s="71"/>
    </row>
    <row r="810" spans="1:19" hidden="1">
      <c r="A810" s="70" t="s">
        <v>2305</v>
      </c>
      <c r="B810" s="71" t="str">
        <f>IFERROR(VLOOKUP(Proc[[#This Row],[App]],Table2[],3,0),"open")</f>
        <v>ok</v>
      </c>
      <c r="C810" s="70" t="s">
        <v>369</v>
      </c>
      <c r="D810" t="s">
        <v>2302</v>
      </c>
      <c r="E810" t="s">
        <v>631</v>
      </c>
      <c r="F810" s="105" t="s">
        <v>631</v>
      </c>
      <c r="G810" s="70" t="s">
        <v>406</v>
      </c>
      <c r="H810" s="71" t="str">
        <f>IF(Proc[[#This Row],[type]]="LFF (MDG-F)",MID(Proc[[#This Row],[Obj]],13,10),"")</f>
        <v>DE20847205</v>
      </c>
      <c r="I810" s="70"/>
      <c r="J810" s="71" t="b">
        <f>Proc[[#This Row],[Requested]]=Proc[[#This Row],[CurrentParent]]</f>
        <v>1</v>
      </c>
      <c r="K810" s="71" t="str">
        <f>IF(Proc[[#This Row],[Author]]="Marcela Urrego",VLOOKUP(LEFT(Proc[[#This Row],[Requested]],1),Table3[#All],2,0),VLOOKUP(Proc[[#This Row],[Author]],Table4[],2,0))</f>
        <v>MGF</v>
      </c>
      <c r="L810" s="32" t="s">
        <v>509</v>
      </c>
      <c r="M810" s="73">
        <v>45719.3903125</v>
      </c>
      <c r="N810" s="73">
        <v>45721</v>
      </c>
      <c r="O810" s="73">
        <v>45721</v>
      </c>
      <c r="P810" s="72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2" t="s">
        <v>549</v>
      </c>
      <c r="S810" s="71"/>
    </row>
    <row r="811" spans="1:19" hidden="1">
      <c r="A811" s="70" t="s">
        <v>2305</v>
      </c>
      <c r="B811" s="71" t="str">
        <f>IFERROR(VLOOKUP(Proc[[#This Row],[App]],Table2[],3,0),"open")</f>
        <v>ok</v>
      </c>
      <c r="C811" s="70" t="s">
        <v>369</v>
      </c>
      <c r="D811" t="s">
        <v>2303</v>
      </c>
      <c r="E811" t="s">
        <v>631</v>
      </c>
      <c r="F811" s="105" t="s">
        <v>631</v>
      </c>
      <c r="G811" s="70" t="s">
        <v>406</v>
      </c>
      <c r="H811" s="71" t="str">
        <f>IF(Proc[[#This Row],[type]]="LFF (MDG-F)",MID(Proc[[#This Row],[Obj]],13,10),"")</f>
        <v>DE20847206</v>
      </c>
      <c r="I811" s="70"/>
      <c r="J811" s="71" t="b">
        <f>Proc[[#This Row],[Requested]]=Proc[[#This Row],[CurrentParent]]</f>
        <v>1</v>
      </c>
      <c r="K811" s="71" t="str">
        <f>IF(Proc[[#This Row],[Author]]="Marcela Urrego",VLOOKUP(LEFT(Proc[[#This Row],[Requested]],1),Table3[#All],2,0),VLOOKUP(Proc[[#This Row],[Author]],Table4[],2,0))</f>
        <v>MGF</v>
      </c>
      <c r="L811" s="32" t="s">
        <v>509</v>
      </c>
      <c r="M811" s="73">
        <v>45719.3903125</v>
      </c>
      <c r="N811" s="73">
        <v>45721</v>
      </c>
      <c r="O811" s="73">
        <v>45721</v>
      </c>
      <c r="P811" s="72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2" t="s">
        <v>549</v>
      </c>
      <c r="S811" s="71"/>
    </row>
    <row r="812" spans="1:19" hidden="1">
      <c r="A812" s="70" t="s">
        <v>2305</v>
      </c>
      <c r="B812" s="71" t="str">
        <f>IFERROR(VLOOKUP(Proc[[#This Row],[App]],Table2[],3,0),"open")</f>
        <v>ok</v>
      </c>
      <c r="C812" s="70" t="s">
        <v>369</v>
      </c>
      <c r="D812" t="s">
        <v>2304</v>
      </c>
      <c r="E812" t="s">
        <v>631</v>
      </c>
      <c r="F812" s="105" t="s">
        <v>631</v>
      </c>
      <c r="G812" s="70" t="s">
        <v>406</v>
      </c>
      <c r="H812" s="71" t="str">
        <f>IF(Proc[[#This Row],[type]]="LFF (MDG-F)",MID(Proc[[#This Row],[Obj]],13,10),"")</f>
        <v>DE20847207</v>
      </c>
      <c r="J812" s="71" t="b">
        <f>Proc[[#This Row],[Requested]]=Proc[[#This Row],[CurrentParent]]</f>
        <v>1</v>
      </c>
      <c r="K812" s="71" t="str">
        <f>IF(Proc[[#This Row],[Author]]="Marcela Urrego",VLOOKUP(LEFT(Proc[[#This Row],[Requested]],1),Table3[#All],2,0),VLOOKUP(Proc[[#This Row],[Author]],Table4[],2,0))</f>
        <v>MGF</v>
      </c>
      <c r="L812" s="32" t="s">
        <v>509</v>
      </c>
      <c r="M812" s="73">
        <v>45719.3903125</v>
      </c>
      <c r="N812" s="73">
        <v>45721</v>
      </c>
      <c r="O812" s="73">
        <v>45721</v>
      </c>
      <c r="P812" s="72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2" t="s">
        <v>549</v>
      </c>
      <c r="S812" s="71"/>
    </row>
    <row r="813" spans="1:19" hidden="1">
      <c r="A813" s="70" t="s">
        <v>2281</v>
      </c>
      <c r="B813" s="71" t="str">
        <f>IFERROR(VLOOKUP(Proc[[#This Row],[App]],Table2[],3,0),"open")</f>
        <v>ok</v>
      </c>
      <c r="C813" s="70" t="s">
        <v>369</v>
      </c>
      <c r="D813" t="s">
        <v>2282</v>
      </c>
      <c r="E813" t="s">
        <v>631</v>
      </c>
      <c r="F813" s="105" t="s">
        <v>631</v>
      </c>
      <c r="G813" s="70" t="s">
        <v>406</v>
      </c>
      <c r="H813" s="71" t="str">
        <f>IF(Proc[[#This Row],[type]]="LFF (MDG-F)",MID(Proc[[#This Row],[Obj]],13,10),"")</f>
        <v>DE10505500</v>
      </c>
      <c r="J813" s="71" t="b">
        <f>Proc[[#This Row],[Requested]]=Proc[[#This Row],[CurrentParent]]</f>
        <v>1</v>
      </c>
      <c r="K813" s="71" t="str">
        <f>IF(Proc[[#This Row],[Author]]="Marcela Urrego",VLOOKUP(LEFT(Proc[[#This Row],[Requested]],1),Table3[#All],2,0),VLOOKUP(Proc[[#This Row],[Author]],Table4[],2,0))</f>
        <v>MGF</v>
      </c>
      <c r="L813" s="32" t="s">
        <v>509</v>
      </c>
      <c r="M813" s="73">
        <v>45719.398958333331</v>
      </c>
      <c r="N813" s="73">
        <v>45722</v>
      </c>
      <c r="O813" s="73">
        <v>45722</v>
      </c>
      <c r="P813" s="72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2" t="s">
        <v>549</v>
      </c>
      <c r="S813" s="71"/>
    </row>
    <row r="814" spans="1:19" hidden="1">
      <c r="A814" s="70" t="s">
        <v>2281</v>
      </c>
      <c r="B814" s="71" t="str">
        <f>IFERROR(VLOOKUP(Proc[[#This Row],[App]],Table2[],3,0),"open")</f>
        <v>ok</v>
      </c>
      <c r="C814" s="70" t="s">
        <v>377</v>
      </c>
      <c r="D814" t="s">
        <v>2283</v>
      </c>
      <c r="E814" t="s">
        <v>631</v>
      </c>
      <c r="F814" s="105" t="s">
        <v>631</v>
      </c>
      <c r="G814" s="70" t="s">
        <v>406</v>
      </c>
      <c r="H814" s="71" t="str">
        <f>IF(Proc[[#This Row],[type]]="LFF (MDG-F)",MID(Proc[[#This Row],[Obj]],13,10),"")</f>
        <v>DE10550100</v>
      </c>
      <c r="I814" t="s">
        <v>446</v>
      </c>
      <c r="J814" s="71" t="b">
        <f>Proc[[#This Row],[Requested]]=Proc[[#This Row],[CurrentParent]]</f>
        <v>1</v>
      </c>
      <c r="K814" s="71" t="str">
        <f>IF(Proc[[#This Row],[Author]]="Marcela Urrego",VLOOKUP(LEFT(Proc[[#This Row],[Requested]],1),Table3[#All],2,0),VLOOKUP(Proc[[#This Row],[Author]],Table4[],2,0))</f>
        <v>MGF</v>
      </c>
      <c r="L814" s="32" t="s">
        <v>509</v>
      </c>
      <c r="M814" s="73">
        <v>45719.398958333331</v>
      </c>
      <c r="O814" s="73">
        <v>45722</v>
      </c>
      <c r="P814" s="72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2" t="s">
        <v>549</v>
      </c>
      <c r="S814" s="71"/>
    </row>
    <row r="815" spans="1:19" hidden="1">
      <c r="A815" s="70" t="s">
        <v>2281</v>
      </c>
      <c r="B815" s="71" t="str">
        <f>IFERROR(VLOOKUP(Proc[[#This Row],[App]],Table2[],3,0),"open")</f>
        <v>ok</v>
      </c>
      <c r="C815" s="70" t="s">
        <v>377</v>
      </c>
      <c r="D815" t="s">
        <v>2284</v>
      </c>
      <c r="E815" t="s">
        <v>631</v>
      </c>
      <c r="F815" s="105" t="s">
        <v>631</v>
      </c>
      <c r="G815" s="70" t="s">
        <v>406</v>
      </c>
      <c r="H815" s="71" t="str">
        <f>IF(Proc[[#This Row],[type]]="LFF (MDG-F)",MID(Proc[[#This Row],[Obj]],13,10),"")</f>
        <v>DE10559100</v>
      </c>
      <c r="I815" t="s">
        <v>446</v>
      </c>
      <c r="J815" s="71" t="b">
        <f>Proc[[#This Row],[Requested]]=Proc[[#This Row],[CurrentParent]]</f>
        <v>1</v>
      </c>
      <c r="K815" s="71" t="str">
        <f>IF(Proc[[#This Row],[Author]]="Marcela Urrego",VLOOKUP(LEFT(Proc[[#This Row],[Requested]],1),Table3[#All],2,0),VLOOKUP(Proc[[#This Row],[Author]],Table4[],2,0))</f>
        <v>MGF</v>
      </c>
      <c r="L815" s="32" t="s">
        <v>509</v>
      </c>
      <c r="M815" s="73">
        <v>45719.398958333331</v>
      </c>
      <c r="O815" s="73">
        <v>45722</v>
      </c>
      <c r="P815" s="72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2" t="s">
        <v>549</v>
      </c>
      <c r="S815" s="71"/>
    </row>
    <row r="816" spans="1:19" hidden="1">
      <c r="A816" s="70" t="s">
        <v>2281</v>
      </c>
      <c r="B816" s="71" t="str">
        <f>IFERROR(VLOOKUP(Proc[[#This Row],[App]],Table2[],3,0),"open")</f>
        <v>ok</v>
      </c>
      <c r="C816" s="70" t="s">
        <v>377</v>
      </c>
      <c r="D816" t="s">
        <v>2285</v>
      </c>
      <c r="E816" t="s">
        <v>631</v>
      </c>
      <c r="F816" s="105" t="s">
        <v>631</v>
      </c>
      <c r="G816" s="70" t="s">
        <v>406</v>
      </c>
      <c r="H816" s="71" t="str">
        <f>IF(Proc[[#This Row],[type]]="LFF (MDG-F)",MID(Proc[[#This Row],[Obj]],13,10),"")</f>
        <v>DE10566910</v>
      </c>
      <c r="I816" t="s">
        <v>446</v>
      </c>
      <c r="J816" s="71" t="b">
        <f>Proc[[#This Row],[Requested]]=Proc[[#This Row],[CurrentParent]]</f>
        <v>1</v>
      </c>
      <c r="K816" s="71" t="str">
        <f>IF(Proc[[#This Row],[Author]]="Marcela Urrego",VLOOKUP(LEFT(Proc[[#This Row],[Requested]],1),Table3[#All],2,0),VLOOKUP(Proc[[#This Row],[Author]],Table4[],2,0))</f>
        <v>MGF</v>
      </c>
      <c r="L816" s="32" t="s">
        <v>509</v>
      </c>
      <c r="M816" s="73">
        <v>45719.398958333331</v>
      </c>
      <c r="O816" s="73">
        <v>45722</v>
      </c>
      <c r="P816" s="72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2" t="s">
        <v>549</v>
      </c>
      <c r="S816" s="71"/>
    </row>
    <row r="817" spans="1:19" hidden="1">
      <c r="A817" s="70" t="s">
        <v>2281</v>
      </c>
      <c r="B817" s="71" t="str">
        <f>IFERROR(VLOOKUP(Proc[[#This Row],[App]],Table2[],3,0),"open")</f>
        <v>ok</v>
      </c>
      <c r="C817" s="70" t="s">
        <v>369</v>
      </c>
      <c r="D817" t="s">
        <v>2286</v>
      </c>
      <c r="E817" t="s">
        <v>631</v>
      </c>
      <c r="F817" s="105" t="s">
        <v>631</v>
      </c>
      <c r="G817" s="70" t="s">
        <v>406</v>
      </c>
      <c r="H817" s="71" t="str">
        <f>IF(Proc[[#This Row],[type]]="LFF (MDG-F)",MID(Proc[[#This Row],[Obj]],13,10),"")</f>
        <v>DE10580022</v>
      </c>
      <c r="J817" s="71" t="b">
        <f>Proc[[#This Row],[Requested]]=Proc[[#This Row],[CurrentParent]]</f>
        <v>1</v>
      </c>
      <c r="K817" s="71" t="str">
        <f>IF(Proc[[#This Row],[Author]]="Marcela Urrego",VLOOKUP(LEFT(Proc[[#This Row],[Requested]],1),Table3[#All],2,0),VLOOKUP(Proc[[#This Row],[Author]],Table4[],2,0))</f>
        <v>MGF</v>
      </c>
      <c r="L817" s="32" t="s">
        <v>509</v>
      </c>
      <c r="M817" s="73">
        <v>45719.398958333331</v>
      </c>
      <c r="N817" s="73">
        <v>45722</v>
      </c>
      <c r="O817" s="73">
        <v>45722</v>
      </c>
      <c r="P817" s="72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2" t="s">
        <v>549</v>
      </c>
      <c r="S817" s="71"/>
    </row>
    <row r="818" spans="1:19" hidden="1">
      <c r="A818" s="70" t="s">
        <v>2281</v>
      </c>
      <c r="B818" s="71" t="str">
        <f>IFERROR(VLOOKUP(Proc[[#This Row],[App]],Table2[],3,0),"open")</f>
        <v>ok</v>
      </c>
      <c r="C818" s="70" t="s">
        <v>369</v>
      </c>
      <c r="D818" t="s">
        <v>2287</v>
      </c>
      <c r="E818" t="s">
        <v>631</v>
      </c>
      <c r="F818" s="105" t="s">
        <v>631</v>
      </c>
      <c r="G818" s="70" t="s">
        <v>406</v>
      </c>
      <c r="H818" s="71" t="str">
        <f>IF(Proc[[#This Row],[type]]="LFF (MDG-F)",MID(Proc[[#This Row],[Obj]],13,10),"")</f>
        <v>DE10580023</v>
      </c>
      <c r="J818" s="71" t="b">
        <f>Proc[[#This Row],[Requested]]=Proc[[#This Row],[CurrentParent]]</f>
        <v>1</v>
      </c>
      <c r="K818" s="71" t="str">
        <f>IF(Proc[[#This Row],[Author]]="Marcela Urrego",VLOOKUP(LEFT(Proc[[#This Row],[Requested]],1),Table3[#All],2,0),VLOOKUP(Proc[[#This Row],[Author]],Table4[],2,0))</f>
        <v>MGF</v>
      </c>
      <c r="L818" s="32" t="s">
        <v>509</v>
      </c>
      <c r="M818" s="73">
        <v>45719.398958333331</v>
      </c>
      <c r="N818" s="73">
        <v>45722</v>
      </c>
      <c r="O818" s="73">
        <v>45722</v>
      </c>
      <c r="P818" s="72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2" t="s">
        <v>549</v>
      </c>
      <c r="S818" s="71"/>
    </row>
    <row r="819" spans="1:19" hidden="1">
      <c r="A819" s="70" t="s">
        <v>2281</v>
      </c>
      <c r="B819" s="71" t="str">
        <f>IFERROR(VLOOKUP(Proc[[#This Row],[App]],Table2[],3,0),"open")</f>
        <v>ok</v>
      </c>
      <c r="C819" s="70" t="s">
        <v>369</v>
      </c>
      <c r="D819" t="s">
        <v>2288</v>
      </c>
      <c r="E819" t="s">
        <v>631</v>
      </c>
      <c r="F819" s="105" t="s">
        <v>631</v>
      </c>
      <c r="G819" s="70" t="s">
        <v>406</v>
      </c>
      <c r="H819" s="71" t="str">
        <f>IF(Proc[[#This Row],[type]]="LFF (MDG-F)",MID(Proc[[#This Row],[Obj]],13,10),"")</f>
        <v>DE10580024</v>
      </c>
      <c r="J819" s="71" t="b">
        <f>Proc[[#This Row],[Requested]]=Proc[[#This Row],[CurrentParent]]</f>
        <v>1</v>
      </c>
      <c r="K819" s="71" t="str">
        <f>IF(Proc[[#This Row],[Author]]="Marcela Urrego",VLOOKUP(LEFT(Proc[[#This Row],[Requested]],1),Table3[#All],2,0),VLOOKUP(Proc[[#This Row],[Author]],Table4[],2,0))</f>
        <v>MGF</v>
      </c>
      <c r="L819" s="32" t="s">
        <v>509</v>
      </c>
      <c r="M819" s="73">
        <v>45719.398958333331</v>
      </c>
      <c r="N819" s="73">
        <v>45722</v>
      </c>
      <c r="O819" s="73">
        <v>45722</v>
      </c>
      <c r="P819" s="72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2" t="s">
        <v>549</v>
      </c>
      <c r="S819" s="71"/>
    </row>
    <row r="820" spans="1:19" hidden="1">
      <c r="A820" s="70" t="s">
        <v>2281</v>
      </c>
      <c r="B820" s="71" t="str">
        <f>IFERROR(VLOOKUP(Proc[[#This Row],[App]],Table2[],3,0),"open")</f>
        <v>ok</v>
      </c>
      <c r="C820" s="70" t="s">
        <v>369</v>
      </c>
      <c r="D820" t="s">
        <v>2289</v>
      </c>
      <c r="E820" t="s">
        <v>631</v>
      </c>
      <c r="F820" s="105" t="s">
        <v>631</v>
      </c>
      <c r="G820" s="70" t="s">
        <v>406</v>
      </c>
      <c r="H820" s="71" t="str">
        <f>IF(Proc[[#This Row],[type]]="LFF (MDG-F)",MID(Proc[[#This Row],[Obj]],13,10),"")</f>
        <v>DE10580025</v>
      </c>
      <c r="J820" s="71" t="b">
        <f>Proc[[#This Row],[Requested]]=Proc[[#This Row],[CurrentParent]]</f>
        <v>1</v>
      </c>
      <c r="K820" s="71" t="str">
        <f>IF(Proc[[#This Row],[Author]]="Marcela Urrego",VLOOKUP(LEFT(Proc[[#This Row],[Requested]],1),Table3[#All],2,0),VLOOKUP(Proc[[#This Row],[Author]],Table4[],2,0))</f>
        <v>MGF</v>
      </c>
      <c r="L820" s="32" t="s">
        <v>509</v>
      </c>
      <c r="M820" s="73">
        <v>45719.398958333331</v>
      </c>
      <c r="N820" s="73">
        <v>45722</v>
      </c>
      <c r="O820" s="73">
        <v>45722</v>
      </c>
      <c r="P820" s="72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2" t="s">
        <v>549</v>
      </c>
      <c r="S820" s="71"/>
    </row>
    <row r="821" spans="1:19" hidden="1">
      <c r="A821" s="70" t="s">
        <v>2281</v>
      </c>
      <c r="B821" s="71" t="str">
        <f>IFERROR(VLOOKUP(Proc[[#This Row],[App]],Table2[],3,0),"open")</f>
        <v>ok</v>
      </c>
      <c r="C821" s="70" t="s">
        <v>369</v>
      </c>
      <c r="D821" t="s">
        <v>2290</v>
      </c>
      <c r="E821" t="s">
        <v>631</v>
      </c>
      <c r="F821" s="105" t="s">
        <v>631</v>
      </c>
      <c r="G821" s="70" t="s">
        <v>406</v>
      </c>
      <c r="H821" s="71" t="str">
        <f>IF(Proc[[#This Row],[type]]="LFF (MDG-F)",MID(Proc[[#This Row],[Obj]],13,10),"")</f>
        <v>DE10580026</v>
      </c>
      <c r="J821" s="71" t="b">
        <f>Proc[[#This Row],[Requested]]=Proc[[#This Row],[CurrentParent]]</f>
        <v>1</v>
      </c>
      <c r="K821" s="71" t="str">
        <f>IF(Proc[[#This Row],[Author]]="Marcela Urrego",VLOOKUP(LEFT(Proc[[#This Row],[Requested]],1),Table3[#All],2,0),VLOOKUP(Proc[[#This Row],[Author]],Table4[],2,0))</f>
        <v>MGF</v>
      </c>
      <c r="L821" s="32" t="s">
        <v>509</v>
      </c>
      <c r="M821" s="73">
        <v>45719.398958333331</v>
      </c>
      <c r="N821" s="73">
        <v>45722</v>
      </c>
      <c r="O821" s="73">
        <v>45722</v>
      </c>
      <c r="P821" s="72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2" t="s">
        <v>549</v>
      </c>
      <c r="S821" s="71"/>
    </row>
    <row r="822" spans="1:19" hidden="1">
      <c r="A822" s="70" t="s">
        <v>2281</v>
      </c>
      <c r="B822" s="71" t="str">
        <f>IFERROR(VLOOKUP(Proc[[#This Row],[App]],Table2[],3,0),"open")</f>
        <v>ok</v>
      </c>
      <c r="C822" t="s">
        <v>369</v>
      </c>
      <c r="D822" t="s">
        <v>2291</v>
      </c>
      <c r="E822" t="s">
        <v>631</v>
      </c>
      <c r="F822" s="105" t="s">
        <v>631</v>
      </c>
      <c r="G822" s="70" t="s">
        <v>406</v>
      </c>
      <c r="H822" s="71" t="str">
        <f>IF(Proc[[#This Row],[type]]="LFF (MDG-F)",MID(Proc[[#This Row],[Obj]],13,10),"")</f>
        <v>DE10580027</v>
      </c>
      <c r="I822" s="70"/>
      <c r="J822" s="71" t="b">
        <f>Proc[[#This Row],[Requested]]=Proc[[#This Row],[CurrentParent]]</f>
        <v>1</v>
      </c>
      <c r="K822" s="71" t="str">
        <f>IF(Proc[[#This Row],[Author]]="Marcela Urrego",VLOOKUP(LEFT(Proc[[#This Row],[Requested]],1),Table3[#All],2,0),VLOOKUP(Proc[[#This Row],[Author]],Table4[],2,0))</f>
        <v>MGF</v>
      </c>
      <c r="L822" s="32" t="s">
        <v>509</v>
      </c>
      <c r="M822" s="73">
        <v>45719.398958333331</v>
      </c>
      <c r="N822" s="73">
        <v>45722</v>
      </c>
      <c r="O822" s="73">
        <v>45722</v>
      </c>
      <c r="P822" s="72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2" t="s">
        <v>549</v>
      </c>
      <c r="S822" s="71"/>
    </row>
    <row r="823" spans="1:19" hidden="1">
      <c r="A823" s="70" t="s">
        <v>2281</v>
      </c>
      <c r="B823" s="71" t="str">
        <f>IFERROR(VLOOKUP(Proc[[#This Row],[App]],Table2[],3,0),"open")</f>
        <v>ok</v>
      </c>
      <c r="C823" s="70" t="s">
        <v>369</v>
      </c>
      <c r="D823" t="s">
        <v>2292</v>
      </c>
      <c r="E823" t="s">
        <v>631</v>
      </c>
      <c r="F823" s="105" t="s">
        <v>631</v>
      </c>
      <c r="G823" s="70" t="s">
        <v>406</v>
      </c>
      <c r="H823" s="71" t="str">
        <f>IF(Proc[[#This Row],[type]]="LFF (MDG-F)",MID(Proc[[#This Row],[Obj]],13,10),"")</f>
        <v>DE10580040</v>
      </c>
      <c r="J823" s="71" t="b">
        <f>Proc[[#This Row],[Requested]]=Proc[[#This Row],[CurrentParent]]</f>
        <v>1</v>
      </c>
      <c r="K823" s="71" t="str">
        <f>IF(Proc[[#This Row],[Author]]="Marcela Urrego",VLOOKUP(LEFT(Proc[[#This Row],[Requested]],1),Table3[#All],2,0),VLOOKUP(Proc[[#This Row],[Author]],Table4[],2,0))</f>
        <v>MGF</v>
      </c>
      <c r="L823" s="32" t="s">
        <v>509</v>
      </c>
      <c r="M823" s="73">
        <v>45719.398958333331</v>
      </c>
      <c r="N823" s="73">
        <v>45722</v>
      </c>
      <c r="O823" s="73">
        <v>45722</v>
      </c>
      <c r="P823" s="72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2" t="s">
        <v>549</v>
      </c>
      <c r="S823" s="71"/>
    </row>
    <row r="824" spans="1:19" hidden="1">
      <c r="A824" s="70" t="s">
        <v>2281</v>
      </c>
      <c r="B824" s="71" t="str">
        <f>IFERROR(VLOOKUP(Proc[[#This Row],[App]],Table2[],3,0),"open")</f>
        <v>ok</v>
      </c>
      <c r="C824" s="70" t="s">
        <v>369</v>
      </c>
      <c r="D824" t="s">
        <v>2293</v>
      </c>
      <c r="E824" t="s">
        <v>631</v>
      </c>
      <c r="F824" s="105" t="s">
        <v>631</v>
      </c>
      <c r="G824" s="70" t="s">
        <v>406</v>
      </c>
      <c r="H824" s="71" t="str">
        <f>IF(Proc[[#This Row],[type]]="LFF (MDG-F)",MID(Proc[[#This Row],[Obj]],13,10),"")</f>
        <v>DE10628300</v>
      </c>
      <c r="I824" s="70"/>
      <c r="J824" s="71" t="b">
        <f>Proc[[#This Row],[Requested]]=Proc[[#This Row],[CurrentParent]]</f>
        <v>1</v>
      </c>
      <c r="K824" s="71" t="str">
        <f>IF(Proc[[#This Row],[Author]]="Marcela Urrego",VLOOKUP(LEFT(Proc[[#This Row],[Requested]],1),Table3[#All],2,0),VLOOKUP(Proc[[#This Row],[Author]],Table4[],2,0))</f>
        <v>MGF</v>
      </c>
      <c r="L824" s="32" t="s">
        <v>509</v>
      </c>
      <c r="M824" s="73">
        <v>45719.398958333331</v>
      </c>
      <c r="N824" s="73">
        <v>45722</v>
      </c>
      <c r="O824" s="73">
        <v>45722</v>
      </c>
      <c r="P824" s="72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2" t="s">
        <v>549</v>
      </c>
      <c r="S824" s="71"/>
    </row>
    <row r="825" spans="1:19" hidden="1">
      <c r="A825" s="70" t="s">
        <v>2281</v>
      </c>
      <c r="B825" s="71" t="str">
        <f>IFERROR(VLOOKUP(Proc[[#This Row],[App]],Table2[],3,0),"open")</f>
        <v>ok</v>
      </c>
      <c r="C825" s="70" t="s">
        <v>369</v>
      </c>
      <c r="D825" t="s">
        <v>2294</v>
      </c>
      <c r="E825" t="s">
        <v>631</v>
      </c>
      <c r="F825" s="105" t="s">
        <v>631</v>
      </c>
      <c r="G825" s="70" t="s">
        <v>406</v>
      </c>
      <c r="H825" s="71" t="str">
        <f>IF(Proc[[#This Row],[type]]="LFF (MDG-F)",MID(Proc[[#This Row],[Obj]],13,10),"")</f>
        <v>DE20675105</v>
      </c>
      <c r="I825" s="70"/>
      <c r="J825" s="71" t="b">
        <f>Proc[[#This Row],[Requested]]=Proc[[#This Row],[CurrentParent]]</f>
        <v>1</v>
      </c>
      <c r="K825" s="71" t="str">
        <f>IF(Proc[[#This Row],[Author]]="Marcela Urrego",VLOOKUP(LEFT(Proc[[#This Row],[Requested]],1),Table3[#All],2,0),VLOOKUP(Proc[[#This Row],[Author]],Table4[],2,0))</f>
        <v>MGF</v>
      </c>
      <c r="L825" s="32" t="s">
        <v>509</v>
      </c>
      <c r="M825" s="73">
        <v>45719.398958333331</v>
      </c>
      <c r="N825" s="73">
        <v>45722</v>
      </c>
      <c r="O825" s="73">
        <v>45722</v>
      </c>
      <c r="P825" s="72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2" t="s">
        <v>549</v>
      </c>
      <c r="S825" s="71"/>
    </row>
    <row r="826" spans="1:19" hidden="1">
      <c r="A826" t="s">
        <v>2281</v>
      </c>
      <c r="B826" s="71" t="str">
        <f>IFERROR(VLOOKUP(Proc[[#This Row],[App]],Table2[],3,0),"open")</f>
        <v>ok</v>
      </c>
      <c r="C826" s="70" t="s">
        <v>369</v>
      </c>
      <c r="D826" t="s">
        <v>2295</v>
      </c>
      <c r="E826" t="s">
        <v>631</v>
      </c>
      <c r="F826" s="105" t="s">
        <v>631</v>
      </c>
      <c r="G826" s="70" t="s">
        <v>406</v>
      </c>
      <c r="H826" s="71" t="str">
        <f>IF(Proc[[#This Row],[type]]="LFF (MDG-F)",MID(Proc[[#This Row],[Obj]],13,10),"")</f>
        <v>DE20675106</v>
      </c>
      <c r="J826" s="71" t="b">
        <f>Proc[[#This Row],[Requested]]=Proc[[#This Row],[CurrentParent]]</f>
        <v>1</v>
      </c>
      <c r="K826" s="71" t="str">
        <f>IF(Proc[[#This Row],[Author]]="Marcela Urrego",VLOOKUP(LEFT(Proc[[#This Row],[Requested]],1),Table3[#All],2,0),VLOOKUP(Proc[[#This Row],[Author]],Table4[],2,0))</f>
        <v>MGF</v>
      </c>
      <c r="L826" s="32" t="s">
        <v>509</v>
      </c>
      <c r="M826" s="73">
        <v>45719.398958333331</v>
      </c>
      <c r="N826" s="73">
        <v>45722</v>
      </c>
      <c r="O826" s="73">
        <v>45722</v>
      </c>
      <c r="P826" s="72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2" t="s">
        <v>549</v>
      </c>
      <c r="S826" s="71"/>
    </row>
    <row r="827" spans="1:19" hidden="1">
      <c r="A827" s="70" t="s">
        <v>2281</v>
      </c>
      <c r="B827" s="71" t="str">
        <f>IFERROR(VLOOKUP(Proc[[#This Row],[App]],Table2[],3,0),"open")</f>
        <v>ok</v>
      </c>
      <c r="C827" s="70" t="s">
        <v>377</v>
      </c>
      <c r="D827" t="s">
        <v>2296</v>
      </c>
      <c r="E827" t="s">
        <v>631</v>
      </c>
      <c r="F827" s="105" t="s">
        <v>631</v>
      </c>
      <c r="G827" s="70" t="s">
        <v>406</v>
      </c>
      <c r="H827" s="71" t="str">
        <f>IF(Proc[[#This Row],[type]]="LFF (MDG-F)",MID(Proc[[#This Row],[Obj]],13,10),"")</f>
        <v>DE20995000</v>
      </c>
      <c r="I827" t="s">
        <v>446</v>
      </c>
      <c r="J827" s="71" t="b">
        <f>Proc[[#This Row],[Requested]]=Proc[[#This Row],[CurrentParent]]</f>
        <v>1</v>
      </c>
      <c r="K827" s="71" t="str">
        <f>IF(Proc[[#This Row],[Author]]="Marcela Urrego",VLOOKUP(LEFT(Proc[[#This Row],[Requested]],1),Table3[#All],2,0),VLOOKUP(Proc[[#This Row],[Author]],Table4[],2,0))</f>
        <v>MGF</v>
      </c>
      <c r="L827" s="32" t="s">
        <v>509</v>
      </c>
      <c r="M827" s="73">
        <v>45719.398958333331</v>
      </c>
      <c r="O827" s="73">
        <v>45722</v>
      </c>
      <c r="P827" s="72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2" t="s">
        <v>549</v>
      </c>
      <c r="S827" s="71"/>
    </row>
    <row r="828" spans="1:19" hidden="1">
      <c r="A828" s="70" t="s">
        <v>2281</v>
      </c>
      <c r="B828" s="71" t="str">
        <f>IFERROR(VLOOKUP(Proc[[#This Row],[App]],Table2[],3,0),"open")</f>
        <v>ok</v>
      </c>
      <c r="C828" s="70" t="s">
        <v>377</v>
      </c>
      <c r="D828" t="s">
        <v>2297</v>
      </c>
      <c r="E828" t="s">
        <v>631</v>
      </c>
      <c r="F828" s="105" t="s">
        <v>631</v>
      </c>
      <c r="G828" s="70" t="s">
        <v>406</v>
      </c>
      <c r="H828" s="71" t="str">
        <f>IF(Proc[[#This Row],[type]]="LFF (MDG-F)",MID(Proc[[#This Row],[Obj]],13,10),"")</f>
        <v>DE10889997</v>
      </c>
      <c r="I828" t="s">
        <v>446</v>
      </c>
      <c r="J828" s="71" t="b">
        <f>Proc[[#This Row],[Requested]]=Proc[[#This Row],[CurrentParent]]</f>
        <v>1</v>
      </c>
      <c r="K828" s="71" t="str">
        <f>IF(Proc[[#This Row],[Author]]="Marcela Urrego",VLOOKUP(LEFT(Proc[[#This Row],[Requested]],1),Table3[#All],2,0),VLOOKUP(Proc[[#This Row],[Author]],Table4[],2,0))</f>
        <v>MGF</v>
      </c>
      <c r="L828" s="32" t="s">
        <v>509</v>
      </c>
      <c r="M828" s="73">
        <v>45719.398958333331</v>
      </c>
      <c r="O828" s="73">
        <v>45722</v>
      </c>
      <c r="P828" s="72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2" t="s">
        <v>549</v>
      </c>
      <c r="S828" s="71"/>
    </row>
    <row r="829" spans="1:19" hidden="1">
      <c r="A829" s="70" t="s">
        <v>2281</v>
      </c>
      <c r="B829" s="71" t="str">
        <f>IFERROR(VLOOKUP(Proc[[#This Row],[App]],Table2[],3,0),"open")</f>
        <v>ok</v>
      </c>
      <c r="C829" s="70" t="s">
        <v>377</v>
      </c>
      <c r="D829" t="s">
        <v>2298</v>
      </c>
      <c r="E829" t="s">
        <v>631</v>
      </c>
      <c r="F829" s="105" t="s">
        <v>631</v>
      </c>
      <c r="G829" s="70" t="s">
        <v>406</v>
      </c>
      <c r="H829" s="71" t="str">
        <f>IF(Proc[[#This Row],[type]]="LFF (MDG-F)",MID(Proc[[#This Row],[Obj]],13,10),"")</f>
        <v>DE10889998</v>
      </c>
      <c r="I829" t="s">
        <v>446</v>
      </c>
      <c r="J829" s="71" t="b">
        <f>Proc[[#This Row],[Requested]]=Proc[[#This Row],[CurrentParent]]</f>
        <v>1</v>
      </c>
      <c r="K829" s="71" t="str">
        <f>IF(Proc[[#This Row],[Author]]="Marcela Urrego",VLOOKUP(LEFT(Proc[[#This Row],[Requested]],1),Table3[#All],2,0),VLOOKUP(Proc[[#This Row],[Author]],Table4[],2,0))</f>
        <v>MGF</v>
      </c>
      <c r="L829" s="32" t="s">
        <v>509</v>
      </c>
      <c r="M829" s="73">
        <v>45719.398958333331</v>
      </c>
      <c r="O829" s="73">
        <v>45722</v>
      </c>
      <c r="P829" s="72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2" t="s">
        <v>549</v>
      </c>
      <c r="S829" s="71"/>
    </row>
    <row r="830" spans="1:19" hidden="1">
      <c r="A830" s="70" t="s">
        <v>2281</v>
      </c>
      <c r="B830" s="71" t="str">
        <f>IFERROR(VLOOKUP(Proc[[#This Row],[App]],Table2[],3,0),"open")</f>
        <v>ok</v>
      </c>
      <c r="C830" s="70" t="s">
        <v>377</v>
      </c>
      <c r="D830" t="s">
        <v>2299</v>
      </c>
      <c r="E830" t="s">
        <v>631</v>
      </c>
      <c r="F830" s="105" t="s">
        <v>631</v>
      </c>
      <c r="G830" s="70" t="s">
        <v>406</v>
      </c>
      <c r="H830" s="71" t="str">
        <f>IF(Proc[[#This Row],[type]]="LFF (MDG-F)",MID(Proc[[#This Row],[Obj]],13,10),"")</f>
        <v>DE10889999</v>
      </c>
      <c r="I830" t="s">
        <v>446</v>
      </c>
      <c r="J830" s="71" t="b">
        <f>Proc[[#This Row],[Requested]]=Proc[[#This Row],[CurrentParent]]</f>
        <v>1</v>
      </c>
      <c r="K830" s="71" t="str">
        <f>IF(Proc[[#This Row],[Author]]="Marcela Urrego",VLOOKUP(LEFT(Proc[[#This Row],[Requested]],1),Table3[#All],2,0),VLOOKUP(Proc[[#This Row],[Author]],Table4[],2,0))</f>
        <v>MGF</v>
      </c>
      <c r="L830" s="32" t="s">
        <v>509</v>
      </c>
      <c r="M830" s="73">
        <v>45719.398958333331</v>
      </c>
      <c r="O830" s="73">
        <v>45722</v>
      </c>
      <c r="P830" s="72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2" t="s">
        <v>549</v>
      </c>
      <c r="S830" s="71"/>
    </row>
    <row r="831" spans="1:19" hidden="1">
      <c r="A831" t="s">
        <v>2311</v>
      </c>
      <c r="B831" s="71" t="str">
        <f>IFERROR(VLOOKUP(Proc[[#This Row],[App]],Table2[],3,0),"open")</f>
        <v>ok</v>
      </c>
      <c r="C831" s="70" t="s">
        <v>369</v>
      </c>
      <c r="D831" t="s">
        <v>2309</v>
      </c>
      <c r="E831" t="s">
        <v>2310</v>
      </c>
      <c r="F831" s="105" t="s">
        <v>2310</v>
      </c>
      <c r="G831" s="70" t="s">
        <v>406</v>
      </c>
      <c r="H831" s="71" t="str">
        <f>IF(Proc[[#This Row],[type]]="LFF (MDG-F)",MID(Proc[[#This Row],[Obj]],13,10),"")</f>
        <v>CN09L16005</v>
      </c>
      <c r="J831" s="71" t="b">
        <f>Proc[[#This Row],[Requested]]=Proc[[#This Row],[CurrentParent]]</f>
        <v>1</v>
      </c>
      <c r="K831" s="71" t="str">
        <f>IF(Proc[[#This Row],[Author]]="Marcela Urrego",VLOOKUP(LEFT(Proc[[#This Row],[Requested]],1),Table3[#All],2,0),VLOOKUP(Proc[[#This Row],[Author]],Table4[],2,0))</f>
        <v>MGF</v>
      </c>
      <c r="L831" s="32" t="s">
        <v>509</v>
      </c>
      <c r="M831" s="73">
        <v>45719.579097222224</v>
      </c>
      <c r="N831" s="73">
        <v>45721</v>
      </c>
      <c r="O831" s="73">
        <v>45721</v>
      </c>
      <c r="P831" s="72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2" t="s">
        <v>1076</v>
      </c>
      <c r="S831" s="71"/>
    </row>
    <row r="832" spans="1:19" hidden="1">
      <c r="A832" t="s">
        <v>2388</v>
      </c>
      <c r="B832" s="71" t="str">
        <f>IFERROR(VLOOKUP(Proc[[#This Row],[App]],Table2[],3,0),"open")</f>
        <v>ok</v>
      </c>
      <c r="C832" s="70" t="s">
        <v>369</v>
      </c>
      <c r="D832" t="s">
        <v>2386</v>
      </c>
      <c r="E832" t="s">
        <v>2387</v>
      </c>
      <c r="F832" s="105" t="s">
        <v>2387</v>
      </c>
      <c r="G832" s="70" t="s">
        <v>400</v>
      </c>
      <c r="H832" s="71" t="str">
        <f>IF(Proc[[#This Row],[type]]="LFF (MDG-F)",MID(Proc[[#This Row],[Obj]],13,10),"")</f>
        <v/>
      </c>
      <c r="J832" s="71" t="b">
        <f>Proc[[#This Row],[Requested]]=Proc[[#This Row],[CurrentParent]]</f>
        <v>1</v>
      </c>
      <c r="K832" s="71" t="str">
        <f>IF(Proc[[#This Row],[Author]]="Marcela Urrego",VLOOKUP(LEFT(Proc[[#This Row],[Requested]],1),Table3[#All],2,0),VLOOKUP(Proc[[#This Row],[Author]],Table4[],2,0))</f>
        <v>HC</v>
      </c>
      <c r="L832" s="32" t="s">
        <v>509</v>
      </c>
      <c r="M832" s="73">
        <v>45719.608877314815</v>
      </c>
      <c r="N832" s="73">
        <v>45729</v>
      </c>
      <c r="O832" s="73">
        <v>45729</v>
      </c>
      <c r="P832" s="72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2" t="s">
        <v>484</v>
      </c>
      <c r="S832" s="71"/>
    </row>
    <row r="833" spans="1:19" hidden="1">
      <c r="A833" t="s">
        <v>2307</v>
      </c>
      <c r="B833" s="71" t="str">
        <f>IFERROR(VLOOKUP(Proc[[#This Row],[App]],Table2[],3,0),"open")</f>
        <v>ok</v>
      </c>
      <c r="C833" t="s">
        <v>369</v>
      </c>
      <c r="D833" t="s">
        <v>2306</v>
      </c>
      <c r="E833" t="s">
        <v>2308</v>
      </c>
      <c r="F833" s="105" t="s">
        <v>2308</v>
      </c>
      <c r="G833" s="70" t="s">
        <v>406</v>
      </c>
      <c r="H833" s="71" t="str">
        <f>IF(Proc[[#This Row],[type]]="LFF (MDG-F)",MID(Proc[[#This Row],[Obj]],13,10),"")</f>
        <v>DE10698316</v>
      </c>
      <c r="J833" s="71" t="b">
        <f>Proc[[#This Row],[Requested]]=Proc[[#This Row],[CurrentParent]]</f>
        <v>1</v>
      </c>
      <c r="K833" s="71" t="str">
        <f>IF(Proc[[#This Row],[Author]]="Marcela Urrego",VLOOKUP(LEFT(Proc[[#This Row],[Requested]],1),Table3[#All],2,0),VLOOKUP(Proc[[#This Row],[Author]],Table4[],2,0))</f>
        <v>MGF</v>
      </c>
      <c r="L833" s="32" t="s">
        <v>509</v>
      </c>
      <c r="M833" s="73">
        <v>45719.855474537035</v>
      </c>
      <c r="N833" s="73">
        <v>45736</v>
      </c>
      <c r="O833" s="73">
        <v>45736</v>
      </c>
      <c r="P833" s="72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2" t="s">
        <v>530</v>
      </c>
      <c r="S833" s="71"/>
    </row>
    <row r="834" spans="1:19" hidden="1">
      <c r="A834" t="s">
        <v>2378</v>
      </c>
      <c r="B834" s="71" t="str">
        <f>IFERROR(VLOOKUP(Proc[[#This Row],[App]],Table2[],3,0),"open")</f>
        <v>ok</v>
      </c>
      <c r="C834" t="s">
        <v>369</v>
      </c>
      <c r="D834" t="s">
        <v>2349</v>
      </c>
      <c r="E834" t="s">
        <v>2367</v>
      </c>
      <c r="F834" s="105" t="s">
        <v>2367</v>
      </c>
      <c r="G834" t="s">
        <v>400</v>
      </c>
      <c r="H834" s="71" t="str">
        <f>IF(Proc[[#This Row],[type]]="LFF (MDG-F)",MID(Proc[[#This Row],[Obj]],13,10),"")</f>
        <v/>
      </c>
      <c r="J834" s="71" t="b">
        <f>Proc[[#This Row],[Requested]]=Proc[[#This Row],[CurrentParent]]</f>
        <v>1</v>
      </c>
      <c r="K834" s="71" t="str">
        <f>IF(Proc[[#This Row],[Author]]="Marcela Urrego",VLOOKUP(LEFT(Proc[[#This Row],[Requested]],1),Table3[#All],2,0),VLOOKUP(Proc[[#This Row],[Author]],Table4[],2,0))</f>
        <v>LS</v>
      </c>
      <c r="L834" s="32" t="s">
        <v>509</v>
      </c>
      <c r="M834" s="73">
        <v>45720.368101851855</v>
      </c>
      <c r="N834" s="73">
        <v>45722</v>
      </c>
      <c r="O834" s="73">
        <v>45722</v>
      </c>
      <c r="P834" s="72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2" t="s">
        <v>489</v>
      </c>
      <c r="S834" s="71"/>
    </row>
    <row r="835" spans="1:19" hidden="1">
      <c r="A835" t="s">
        <v>2378</v>
      </c>
      <c r="B835" s="71" t="str">
        <f>IFERROR(VLOOKUP(Proc[[#This Row],[App]],Table2[],3,0),"open")</f>
        <v>ok</v>
      </c>
      <c r="C835" s="70" t="s">
        <v>369</v>
      </c>
      <c r="D835" t="s">
        <v>2350</v>
      </c>
      <c r="E835" t="s">
        <v>2368</v>
      </c>
      <c r="F835" s="105" t="s">
        <v>2368</v>
      </c>
      <c r="G835" s="70" t="s">
        <v>400</v>
      </c>
      <c r="H835" s="71" t="str">
        <f>IF(Proc[[#This Row],[type]]="LFF (MDG-F)",MID(Proc[[#This Row],[Obj]],13,10),"")</f>
        <v/>
      </c>
      <c r="J835" s="71" t="b">
        <f>Proc[[#This Row],[Requested]]=Proc[[#This Row],[CurrentParent]]</f>
        <v>1</v>
      </c>
      <c r="K835" s="71" t="str">
        <f>IF(Proc[[#This Row],[Author]]="Marcela Urrego",VLOOKUP(LEFT(Proc[[#This Row],[Requested]],1),Table3[#All],2,0),VLOOKUP(Proc[[#This Row],[Author]],Table4[],2,0))</f>
        <v>LS</v>
      </c>
      <c r="L835" s="32" t="s">
        <v>509</v>
      </c>
      <c r="M835" s="73">
        <v>45720.368101851855</v>
      </c>
      <c r="N835" s="73">
        <v>45722</v>
      </c>
      <c r="O835" s="73">
        <v>45722</v>
      </c>
      <c r="P835" s="72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2" t="s">
        <v>489</v>
      </c>
      <c r="S835" s="71"/>
    </row>
    <row r="836" spans="1:19" hidden="1">
      <c r="A836" t="s">
        <v>2378</v>
      </c>
      <c r="B836" s="71" t="str">
        <f>IFERROR(VLOOKUP(Proc[[#This Row],[App]],Table2[],3,0),"open")</f>
        <v>ok</v>
      </c>
      <c r="C836" s="70" t="s">
        <v>369</v>
      </c>
      <c r="D836" t="s">
        <v>2351</v>
      </c>
      <c r="E836" t="s">
        <v>2369</v>
      </c>
      <c r="F836" s="105" t="s">
        <v>2369</v>
      </c>
      <c r="G836" s="70" t="s">
        <v>400</v>
      </c>
      <c r="H836" s="71" t="str">
        <f>IF(Proc[[#This Row],[type]]="LFF (MDG-F)",MID(Proc[[#This Row],[Obj]],13,10),"")</f>
        <v/>
      </c>
      <c r="J836" s="71" t="b">
        <f>Proc[[#This Row],[Requested]]=Proc[[#This Row],[CurrentParent]]</f>
        <v>1</v>
      </c>
      <c r="K836" s="71" t="str">
        <f>IF(Proc[[#This Row],[Author]]="Marcela Urrego",VLOOKUP(LEFT(Proc[[#This Row],[Requested]],1),Table3[#All],2,0),VLOOKUP(Proc[[#This Row],[Author]],Table4[],2,0))</f>
        <v>LS</v>
      </c>
      <c r="L836" s="32" t="s">
        <v>509</v>
      </c>
      <c r="M836" s="73">
        <v>45720.368101851855</v>
      </c>
      <c r="N836" s="73">
        <v>45722</v>
      </c>
      <c r="O836" s="73">
        <v>45722</v>
      </c>
      <c r="P836" s="72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2" t="s">
        <v>489</v>
      </c>
      <c r="S836" s="71"/>
    </row>
    <row r="837" spans="1:19" hidden="1">
      <c r="A837" t="s">
        <v>2378</v>
      </c>
      <c r="B837" s="71" t="str">
        <f>IFERROR(VLOOKUP(Proc[[#This Row],[App]],Table2[],3,0),"open")</f>
        <v>ok</v>
      </c>
      <c r="C837" s="70" t="s">
        <v>369</v>
      </c>
      <c r="D837" t="s">
        <v>2352</v>
      </c>
      <c r="E837" t="s">
        <v>2369</v>
      </c>
      <c r="F837" s="105" t="s">
        <v>2369</v>
      </c>
      <c r="G837" s="70" t="s">
        <v>400</v>
      </c>
      <c r="H837" s="71" t="str">
        <f>IF(Proc[[#This Row],[type]]="LFF (MDG-F)",MID(Proc[[#This Row],[Obj]],13,10),"")</f>
        <v/>
      </c>
      <c r="J837" s="71" t="b">
        <f>Proc[[#This Row],[Requested]]=Proc[[#This Row],[CurrentParent]]</f>
        <v>1</v>
      </c>
      <c r="K837" s="71" t="str">
        <f>IF(Proc[[#This Row],[Author]]="Marcela Urrego",VLOOKUP(LEFT(Proc[[#This Row],[Requested]],1),Table3[#All],2,0),VLOOKUP(Proc[[#This Row],[Author]],Table4[],2,0))</f>
        <v>LS</v>
      </c>
      <c r="L837" s="32" t="s">
        <v>509</v>
      </c>
      <c r="M837" s="73">
        <v>45720.368101851855</v>
      </c>
      <c r="N837" s="73">
        <v>45722</v>
      </c>
      <c r="O837" s="73">
        <v>45722</v>
      </c>
      <c r="P837" s="72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2" t="s">
        <v>489</v>
      </c>
      <c r="S837" s="71"/>
    </row>
    <row r="838" spans="1:19" hidden="1">
      <c r="A838" t="s">
        <v>2378</v>
      </c>
      <c r="B838" s="71" t="str">
        <f>IFERROR(VLOOKUP(Proc[[#This Row],[App]],Table2[],3,0),"open")</f>
        <v>ok</v>
      </c>
      <c r="C838" s="70" t="s">
        <v>369</v>
      </c>
      <c r="D838" t="s">
        <v>2353</v>
      </c>
      <c r="E838" t="s">
        <v>2370</v>
      </c>
      <c r="F838" s="105" t="s">
        <v>2370</v>
      </c>
      <c r="G838" s="70" t="s">
        <v>400</v>
      </c>
      <c r="H838" s="71" t="str">
        <f>IF(Proc[[#This Row],[type]]="LFF (MDG-F)",MID(Proc[[#This Row],[Obj]],13,10),"")</f>
        <v/>
      </c>
      <c r="J838" s="71" t="b">
        <f>Proc[[#This Row],[Requested]]=Proc[[#This Row],[CurrentParent]]</f>
        <v>1</v>
      </c>
      <c r="K838" s="71" t="str">
        <f>IF(Proc[[#This Row],[Author]]="Marcela Urrego",VLOOKUP(LEFT(Proc[[#This Row],[Requested]],1),Table3[#All],2,0),VLOOKUP(Proc[[#This Row],[Author]],Table4[],2,0))</f>
        <v>LS</v>
      </c>
      <c r="L838" s="32" t="s">
        <v>509</v>
      </c>
      <c r="M838" s="73">
        <v>45720.368101851855</v>
      </c>
      <c r="N838" s="73">
        <v>45722</v>
      </c>
      <c r="O838" s="73">
        <v>45722</v>
      </c>
      <c r="P838" s="72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2" t="s">
        <v>489</v>
      </c>
      <c r="S838" s="71"/>
    </row>
    <row r="839" spans="1:19" hidden="1">
      <c r="A839" t="s">
        <v>2378</v>
      </c>
      <c r="B839" s="71" t="str">
        <f>IFERROR(VLOOKUP(Proc[[#This Row],[App]],Table2[],3,0),"open")</f>
        <v>ok</v>
      </c>
      <c r="C839" t="s">
        <v>369</v>
      </c>
      <c r="D839" t="s">
        <v>2354</v>
      </c>
      <c r="E839" t="s">
        <v>2371</v>
      </c>
      <c r="F839" s="105" t="s">
        <v>2371</v>
      </c>
      <c r="G839" s="70" t="s">
        <v>400</v>
      </c>
      <c r="H839" s="71" t="str">
        <f>IF(Proc[[#This Row],[type]]="LFF (MDG-F)",MID(Proc[[#This Row],[Obj]],13,10),"")</f>
        <v/>
      </c>
      <c r="J839" s="71" t="b">
        <f>Proc[[#This Row],[Requested]]=Proc[[#This Row],[CurrentParent]]</f>
        <v>1</v>
      </c>
      <c r="K839" s="71" t="str">
        <f>IF(Proc[[#This Row],[Author]]="Marcela Urrego",VLOOKUP(LEFT(Proc[[#This Row],[Requested]],1),Table3[#All],2,0),VLOOKUP(Proc[[#This Row],[Author]],Table4[],2,0))</f>
        <v>LS</v>
      </c>
      <c r="L839" s="32" t="s">
        <v>509</v>
      </c>
      <c r="M839" s="69">
        <v>45720.368101851855</v>
      </c>
      <c r="N839" s="73">
        <v>45722</v>
      </c>
      <c r="O839" s="73">
        <v>45722</v>
      </c>
      <c r="P839" s="72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2" t="s">
        <v>489</v>
      </c>
      <c r="S839" s="71"/>
    </row>
    <row r="840" spans="1:19" hidden="1">
      <c r="A840" t="s">
        <v>2378</v>
      </c>
      <c r="B840" s="71" t="str">
        <f>IFERROR(VLOOKUP(Proc[[#This Row],[App]],Table2[],3,0),"open")</f>
        <v>ok</v>
      </c>
      <c r="C840" s="70" t="s">
        <v>369</v>
      </c>
      <c r="D840" t="s">
        <v>2355</v>
      </c>
      <c r="E840" t="s">
        <v>2372</v>
      </c>
      <c r="F840" s="105" t="s">
        <v>2372</v>
      </c>
      <c r="G840" s="70" t="s">
        <v>400</v>
      </c>
      <c r="H840" s="71" t="str">
        <f>IF(Proc[[#This Row],[type]]="LFF (MDG-F)",MID(Proc[[#This Row],[Obj]],13,10),"")</f>
        <v/>
      </c>
      <c r="J840" s="71" t="b">
        <f>Proc[[#This Row],[Requested]]=Proc[[#This Row],[CurrentParent]]</f>
        <v>1</v>
      </c>
      <c r="K840" s="71" t="str">
        <f>IF(Proc[[#This Row],[Author]]="Marcela Urrego",VLOOKUP(LEFT(Proc[[#This Row],[Requested]],1),Table3[#All],2,0),VLOOKUP(Proc[[#This Row],[Author]],Table4[],2,0))</f>
        <v>LS</v>
      </c>
      <c r="L840" s="32" t="s">
        <v>509</v>
      </c>
      <c r="M840" s="73">
        <v>45720.368101851855</v>
      </c>
      <c r="N840" s="73">
        <v>45722</v>
      </c>
      <c r="O840" s="73">
        <v>45722</v>
      </c>
      <c r="P840" s="72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2" t="s">
        <v>489</v>
      </c>
      <c r="S840" s="71"/>
    </row>
    <row r="841" spans="1:19" hidden="1">
      <c r="A841" t="s">
        <v>2378</v>
      </c>
      <c r="B841" s="71" t="str">
        <f>IFERROR(VLOOKUP(Proc[[#This Row],[App]],Table2[],3,0),"open")</f>
        <v>ok</v>
      </c>
      <c r="C841" s="70" t="s">
        <v>369</v>
      </c>
      <c r="D841" t="s">
        <v>2356</v>
      </c>
      <c r="E841" t="s">
        <v>2373</v>
      </c>
      <c r="F841" s="105" t="s">
        <v>2373</v>
      </c>
      <c r="G841" s="70" t="s">
        <v>400</v>
      </c>
      <c r="H841" s="71" t="str">
        <f>IF(Proc[[#This Row],[type]]="LFF (MDG-F)",MID(Proc[[#This Row],[Obj]],13,10),"")</f>
        <v/>
      </c>
      <c r="J841" s="71" t="b">
        <f>Proc[[#This Row],[Requested]]=Proc[[#This Row],[CurrentParent]]</f>
        <v>1</v>
      </c>
      <c r="K841" s="71" t="str">
        <f>IF(Proc[[#This Row],[Author]]="Marcela Urrego",VLOOKUP(LEFT(Proc[[#This Row],[Requested]],1),Table3[#All],2,0),VLOOKUP(Proc[[#This Row],[Author]],Table4[],2,0))</f>
        <v>LS</v>
      </c>
      <c r="L841" s="32" t="s">
        <v>509</v>
      </c>
      <c r="M841" s="73">
        <v>45720.368101851855</v>
      </c>
      <c r="N841" s="73">
        <v>45722</v>
      </c>
      <c r="O841" s="73">
        <v>45722</v>
      </c>
      <c r="P841" s="72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2" t="s">
        <v>489</v>
      </c>
      <c r="S841" s="71"/>
    </row>
    <row r="842" spans="1:19" hidden="1">
      <c r="A842" t="s">
        <v>2378</v>
      </c>
      <c r="B842" s="71" t="str">
        <f>IFERROR(VLOOKUP(Proc[[#This Row],[App]],Table2[],3,0),"open")</f>
        <v>ok</v>
      </c>
      <c r="C842" s="70" t="s">
        <v>369</v>
      </c>
      <c r="D842" t="s">
        <v>2357</v>
      </c>
      <c r="E842" t="s">
        <v>2373</v>
      </c>
      <c r="F842" s="105" t="s">
        <v>2373</v>
      </c>
      <c r="G842" s="70" t="s">
        <v>400</v>
      </c>
      <c r="H842" s="71" t="str">
        <f>IF(Proc[[#This Row],[type]]="LFF (MDG-F)",MID(Proc[[#This Row],[Obj]],13,10),"")</f>
        <v/>
      </c>
      <c r="J842" s="71" t="b">
        <f>Proc[[#This Row],[Requested]]=Proc[[#This Row],[CurrentParent]]</f>
        <v>1</v>
      </c>
      <c r="K842" s="71" t="str">
        <f>IF(Proc[[#This Row],[Author]]="Marcela Urrego",VLOOKUP(LEFT(Proc[[#This Row],[Requested]],1),Table3[#All],2,0),VLOOKUP(Proc[[#This Row],[Author]],Table4[],2,0))</f>
        <v>LS</v>
      </c>
      <c r="L842" s="32" t="s">
        <v>509</v>
      </c>
      <c r="M842" s="73">
        <v>45720.368101851855</v>
      </c>
      <c r="N842" s="73">
        <v>45722</v>
      </c>
      <c r="O842" s="73">
        <v>45722</v>
      </c>
      <c r="P842" s="72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2" t="s">
        <v>489</v>
      </c>
      <c r="S842" s="71"/>
    </row>
    <row r="843" spans="1:19" hidden="1">
      <c r="A843" t="s">
        <v>2378</v>
      </c>
      <c r="B843" s="71" t="str">
        <f>IFERROR(VLOOKUP(Proc[[#This Row],[App]],Table2[],3,0),"open")</f>
        <v>ok</v>
      </c>
      <c r="C843" s="70" t="s">
        <v>369</v>
      </c>
      <c r="D843" t="s">
        <v>2358</v>
      </c>
      <c r="E843" t="s">
        <v>2373</v>
      </c>
      <c r="F843" s="105" t="s">
        <v>2373</v>
      </c>
      <c r="G843" s="70" t="s">
        <v>400</v>
      </c>
      <c r="H843" s="71" t="str">
        <f>IF(Proc[[#This Row],[type]]="LFF (MDG-F)",MID(Proc[[#This Row],[Obj]],13,10),"")</f>
        <v/>
      </c>
      <c r="J843" s="71" t="b">
        <f>Proc[[#This Row],[Requested]]=Proc[[#This Row],[CurrentParent]]</f>
        <v>1</v>
      </c>
      <c r="K843" s="71" t="str">
        <f>IF(Proc[[#This Row],[Author]]="Marcela Urrego",VLOOKUP(LEFT(Proc[[#This Row],[Requested]],1),Table3[#All],2,0),VLOOKUP(Proc[[#This Row],[Author]],Table4[],2,0))</f>
        <v>LS</v>
      </c>
      <c r="L843" s="32" t="s">
        <v>509</v>
      </c>
      <c r="M843" s="73">
        <v>45720.368101851855</v>
      </c>
      <c r="N843" s="73">
        <v>45722</v>
      </c>
      <c r="O843" s="73">
        <v>45722</v>
      </c>
      <c r="P843" s="72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2" t="s">
        <v>489</v>
      </c>
      <c r="S843" s="71"/>
    </row>
    <row r="844" spans="1:19" hidden="1">
      <c r="A844" t="s">
        <v>2378</v>
      </c>
      <c r="B844" s="71" t="str">
        <f>IFERROR(VLOOKUP(Proc[[#This Row],[App]],Table2[],3,0),"open")</f>
        <v>ok</v>
      </c>
      <c r="C844" s="70" t="s">
        <v>369</v>
      </c>
      <c r="D844" t="s">
        <v>2359</v>
      </c>
      <c r="E844" t="s">
        <v>2374</v>
      </c>
      <c r="F844" s="105" t="s">
        <v>2374</v>
      </c>
      <c r="G844" s="70" t="s">
        <v>400</v>
      </c>
      <c r="H844" s="71" t="str">
        <f>IF(Proc[[#This Row],[type]]="LFF (MDG-F)",MID(Proc[[#This Row],[Obj]],13,10),"")</f>
        <v/>
      </c>
      <c r="J844" s="71" t="b">
        <f>Proc[[#This Row],[Requested]]=Proc[[#This Row],[CurrentParent]]</f>
        <v>1</v>
      </c>
      <c r="K844" s="71" t="str">
        <f>IF(Proc[[#This Row],[Author]]="Marcela Urrego",VLOOKUP(LEFT(Proc[[#This Row],[Requested]],1),Table3[#All],2,0),VLOOKUP(Proc[[#This Row],[Author]],Table4[],2,0))</f>
        <v>LS</v>
      </c>
      <c r="L844" s="32" t="s">
        <v>509</v>
      </c>
      <c r="M844" s="73">
        <v>45720.368101851855</v>
      </c>
      <c r="N844" s="73">
        <v>45722</v>
      </c>
      <c r="O844" s="73">
        <v>45722</v>
      </c>
      <c r="P844" s="72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2" t="s">
        <v>489</v>
      </c>
      <c r="S844" s="71"/>
    </row>
    <row r="845" spans="1:19" hidden="1">
      <c r="A845" t="s">
        <v>2378</v>
      </c>
      <c r="B845" s="71" t="str">
        <f>IFERROR(VLOOKUP(Proc[[#This Row],[App]],Table2[],3,0),"open")</f>
        <v>ok</v>
      </c>
      <c r="C845" s="70" t="s">
        <v>369</v>
      </c>
      <c r="D845" t="s">
        <v>2360</v>
      </c>
      <c r="E845" t="s">
        <v>2375</v>
      </c>
      <c r="F845" s="105" t="s">
        <v>2375</v>
      </c>
      <c r="G845" s="70" t="s">
        <v>400</v>
      </c>
      <c r="H845" s="71" t="str">
        <f>IF(Proc[[#This Row],[type]]="LFF (MDG-F)",MID(Proc[[#This Row],[Obj]],13,10),"")</f>
        <v/>
      </c>
      <c r="J845" s="71" t="b">
        <f>Proc[[#This Row],[Requested]]=Proc[[#This Row],[CurrentParent]]</f>
        <v>1</v>
      </c>
      <c r="K845" s="71" t="str">
        <f>IF(Proc[[#This Row],[Author]]="Marcela Urrego",VLOOKUP(LEFT(Proc[[#This Row],[Requested]],1),Table3[#All],2,0),VLOOKUP(Proc[[#This Row],[Author]],Table4[],2,0))</f>
        <v>LS</v>
      </c>
      <c r="L845" s="32" t="s">
        <v>509</v>
      </c>
      <c r="M845" s="73">
        <v>45720.368101851855</v>
      </c>
      <c r="N845" s="73">
        <v>45722</v>
      </c>
      <c r="O845" s="73">
        <v>45722</v>
      </c>
      <c r="P845" s="72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2" t="s">
        <v>489</v>
      </c>
      <c r="S845" s="71"/>
    </row>
    <row r="846" spans="1:19" hidden="1">
      <c r="A846" t="s">
        <v>2378</v>
      </c>
      <c r="B846" s="71" t="str">
        <f>IFERROR(VLOOKUP(Proc[[#This Row],[App]],Table2[],3,0),"open")</f>
        <v>ok</v>
      </c>
      <c r="C846" s="70" t="s">
        <v>369</v>
      </c>
      <c r="D846" t="s">
        <v>2361</v>
      </c>
      <c r="E846" t="s">
        <v>2375</v>
      </c>
      <c r="F846" s="105" t="s">
        <v>2375</v>
      </c>
      <c r="G846" s="70" t="s">
        <v>400</v>
      </c>
      <c r="H846" s="71" t="str">
        <f>IF(Proc[[#This Row],[type]]="LFF (MDG-F)",MID(Proc[[#This Row],[Obj]],13,10),"")</f>
        <v/>
      </c>
      <c r="J846" s="71" t="b">
        <f>Proc[[#This Row],[Requested]]=Proc[[#This Row],[CurrentParent]]</f>
        <v>1</v>
      </c>
      <c r="K846" s="71" t="str">
        <f>IF(Proc[[#This Row],[Author]]="Marcela Urrego",VLOOKUP(LEFT(Proc[[#This Row],[Requested]],1),Table3[#All],2,0),VLOOKUP(Proc[[#This Row],[Author]],Table4[],2,0))</f>
        <v>LS</v>
      </c>
      <c r="L846" s="32" t="s">
        <v>509</v>
      </c>
      <c r="M846" s="73">
        <v>45720.368101851855</v>
      </c>
      <c r="N846" s="73">
        <v>45722</v>
      </c>
      <c r="O846" s="73">
        <v>45722</v>
      </c>
      <c r="P846" s="72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2" t="s">
        <v>489</v>
      </c>
      <c r="S846" s="71"/>
    </row>
    <row r="847" spans="1:19" hidden="1">
      <c r="A847" t="s">
        <v>2378</v>
      </c>
      <c r="B847" s="71" t="str">
        <f>IFERROR(VLOOKUP(Proc[[#This Row],[App]],Table2[],3,0),"open")</f>
        <v>ok</v>
      </c>
      <c r="C847" s="70" t="s">
        <v>369</v>
      </c>
      <c r="D847" t="s">
        <v>2362</v>
      </c>
      <c r="E847" t="s">
        <v>2375</v>
      </c>
      <c r="F847" s="105" t="s">
        <v>2375</v>
      </c>
      <c r="G847" s="70" t="s">
        <v>400</v>
      </c>
      <c r="H847" s="71" t="str">
        <f>IF(Proc[[#This Row],[type]]="LFF (MDG-F)",MID(Proc[[#This Row],[Obj]],13,10),"")</f>
        <v/>
      </c>
      <c r="J847" s="71" t="b">
        <f>Proc[[#This Row],[Requested]]=Proc[[#This Row],[CurrentParent]]</f>
        <v>1</v>
      </c>
      <c r="K847" s="71" t="str">
        <f>IF(Proc[[#This Row],[Author]]="Marcela Urrego",VLOOKUP(LEFT(Proc[[#This Row],[Requested]],1),Table3[#All],2,0),VLOOKUP(Proc[[#This Row],[Author]],Table4[],2,0))</f>
        <v>LS</v>
      </c>
      <c r="L847" s="32" t="s">
        <v>509</v>
      </c>
      <c r="M847" s="73">
        <v>45720.368101851855</v>
      </c>
      <c r="N847" s="73">
        <v>45722</v>
      </c>
      <c r="O847" s="73">
        <v>45722</v>
      </c>
      <c r="P847" s="72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2" t="s">
        <v>489</v>
      </c>
      <c r="S847" s="71"/>
    </row>
    <row r="848" spans="1:19" hidden="1">
      <c r="A848" t="s">
        <v>2378</v>
      </c>
      <c r="B848" s="71" t="str">
        <f>IFERROR(VLOOKUP(Proc[[#This Row],[App]],Table2[],3,0),"open")</f>
        <v>ok</v>
      </c>
      <c r="C848" s="70" t="s">
        <v>369</v>
      </c>
      <c r="D848" t="s">
        <v>2363</v>
      </c>
      <c r="E848" t="s">
        <v>2376</v>
      </c>
      <c r="F848" s="105" t="s">
        <v>2376</v>
      </c>
      <c r="G848" s="70" t="s">
        <v>400</v>
      </c>
      <c r="H848" s="71" t="str">
        <f>IF(Proc[[#This Row],[type]]="LFF (MDG-F)",MID(Proc[[#This Row],[Obj]],13,10),"")</f>
        <v/>
      </c>
      <c r="J848" s="71" t="b">
        <f>Proc[[#This Row],[Requested]]=Proc[[#This Row],[CurrentParent]]</f>
        <v>1</v>
      </c>
      <c r="K848" s="71" t="str">
        <f>IF(Proc[[#This Row],[Author]]="Marcela Urrego",VLOOKUP(LEFT(Proc[[#This Row],[Requested]],1),Table3[#All],2,0),VLOOKUP(Proc[[#This Row],[Author]],Table4[],2,0))</f>
        <v>LS</v>
      </c>
      <c r="L848" s="32" t="s">
        <v>509</v>
      </c>
      <c r="M848" s="73">
        <v>45720.368101851855</v>
      </c>
      <c r="N848" s="73">
        <v>45722</v>
      </c>
      <c r="O848" s="73">
        <v>45722</v>
      </c>
      <c r="P848" s="72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2" t="s">
        <v>489</v>
      </c>
      <c r="S848" s="71"/>
    </row>
    <row r="849" spans="1:19" hidden="1">
      <c r="A849" t="s">
        <v>2378</v>
      </c>
      <c r="B849" s="71" t="str">
        <f>IFERROR(VLOOKUP(Proc[[#This Row],[App]],Table2[],3,0),"open")</f>
        <v>ok</v>
      </c>
      <c r="C849" s="70" t="s">
        <v>369</v>
      </c>
      <c r="D849" t="s">
        <v>2364</v>
      </c>
      <c r="E849" t="s">
        <v>2376</v>
      </c>
      <c r="F849" s="105" t="s">
        <v>2376</v>
      </c>
      <c r="G849" s="70" t="s">
        <v>400</v>
      </c>
      <c r="H849" s="71" t="str">
        <f>IF(Proc[[#This Row],[type]]="LFF (MDG-F)",MID(Proc[[#This Row],[Obj]],13,10),"")</f>
        <v/>
      </c>
      <c r="J849" s="71" t="b">
        <f>Proc[[#This Row],[Requested]]=Proc[[#This Row],[CurrentParent]]</f>
        <v>1</v>
      </c>
      <c r="K849" s="71" t="str">
        <f>IF(Proc[[#This Row],[Author]]="Marcela Urrego",VLOOKUP(LEFT(Proc[[#This Row],[Requested]],1),Table3[#All],2,0),VLOOKUP(Proc[[#This Row],[Author]],Table4[],2,0))</f>
        <v>LS</v>
      </c>
      <c r="L849" s="32" t="s">
        <v>509</v>
      </c>
      <c r="M849" s="73">
        <v>45720.368101851855</v>
      </c>
      <c r="N849" s="73">
        <v>45722</v>
      </c>
      <c r="O849" s="73">
        <v>45722</v>
      </c>
      <c r="P849" s="72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2" t="s">
        <v>489</v>
      </c>
      <c r="S849" s="71"/>
    </row>
    <row r="850" spans="1:19" hidden="1">
      <c r="A850" t="s">
        <v>2378</v>
      </c>
      <c r="B850" s="71" t="str">
        <f>IFERROR(VLOOKUP(Proc[[#This Row],[App]],Table2[],3,0),"open")</f>
        <v>ok</v>
      </c>
      <c r="C850" s="70" t="s">
        <v>369</v>
      </c>
      <c r="D850" t="s">
        <v>2365</v>
      </c>
      <c r="E850" t="s">
        <v>2377</v>
      </c>
      <c r="F850" s="105" t="s">
        <v>2377</v>
      </c>
      <c r="G850" s="70" t="s">
        <v>400</v>
      </c>
      <c r="H850" s="71" t="str">
        <f>IF(Proc[[#This Row],[type]]="LFF (MDG-F)",MID(Proc[[#This Row],[Obj]],13,10),"")</f>
        <v/>
      </c>
      <c r="J850" s="71" t="b">
        <f>Proc[[#This Row],[Requested]]=Proc[[#This Row],[CurrentParent]]</f>
        <v>1</v>
      </c>
      <c r="K850" s="71" t="str">
        <f>IF(Proc[[#This Row],[Author]]="Marcela Urrego",VLOOKUP(LEFT(Proc[[#This Row],[Requested]],1),Table3[#All],2,0),VLOOKUP(Proc[[#This Row],[Author]],Table4[],2,0))</f>
        <v>LS</v>
      </c>
      <c r="L850" s="32" t="s">
        <v>509</v>
      </c>
      <c r="M850" s="73">
        <v>45720.368101851855</v>
      </c>
      <c r="N850" s="73">
        <v>45722</v>
      </c>
      <c r="O850" s="73">
        <v>45722</v>
      </c>
      <c r="P850" s="72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2" t="s">
        <v>489</v>
      </c>
      <c r="S850" s="71"/>
    </row>
    <row r="851" spans="1:19" hidden="1">
      <c r="A851" t="s">
        <v>2378</v>
      </c>
      <c r="B851" s="71" t="str">
        <f>IFERROR(VLOOKUP(Proc[[#This Row],[App]],Table2[],3,0),"open")</f>
        <v>ok</v>
      </c>
      <c r="C851" s="70" t="s">
        <v>369</v>
      </c>
      <c r="D851" t="s">
        <v>2366</v>
      </c>
      <c r="E851" t="s">
        <v>2377</v>
      </c>
      <c r="F851" s="105" t="s">
        <v>2377</v>
      </c>
      <c r="G851" s="70" t="s">
        <v>400</v>
      </c>
      <c r="H851" s="71" t="str">
        <f>IF(Proc[[#This Row],[type]]="LFF (MDG-F)",MID(Proc[[#This Row],[Obj]],13,10),"")</f>
        <v/>
      </c>
      <c r="J851" s="71" t="b">
        <f>Proc[[#This Row],[Requested]]=Proc[[#This Row],[CurrentParent]]</f>
        <v>1</v>
      </c>
      <c r="K851" s="71" t="str">
        <f>IF(Proc[[#This Row],[Author]]="Marcela Urrego",VLOOKUP(LEFT(Proc[[#This Row],[Requested]],1),Table3[#All],2,0),VLOOKUP(Proc[[#This Row],[Author]],Table4[],2,0))</f>
        <v>LS</v>
      </c>
      <c r="L851" s="32" t="s">
        <v>509</v>
      </c>
      <c r="M851" s="73">
        <v>45720.368101851855</v>
      </c>
      <c r="N851" s="73">
        <v>45722</v>
      </c>
      <c r="O851" s="73">
        <v>45722</v>
      </c>
      <c r="P851" s="72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2" t="s">
        <v>489</v>
      </c>
      <c r="S851" s="71"/>
    </row>
    <row r="852" spans="1:19" hidden="1">
      <c r="A852" t="s">
        <v>2348</v>
      </c>
      <c r="B852" s="71" t="str">
        <f>IFERROR(VLOOKUP(Proc[[#This Row],[App]],Table2[],3,0),"open")</f>
        <v>ok</v>
      </c>
      <c r="C852" s="70" t="s">
        <v>369</v>
      </c>
      <c r="D852" t="s">
        <v>2345</v>
      </c>
      <c r="E852" t="s">
        <v>631</v>
      </c>
      <c r="F852" s="105" t="s">
        <v>631</v>
      </c>
      <c r="G852" s="70" t="s">
        <v>406</v>
      </c>
      <c r="H852" s="71" t="str">
        <f>IF(Proc[[#This Row],[type]]="LFF (MDG-F)",MID(Proc[[#This Row],[Obj]],13,10),"")</f>
        <v>DE10600870</v>
      </c>
      <c r="J852" s="71" t="b">
        <f>Proc[[#This Row],[Requested]]=Proc[[#This Row],[CurrentParent]]</f>
        <v>1</v>
      </c>
      <c r="K852" s="71" t="str">
        <f>IF(Proc[[#This Row],[Author]]="Marcela Urrego",VLOOKUP(LEFT(Proc[[#This Row],[Requested]],1),Table3[#All],2,0),VLOOKUP(Proc[[#This Row],[Author]],Table4[],2,0))</f>
        <v>MGF</v>
      </c>
      <c r="L852" s="32" t="s">
        <v>509</v>
      </c>
      <c r="M852" s="73">
        <v>45720.413402777776</v>
      </c>
      <c r="N852" s="73">
        <v>45723</v>
      </c>
      <c r="O852" s="73">
        <v>45723</v>
      </c>
      <c r="P852" s="72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2" t="s">
        <v>549</v>
      </c>
      <c r="S852" s="71"/>
    </row>
    <row r="853" spans="1:19" hidden="1">
      <c r="A853" t="s">
        <v>2348</v>
      </c>
      <c r="B853" s="71" t="str">
        <f>IFERROR(VLOOKUP(Proc[[#This Row],[App]],Table2[],3,0),"open")</f>
        <v>ok</v>
      </c>
      <c r="C853" s="70" t="s">
        <v>377</v>
      </c>
      <c r="D853" t="s">
        <v>2346</v>
      </c>
      <c r="E853" t="s">
        <v>631</v>
      </c>
      <c r="F853" s="105" t="s">
        <v>631</v>
      </c>
      <c r="G853" s="70" t="s">
        <v>406</v>
      </c>
      <c r="H853" s="71" t="str">
        <f>IF(Proc[[#This Row],[type]]="LFF (MDG-F)",MID(Proc[[#This Row],[Obj]],13,10),"")</f>
        <v>DE20553406</v>
      </c>
      <c r="I853" s="71" t="s">
        <v>446</v>
      </c>
      <c r="J853" s="71" t="b">
        <f>Proc[[#This Row],[Requested]]=Proc[[#This Row],[CurrentParent]]</f>
        <v>1</v>
      </c>
      <c r="K853" s="71" t="str">
        <f>IF(Proc[[#This Row],[Author]]="Marcela Urrego",VLOOKUP(LEFT(Proc[[#This Row],[Requested]],1),Table3[#All],2,0),VLOOKUP(Proc[[#This Row],[Author]],Table4[],2,0))</f>
        <v>MGF</v>
      </c>
      <c r="L853" s="32" t="s">
        <v>509</v>
      </c>
      <c r="M853" s="73">
        <v>45720.413402777776</v>
      </c>
      <c r="O853" s="73">
        <v>45723</v>
      </c>
      <c r="P853" s="72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80" t="s">
        <v>549</v>
      </c>
      <c r="S853" s="71"/>
    </row>
    <row r="854" spans="1:19" hidden="1">
      <c r="A854" s="70" t="s">
        <v>2348</v>
      </c>
      <c r="B854" s="71" t="str">
        <f>IFERROR(VLOOKUP(Proc[[#This Row],[App]],Table2[],3,0),"open")</f>
        <v>ok</v>
      </c>
      <c r="C854" s="70" t="s">
        <v>377</v>
      </c>
      <c r="D854" t="s">
        <v>2347</v>
      </c>
      <c r="E854" t="s">
        <v>631</v>
      </c>
      <c r="F854" s="105" t="s">
        <v>631</v>
      </c>
      <c r="G854" s="70" t="s">
        <v>406</v>
      </c>
      <c r="H854" s="71" t="str">
        <f>IF(Proc[[#This Row],[type]]="LFF (MDG-F)",MID(Proc[[#This Row],[Obj]],13,10),"")</f>
        <v>DE20553407</v>
      </c>
      <c r="I854" s="71" t="s">
        <v>446</v>
      </c>
      <c r="J854" s="71" t="b">
        <f>Proc[[#This Row],[Requested]]=Proc[[#This Row],[CurrentParent]]</f>
        <v>1</v>
      </c>
      <c r="K854" s="71" t="str">
        <f>IF(Proc[[#This Row],[Author]]="Marcela Urrego",VLOOKUP(LEFT(Proc[[#This Row],[Requested]],1),Table3[#All],2,0),VLOOKUP(Proc[[#This Row],[Author]],Table4[],2,0))</f>
        <v>MGF</v>
      </c>
      <c r="L854" s="32" t="s">
        <v>509</v>
      </c>
      <c r="M854" s="73">
        <v>45720.413402777776</v>
      </c>
      <c r="O854" s="73">
        <v>45723</v>
      </c>
      <c r="P854" s="72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80" t="s">
        <v>549</v>
      </c>
      <c r="S854" s="71"/>
    </row>
    <row r="855" spans="1:19" hidden="1">
      <c r="A855" s="70" t="s">
        <v>2344</v>
      </c>
      <c r="B855" s="71" t="str">
        <f>IFERROR(VLOOKUP(Proc[[#This Row],[App]],Table2[],3,0),"open")</f>
        <v>ok</v>
      </c>
      <c r="C855" s="70" t="s">
        <v>377</v>
      </c>
      <c r="D855" t="s">
        <v>2337</v>
      </c>
      <c r="E855" t="s">
        <v>2338</v>
      </c>
      <c r="F855" s="105" t="s">
        <v>2338</v>
      </c>
      <c r="G855" s="70" t="s">
        <v>400</v>
      </c>
      <c r="H855" s="71" t="str">
        <f>IF(Proc[[#This Row],[type]]="LFF (MDG-F)",MID(Proc[[#This Row],[Obj]],13,10),"")</f>
        <v/>
      </c>
      <c r="J855" s="71" t="b">
        <f>Proc[[#This Row],[Requested]]=Proc[[#This Row],[CurrentParent]]</f>
        <v>1</v>
      </c>
      <c r="K855" s="71" t="str">
        <f>IF(Proc[[#This Row],[Author]]="Marcela Urrego",VLOOKUP(LEFT(Proc[[#This Row],[Requested]],1),Table3[#All],2,0),VLOOKUP(Proc[[#This Row],[Author]],Table4[],2,0))</f>
        <v>HC</v>
      </c>
      <c r="L855" s="32" t="s">
        <v>509</v>
      </c>
      <c r="M855" s="73">
        <v>45720.458009259259</v>
      </c>
      <c r="O855" s="73">
        <v>45722</v>
      </c>
      <c r="P855" s="72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70" t="s">
        <v>415</v>
      </c>
      <c r="S855" s="71"/>
    </row>
    <row r="856" spans="1:19" hidden="1">
      <c r="A856" s="70" t="s">
        <v>2344</v>
      </c>
      <c r="B856" s="71" t="str">
        <f>IFERROR(VLOOKUP(Proc[[#This Row],[App]],Table2[],3,0),"open")</f>
        <v>ok</v>
      </c>
      <c r="C856" s="70" t="s">
        <v>377</v>
      </c>
      <c r="D856" t="s">
        <v>2339</v>
      </c>
      <c r="E856" t="s">
        <v>2338</v>
      </c>
      <c r="F856" s="105" t="s">
        <v>2338</v>
      </c>
      <c r="G856" s="70" t="s">
        <v>400</v>
      </c>
      <c r="H856" s="71" t="str">
        <f>IF(Proc[[#This Row],[type]]="LFF (MDG-F)",MID(Proc[[#This Row],[Obj]],13,10),"")</f>
        <v/>
      </c>
      <c r="J856" s="71" t="b">
        <f>Proc[[#This Row],[Requested]]=Proc[[#This Row],[CurrentParent]]</f>
        <v>1</v>
      </c>
      <c r="K856" s="71" t="str">
        <f>IF(Proc[[#This Row],[Author]]="Marcela Urrego",VLOOKUP(LEFT(Proc[[#This Row],[Requested]],1),Table3[#All],2,0),VLOOKUP(Proc[[#This Row],[Author]],Table4[],2,0))</f>
        <v>HC</v>
      </c>
      <c r="L856" s="32" t="s">
        <v>509</v>
      </c>
      <c r="M856" s="73">
        <v>45720.458009259259</v>
      </c>
      <c r="O856" s="73">
        <v>45722</v>
      </c>
      <c r="P856" s="72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70" t="s">
        <v>415</v>
      </c>
      <c r="S856" s="71"/>
    </row>
    <row r="857" spans="1:19" hidden="1">
      <c r="A857" s="70" t="s">
        <v>2344</v>
      </c>
      <c r="B857" s="71" t="str">
        <f>IFERROR(VLOOKUP(Proc[[#This Row],[App]],Table2[],3,0),"open")</f>
        <v>ok</v>
      </c>
      <c r="C857" s="70" t="s">
        <v>377</v>
      </c>
      <c r="D857" t="s">
        <v>2340</v>
      </c>
      <c r="E857" t="s">
        <v>2338</v>
      </c>
      <c r="F857" s="105" t="s">
        <v>2338</v>
      </c>
      <c r="G857" s="70" t="s">
        <v>400</v>
      </c>
      <c r="H857" s="71" t="str">
        <f>IF(Proc[[#This Row],[type]]="LFF (MDG-F)",MID(Proc[[#This Row],[Obj]],13,10),"")</f>
        <v/>
      </c>
      <c r="J857" s="71" t="b">
        <f>Proc[[#This Row],[Requested]]=Proc[[#This Row],[CurrentParent]]</f>
        <v>1</v>
      </c>
      <c r="K857" s="71" t="str">
        <f>IF(Proc[[#This Row],[Author]]="Marcela Urrego",VLOOKUP(LEFT(Proc[[#This Row],[Requested]],1),Table3[#All],2,0),VLOOKUP(Proc[[#This Row],[Author]],Table4[],2,0))</f>
        <v>HC</v>
      </c>
      <c r="L857" s="32" t="s">
        <v>509</v>
      </c>
      <c r="M857" s="73">
        <v>45720.458009259259</v>
      </c>
      <c r="O857" s="73">
        <v>45722</v>
      </c>
      <c r="P857" s="72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70" t="s">
        <v>415</v>
      </c>
      <c r="S857" s="71"/>
    </row>
    <row r="858" spans="1:19" hidden="1">
      <c r="A858" s="70" t="s">
        <v>2344</v>
      </c>
      <c r="B858" s="71" t="str">
        <f>IFERROR(VLOOKUP(Proc[[#This Row],[App]],Table2[],3,0),"open")</f>
        <v>ok</v>
      </c>
      <c r="C858" s="70" t="s">
        <v>369</v>
      </c>
      <c r="D858" t="s">
        <v>2341</v>
      </c>
      <c r="E858" t="s">
        <v>2338</v>
      </c>
      <c r="F858" s="105" t="s">
        <v>2338</v>
      </c>
      <c r="G858" s="70" t="s">
        <v>400</v>
      </c>
      <c r="H858" s="71" t="str">
        <f>IF(Proc[[#This Row],[type]]="LFF (MDG-F)",MID(Proc[[#This Row],[Obj]],13,10),"")</f>
        <v/>
      </c>
      <c r="J858" s="71" t="b">
        <f>Proc[[#This Row],[Requested]]=Proc[[#This Row],[CurrentParent]]</f>
        <v>1</v>
      </c>
      <c r="K858" s="71" t="str">
        <f>IF(Proc[[#This Row],[Author]]="Marcela Urrego",VLOOKUP(LEFT(Proc[[#This Row],[Requested]],1),Table3[#All],2,0),VLOOKUP(Proc[[#This Row],[Author]],Table4[],2,0))</f>
        <v>HC</v>
      </c>
      <c r="L858" s="32" t="s">
        <v>509</v>
      </c>
      <c r="M858" s="73">
        <v>45720.458009259259</v>
      </c>
      <c r="N858" s="73">
        <v>45722</v>
      </c>
      <c r="O858" s="73">
        <v>45722</v>
      </c>
      <c r="P858" s="72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70" t="s">
        <v>415</v>
      </c>
      <c r="S858" s="71"/>
    </row>
    <row r="859" spans="1:19" hidden="1">
      <c r="A859" t="s">
        <v>2344</v>
      </c>
      <c r="B859" s="71" t="str">
        <f>IFERROR(VLOOKUP(Proc[[#This Row],[App]],Table2[],3,0),"open")</f>
        <v>ok</v>
      </c>
      <c r="C859" s="70" t="s">
        <v>369</v>
      </c>
      <c r="D859" t="s">
        <v>2342</v>
      </c>
      <c r="E859" t="s">
        <v>2338</v>
      </c>
      <c r="F859" s="105" t="s">
        <v>2338</v>
      </c>
      <c r="G859" t="s">
        <v>400</v>
      </c>
      <c r="H859" s="71" t="str">
        <f>IF(Proc[[#This Row],[type]]="LFF (MDG-F)",MID(Proc[[#This Row],[Obj]],13,10),"")</f>
        <v/>
      </c>
      <c r="J859" s="71" t="b">
        <f>Proc[[#This Row],[Requested]]=Proc[[#This Row],[CurrentParent]]</f>
        <v>1</v>
      </c>
      <c r="K859" s="71" t="str">
        <f>IF(Proc[[#This Row],[Author]]="Marcela Urrego",VLOOKUP(LEFT(Proc[[#This Row],[Requested]],1),Table3[#All],2,0),VLOOKUP(Proc[[#This Row],[Author]],Table4[],2,0))</f>
        <v>HC</v>
      </c>
      <c r="L859" s="32" t="s">
        <v>509</v>
      </c>
      <c r="M859" s="73">
        <v>45720.458009259259</v>
      </c>
      <c r="N859" s="73">
        <v>45722</v>
      </c>
      <c r="O859" s="73">
        <v>45722</v>
      </c>
      <c r="P859" s="72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4" t="s">
        <v>415</v>
      </c>
      <c r="S859" s="71"/>
    </row>
    <row r="860" spans="1:19" hidden="1">
      <c r="A860" t="s">
        <v>2344</v>
      </c>
      <c r="B860" s="71" t="str">
        <f>IFERROR(VLOOKUP(Proc[[#This Row],[App]],Table2[],3,0),"open")</f>
        <v>ok</v>
      </c>
      <c r="C860" s="70" t="s">
        <v>369</v>
      </c>
      <c r="D860" t="s">
        <v>2343</v>
      </c>
      <c r="E860" t="s">
        <v>2338</v>
      </c>
      <c r="F860" s="105" t="s">
        <v>2338</v>
      </c>
      <c r="G860" s="70" t="s">
        <v>400</v>
      </c>
      <c r="H860" s="71" t="str">
        <f>IF(Proc[[#This Row],[type]]="LFF (MDG-F)",MID(Proc[[#This Row],[Obj]],13,10),"")</f>
        <v/>
      </c>
      <c r="I860" s="74"/>
      <c r="J860" s="71" t="b">
        <f>Proc[[#This Row],[Requested]]=Proc[[#This Row],[CurrentParent]]</f>
        <v>1</v>
      </c>
      <c r="K860" s="71" t="str">
        <f>IF(Proc[[#This Row],[Author]]="Marcela Urrego",VLOOKUP(LEFT(Proc[[#This Row],[Requested]],1),Table3[#All],2,0),VLOOKUP(Proc[[#This Row],[Author]],Table4[],2,0))</f>
        <v>HC</v>
      </c>
      <c r="L860" s="32" t="s">
        <v>509</v>
      </c>
      <c r="M860" s="73">
        <v>45720.458009259259</v>
      </c>
      <c r="N860" s="73">
        <v>45722</v>
      </c>
      <c r="O860" s="73">
        <v>45722</v>
      </c>
      <c r="P860" s="72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4" t="s">
        <v>415</v>
      </c>
      <c r="S860" s="71"/>
    </row>
    <row r="861" spans="1:19" hidden="1">
      <c r="A861" t="s">
        <v>2333</v>
      </c>
      <c r="B861" s="71" t="str">
        <f>IFERROR(VLOOKUP(Proc[[#This Row],[App]],Table2[],3,0),"open")</f>
        <v>ok</v>
      </c>
      <c r="C861" s="70" t="s">
        <v>369</v>
      </c>
      <c r="D861" t="s">
        <v>2314</v>
      </c>
      <c r="E861" t="s">
        <v>662</v>
      </c>
      <c r="F861" s="105" t="s">
        <v>662</v>
      </c>
      <c r="G861" s="70" t="s">
        <v>400</v>
      </c>
      <c r="H861" s="71" t="str">
        <f>IF(Proc[[#This Row],[type]]="LFF (MDG-F)",MID(Proc[[#This Row],[Obj]],13,10),"")</f>
        <v/>
      </c>
      <c r="I861" s="74"/>
      <c r="J861" s="71" t="b">
        <f>Proc[[#This Row],[Requested]]=Proc[[#This Row],[CurrentParent]]</f>
        <v>1</v>
      </c>
      <c r="K861" s="71" t="str">
        <f>IF(Proc[[#This Row],[Author]]="Marcela Urrego",VLOOKUP(LEFT(Proc[[#This Row],[Requested]],1),Table3[#All],2,0),VLOOKUP(Proc[[#This Row],[Author]],Table4[],2,0))</f>
        <v>MGF</v>
      </c>
      <c r="L861" s="32" t="s">
        <v>509</v>
      </c>
      <c r="M861" s="73">
        <v>45720.607928240737</v>
      </c>
      <c r="P861" s="72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85</v>
      </c>
      <c r="R861" s="72" t="s">
        <v>1459</v>
      </c>
      <c r="S861" s="71"/>
    </row>
    <row r="862" spans="1:19" hidden="1">
      <c r="A862" t="s">
        <v>2333</v>
      </c>
      <c r="B862" s="71" t="str">
        <f>IFERROR(VLOOKUP(Proc[[#This Row],[App]],Table2[],3,0),"open")</f>
        <v>ok</v>
      </c>
      <c r="C862" t="s">
        <v>369</v>
      </c>
      <c r="D862" t="s">
        <v>2315</v>
      </c>
      <c r="E862" t="s">
        <v>427</v>
      </c>
      <c r="F862" s="105" t="s">
        <v>427</v>
      </c>
      <c r="G862" s="70" t="s">
        <v>400</v>
      </c>
      <c r="H862" s="71" t="str">
        <f>IF(Proc[[#This Row],[type]]="LFF (MDG-F)",MID(Proc[[#This Row],[Obj]],13,10),"")</f>
        <v/>
      </c>
      <c r="J862" s="71" t="b">
        <f>Proc[[#This Row],[Requested]]=Proc[[#This Row],[CurrentParent]]</f>
        <v>1</v>
      </c>
      <c r="K862" s="71" t="str">
        <f>IF(Proc[[#This Row],[Author]]="Marcela Urrego",VLOOKUP(LEFT(Proc[[#This Row],[Requested]],1),Table3[#All],2,0),VLOOKUP(Proc[[#This Row],[Author]],Table4[],2,0))</f>
        <v>MGF</v>
      </c>
      <c r="L862" s="32" t="s">
        <v>509</v>
      </c>
      <c r="M862" s="73">
        <v>45720.607928240737</v>
      </c>
      <c r="P862" s="72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85</v>
      </c>
      <c r="R862" s="72" t="s">
        <v>1459</v>
      </c>
      <c r="S862" s="71"/>
    </row>
    <row r="863" spans="1:19" hidden="1">
      <c r="A863" s="70" t="s">
        <v>2333</v>
      </c>
      <c r="B863" s="71" t="str">
        <f>IFERROR(VLOOKUP(Proc[[#This Row],[App]],Table2[],3,0),"open")</f>
        <v>ok</v>
      </c>
      <c r="C863" s="70" t="s">
        <v>369</v>
      </c>
      <c r="D863" t="s">
        <v>2316</v>
      </c>
      <c r="E863" t="s">
        <v>662</v>
      </c>
      <c r="F863" s="105" t="s">
        <v>662</v>
      </c>
      <c r="G863" s="70" t="s">
        <v>400</v>
      </c>
      <c r="H863" s="71" t="str">
        <f>IF(Proc[[#This Row],[type]]="LFF (MDG-F)",MID(Proc[[#This Row],[Obj]],13,10),"")</f>
        <v/>
      </c>
      <c r="J863" s="71" t="b">
        <f>Proc[[#This Row],[Requested]]=Proc[[#This Row],[CurrentParent]]</f>
        <v>1</v>
      </c>
      <c r="K863" s="71" t="str">
        <f>IF(Proc[[#This Row],[Author]]="Marcela Urrego",VLOOKUP(LEFT(Proc[[#This Row],[Requested]],1),Table3[#All],2,0),VLOOKUP(Proc[[#This Row],[Author]],Table4[],2,0))</f>
        <v>MGF</v>
      </c>
      <c r="L863" s="32" t="s">
        <v>509</v>
      </c>
      <c r="M863" s="73">
        <v>45720.607928240737</v>
      </c>
      <c r="P863" s="72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85</v>
      </c>
      <c r="R863" s="72" t="s">
        <v>1459</v>
      </c>
      <c r="S863" s="71"/>
    </row>
    <row r="864" spans="1:19" hidden="1">
      <c r="A864" s="70" t="s">
        <v>2333</v>
      </c>
      <c r="B864" s="71" t="str">
        <f>IFERROR(VLOOKUP(Proc[[#This Row],[App]],Table2[],3,0),"open")</f>
        <v>ok</v>
      </c>
      <c r="C864" s="70" t="s">
        <v>369</v>
      </c>
      <c r="D864" t="s">
        <v>2317</v>
      </c>
      <c r="E864" t="s">
        <v>1458</v>
      </c>
      <c r="F864" s="105" t="s">
        <v>1458</v>
      </c>
      <c r="G864" s="70" t="s">
        <v>406</v>
      </c>
      <c r="H864" s="71" t="str">
        <f>IF(Proc[[#This Row],[type]]="LFF (MDG-F)",MID(Proc[[#This Row],[Obj]],13,10),"")</f>
        <v>DE10513301</v>
      </c>
      <c r="J864" s="71" t="b">
        <f>Proc[[#This Row],[Requested]]=Proc[[#This Row],[CurrentParent]]</f>
        <v>1</v>
      </c>
      <c r="K864" s="71" t="str">
        <f>IF(Proc[[#This Row],[Author]]="Marcela Urrego",VLOOKUP(LEFT(Proc[[#This Row],[Requested]],1),Table3[#All],2,0),VLOOKUP(Proc[[#This Row],[Author]],Table4[],2,0))</f>
        <v>MGF</v>
      </c>
      <c r="L864" s="32" t="s">
        <v>509</v>
      </c>
      <c r="M864" s="73">
        <v>45720.607928240737</v>
      </c>
      <c r="P864" s="72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85</v>
      </c>
      <c r="R864" s="72" t="s">
        <v>1459</v>
      </c>
      <c r="S864" s="71"/>
    </row>
    <row r="865" spans="1:19" hidden="1">
      <c r="A865" s="70" t="s">
        <v>2333</v>
      </c>
      <c r="B865" s="71" t="str">
        <f>IFERROR(VLOOKUP(Proc[[#This Row],[App]],Table2[],3,0),"open")</f>
        <v>ok</v>
      </c>
      <c r="C865" s="70" t="s">
        <v>369</v>
      </c>
      <c r="D865" t="s">
        <v>2318</v>
      </c>
      <c r="E865" t="s">
        <v>2334</v>
      </c>
      <c r="F865" s="105" t="s">
        <v>2334</v>
      </c>
      <c r="G865" s="70" t="s">
        <v>406</v>
      </c>
      <c r="H865" s="71" t="str">
        <f>IF(Proc[[#This Row],[type]]="LFF (MDG-F)",MID(Proc[[#This Row],[Obj]],13,10),"")</f>
        <v>DE10533004</v>
      </c>
      <c r="J865" s="71" t="b">
        <f>Proc[[#This Row],[Requested]]=Proc[[#This Row],[CurrentParent]]</f>
        <v>1</v>
      </c>
      <c r="K865" s="71" t="str">
        <f>IF(Proc[[#This Row],[Author]]="Marcela Urrego",VLOOKUP(LEFT(Proc[[#This Row],[Requested]],1),Table3[#All],2,0),VLOOKUP(Proc[[#This Row],[Author]],Table4[],2,0))</f>
        <v>MGF</v>
      </c>
      <c r="L865" s="32" t="s">
        <v>509</v>
      </c>
      <c r="M865" s="73">
        <v>45720.607928240737</v>
      </c>
      <c r="P865" s="72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85</v>
      </c>
      <c r="R865" s="72" t="s">
        <v>1459</v>
      </c>
      <c r="S865" s="71"/>
    </row>
    <row r="866" spans="1:19" hidden="1">
      <c r="A866" s="70" t="s">
        <v>2333</v>
      </c>
      <c r="B866" s="71" t="str">
        <f>IFERROR(VLOOKUP(Proc[[#This Row],[App]],Table2[],3,0),"open")</f>
        <v>ok</v>
      </c>
      <c r="C866" s="70" t="s">
        <v>369</v>
      </c>
      <c r="D866" t="s">
        <v>2319</v>
      </c>
      <c r="E866" t="s">
        <v>430</v>
      </c>
      <c r="F866" s="105" t="s">
        <v>430</v>
      </c>
      <c r="G866" s="70" t="s">
        <v>406</v>
      </c>
      <c r="H866" s="71" t="str">
        <f>IF(Proc[[#This Row],[type]]="LFF (MDG-F)",MID(Proc[[#This Row],[Obj]],13,10),"")</f>
        <v>DE65GIT032</v>
      </c>
      <c r="I866" t="s">
        <v>2575</v>
      </c>
      <c r="J866" s="71" t="b">
        <f>Proc[[#This Row],[Requested]]=Proc[[#This Row],[CurrentParent]]</f>
        <v>1</v>
      </c>
      <c r="K866" s="71" t="str">
        <f>IF(Proc[[#This Row],[Author]]="Marcela Urrego",VLOOKUP(LEFT(Proc[[#This Row],[Requested]],1),Table3[#All],2,0),VLOOKUP(Proc[[#This Row],[Author]],Table4[],2,0))</f>
        <v>MGF</v>
      </c>
      <c r="L866" s="32" t="s">
        <v>509</v>
      </c>
      <c r="M866" s="73">
        <v>45720.607928240737</v>
      </c>
      <c r="O866" s="73">
        <v>45749</v>
      </c>
      <c r="P866" s="72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2" t="s">
        <v>1459</v>
      </c>
      <c r="S866" s="71"/>
    </row>
    <row r="867" spans="1:19" hidden="1">
      <c r="A867" s="70" t="s">
        <v>2333</v>
      </c>
      <c r="B867" s="71" t="str">
        <f>IFERROR(VLOOKUP(Proc[[#This Row],[App]],Table2[],3,0),"open")</f>
        <v>ok</v>
      </c>
      <c r="C867" s="70" t="s">
        <v>369</v>
      </c>
      <c r="D867" t="s">
        <v>2320</v>
      </c>
      <c r="E867" t="s">
        <v>2335</v>
      </c>
      <c r="F867" s="105" t="s">
        <v>2335</v>
      </c>
      <c r="G867" s="70" t="s">
        <v>406</v>
      </c>
      <c r="H867" s="71" t="str">
        <f>IF(Proc[[#This Row],[type]]="LFF (MDG-F)",MID(Proc[[#This Row],[Obj]],13,10),"")</f>
        <v>VN50GIT050</v>
      </c>
      <c r="J867" s="71" t="b">
        <f>Proc[[#This Row],[Requested]]=Proc[[#This Row],[CurrentParent]]</f>
        <v>1</v>
      </c>
      <c r="K867" s="71" t="str">
        <f>IF(Proc[[#This Row],[Author]]="Marcela Urrego",VLOOKUP(LEFT(Proc[[#This Row],[Requested]],1),Table3[#All],2,0),VLOOKUP(Proc[[#This Row],[Author]],Table4[],2,0))</f>
        <v>MGF</v>
      </c>
      <c r="L867" s="32" t="s">
        <v>509</v>
      </c>
      <c r="M867" s="73">
        <v>45720.607928240737</v>
      </c>
      <c r="P867" s="72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85</v>
      </c>
      <c r="R867" s="72" t="s">
        <v>1459</v>
      </c>
      <c r="S867" s="71"/>
    </row>
    <row r="868" spans="1:19" hidden="1">
      <c r="A868" s="70" t="s">
        <v>2333</v>
      </c>
      <c r="B868" s="71" t="str">
        <f>IFERROR(VLOOKUP(Proc[[#This Row],[App]],Table2[],3,0),"open")</f>
        <v>ok</v>
      </c>
      <c r="C868" s="70" t="s">
        <v>369</v>
      </c>
      <c r="D868" t="s">
        <v>2321</v>
      </c>
      <c r="E868" t="s">
        <v>427</v>
      </c>
      <c r="F868" s="105" t="s">
        <v>427</v>
      </c>
      <c r="G868" s="70" t="s">
        <v>406</v>
      </c>
      <c r="H868" s="71" t="str">
        <f>IF(Proc[[#This Row],[type]]="LFF (MDG-F)",MID(Proc[[#This Row],[Obj]],13,10),"")</f>
        <v>ZA50GIT11B</v>
      </c>
      <c r="J868" s="71" t="b">
        <f>Proc[[#This Row],[Requested]]=Proc[[#This Row],[CurrentParent]]</f>
        <v>1</v>
      </c>
      <c r="K868" s="71" t="str">
        <f>IF(Proc[[#This Row],[Author]]="Marcela Urrego",VLOOKUP(LEFT(Proc[[#This Row],[Requested]],1),Table3[#All],2,0),VLOOKUP(Proc[[#This Row],[Author]],Table4[],2,0))</f>
        <v>MGF</v>
      </c>
      <c r="L868" s="32" t="s">
        <v>509</v>
      </c>
      <c r="M868" s="73">
        <v>45720.607928240737</v>
      </c>
      <c r="P868" s="72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85</v>
      </c>
      <c r="R868" s="72" t="s">
        <v>1459</v>
      </c>
      <c r="S868" s="71"/>
    </row>
    <row r="869" spans="1:19" hidden="1">
      <c r="A869" s="70" t="s">
        <v>2333</v>
      </c>
      <c r="B869" s="71" t="str">
        <f>IFERROR(VLOOKUP(Proc[[#This Row],[App]],Table2[],3,0),"open")</f>
        <v>ok</v>
      </c>
      <c r="C869" s="70" t="s">
        <v>369</v>
      </c>
      <c r="D869" t="s">
        <v>2322</v>
      </c>
      <c r="E869" t="s">
        <v>1458</v>
      </c>
      <c r="F869" s="105" t="s">
        <v>1458</v>
      </c>
      <c r="G869" s="70" t="s">
        <v>406</v>
      </c>
      <c r="H869" s="71" t="str">
        <f>IF(Proc[[#This Row],[type]]="LFF (MDG-F)",MID(Proc[[#This Row],[Obj]],13,10),"")</f>
        <v>US10GIT044</v>
      </c>
      <c r="J869" s="71" t="b">
        <f>Proc[[#This Row],[Requested]]=Proc[[#This Row],[CurrentParent]]</f>
        <v>1</v>
      </c>
      <c r="K869" s="71" t="str">
        <f>IF(Proc[[#This Row],[Author]]="Marcela Urrego",VLOOKUP(LEFT(Proc[[#This Row],[Requested]],1),Table3[#All],2,0),VLOOKUP(Proc[[#This Row],[Author]],Table4[],2,0))</f>
        <v>MGF</v>
      </c>
      <c r="L869" s="32" t="s">
        <v>509</v>
      </c>
      <c r="M869" s="73">
        <v>45720.607928240737</v>
      </c>
      <c r="P869" s="72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85</v>
      </c>
      <c r="R869" s="72" t="s">
        <v>1459</v>
      </c>
      <c r="S869" s="71"/>
    </row>
    <row r="870" spans="1:19" hidden="1">
      <c r="A870" s="70" t="s">
        <v>2333</v>
      </c>
      <c r="B870" s="71" t="str">
        <f>IFERROR(VLOOKUP(Proc[[#This Row],[App]],Table2[],3,0),"open")</f>
        <v>ok</v>
      </c>
      <c r="C870" s="70" t="s">
        <v>369</v>
      </c>
      <c r="D870" t="s">
        <v>2323</v>
      </c>
      <c r="E870" t="s">
        <v>1458</v>
      </c>
      <c r="F870" s="105" t="s">
        <v>1458</v>
      </c>
      <c r="G870" s="70" t="s">
        <v>400</v>
      </c>
      <c r="H870" s="71"/>
      <c r="J870" s="71" t="b">
        <f>Proc[[#This Row],[Requested]]=Proc[[#This Row],[CurrentParent]]</f>
        <v>1</v>
      </c>
      <c r="K870" s="71" t="str">
        <f>IF(Proc[[#This Row],[Author]]="Marcela Urrego",VLOOKUP(LEFT(Proc[[#This Row],[Requested]],1),Table3[#All],2,0),VLOOKUP(Proc[[#This Row],[Author]],Table4[],2,0))</f>
        <v>MGF</v>
      </c>
      <c r="L870" s="32" t="s">
        <v>509</v>
      </c>
      <c r="M870" s="73">
        <v>45720.607928240737</v>
      </c>
      <c r="P870" s="72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85</v>
      </c>
      <c r="R870" s="72" t="s">
        <v>1459</v>
      </c>
      <c r="S870" s="71"/>
    </row>
    <row r="871" spans="1:19" hidden="1">
      <c r="A871" s="70" t="s">
        <v>2333</v>
      </c>
      <c r="B871" s="71" t="str">
        <f>IFERROR(VLOOKUP(Proc[[#This Row],[App]],Table2[],3,0),"open")</f>
        <v>ok</v>
      </c>
      <c r="C871" s="70" t="s">
        <v>369</v>
      </c>
      <c r="D871" t="s">
        <v>2324</v>
      </c>
      <c r="E871" t="s">
        <v>429</v>
      </c>
      <c r="F871" s="105" t="s">
        <v>429</v>
      </c>
      <c r="G871" s="70" t="s">
        <v>400</v>
      </c>
      <c r="H871" s="71" t="str">
        <f>IF(Proc[[#This Row],[type]]="LFF (MDG-F)",MID(Proc[[#This Row],[Obj]],13,10),"")</f>
        <v/>
      </c>
      <c r="J871" s="71" t="b">
        <f>Proc[[#This Row],[Requested]]=Proc[[#This Row],[CurrentParent]]</f>
        <v>1</v>
      </c>
      <c r="K871" s="71" t="str">
        <f>IF(Proc[[#This Row],[Author]]="Marcela Urrego",VLOOKUP(LEFT(Proc[[#This Row],[Requested]],1),Table3[#All],2,0),VLOOKUP(Proc[[#This Row],[Author]],Table4[],2,0))</f>
        <v>MGF</v>
      </c>
      <c r="L871" s="32" t="s">
        <v>509</v>
      </c>
      <c r="M871" s="73">
        <v>45720.607928240737</v>
      </c>
      <c r="P871" s="72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85</v>
      </c>
      <c r="R871" s="72" t="s">
        <v>1459</v>
      </c>
      <c r="S871" s="71"/>
    </row>
    <row r="872" spans="1:19" hidden="1">
      <c r="A872" s="70" t="s">
        <v>2333</v>
      </c>
      <c r="B872" s="71" t="str">
        <f>IFERROR(VLOOKUP(Proc[[#This Row],[App]],Table2[],3,0),"open")</f>
        <v>ok</v>
      </c>
      <c r="C872" s="70" t="s">
        <v>369</v>
      </c>
      <c r="D872" t="s">
        <v>2325</v>
      </c>
      <c r="E872" t="s">
        <v>1232</v>
      </c>
      <c r="F872" s="105" t="s">
        <v>1232</v>
      </c>
      <c r="G872" s="70" t="s">
        <v>400</v>
      </c>
      <c r="H872" s="71" t="str">
        <f>IF(Proc[[#This Row],[type]]="LFF (MDG-F)",MID(Proc[[#This Row],[Obj]],13,10),"")</f>
        <v/>
      </c>
      <c r="J872" s="71" t="b">
        <f>Proc[[#This Row],[Requested]]=Proc[[#This Row],[CurrentParent]]</f>
        <v>1</v>
      </c>
      <c r="K872" s="71" t="str">
        <f>IF(Proc[[#This Row],[Author]]="Marcela Urrego",VLOOKUP(LEFT(Proc[[#This Row],[Requested]],1),Table3[#All],2,0),VLOOKUP(Proc[[#This Row],[Author]],Table4[],2,0))</f>
        <v>MGF</v>
      </c>
      <c r="L872" s="32" t="s">
        <v>509</v>
      </c>
      <c r="M872" s="73">
        <v>45720.607928240737</v>
      </c>
      <c r="P872" s="72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85</v>
      </c>
      <c r="R872" s="72" t="s">
        <v>1459</v>
      </c>
      <c r="S872" s="71"/>
    </row>
    <row r="873" spans="1:19" hidden="1">
      <c r="A873" s="70" t="s">
        <v>2333</v>
      </c>
      <c r="B873" s="71" t="str">
        <f>IFERROR(VLOOKUP(Proc[[#This Row],[App]],Table2[],3,0),"open")</f>
        <v>ok</v>
      </c>
      <c r="C873" s="70" t="s">
        <v>369</v>
      </c>
      <c r="D873" t="s">
        <v>2326</v>
      </c>
      <c r="E873" t="s">
        <v>1232</v>
      </c>
      <c r="F873" s="105" t="s">
        <v>1232</v>
      </c>
      <c r="G873" s="70" t="s">
        <v>400</v>
      </c>
      <c r="H873" s="71" t="str">
        <f>IF(Proc[[#This Row],[type]]="LFF (MDG-F)",MID(Proc[[#This Row],[Obj]],13,10),"")</f>
        <v/>
      </c>
      <c r="J873" s="71" t="b">
        <f>Proc[[#This Row],[Requested]]=Proc[[#This Row],[CurrentParent]]</f>
        <v>1</v>
      </c>
      <c r="K873" s="71" t="str">
        <f>IF(Proc[[#This Row],[Author]]="Marcela Urrego",VLOOKUP(LEFT(Proc[[#This Row],[Requested]],1),Table3[#All],2,0),VLOOKUP(Proc[[#This Row],[Author]],Table4[],2,0))</f>
        <v>MGF</v>
      </c>
      <c r="L873" s="32" t="s">
        <v>509</v>
      </c>
      <c r="M873" s="73">
        <v>45720.607928240737</v>
      </c>
      <c r="P873" s="72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85</v>
      </c>
      <c r="R873" s="72" t="s">
        <v>1459</v>
      </c>
      <c r="S873" s="71"/>
    </row>
    <row r="874" spans="1:19" hidden="1">
      <c r="A874" s="70" t="s">
        <v>2333</v>
      </c>
      <c r="B874" s="71" t="str">
        <f>IFERROR(VLOOKUP(Proc[[#This Row],[App]],Table2[],3,0),"open")</f>
        <v>ok</v>
      </c>
      <c r="C874" s="70" t="s">
        <v>369</v>
      </c>
      <c r="D874" t="s">
        <v>2327</v>
      </c>
      <c r="E874" t="s">
        <v>429</v>
      </c>
      <c r="F874" s="105" t="s">
        <v>429</v>
      </c>
      <c r="G874" s="70" t="s">
        <v>400</v>
      </c>
      <c r="H874" s="71" t="str">
        <f>IF(Proc[[#This Row],[type]]="LFF (MDG-F)",MID(Proc[[#This Row],[Obj]],13,10),"")</f>
        <v/>
      </c>
      <c r="J874" s="71" t="b">
        <f>Proc[[#This Row],[Requested]]=Proc[[#This Row],[CurrentParent]]</f>
        <v>1</v>
      </c>
      <c r="K874" s="71" t="str">
        <f>IF(Proc[[#This Row],[Author]]="Marcela Urrego",VLOOKUP(LEFT(Proc[[#This Row],[Requested]],1),Table3[#All],2,0),VLOOKUP(Proc[[#This Row],[Author]],Table4[],2,0))</f>
        <v>MGF</v>
      </c>
      <c r="L874" s="32" t="s">
        <v>509</v>
      </c>
      <c r="M874" s="73">
        <v>45720.607928240737</v>
      </c>
      <c r="P874" s="72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85</v>
      </c>
      <c r="R874" s="72" t="s">
        <v>1459</v>
      </c>
      <c r="S874" s="71"/>
    </row>
    <row r="875" spans="1:19" hidden="1">
      <c r="A875" s="70" t="s">
        <v>2333</v>
      </c>
      <c r="B875" s="71" t="str">
        <f>IFERROR(VLOOKUP(Proc[[#This Row],[App]],Table2[],3,0),"open")</f>
        <v>ok</v>
      </c>
      <c r="C875" s="70" t="s">
        <v>369</v>
      </c>
      <c r="D875" t="s">
        <v>2328</v>
      </c>
      <c r="E875" t="s">
        <v>1458</v>
      </c>
      <c r="F875" s="105" t="s">
        <v>1458</v>
      </c>
      <c r="G875" s="70" t="s">
        <v>400</v>
      </c>
      <c r="H875" s="71" t="str">
        <f>IF(Proc[[#This Row],[type]]="LFF (MDG-F)",MID(Proc[[#This Row],[Obj]],13,10),"")</f>
        <v/>
      </c>
      <c r="J875" s="71" t="b">
        <f>Proc[[#This Row],[Requested]]=Proc[[#This Row],[CurrentParent]]</f>
        <v>1</v>
      </c>
      <c r="K875" s="71" t="str">
        <f>IF(Proc[[#This Row],[Author]]="Marcela Urrego",VLOOKUP(LEFT(Proc[[#This Row],[Requested]],1),Table3[#All],2,0),VLOOKUP(Proc[[#This Row],[Author]],Table4[],2,0))</f>
        <v>MGF</v>
      </c>
      <c r="L875" s="32" t="s">
        <v>509</v>
      </c>
      <c r="M875" s="73">
        <v>45720.607928240737</v>
      </c>
      <c r="P875" s="72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85</v>
      </c>
      <c r="R875" s="72" t="s">
        <v>1459</v>
      </c>
      <c r="S875" s="71"/>
    </row>
    <row r="876" spans="1:19" hidden="1">
      <c r="A876" s="70" t="s">
        <v>2333</v>
      </c>
      <c r="B876" s="71" t="str">
        <f>IFERROR(VLOOKUP(Proc[[#This Row],[App]],Table2[],3,0),"open")</f>
        <v>ok</v>
      </c>
      <c r="C876" s="70" t="s">
        <v>369</v>
      </c>
      <c r="D876" t="s">
        <v>2329</v>
      </c>
      <c r="E876" t="s">
        <v>1458</v>
      </c>
      <c r="F876" s="105" t="s">
        <v>1458</v>
      </c>
      <c r="G876" s="70" t="s">
        <v>400</v>
      </c>
      <c r="H876" s="71" t="str">
        <f>IF(Proc[[#This Row],[type]]="LFF (MDG-F)",MID(Proc[[#This Row],[Obj]],13,10),"")</f>
        <v/>
      </c>
      <c r="J876" s="71" t="b">
        <f>Proc[[#This Row],[Requested]]=Proc[[#This Row],[CurrentParent]]</f>
        <v>1</v>
      </c>
      <c r="K876" s="71" t="str">
        <f>IF(Proc[[#This Row],[Author]]="Marcela Urrego",VLOOKUP(LEFT(Proc[[#This Row],[Requested]],1),Table3[#All],2,0),VLOOKUP(Proc[[#This Row],[Author]],Table4[],2,0))</f>
        <v>MGF</v>
      </c>
      <c r="L876" s="32" t="s">
        <v>509</v>
      </c>
      <c r="M876" s="73">
        <v>45720.607928240737</v>
      </c>
      <c r="P876" s="72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85</v>
      </c>
      <c r="R876" s="72" t="s">
        <v>1459</v>
      </c>
      <c r="S876" s="71"/>
    </row>
    <row r="877" spans="1:19" hidden="1">
      <c r="A877" s="70" t="s">
        <v>2333</v>
      </c>
      <c r="B877" s="71" t="str">
        <f>IFERROR(VLOOKUP(Proc[[#This Row],[App]],Table2[],3,0),"open")</f>
        <v>ok</v>
      </c>
      <c r="C877" s="70" t="s">
        <v>369</v>
      </c>
      <c r="D877" t="s">
        <v>2330</v>
      </c>
      <c r="E877" t="s">
        <v>424</v>
      </c>
      <c r="F877" s="105" t="s">
        <v>424</v>
      </c>
      <c r="G877" s="70" t="s">
        <v>400</v>
      </c>
      <c r="H877" s="71" t="str">
        <f>IF(Proc[[#This Row],[type]]="LFF (MDG-F)",MID(Proc[[#This Row],[Obj]],13,10),"")</f>
        <v/>
      </c>
      <c r="J877" s="71" t="b">
        <f>Proc[[#This Row],[Requested]]=Proc[[#This Row],[CurrentParent]]</f>
        <v>1</v>
      </c>
      <c r="K877" s="71" t="str">
        <f>IF(Proc[[#This Row],[Author]]="Marcela Urrego",VLOOKUP(LEFT(Proc[[#This Row],[Requested]],1),Table3[#All],2,0),VLOOKUP(Proc[[#This Row],[Author]],Table4[],2,0))</f>
        <v>MGF</v>
      </c>
      <c r="L877" s="32" t="s">
        <v>509</v>
      </c>
      <c r="M877" s="73">
        <v>45720.607928240737</v>
      </c>
      <c r="P877" s="72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85</v>
      </c>
      <c r="R877" s="72" t="s">
        <v>1459</v>
      </c>
      <c r="S877" s="71"/>
    </row>
    <row r="878" spans="1:19" hidden="1">
      <c r="A878" s="70" t="s">
        <v>2333</v>
      </c>
      <c r="B878" s="71" t="str">
        <f>IFERROR(VLOOKUP(Proc[[#This Row],[App]],Table2[],3,0),"open")</f>
        <v>ok</v>
      </c>
      <c r="C878" s="70" t="s">
        <v>369</v>
      </c>
      <c r="D878" t="s">
        <v>2331</v>
      </c>
      <c r="E878" t="s">
        <v>2336</v>
      </c>
      <c r="F878" s="105" t="s">
        <v>2336</v>
      </c>
      <c r="G878" s="70" t="s">
        <v>400</v>
      </c>
      <c r="H878" s="71" t="str">
        <f>IF(Proc[[#This Row],[type]]="LFF (MDG-F)",MID(Proc[[#This Row],[Obj]],13,10),"")</f>
        <v/>
      </c>
      <c r="J878" s="71" t="b">
        <f>Proc[[#This Row],[Requested]]=Proc[[#This Row],[CurrentParent]]</f>
        <v>1</v>
      </c>
      <c r="K878" s="71" t="str">
        <f>IF(Proc[[#This Row],[Author]]="Marcela Urrego",VLOOKUP(LEFT(Proc[[#This Row],[Requested]],1),Table3[#All],2,0),VLOOKUP(Proc[[#This Row],[Author]],Table4[],2,0))</f>
        <v>MGF</v>
      </c>
      <c r="L878" s="32" t="s">
        <v>509</v>
      </c>
      <c r="M878" s="73">
        <v>45720.607928240737</v>
      </c>
      <c r="P878" s="72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85</v>
      </c>
      <c r="R878" s="72" t="s">
        <v>1459</v>
      </c>
      <c r="S878" s="71"/>
    </row>
    <row r="879" spans="1:19" hidden="1">
      <c r="A879" s="70" t="s">
        <v>2333</v>
      </c>
      <c r="B879" s="71" t="str">
        <f>IFERROR(VLOOKUP(Proc[[#This Row],[App]],Table2[],3,0),"open")</f>
        <v>ok</v>
      </c>
      <c r="C879" s="70" t="s">
        <v>369</v>
      </c>
      <c r="D879" t="s">
        <v>2332</v>
      </c>
      <c r="E879" t="s">
        <v>1458</v>
      </c>
      <c r="F879" s="105" t="s">
        <v>1458</v>
      </c>
      <c r="G879" s="70" t="s">
        <v>400</v>
      </c>
      <c r="H879" s="71" t="str">
        <f>IF(Proc[[#This Row],[type]]="LFF (MDG-F)",MID(Proc[[#This Row],[Obj]],13,10),"")</f>
        <v/>
      </c>
      <c r="J879" s="71" t="b">
        <f>Proc[[#This Row],[Requested]]=Proc[[#This Row],[CurrentParent]]</f>
        <v>1</v>
      </c>
      <c r="K879" s="71" t="str">
        <f>IF(Proc[[#This Row],[Author]]="Marcela Urrego",VLOOKUP(LEFT(Proc[[#This Row],[Requested]],1),Table3[#All],2,0),VLOOKUP(Proc[[#This Row],[Author]],Table4[],2,0))</f>
        <v>MGF</v>
      </c>
      <c r="L879" s="32" t="s">
        <v>509</v>
      </c>
      <c r="M879" s="73">
        <v>45720.607928240737</v>
      </c>
      <c r="P879" s="72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85</v>
      </c>
      <c r="R879" s="72" t="s">
        <v>1459</v>
      </c>
      <c r="S879" s="71"/>
    </row>
    <row r="880" spans="1:19" hidden="1">
      <c r="A880" t="s">
        <v>2313</v>
      </c>
      <c r="B880" s="71" t="str">
        <f>IFERROR(VLOOKUP(Proc[[#This Row],[App]],Table2[],3,0),"open")</f>
        <v>ok</v>
      </c>
      <c r="C880" t="s">
        <v>369</v>
      </c>
      <c r="D880" t="s">
        <v>2312</v>
      </c>
      <c r="E880" t="s">
        <v>1588</v>
      </c>
      <c r="F880" s="105" t="s">
        <v>1588</v>
      </c>
      <c r="G880" s="70" t="s">
        <v>406</v>
      </c>
      <c r="H880" s="71" t="str">
        <f>IF(Proc[[#This Row],[type]]="LFF (MDG-F)",MID(Proc[[#This Row],[Obj]],13,10),"")</f>
        <v>DE10622600</v>
      </c>
      <c r="J880" s="71" t="b">
        <f>Proc[[#This Row],[Requested]]=Proc[[#This Row],[CurrentParent]]</f>
        <v>1</v>
      </c>
      <c r="K880" s="71" t="str">
        <f>IF(Proc[[#This Row],[Author]]="Marcela Urrego",VLOOKUP(LEFT(Proc[[#This Row],[Requested]],1),Table3[#All],2,0),VLOOKUP(Proc[[#This Row],[Author]],Table4[],2,0))</f>
        <v>MGF</v>
      </c>
      <c r="L880" s="32" t="s">
        <v>509</v>
      </c>
      <c r="M880" s="73">
        <v>45721.464016203703</v>
      </c>
      <c r="N880" s="73">
        <v>45723</v>
      </c>
      <c r="O880" s="73">
        <v>45723</v>
      </c>
      <c r="P880" s="72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2" t="s">
        <v>549</v>
      </c>
      <c r="S880" s="71"/>
    </row>
    <row r="881" spans="1:19" hidden="1">
      <c r="A881" s="70" t="s">
        <v>2379</v>
      </c>
      <c r="B881" s="71" t="str">
        <f>IFERROR(VLOOKUP(Proc[[#This Row],[App]],Table2[],3,0),"open")</f>
        <v>ok</v>
      </c>
      <c r="C881" s="70" t="s">
        <v>369</v>
      </c>
      <c r="D881" t="s">
        <v>2380</v>
      </c>
      <c r="E881" t="s">
        <v>1458</v>
      </c>
      <c r="F881" s="105" t="s">
        <v>1458</v>
      </c>
      <c r="G881" t="s">
        <v>400</v>
      </c>
      <c r="H881" s="71" t="str">
        <f>IF(Proc[[#This Row],[type]]="LFF (MDG-F)",MID(Proc[[#This Row],[Obj]],13,10),"")</f>
        <v/>
      </c>
      <c r="J881" s="71" t="b">
        <f>Proc[[#This Row],[Requested]]=Proc[[#This Row],[CurrentParent]]</f>
        <v>1</v>
      </c>
      <c r="K881" s="71" t="str">
        <f>IF(Proc[[#This Row],[Author]]="Marcela Urrego",VLOOKUP(LEFT(Proc[[#This Row],[Requested]],1),Table3[#All],2,0),VLOOKUP(Proc[[#This Row],[Author]],Table4[],2,0))</f>
        <v>MGF</v>
      </c>
      <c r="L881" s="32" t="s">
        <v>509</v>
      </c>
      <c r="M881" s="73">
        <v>45721.618263888886</v>
      </c>
      <c r="N881" s="73">
        <v>45726</v>
      </c>
      <c r="O881" s="73">
        <v>45726</v>
      </c>
      <c r="P881" s="72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2" t="s">
        <v>1459</v>
      </c>
      <c r="S881" s="71"/>
    </row>
    <row r="882" spans="1:19" hidden="1">
      <c r="A882" t="s">
        <v>2379</v>
      </c>
      <c r="B882" s="71" t="str">
        <f>IFERROR(VLOOKUP(Proc[[#This Row],[App]],Table2[],3,0),"open")</f>
        <v>ok</v>
      </c>
      <c r="C882" t="s">
        <v>369</v>
      </c>
      <c r="D882" t="s">
        <v>2381</v>
      </c>
      <c r="E882" t="s">
        <v>1458</v>
      </c>
      <c r="F882" s="105" t="s">
        <v>1458</v>
      </c>
      <c r="G882" s="70" t="s">
        <v>406</v>
      </c>
      <c r="H882" s="71" t="str">
        <f>IF(Proc[[#This Row],[type]]="LFF (MDG-F)",MID(Proc[[#This Row],[Obj]],13,10),"")</f>
        <v>2123GIT130</v>
      </c>
      <c r="J882" s="71" t="b">
        <f>Proc[[#This Row],[Requested]]=Proc[[#This Row],[CurrentParent]]</f>
        <v>1</v>
      </c>
      <c r="K882" s="71" t="str">
        <f>IF(Proc[[#This Row],[Author]]="Marcela Urrego",VLOOKUP(LEFT(Proc[[#This Row],[Requested]],1),Table3[#All],2,0),VLOOKUP(Proc[[#This Row],[Author]],Table4[],2,0))</f>
        <v>MGF</v>
      </c>
      <c r="L882" s="32" t="s">
        <v>509</v>
      </c>
      <c r="M882" s="73">
        <v>45721.618263888886</v>
      </c>
      <c r="N882" s="73">
        <v>45726</v>
      </c>
      <c r="O882" s="73">
        <v>45726</v>
      </c>
      <c r="P882" s="72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2" t="s">
        <v>1459</v>
      </c>
      <c r="S882" s="71"/>
    </row>
    <row r="883" spans="1:19" hidden="1">
      <c r="A883" s="70" t="s">
        <v>2441</v>
      </c>
      <c r="B883" s="71" t="str">
        <f>IFERROR(VLOOKUP(Proc[[#This Row],[App]],Table2[],3,0),"open")</f>
        <v>ok</v>
      </c>
      <c r="C883" s="70" t="s">
        <v>369</v>
      </c>
      <c r="D883" t="s">
        <v>2442</v>
      </c>
      <c r="E883" t="s">
        <v>2443</v>
      </c>
      <c r="F883" s="105" t="s">
        <v>2443</v>
      </c>
      <c r="G883" s="70" t="s">
        <v>406</v>
      </c>
      <c r="H883" s="71" t="str">
        <f>IF(Proc[[#This Row],[type]]="LFF (MDG-F)",MID(Proc[[#This Row],[Obj]],13,10),"")</f>
        <v>NO50GIN000</v>
      </c>
      <c r="J883" s="71" t="b">
        <f>Proc[[#This Row],[Requested]]=Proc[[#This Row],[CurrentParent]]</f>
        <v>1</v>
      </c>
      <c r="K883" s="71" t="str">
        <f>IF(Proc[[#This Row],[Author]]="Marcela Urrego",VLOOKUP(LEFT(Proc[[#This Row],[Requested]],1),Table3[#All],2,0),VLOOKUP(Proc[[#This Row],[Author]],Table4[],2,0))</f>
        <v>MGF</v>
      </c>
      <c r="L883" s="32" t="s">
        <v>509</v>
      </c>
      <c r="M883" s="73">
        <v>45721.760057870371</v>
      </c>
      <c r="N883" s="73">
        <v>45741</v>
      </c>
      <c r="O883" s="73">
        <v>45741</v>
      </c>
      <c r="P883" s="72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2" t="s">
        <v>2444</v>
      </c>
      <c r="S883" s="71"/>
    </row>
    <row r="884" spans="1:19" hidden="1">
      <c r="A884" t="s">
        <v>2384</v>
      </c>
      <c r="B884" s="71" t="str">
        <f>IFERROR(VLOOKUP(Proc[[#This Row],[App]],Table2[],3,0),"open")</f>
        <v>ok</v>
      </c>
      <c r="C884" s="70" t="s">
        <v>398</v>
      </c>
      <c r="D884" t="s">
        <v>2382</v>
      </c>
      <c r="E884" t="s">
        <v>2377</v>
      </c>
      <c r="F884" s="105" t="s">
        <v>2377</v>
      </c>
      <c r="G884" s="70" t="s">
        <v>400</v>
      </c>
      <c r="H884" s="71" t="str">
        <f>IF(Proc[[#This Row],[type]]="LFF (MDG-F)",MID(Proc[[#This Row],[Obj]],13,10),"")</f>
        <v/>
      </c>
      <c r="I884" t="s">
        <v>1198</v>
      </c>
      <c r="J884" s="71" t="b">
        <f>Proc[[#This Row],[Requested]]=Proc[[#This Row],[CurrentParent]]</f>
        <v>1</v>
      </c>
      <c r="K884" s="71" t="str">
        <f>IF(Proc[[#This Row],[Author]]="Marcela Urrego",VLOOKUP(LEFT(Proc[[#This Row],[Requested]],1),Table3[#All],2,0),VLOOKUP(Proc[[#This Row],[Author]],Table4[],2,0))</f>
        <v>LS</v>
      </c>
      <c r="L884" s="32" t="s">
        <v>509</v>
      </c>
      <c r="M884" s="73">
        <v>45722.670775462961</v>
      </c>
      <c r="O884" s="73">
        <v>45726</v>
      </c>
      <c r="P884" s="72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2" t="s">
        <v>972</v>
      </c>
      <c r="S884" s="71"/>
    </row>
    <row r="885" spans="1:19" hidden="1">
      <c r="A885" t="s">
        <v>2384</v>
      </c>
      <c r="B885" s="71" t="str">
        <f>IFERROR(VLOOKUP(Proc[[#This Row],[App]],Table2[],3,0),"open")</f>
        <v>ok</v>
      </c>
      <c r="C885" s="70" t="s">
        <v>369</v>
      </c>
      <c r="D885" t="s">
        <v>2383</v>
      </c>
      <c r="E885" t="s">
        <v>2385</v>
      </c>
      <c r="F885" s="105" t="s">
        <v>2385</v>
      </c>
      <c r="G885" t="s">
        <v>400</v>
      </c>
      <c r="H885" s="71" t="str">
        <f>IF(Proc[[#This Row],[type]]="LFF (MDG-F)",MID(Proc[[#This Row],[Obj]],13,10),"")</f>
        <v/>
      </c>
      <c r="J885" s="71" t="b">
        <f>Proc[[#This Row],[Requested]]=Proc[[#This Row],[CurrentParent]]</f>
        <v>1</v>
      </c>
      <c r="K885" s="71" t="str">
        <f>IF(Proc[[#This Row],[Author]]="Marcela Urrego",VLOOKUP(LEFT(Proc[[#This Row],[Requested]],1),Table3[#All],2,0),VLOOKUP(Proc[[#This Row],[Author]],Table4[],2,0))</f>
        <v>LS</v>
      </c>
      <c r="L885" s="32" t="s">
        <v>509</v>
      </c>
      <c r="M885" s="73">
        <v>45722.670775462961</v>
      </c>
      <c r="N885" s="73">
        <v>45726</v>
      </c>
      <c r="O885" s="73">
        <v>45726</v>
      </c>
      <c r="P885" s="72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2" t="s">
        <v>972</v>
      </c>
      <c r="S885" s="71"/>
    </row>
    <row r="886" spans="1:19" hidden="1">
      <c r="A886" t="s">
        <v>2396</v>
      </c>
      <c r="B886" s="71" t="str">
        <f>IFERROR(VLOOKUP(Proc[[#This Row],[App]],Table2[],3,0),"open")</f>
        <v>ok</v>
      </c>
      <c r="C886" s="70" t="s">
        <v>369</v>
      </c>
      <c r="D886" t="s">
        <v>2392</v>
      </c>
      <c r="E886" t="s">
        <v>2397</v>
      </c>
      <c r="F886" s="105" t="s">
        <v>2397</v>
      </c>
      <c r="G886" s="70" t="s">
        <v>406</v>
      </c>
      <c r="H886" s="71" t="str">
        <f>IF(Proc[[#This Row],[type]]="LFF (MDG-F)",MID(Proc[[#This Row],[Obj]],13,10),"")</f>
        <v>CH65R00044</v>
      </c>
      <c r="J886" s="71" t="b">
        <f>Proc[[#This Row],[Requested]]=Proc[[#This Row],[CurrentParent]]</f>
        <v>1</v>
      </c>
      <c r="K886" s="71" t="str">
        <f>IF(Proc[[#This Row],[Author]]="Marcela Urrego",VLOOKUP(LEFT(Proc[[#This Row],[Requested]],1),Table3[#All],2,0),VLOOKUP(Proc[[#This Row],[Author]],Table4[],2,0))</f>
        <v>HC</v>
      </c>
      <c r="L886" s="32" t="s">
        <v>509</v>
      </c>
      <c r="M886" s="73">
        <v>45726.760057870371</v>
      </c>
      <c r="P886" s="72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81</v>
      </c>
      <c r="R886" s="72" t="s">
        <v>2400</v>
      </c>
      <c r="S886" s="71"/>
    </row>
    <row r="887" spans="1:19" hidden="1">
      <c r="A887" s="70" t="s">
        <v>2396</v>
      </c>
      <c r="B887" s="71" t="str">
        <f>IFERROR(VLOOKUP(Proc[[#This Row],[App]],Table2[],3,0),"open")</f>
        <v>ok</v>
      </c>
      <c r="C887" s="70" t="s">
        <v>369</v>
      </c>
      <c r="D887" t="s">
        <v>2393</v>
      </c>
      <c r="E887" t="s">
        <v>2398</v>
      </c>
      <c r="F887" s="105" t="s">
        <v>2398</v>
      </c>
      <c r="G887" s="70" t="s">
        <v>406</v>
      </c>
      <c r="H887" s="71" t="str">
        <f>IF(Proc[[#This Row],[type]]="LFF (MDG-F)",MID(Proc[[#This Row],[Obj]],13,10),"")</f>
        <v>CH65R00045</v>
      </c>
      <c r="J887" s="71" t="b">
        <f>Proc[[#This Row],[Requested]]=Proc[[#This Row],[CurrentParent]]</f>
        <v>1</v>
      </c>
      <c r="K887" s="71" t="str">
        <f>IF(Proc[[#This Row],[Author]]="Marcela Urrego",VLOOKUP(LEFT(Proc[[#This Row],[Requested]],1),Table3[#All],2,0),VLOOKUP(Proc[[#This Row],[Author]],Table4[],2,0))</f>
        <v>HC</v>
      </c>
      <c r="L887" s="32" t="s">
        <v>509</v>
      </c>
      <c r="M887" s="73">
        <v>45726.760057870371</v>
      </c>
      <c r="P887" s="72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81</v>
      </c>
      <c r="R887" s="72" t="s">
        <v>2400</v>
      </c>
      <c r="S887" s="71"/>
    </row>
    <row r="888" spans="1:19" hidden="1">
      <c r="A888" s="70" t="s">
        <v>2396</v>
      </c>
      <c r="B888" s="71" t="str">
        <f>IFERROR(VLOOKUP(Proc[[#This Row],[App]],Table2[],3,0),"open")</f>
        <v>ok</v>
      </c>
      <c r="C888" s="70" t="s">
        <v>369</v>
      </c>
      <c r="D888" t="s">
        <v>2394</v>
      </c>
      <c r="E888" t="s">
        <v>2399</v>
      </c>
      <c r="F888" s="105" t="s">
        <v>2399</v>
      </c>
      <c r="G888" s="70" t="s">
        <v>406</v>
      </c>
      <c r="H888" s="71" t="str">
        <f>IF(Proc[[#This Row],[type]]="LFF (MDG-F)",MID(Proc[[#This Row],[Obj]],13,10),"")</f>
        <v>CH65R00046</v>
      </c>
      <c r="J888" s="71" t="b">
        <f>Proc[[#This Row],[Requested]]=Proc[[#This Row],[CurrentParent]]</f>
        <v>1</v>
      </c>
      <c r="K888" s="71" t="str">
        <f>IF(Proc[[#This Row],[Author]]="Marcela Urrego",VLOOKUP(LEFT(Proc[[#This Row],[Requested]],1),Table3[#All],2,0),VLOOKUP(Proc[[#This Row],[Author]],Table4[],2,0))</f>
        <v>HC</v>
      </c>
      <c r="L888" s="32" t="s">
        <v>509</v>
      </c>
      <c r="M888" s="73">
        <v>45726.760057870371</v>
      </c>
      <c r="P888" s="72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81</v>
      </c>
      <c r="R888" s="72" t="s">
        <v>2400</v>
      </c>
      <c r="S888" s="71"/>
    </row>
    <row r="889" spans="1:19" hidden="1">
      <c r="A889" s="70" t="s">
        <v>2396</v>
      </c>
      <c r="B889" s="71" t="str">
        <f>IFERROR(VLOOKUP(Proc[[#This Row],[App]],Table2[],3,0),"open")</f>
        <v>ok</v>
      </c>
      <c r="C889" s="70" t="s">
        <v>369</v>
      </c>
      <c r="D889" t="s">
        <v>2395</v>
      </c>
      <c r="E889" t="s">
        <v>2419</v>
      </c>
      <c r="F889" s="105" t="s">
        <v>2419</v>
      </c>
      <c r="G889" s="70" t="s">
        <v>406</v>
      </c>
      <c r="H889" s="71" t="str">
        <f>IF(Proc[[#This Row],[type]]="LFF (MDG-F)",MID(Proc[[#This Row],[Obj]],13,10),"")</f>
        <v>CH65R00054</v>
      </c>
      <c r="J889" s="71" t="b">
        <f>Proc[[#This Row],[Requested]]=Proc[[#This Row],[CurrentParent]]</f>
        <v>1</v>
      </c>
      <c r="K889" s="71" t="str">
        <f>IF(Proc[[#This Row],[Author]]="Marcela Urrego",VLOOKUP(LEFT(Proc[[#This Row],[Requested]],1),Table3[#All],2,0),VLOOKUP(Proc[[#This Row],[Author]],Table4[],2,0))</f>
        <v>HC</v>
      </c>
      <c r="L889" s="32" t="s">
        <v>509</v>
      </c>
      <c r="M889" s="73">
        <v>45726.760057870371</v>
      </c>
      <c r="N889" s="73">
        <v>45735</v>
      </c>
      <c r="O889" s="73">
        <v>45735</v>
      </c>
      <c r="P889" s="72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2" t="s">
        <v>2400</v>
      </c>
      <c r="S889" s="71"/>
    </row>
    <row r="890" spans="1:19" hidden="1">
      <c r="A890" t="s">
        <v>2389</v>
      </c>
      <c r="B890" s="71" t="str">
        <f>IFERROR(VLOOKUP(Proc[[#This Row],[App]],Table2[],3,0),"open")</f>
        <v>ok</v>
      </c>
      <c r="C890" t="s">
        <v>369</v>
      </c>
      <c r="D890" t="s">
        <v>2390</v>
      </c>
      <c r="E890" t="s">
        <v>2391</v>
      </c>
      <c r="F890" s="105" t="s">
        <v>2391</v>
      </c>
      <c r="G890" s="70" t="s">
        <v>406</v>
      </c>
      <c r="H890" s="71" t="str">
        <f>IF(Proc[[#This Row],[type]]="LFF (MDG-F)",MID(Proc[[#This Row],[Obj]],13,10),"")</f>
        <v>CH50R01012</v>
      </c>
      <c r="J890" s="71" t="b">
        <f>Proc[[#This Row],[Requested]]=Proc[[#This Row],[CurrentParent]]</f>
        <v>1</v>
      </c>
      <c r="K890" s="71" t="str">
        <f>IF(Proc[[#This Row],[Author]]="Marcela Urrego",VLOOKUP(LEFT(Proc[[#This Row],[Requested]],1),Table3[#All],2,0),VLOOKUP(Proc[[#This Row],[Author]],Table4[],2,0))</f>
        <v>HC</v>
      </c>
      <c r="L890" s="32" t="s">
        <v>509</v>
      </c>
      <c r="M890" s="73">
        <v>45726.768182870372</v>
      </c>
      <c r="N890" s="73">
        <v>45729</v>
      </c>
      <c r="O890" s="73">
        <v>45729</v>
      </c>
      <c r="P890" s="72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2" t="s">
        <v>2400</v>
      </c>
      <c r="S890" s="71"/>
    </row>
    <row r="891" spans="1:19" hidden="1">
      <c r="A891" t="s">
        <v>2414</v>
      </c>
      <c r="B891" s="71" t="str">
        <f>IFERROR(VLOOKUP(Proc[[#This Row],[App]],Table2[],3,0),"open")</f>
        <v>ok</v>
      </c>
      <c r="C891" s="70" t="s">
        <v>369</v>
      </c>
      <c r="D891" t="s">
        <v>2406</v>
      </c>
      <c r="E891" t="s">
        <v>2410</v>
      </c>
      <c r="F891" s="105" t="s">
        <v>2410</v>
      </c>
      <c r="G891" s="70" t="s">
        <v>406</v>
      </c>
      <c r="H891" s="71" t="str">
        <f>IF(Proc[[#This Row],[type]]="LFF (MDG-F)",MID(Proc[[#This Row],[Obj]],13,10),"")</f>
        <v>2013OFIBM1</v>
      </c>
      <c r="J891" s="71" t="b">
        <f>Proc[[#This Row],[Requested]]=Proc[[#This Row],[CurrentParent]]</f>
        <v>1</v>
      </c>
      <c r="K891" s="71" t="str">
        <f>IF(Proc[[#This Row],[Author]]="Marcela Urrego",VLOOKUP(LEFT(Proc[[#This Row],[Requested]],1),Table3[#All],2,0),VLOOKUP(Proc[[#This Row],[Author]],Table4[],2,0))</f>
        <v>LS</v>
      </c>
      <c r="L891" s="32" t="s">
        <v>509</v>
      </c>
      <c r="M891" s="73">
        <v>45727.451701388891</v>
      </c>
      <c r="N891" s="73">
        <v>45730</v>
      </c>
      <c r="O891" s="73">
        <v>45730</v>
      </c>
      <c r="P891" s="72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2" t="s">
        <v>830</v>
      </c>
      <c r="S891" s="71"/>
    </row>
    <row r="892" spans="1:19" hidden="1">
      <c r="A892" t="s">
        <v>2414</v>
      </c>
      <c r="B892" s="71" t="str">
        <f>IFERROR(VLOOKUP(Proc[[#This Row],[App]],Table2[],3,0),"open")</f>
        <v>ok</v>
      </c>
      <c r="C892" s="70" t="s">
        <v>369</v>
      </c>
      <c r="D892" t="s">
        <v>2407</v>
      </c>
      <c r="E892" t="s">
        <v>2411</v>
      </c>
      <c r="F892" s="105" t="s">
        <v>2411</v>
      </c>
      <c r="G892" s="70" t="s">
        <v>400</v>
      </c>
      <c r="H892" s="71" t="str">
        <f>IF(Proc[[#This Row],[type]]="LFF (MDG-F)",MID(Proc[[#This Row],[Obj]],13,10),"")</f>
        <v/>
      </c>
      <c r="J892" s="71" t="b">
        <f>Proc[[#This Row],[Requested]]=Proc[[#This Row],[CurrentParent]]</f>
        <v>1</v>
      </c>
      <c r="K892" s="71" t="str">
        <f>IF(Proc[[#This Row],[Author]]="Marcela Urrego",VLOOKUP(LEFT(Proc[[#This Row],[Requested]],1),Table3[#All],2,0),VLOOKUP(Proc[[#This Row],[Author]],Table4[],2,0))</f>
        <v>LS</v>
      </c>
      <c r="L892" s="32" t="s">
        <v>509</v>
      </c>
      <c r="M892" s="73">
        <v>45727.451701388891</v>
      </c>
      <c r="N892" s="73">
        <v>45730</v>
      </c>
      <c r="O892" s="73">
        <v>45730</v>
      </c>
      <c r="P892" s="72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2" t="s">
        <v>830</v>
      </c>
      <c r="S892" s="71"/>
    </row>
    <row r="893" spans="1:19" hidden="1">
      <c r="A893" s="70" t="s">
        <v>2414</v>
      </c>
      <c r="B893" s="71" t="str">
        <f>IFERROR(VLOOKUP(Proc[[#This Row],[App]],Table2[],3,0),"open")</f>
        <v>ok</v>
      </c>
      <c r="C893" s="70" t="s">
        <v>369</v>
      </c>
      <c r="D893" t="s">
        <v>2408</v>
      </c>
      <c r="E893" t="s">
        <v>2412</v>
      </c>
      <c r="F893" s="105" t="s">
        <v>2412</v>
      </c>
      <c r="G893" t="s">
        <v>406</v>
      </c>
      <c r="H893" s="71" t="str">
        <f>IF(Proc[[#This Row],[type]]="LFF (MDG-F)",MID(Proc[[#This Row],[Obj]],13,10),"")</f>
        <v>2123C00001</v>
      </c>
      <c r="J893" s="71" t="b">
        <f>Proc[[#This Row],[Requested]]=Proc[[#This Row],[CurrentParent]]</f>
        <v>1</v>
      </c>
      <c r="K893" s="71" t="str">
        <f>IF(Proc[[#This Row],[Author]]="Marcela Urrego",VLOOKUP(LEFT(Proc[[#This Row],[Requested]],1),Table3[#All],2,0),VLOOKUP(Proc[[#This Row],[Author]],Table4[],2,0))</f>
        <v>LS</v>
      </c>
      <c r="L893" s="32" t="s">
        <v>509</v>
      </c>
      <c r="M893" s="73">
        <v>45727.451701388891</v>
      </c>
      <c r="N893" s="73">
        <v>45730</v>
      </c>
      <c r="O893" s="73">
        <v>45730</v>
      </c>
      <c r="P893" s="72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2" t="s">
        <v>830</v>
      </c>
      <c r="S893" s="71"/>
    </row>
    <row r="894" spans="1:19" hidden="1">
      <c r="A894" s="70" t="s">
        <v>2414</v>
      </c>
      <c r="B894" s="71" t="str">
        <f>IFERROR(VLOOKUP(Proc[[#This Row],[App]],Table2[],3,0),"open")</f>
        <v>ok</v>
      </c>
      <c r="C894" s="70" t="s">
        <v>369</v>
      </c>
      <c r="D894" t="s">
        <v>2409</v>
      </c>
      <c r="E894" t="s">
        <v>2413</v>
      </c>
      <c r="F894" s="105" t="s">
        <v>2413</v>
      </c>
      <c r="G894" t="s">
        <v>406</v>
      </c>
      <c r="H894" s="71" t="str">
        <f>IF(Proc[[#This Row],[type]]="LFF (MDG-F)",MID(Proc[[#This Row],[Obj]],13,10),"")</f>
        <v>2128TMCZ95</v>
      </c>
      <c r="J894" s="71" t="b">
        <f>Proc[[#This Row],[Requested]]=Proc[[#This Row],[CurrentParent]]</f>
        <v>1</v>
      </c>
      <c r="K894" s="71" t="str">
        <f>IF(Proc[[#This Row],[Author]]="Marcela Urrego",VLOOKUP(LEFT(Proc[[#This Row],[Requested]],1),Table3[#All],2,0),VLOOKUP(Proc[[#This Row],[Author]],Table4[],2,0))</f>
        <v>LS</v>
      </c>
      <c r="L894" s="32" t="s">
        <v>509</v>
      </c>
      <c r="M894" s="73">
        <v>45727.451701388891</v>
      </c>
      <c r="N894" s="73">
        <v>45730</v>
      </c>
      <c r="O894" s="73">
        <v>45730</v>
      </c>
      <c r="P894" s="72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2" t="s">
        <v>830</v>
      </c>
      <c r="S894" s="71"/>
    </row>
    <row r="895" spans="1:19" hidden="1">
      <c r="A895" s="70" t="s">
        <v>2403</v>
      </c>
      <c r="B895" s="71" t="str">
        <f>IFERROR(VLOOKUP(Proc[[#This Row],[App]],Table2[],3,0),"open")</f>
        <v>ok</v>
      </c>
      <c r="C895" s="70" t="s">
        <v>369</v>
      </c>
      <c r="D895" t="s">
        <v>2404</v>
      </c>
      <c r="E895" t="s">
        <v>413</v>
      </c>
      <c r="F895" s="105" t="s">
        <v>413</v>
      </c>
      <c r="G895" s="70" t="s">
        <v>400</v>
      </c>
      <c r="H895" s="71" t="str">
        <f>IF(Proc[[#This Row],[type]]="LFF (MDG-F)",MID(Proc[[#This Row],[Obj]],13,10),"")</f>
        <v/>
      </c>
      <c r="J895" s="71" t="b">
        <f>Proc[[#This Row],[Requested]]=Proc[[#This Row],[CurrentParent]]</f>
        <v>1</v>
      </c>
      <c r="K895" s="71" t="str">
        <f>IF(Proc[[#This Row],[Author]]="Marcela Urrego",VLOOKUP(LEFT(Proc[[#This Row],[Requested]],1),Table3[#All],2,0),VLOOKUP(Proc[[#This Row],[Author]],Table4[],2,0))</f>
        <v>MGF</v>
      </c>
      <c r="L895" s="32" t="s">
        <v>509</v>
      </c>
      <c r="M895" s="73">
        <v>45727.481932870367</v>
      </c>
      <c r="N895" s="73">
        <v>45730</v>
      </c>
      <c r="O895" s="73">
        <v>45730</v>
      </c>
      <c r="P895" s="72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2" t="s">
        <v>515</v>
      </c>
      <c r="S895" s="71"/>
    </row>
    <row r="896" spans="1:19" hidden="1">
      <c r="A896" t="s">
        <v>2401</v>
      </c>
      <c r="B896" s="71" t="str">
        <f>IFERROR(VLOOKUP(Proc[[#This Row],[App]],Table2[],3,0),"open")</f>
        <v>ok</v>
      </c>
      <c r="C896" s="70" t="s">
        <v>369</v>
      </c>
      <c r="D896" t="s">
        <v>2402</v>
      </c>
      <c r="E896" t="s">
        <v>2415</v>
      </c>
      <c r="F896" s="105" t="s">
        <v>2415</v>
      </c>
      <c r="G896" t="s">
        <v>406</v>
      </c>
      <c r="H896" s="71" t="str">
        <f>IF(Proc[[#This Row],[type]]="LFF (MDG-F)",MID(Proc[[#This Row],[Obj]],13,10),"")</f>
        <v>DE10300049</v>
      </c>
      <c r="J896" s="71" t="b">
        <f>Proc[[#This Row],[Requested]]=Proc[[#This Row],[CurrentParent]]</f>
        <v>1</v>
      </c>
      <c r="K896" s="71" t="str">
        <f>IF(Proc[[#This Row],[Author]]="Marcela Urrego",VLOOKUP(LEFT(Proc[[#This Row],[Requested]],1),Table3[#All],2,0),VLOOKUP(Proc[[#This Row],[Author]],Table4[],2,0))</f>
        <v>MGF</v>
      </c>
      <c r="L896" s="32" t="s">
        <v>509</v>
      </c>
      <c r="M896" s="73">
        <v>45728.483611111114</v>
      </c>
      <c r="N896" s="73">
        <v>45730</v>
      </c>
      <c r="O896" s="73">
        <v>45730</v>
      </c>
      <c r="P896" s="72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2" t="s">
        <v>515</v>
      </c>
      <c r="S896" s="71"/>
    </row>
    <row r="897" spans="1:19" hidden="1">
      <c r="A897" s="70" t="s">
        <v>2420</v>
      </c>
      <c r="B897" s="71" t="str">
        <f>IFERROR(VLOOKUP(Proc[[#This Row],[App]],Table2[],3,0),"open")</f>
        <v>ok</v>
      </c>
      <c r="C897" s="70" t="s">
        <v>369</v>
      </c>
      <c r="D897" t="s">
        <v>2421</v>
      </c>
      <c r="E897" t="s">
        <v>2430</v>
      </c>
      <c r="F897" s="105" t="s">
        <v>2430</v>
      </c>
      <c r="G897" s="70" t="s">
        <v>400</v>
      </c>
      <c r="H897" s="71" t="str">
        <f>IF(Proc[[#This Row],[type]]="LFF (MDG-F)",MID(Proc[[#This Row],[Obj]],13,10),"")</f>
        <v/>
      </c>
      <c r="J897" s="71" t="b">
        <f>Proc[[#This Row],[Requested]]=Proc[[#This Row],[CurrentParent]]</f>
        <v>1</v>
      </c>
      <c r="K897" s="71" t="str">
        <f>IF(Proc[[#This Row],[Author]]="Marcela Urrego",VLOOKUP(LEFT(Proc[[#This Row],[Requested]],1),Table3[#All],2,0),VLOOKUP(Proc[[#This Row],[Author]],Table4[],2,0))</f>
        <v>MGF</v>
      </c>
      <c r="L897" s="32" t="s">
        <v>509</v>
      </c>
      <c r="M897" s="73">
        <v>45730.419768518521</v>
      </c>
      <c r="N897" s="73">
        <v>45733</v>
      </c>
      <c r="O897" s="73">
        <v>45733</v>
      </c>
      <c r="P897" s="72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2" t="s">
        <v>1076</v>
      </c>
      <c r="S897" s="71"/>
    </row>
    <row r="898" spans="1:19" hidden="1">
      <c r="A898" s="70" t="s">
        <v>2420</v>
      </c>
      <c r="B898" s="71" t="str">
        <f>IFERROR(VLOOKUP(Proc[[#This Row],[App]],Table2[],3,0),"open")</f>
        <v>ok</v>
      </c>
      <c r="C898" s="70" t="s">
        <v>369</v>
      </c>
      <c r="D898" t="s">
        <v>2422</v>
      </c>
      <c r="E898" t="s">
        <v>2430</v>
      </c>
      <c r="F898" s="105" t="s">
        <v>2430</v>
      </c>
      <c r="G898" s="70" t="s">
        <v>400</v>
      </c>
      <c r="H898" s="71" t="str">
        <f>IF(Proc[[#This Row],[type]]="LFF (MDG-F)",MID(Proc[[#This Row],[Obj]],13,10),"")</f>
        <v/>
      </c>
      <c r="J898" s="71" t="b">
        <f>Proc[[#This Row],[Requested]]=Proc[[#This Row],[CurrentParent]]</f>
        <v>1</v>
      </c>
      <c r="K898" s="71" t="str">
        <f>IF(Proc[[#This Row],[Author]]="Marcela Urrego",VLOOKUP(LEFT(Proc[[#This Row],[Requested]],1),Table3[#All],2,0),VLOOKUP(Proc[[#This Row],[Author]],Table4[],2,0))</f>
        <v>MGF</v>
      </c>
      <c r="L898" s="32" t="s">
        <v>509</v>
      </c>
      <c r="M898" s="73">
        <v>45730.419768518521</v>
      </c>
      <c r="N898" s="73">
        <v>45733</v>
      </c>
      <c r="O898" s="73">
        <v>45733</v>
      </c>
      <c r="P898" s="72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2" t="s">
        <v>1076</v>
      </c>
      <c r="S898" s="71"/>
    </row>
    <row r="899" spans="1:19" hidden="1">
      <c r="A899" s="70" t="s">
        <v>2420</v>
      </c>
      <c r="B899" s="71" t="str">
        <f>IFERROR(VLOOKUP(Proc[[#This Row],[App]],Table2[],3,0),"open")</f>
        <v>ok</v>
      </c>
      <c r="C899" s="70" t="s">
        <v>369</v>
      </c>
      <c r="D899" t="s">
        <v>2423</v>
      </c>
      <c r="E899" t="s">
        <v>418</v>
      </c>
      <c r="F899" s="105" t="s">
        <v>418</v>
      </c>
      <c r="G899" s="70" t="s">
        <v>400</v>
      </c>
      <c r="H899" s="71" t="str">
        <f>IF(Proc[[#This Row],[type]]="LFF (MDG-F)",MID(Proc[[#This Row],[Obj]],13,10),"")</f>
        <v/>
      </c>
      <c r="J899" s="71" t="b">
        <f>Proc[[#This Row],[Requested]]=Proc[[#This Row],[CurrentParent]]</f>
        <v>1</v>
      </c>
      <c r="K899" s="71" t="str">
        <f>IF(Proc[[#This Row],[Author]]="Marcela Urrego",VLOOKUP(LEFT(Proc[[#This Row],[Requested]],1),Table3[#All],2,0),VLOOKUP(Proc[[#This Row],[Author]],Table4[],2,0))</f>
        <v>MGF</v>
      </c>
      <c r="L899" s="32" t="s">
        <v>509</v>
      </c>
      <c r="M899" s="73">
        <v>45730.419768518521</v>
      </c>
      <c r="N899" s="73">
        <v>45733</v>
      </c>
      <c r="O899" s="73">
        <v>45733</v>
      </c>
      <c r="P899" s="72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2" t="s">
        <v>1076</v>
      </c>
      <c r="S899" s="71"/>
    </row>
    <row r="900" spans="1:19" hidden="1">
      <c r="A900" s="70" t="s">
        <v>2420</v>
      </c>
      <c r="B900" s="71" t="str">
        <f>IFERROR(VLOOKUP(Proc[[#This Row],[App]],Table2[],3,0),"open")</f>
        <v>ok</v>
      </c>
      <c r="C900" s="70" t="s">
        <v>369</v>
      </c>
      <c r="D900" t="s">
        <v>2424</v>
      </c>
      <c r="E900" t="s">
        <v>418</v>
      </c>
      <c r="F900" s="105" t="s">
        <v>418</v>
      </c>
      <c r="G900" s="70" t="s">
        <v>400</v>
      </c>
      <c r="H900" s="71" t="str">
        <f>IF(Proc[[#This Row],[type]]="LFF (MDG-F)",MID(Proc[[#This Row],[Obj]],13,10),"")</f>
        <v/>
      </c>
      <c r="J900" s="71" t="b">
        <f>Proc[[#This Row],[Requested]]=Proc[[#This Row],[CurrentParent]]</f>
        <v>1</v>
      </c>
      <c r="K900" s="71" t="str">
        <f>IF(Proc[[#This Row],[Author]]="Marcela Urrego",VLOOKUP(LEFT(Proc[[#This Row],[Requested]],1),Table3[#All],2,0),VLOOKUP(Proc[[#This Row],[Author]],Table4[],2,0))</f>
        <v>MGF</v>
      </c>
      <c r="L900" s="32" t="s">
        <v>509</v>
      </c>
      <c r="M900" s="73">
        <v>45730.419768518521</v>
      </c>
      <c r="N900" s="73">
        <v>45733</v>
      </c>
      <c r="O900" s="73">
        <v>45733</v>
      </c>
      <c r="P900" s="72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2" t="s">
        <v>1076</v>
      </c>
      <c r="S900" s="71"/>
    </row>
    <row r="901" spans="1:19" hidden="1">
      <c r="A901" s="70" t="s">
        <v>2420</v>
      </c>
      <c r="B901" s="71" t="str">
        <f>IFERROR(VLOOKUP(Proc[[#This Row],[App]],Table2[],3,0),"open")</f>
        <v>ok</v>
      </c>
      <c r="C901" s="70" t="s">
        <v>369</v>
      </c>
      <c r="D901" t="s">
        <v>2425</v>
      </c>
      <c r="E901" t="s">
        <v>2431</v>
      </c>
      <c r="F901" s="105" t="s">
        <v>2431</v>
      </c>
      <c r="G901" s="70" t="s">
        <v>400</v>
      </c>
      <c r="H901" s="71" t="str">
        <f>IF(Proc[[#This Row],[type]]="LFF (MDG-F)",MID(Proc[[#This Row],[Obj]],13,10),"")</f>
        <v/>
      </c>
      <c r="J901" s="71" t="b">
        <f>Proc[[#This Row],[Requested]]=Proc[[#This Row],[CurrentParent]]</f>
        <v>1</v>
      </c>
      <c r="K901" s="71" t="str">
        <f>IF(Proc[[#This Row],[Author]]="Marcela Urrego",VLOOKUP(LEFT(Proc[[#This Row],[Requested]],1),Table3[#All],2,0),VLOOKUP(Proc[[#This Row],[Author]],Table4[],2,0))</f>
        <v>MGF</v>
      </c>
      <c r="L901" s="32" t="s">
        <v>509</v>
      </c>
      <c r="M901" s="73">
        <v>45730.419768518521</v>
      </c>
      <c r="N901" s="73">
        <v>45733</v>
      </c>
      <c r="O901" s="73">
        <v>45733</v>
      </c>
      <c r="P901" s="72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2" t="s">
        <v>1076</v>
      </c>
      <c r="S901" s="71"/>
    </row>
    <row r="902" spans="1:19" hidden="1">
      <c r="A902" s="70" t="s">
        <v>2420</v>
      </c>
      <c r="B902" s="71" t="str">
        <f>IFERROR(VLOOKUP(Proc[[#This Row],[App]],Table2[],3,0),"open")</f>
        <v>ok</v>
      </c>
      <c r="C902" s="70" t="s">
        <v>369</v>
      </c>
      <c r="D902" t="s">
        <v>2426</v>
      </c>
      <c r="E902" t="s">
        <v>2432</v>
      </c>
      <c r="F902" s="105" t="s">
        <v>2432</v>
      </c>
      <c r="G902" s="70" t="s">
        <v>400</v>
      </c>
      <c r="H902" s="71" t="str">
        <f>IF(Proc[[#This Row],[type]]="LFF (MDG-F)",MID(Proc[[#This Row],[Obj]],13,10),"")</f>
        <v/>
      </c>
      <c r="J902" s="71" t="b">
        <f>Proc[[#This Row],[Requested]]=Proc[[#This Row],[CurrentParent]]</f>
        <v>1</v>
      </c>
      <c r="K902" s="71" t="str">
        <f>IF(Proc[[#This Row],[Author]]="Marcela Urrego",VLOOKUP(LEFT(Proc[[#This Row],[Requested]],1),Table3[#All],2,0),VLOOKUP(Proc[[#This Row],[Author]],Table4[],2,0))</f>
        <v>MGF</v>
      </c>
      <c r="L902" s="32" t="s">
        <v>509</v>
      </c>
      <c r="M902" s="73">
        <v>45730.419768518521</v>
      </c>
      <c r="N902" s="73">
        <v>45733</v>
      </c>
      <c r="O902" s="73">
        <v>45733</v>
      </c>
      <c r="P902" s="72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2" t="s">
        <v>1076</v>
      </c>
      <c r="S902" s="71"/>
    </row>
    <row r="903" spans="1:19" hidden="1">
      <c r="A903" s="70" t="s">
        <v>2420</v>
      </c>
      <c r="B903" s="71" t="str">
        <f>IFERROR(VLOOKUP(Proc[[#This Row],[App]],Table2[],3,0),"open")</f>
        <v>ok</v>
      </c>
      <c r="C903" s="70" t="s">
        <v>369</v>
      </c>
      <c r="D903" t="s">
        <v>2427</v>
      </c>
      <c r="E903" t="s">
        <v>2430</v>
      </c>
      <c r="F903" s="105" t="s">
        <v>2430</v>
      </c>
      <c r="G903" s="70" t="s">
        <v>400</v>
      </c>
      <c r="H903" s="71" t="str">
        <f>IF(Proc[[#This Row],[type]]="LFF (MDG-F)",MID(Proc[[#This Row],[Obj]],13,10),"")</f>
        <v/>
      </c>
      <c r="J903" s="71" t="b">
        <f>Proc[[#This Row],[Requested]]=Proc[[#This Row],[CurrentParent]]</f>
        <v>1</v>
      </c>
      <c r="K903" s="71" t="str">
        <f>IF(Proc[[#This Row],[Author]]="Marcela Urrego",VLOOKUP(LEFT(Proc[[#This Row],[Requested]],1),Table3[#All],2,0),VLOOKUP(Proc[[#This Row],[Author]],Table4[],2,0))</f>
        <v>MGF</v>
      </c>
      <c r="L903" s="32" t="s">
        <v>509</v>
      </c>
      <c r="M903" s="73">
        <v>45730.419768518521</v>
      </c>
      <c r="N903" s="73">
        <v>45733</v>
      </c>
      <c r="O903" s="73">
        <v>45733</v>
      </c>
      <c r="P903" s="72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2" t="s">
        <v>1076</v>
      </c>
      <c r="S903" s="71"/>
    </row>
    <row r="904" spans="1:19" hidden="1">
      <c r="A904" s="70" t="s">
        <v>2420</v>
      </c>
      <c r="B904" s="71" t="str">
        <f>IFERROR(VLOOKUP(Proc[[#This Row],[App]],Table2[],3,0),"open")</f>
        <v>ok</v>
      </c>
      <c r="C904" s="70" t="s">
        <v>369</v>
      </c>
      <c r="D904" t="s">
        <v>2428</v>
      </c>
      <c r="E904" t="s">
        <v>2430</v>
      </c>
      <c r="F904" s="105" t="s">
        <v>2430</v>
      </c>
      <c r="G904" s="70" t="s">
        <v>400</v>
      </c>
      <c r="H904" s="71" t="str">
        <f>IF(Proc[[#This Row],[type]]="LFF (MDG-F)",MID(Proc[[#This Row],[Obj]],13,10),"")</f>
        <v/>
      </c>
      <c r="J904" s="71" t="b">
        <f>Proc[[#This Row],[Requested]]=Proc[[#This Row],[CurrentParent]]</f>
        <v>1</v>
      </c>
      <c r="K904" s="71" t="str">
        <f>IF(Proc[[#This Row],[Author]]="Marcela Urrego",VLOOKUP(LEFT(Proc[[#This Row],[Requested]],1),Table3[#All],2,0),VLOOKUP(Proc[[#This Row],[Author]],Table4[],2,0))</f>
        <v>MGF</v>
      </c>
      <c r="L904" s="32" t="s">
        <v>509</v>
      </c>
      <c r="M904" s="73">
        <v>45730.419768518521</v>
      </c>
      <c r="N904" s="73">
        <v>45733</v>
      </c>
      <c r="O904" s="73">
        <v>45733</v>
      </c>
      <c r="P904" s="72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2" t="s">
        <v>1076</v>
      </c>
      <c r="S904" s="71"/>
    </row>
    <row r="905" spans="1:19" hidden="1">
      <c r="A905" t="s">
        <v>2420</v>
      </c>
      <c r="B905" s="71" t="str">
        <f>IFERROR(VLOOKUP(Proc[[#This Row],[App]],Table2[],3,0),"open")</f>
        <v>ok</v>
      </c>
      <c r="C905" s="70" t="s">
        <v>369</v>
      </c>
      <c r="D905" t="s">
        <v>2429</v>
      </c>
      <c r="E905" t="s">
        <v>2430</v>
      </c>
      <c r="F905" s="105" t="s">
        <v>2430</v>
      </c>
      <c r="G905" s="70" t="s">
        <v>400</v>
      </c>
      <c r="H905" s="71" t="str">
        <f>IF(Proc[[#This Row],[type]]="LFF (MDG-F)",MID(Proc[[#This Row],[Obj]],13,10),"")</f>
        <v/>
      </c>
      <c r="J905" s="71" t="b">
        <f>Proc[[#This Row],[Requested]]=Proc[[#This Row],[CurrentParent]]</f>
        <v>1</v>
      </c>
      <c r="K905" s="71" t="str">
        <f>IF(Proc[[#This Row],[Author]]="Marcela Urrego",VLOOKUP(LEFT(Proc[[#This Row],[Requested]],1),Table3[#All],2,0),VLOOKUP(Proc[[#This Row],[Author]],Table4[],2,0))</f>
        <v>MGF</v>
      </c>
      <c r="L905" s="32" t="s">
        <v>509</v>
      </c>
      <c r="M905" s="73">
        <v>45730.419768518521</v>
      </c>
      <c r="N905" s="73">
        <v>45733</v>
      </c>
      <c r="O905" s="73">
        <v>45733</v>
      </c>
      <c r="P905" s="72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2" t="s">
        <v>1076</v>
      </c>
      <c r="S905" s="71"/>
    </row>
    <row r="906" spans="1:19" hidden="1">
      <c r="A906" t="s">
        <v>2435</v>
      </c>
      <c r="B906" s="71" t="str">
        <f>IFERROR(VLOOKUP(Proc[[#This Row],[App]],Table2[],3,0),"open")</f>
        <v>ok</v>
      </c>
      <c r="C906" s="70" t="s">
        <v>369</v>
      </c>
      <c r="D906" t="s">
        <v>2433</v>
      </c>
      <c r="E906" t="s">
        <v>2434</v>
      </c>
      <c r="F906" s="105" t="s">
        <v>2434</v>
      </c>
      <c r="G906" t="s">
        <v>400</v>
      </c>
      <c r="H906" s="71" t="str">
        <f>IF(Proc[[#This Row],[type]]="LFF (MDG-F)",MID(Proc[[#This Row],[Obj]],13,10),"")</f>
        <v/>
      </c>
      <c r="J906" s="71" t="b">
        <f>Proc[[#This Row],[Requested]]=Proc[[#This Row],[CurrentParent]]</f>
        <v>1</v>
      </c>
      <c r="K906" s="71" t="str">
        <f>IF(Proc[[#This Row],[Author]]="Marcela Urrego",VLOOKUP(LEFT(Proc[[#This Row],[Requested]],1),Table3[#All],2,0),VLOOKUP(Proc[[#This Row],[Author]],Table4[],2,0))</f>
        <v>HC</v>
      </c>
      <c r="L906" s="32" t="s">
        <v>509</v>
      </c>
      <c r="M906" s="73">
        <v>45730.495949074073</v>
      </c>
      <c r="N906" s="73">
        <v>45733</v>
      </c>
      <c r="O906" s="73">
        <v>45733</v>
      </c>
      <c r="P906" s="72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2" t="s">
        <v>2436</v>
      </c>
      <c r="S906" s="71"/>
    </row>
    <row r="907" spans="1:19" hidden="1">
      <c r="A907" t="s">
        <v>2446</v>
      </c>
      <c r="B907" s="71" t="str">
        <f>IFERROR(VLOOKUP(Proc[[#This Row],[App]],Table2[],3,0),"open")</f>
        <v>ok</v>
      </c>
      <c r="C907" t="s">
        <v>369</v>
      </c>
      <c r="D907" s="75" t="s">
        <v>2445</v>
      </c>
      <c r="E907" t="s">
        <v>540</v>
      </c>
      <c r="F907" s="74" t="s">
        <v>540</v>
      </c>
      <c r="G907" s="70" t="s">
        <v>400</v>
      </c>
      <c r="H907" s="71" t="str">
        <f>IF(Proc[[#This Row],[type]]="LFF (MDG-F)",MID(Proc[[#This Row],[Obj]],13,10),"")</f>
        <v/>
      </c>
      <c r="J907" s="71" t="b">
        <f>Proc[[#This Row],[Requested]]=Proc[[#This Row],[CurrentParent]]</f>
        <v>1</v>
      </c>
      <c r="K907" s="71" t="str">
        <f>IF(Proc[[#This Row],[Author]]="Marcela Urrego",VLOOKUP(LEFT(Proc[[#This Row],[Requested]],1),Table3[#All],2,0),VLOOKUP(Proc[[#This Row],[Author]],Table4[],2,0))</f>
        <v>MGF</v>
      </c>
      <c r="L907" s="32" t="s">
        <v>509</v>
      </c>
      <c r="M907" s="73">
        <v>45733.760057870371</v>
      </c>
      <c r="P907" s="72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76</v>
      </c>
      <c r="R907" s="72" t="s">
        <v>515</v>
      </c>
      <c r="S907" s="71"/>
    </row>
    <row r="908" spans="1:19" hidden="1">
      <c r="A908" t="s">
        <v>2439</v>
      </c>
      <c r="B908" s="71" t="str">
        <f>IFERROR(VLOOKUP(Proc[[#This Row],[App]],Table2[],3,0),"open")</f>
        <v>ok</v>
      </c>
      <c r="C908" t="s">
        <v>369</v>
      </c>
      <c r="D908" s="74" t="s">
        <v>2437</v>
      </c>
      <c r="E908" t="s">
        <v>2438</v>
      </c>
      <c r="F908" s="105" t="s">
        <v>2438</v>
      </c>
      <c r="G908" t="s">
        <v>400</v>
      </c>
      <c r="H908" s="71" t="str">
        <f>IF(Proc[[#This Row],[type]]="LFF (MDG-F)",MID(Proc[[#This Row],[Obj]],13,10),"")</f>
        <v/>
      </c>
      <c r="J908" s="71" t="b">
        <f>Proc[[#This Row],[Requested]]=Proc[[#This Row],[CurrentParent]]</f>
        <v>1</v>
      </c>
      <c r="K908" s="71" t="str">
        <f>IF(Proc[[#This Row],[Author]]="Marcela Urrego",VLOOKUP(LEFT(Proc[[#This Row],[Requested]],1),Table3[#All],2,0),VLOOKUP(Proc[[#This Row],[Author]],Table4[],2,0))</f>
        <v>LS</v>
      </c>
      <c r="L908" s="32" t="s">
        <v>509</v>
      </c>
      <c r="M908" s="73">
        <v>45734.231157407405</v>
      </c>
      <c r="P908" s="72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75</v>
      </c>
      <c r="R908" s="72" t="s">
        <v>2440</v>
      </c>
      <c r="S908" s="71"/>
    </row>
    <row r="909" spans="1:19" hidden="1">
      <c r="A909" t="s">
        <v>2459</v>
      </c>
      <c r="B909" s="71" t="str">
        <f>IFERROR(VLOOKUP(Proc[[#This Row],[App]],Table2[],3,0),"open")</f>
        <v>ok</v>
      </c>
      <c r="C909" s="74" t="s">
        <v>398</v>
      </c>
      <c r="D909" t="s">
        <v>2447</v>
      </c>
      <c r="E909" t="s">
        <v>2458</v>
      </c>
      <c r="F909" s="105" t="s">
        <v>2458</v>
      </c>
      <c r="G909" t="s">
        <v>406</v>
      </c>
      <c r="H909" s="71" t="str">
        <f>IF(Proc[[#This Row],[type]]="LFF (MDG-F)",MID(Proc[[#This Row],[Obj]],13,10),"")</f>
        <v>2148TASA01</v>
      </c>
      <c r="I909" t="s">
        <v>2474</v>
      </c>
      <c r="J909" s="71" t="b">
        <f>Proc[[#This Row],[Requested]]=Proc[[#This Row],[CurrentParent]]</f>
        <v>1</v>
      </c>
      <c r="K909" s="71" t="str">
        <f>IF(Proc[[#This Row],[Author]]="Marcela Urrego",VLOOKUP(LEFT(Proc[[#This Row],[Requested]],1),Table3[#All],2,0),VLOOKUP(Proc[[#This Row],[Author]],Table4[],2,0))</f>
        <v>LS</v>
      </c>
      <c r="L909" s="32" t="s">
        <v>509</v>
      </c>
      <c r="M909" s="73">
        <v>45734.760057870371</v>
      </c>
      <c r="P909" s="72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75</v>
      </c>
      <c r="R909" s="72" t="s">
        <v>830</v>
      </c>
      <c r="S909" s="71"/>
    </row>
    <row r="910" spans="1:19" hidden="1">
      <c r="A910" s="74" t="s">
        <v>2459</v>
      </c>
      <c r="B910" s="71" t="str">
        <f>IFERROR(VLOOKUP(Proc[[#This Row],[App]],Table2[],3,0),"open")</f>
        <v>ok</v>
      </c>
      <c r="C910" s="74" t="s">
        <v>398</v>
      </c>
      <c r="D910" t="s">
        <v>2448</v>
      </c>
      <c r="E910" t="s">
        <v>2458</v>
      </c>
      <c r="F910" s="105" t="s">
        <v>2458</v>
      </c>
      <c r="G910" s="74" t="s">
        <v>406</v>
      </c>
      <c r="H910" s="71" t="str">
        <f>IF(Proc[[#This Row],[type]]="LFF (MDG-F)",MID(Proc[[#This Row],[Obj]],13,10),"")</f>
        <v>2148TASA99</v>
      </c>
      <c r="I910" s="74" t="s">
        <v>2474</v>
      </c>
      <c r="J910" s="71" t="b">
        <f>Proc[[#This Row],[Requested]]=Proc[[#This Row],[CurrentParent]]</f>
        <v>1</v>
      </c>
      <c r="K910" s="71" t="str">
        <f>IF(Proc[[#This Row],[Author]]="Marcela Urrego",VLOOKUP(LEFT(Proc[[#This Row],[Requested]],1),Table3[#All],2,0),VLOOKUP(Proc[[#This Row],[Author]],Table4[],2,0))</f>
        <v>LS</v>
      </c>
      <c r="L910" s="32" t="s">
        <v>509</v>
      </c>
      <c r="M910" s="73">
        <v>45734.760057870371</v>
      </c>
      <c r="P910" s="72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75</v>
      </c>
      <c r="R910" s="72" t="s">
        <v>830</v>
      </c>
      <c r="S910" s="71"/>
    </row>
    <row r="911" spans="1:19" hidden="1">
      <c r="A911" s="74" t="s">
        <v>2459</v>
      </c>
      <c r="B911" s="71" t="str">
        <f>IFERROR(VLOOKUP(Proc[[#This Row],[App]],Table2[],3,0),"open")</f>
        <v>ok</v>
      </c>
      <c r="C911" s="74" t="s">
        <v>398</v>
      </c>
      <c r="D911" t="s">
        <v>2449</v>
      </c>
      <c r="E911" t="s">
        <v>2458</v>
      </c>
      <c r="F911" s="105" t="s">
        <v>2458</v>
      </c>
      <c r="G911" s="74" t="s">
        <v>406</v>
      </c>
      <c r="H911" s="71" t="str">
        <f>IF(Proc[[#This Row],[type]]="LFF (MDG-F)",MID(Proc[[#This Row],[Obj]],13,10),"")</f>
        <v>2148TASB00</v>
      </c>
      <c r="I911" s="74" t="s">
        <v>2474</v>
      </c>
      <c r="J911" s="71" t="b">
        <f>Proc[[#This Row],[Requested]]=Proc[[#This Row],[CurrentParent]]</f>
        <v>1</v>
      </c>
      <c r="K911" s="71" t="str">
        <f>IF(Proc[[#This Row],[Author]]="Marcela Urrego",VLOOKUP(LEFT(Proc[[#This Row],[Requested]],1),Table3[#All],2,0),VLOOKUP(Proc[[#This Row],[Author]],Table4[],2,0))</f>
        <v>LS</v>
      </c>
      <c r="L911" s="32" t="s">
        <v>509</v>
      </c>
      <c r="M911" s="73">
        <v>45734.760057870371</v>
      </c>
      <c r="P911" s="72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75</v>
      </c>
      <c r="R911" s="72" t="s">
        <v>830</v>
      </c>
      <c r="S911" s="71"/>
    </row>
    <row r="912" spans="1:19" hidden="1">
      <c r="A912" s="74" t="s">
        <v>2459</v>
      </c>
      <c r="B912" s="71" t="str">
        <f>IFERROR(VLOOKUP(Proc[[#This Row],[App]],Table2[],3,0),"open")</f>
        <v>ok</v>
      </c>
      <c r="C912" s="74" t="s">
        <v>398</v>
      </c>
      <c r="D912" t="s">
        <v>2450</v>
      </c>
      <c r="E912" t="s">
        <v>2458</v>
      </c>
      <c r="F912" s="105" t="s">
        <v>2458</v>
      </c>
      <c r="G912" s="74" t="s">
        <v>406</v>
      </c>
      <c r="H912" s="71" t="str">
        <f>IF(Proc[[#This Row],[type]]="LFF (MDG-F)",MID(Proc[[#This Row],[Obj]],13,10),"")</f>
        <v>2148TASB01</v>
      </c>
      <c r="I912" s="74" t="s">
        <v>2474</v>
      </c>
      <c r="J912" s="71" t="b">
        <f>Proc[[#This Row],[Requested]]=Proc[[#This Row],[CurrentParent]]</f>
        <v>1</v>
      </c>
      <c r="K912" s="71" t="str">
        <f>IF(Proc[[#This Row],[Author]]="Marcela Urrego",VLOOKUP(LEFT(Proc[[#This Row],[Requested]],1),Table3[#All],2,0),VLOOKUP(Proc[[#This Row],[Author]],Table4[],2,0))</f>
        <v>LS</v>
      </c>
      <c r="L912" s="32" t="s">
        <v>509</v>
      </c>
      <c r="M912" s="73">
        <v>45734.760057870371</v>
      </c>
      <c r="P912" s="72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75</v>
      </c>
      <c r="R912" s="72" t="s">
        <v>830</v>
      </c>
      <c r="S912" s="71"/>
    </row>
    <row r="913" spans="1:19" hidden="1">
      <c r="A913" s="74" t="s">
        <v>2459</v>
      </c>
      <c r="B913" s="71" t="str">
        <f>IFERROR(VLOOKUP(Proc[[#This Row],[App]],Table2[],3,0),"open")</f>
        <v>ok</v>
      </c>
      <c r="C913" s="74" t="s">
        <v>398</v>
      </c>
      <c r="D913" t="s">
        <v>2451</v>
      </c>
      <c r="E913" t="s">
        <v>2458</v>
      </c>
      <c r="F913" s="105" t="s">
        <v>2458</v>
      </c>
      <c r="G913" s="74" t="s">
        <v>406</v>
      </c>
      <c r="H913" s="71" t="str">
        <f>IF(Proc[[#This Row],[type]]="LFF (MDG-F)",MID(Proc[[#This Row],[Obj]],13,10),"")</f>
        <v>2148TASB99</v>
      </c>
      <c r="I913" s="74" t="s">
        <v>2474</v>
      </c>
      <c r="J913" s="71" t="b">
        <f>Proc[[#This Row],[Requested]]=Proc[[#This Row],[CurrentParent]]</f>
        <v>1</v>
      </c>
      <c r="K913" s="71" t="str">
        <f>IF(Proc[[#This Row],[Author]]="Marcela Urrego",VLOOKUP(LEFT(Proc[[#This Row],[Requested]],1),Table3[#All],2,0),VLOOKUP(Proc[[#This Row],[Author]],Table4[],2,0))</f>
        <v>LS</v>
      </c>
      <c r="L913" s="32" t="s">
        <v>509</v>
      </c>
      <c r="M913" s="73">
        <v>45734.760057870371</v>
      </c>
      <c r="P913" s="72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75</v>
      </c>
      <c r="R913" s="72" t="s">
        <v>830</v>
      </c>
      <c r="S913" s="71"/>
    </row>
    <row r="914" spans="1:19" hidden="1">
      <c r="A914" s="74" t="s">
        <v>2459</v>
      </c>
      <c r="B914" s="71" t="str">
        <f>IFERROR(VLOOKUP(Proc[[#This Row],[App]],Table2[],3,0),"open")</f>
        <v>ok</v>
      </c>
      <c r="C914" s="74" t="s">
        <v>398</v>
      </c>
      <c r="D914" t="s">
        <v>2452</v>
      </c>
      <c r="E914" t="s">
        <v>2458</v>
      </c>
      <c r="F914" s="105" t="s">
        <v>2458</v>
      </c>
      <c r="G914" s="74" t="s">
        <v>406</v>
      </c>
      <c r="H914" s="71" t="str">
        <f>IF(Proc[[#This Row],[type]]="LFF (MDG-F)",MID(Proc[[#This Row],[Obj]],13,10),"")</f>
        <v>2148TBSZ20</v>
      </c>
      <c r="I914" s="74" t="s">
        <v>2474</v>
      </c>
      <c r="J914" s="71" t="b">
        <f>Proc[[#This Row],[Requested]]=Proc[[#This Row],[CurrentParent]]</f>
        <v>1</v>
      </c>
      <c r="K914" s="71" t="str">
        <f>IF(Proc[[#This Row],[Author]]="Marcela Urrego",VLOOKUP(LEFT(Proc[[#This Row],[Requested]],1),Table3[#All],2,0),VLOOKUP(Proc[[#This Row],[Author]],Table4[],2,0))</f>
        <v>LS</v>
      </c>
      <c r="L914" s="32" t="s">
        <v>509</v>
      </c>
      <c r="M914" s="73">
        <v>45734.760057870371</v>
      </c>
      <c r="P914" s="72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75</v>
      </c>
      <c r="R914" s="72" t="s">
        <v>830</v>
      </c>
      <c r="S914" s="71"/>
    </row>
    <row r="915" spans="1:19" hidden="1">
      <c r="A915" s="74" t="s">
        <v>2459</v>
      </c>
      <c r="B915" s="71" t="str">
        <f>IFERROR(VLOOKUP(Proc[[#This Row],[App]],Table2[],3,0),"open")</f>
        <v>ok</v>
      </c>
      <c r="C915" s="74" t="s">
        <v>398</v>
      </c>
      <c r="D915" t="s">
        <v>2453</v>
      </c>
      <c r="E915" t="s">
        <v>2458</v>
      </c>
      <c r="F915" s="105" t="s">
        <v>2458</v>
      </c>
      <c r="G915" s="74" t="s">
        <v>406</v>
      </c>
      <c r="H915" s="71" t="str">
        <f>IF(Proc[[#This Row],[type]]="LFF (MDG-F)",MID(Proc[[#This Row],[Obj]],13,10),"")</f>
        <v>2148TBSZ21</v>
      </c>
      <c r="I915" s="74" t="s">
        <v>2474</v>
      </c>
      <c r="J915" s="71" t="b">
        <f>Proc[[#This Row],[Requested]]=Proc[[#This Row],[CurrentParent]]</f>
        <v>1</v>
      </c>
      <c r="K915" s="71" t="str">
        <f>IF(Proc[[#This Row],[Author]]="Marcela Urrego",VLOOKUP(LEFT(Proc[[#This Row],[Requested]],1),Table3[#All],2,0),VLOOKUP(Proc[[#This Row],[Author]],Table4[],2,0))</f>
        <v>LS</v>
      </c>
      <c r="L915" s="32" t="s">
        <v>509</v>
      </c>
      <c r="M915" s="73">
        <v>45734.760057870371</v>
      </c>
      <c r="P915" s="72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75</v>
      </c>
      <c r="R915" s="72" t="s">
        <v>830</v>
      </c>
      <c r="S915" s="71"/>
    </row>
    <row r="916" spans="1:19" hidden="1">
      <c r="A916" s="74" t="s">
        <v>2459</v>
      </c>
      <c r="B916" s="71" t="str">
        <f>IFERROR(VLOOKUP(Proc[[#This Row],[App]],Table2[],3,0),"open")</f>
        <v>ok</v>
      </c>
      <c r="C916" s="74" t="s">
        <v>398</v>
      </c>
      <c r="D916" t="s">
        <v>2454</v>
      </c>
      <c r="E916" t="s">
        <v>2458</v>
      </c>
      <c r="F916" s="105" t="s">
        <v>2458</v>
      </c>
      <c r="G916" s="74" t="s">
        <v>406</v>
      </c>
      <c r="H916" s="71" t="str">
        <f>IF(Proc[[#This Row],[type]]="LFF (MDG-F)",MID(Proc[[#This Row],[Obj]],13,10),"")</f>
        <v>2148TFSZ64</v>
      </c>
      <c r="I916" s="74" t="s">
        <v>2474</v>
      </c>
      <c r="J916" s="71" t="b">
        <f>Proc[[#This Row],[Requested]]=Proc[[#This Row],[CurrentParent]]</f>
        <v>1</v>
      </c>
      <c r="K916" s="71" t="str">
        <f>IF(Proc[[#This Row],[Author]]="Marcela Urrego",VLOOKUP(LEFT(Proc[[#This Row],[Requested]],1),Table3[#All],2,0),VLOOKUP(Proc[[#This Row],[Author]],Table4[],2,0))</f>
        <v>LS</v>
      </c>
      <c r="L916" s="32" t="s">
        <v>509</v>
      </c>
      <c r="M916" s="73">
        <v>45734.760057870371</v>
      </c>
      <c r="P916" s="72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75</v>
      </c>
      <c r="R916" s="72" t="s">
        <v>830</v>
      </c>
      <c r="S916" s="71"/>
    </row>
    <row r="917" spans="1:19" hidden="1">
      <c r="A917" s="74" t="s">
        <v>2459</v>
      </c>
      <c r="B917" s="71" t="str">
        <f>IFERROR(VLOOKUP(Proc[[#This Row],[App]],Table2[],3,0),"open")</f>
        <v>ok</v>
      </c>
      <c r="C917" s="74" t="s">
        <v>398</v>
      </c>
      <c r="D917" t="s">
        <v>2455</v>
      </c>
      <c r="E917" t="s">
        <v>2458</v>
      </c>
      <c r="F917" s="105" t="s">
        <v>2458</v>
      </c>
      <c r="G917" s="74" t="s">
        <v>406</v>
      </c>
      <c r="H917" s="71" t="str">
        <f>IF(Proc[[#This Row],[type]]="LFF (MDG-F)",MID(Proc[[#This Row],[Obj]],13,10),"")</f>
        <v>2148TKSZ70</v>
      </c>
      <c r="I917" s="74" t="s">
        <v>2474</v>
      </c>
      <c r="J917" s="71" t="b">
        <f>Proc[[#This Row],[Requested]]=Proc[[#This Row],[CurrentParent]]</f>
        <v>1</v>
      </c>
      <c r="K917" s="71" t="str">
        <f>IF(Proc[[#This Row],[Author]]="Marcela Urrego",VLOOKUP(LEFT(Proc[[#This Row],[Requested]],1),Table3[#All],2,0),VLOOKUP(Proc[[#This Row],[Author]],Table4[],2,0))</f>
        <v>LS</v>
      </c>
      <c r="L917" s="32" t="s">
        <v>509</v>
      </c>
      <c r="M917" s="73">
        <v>45734.760057870371</v>
      </c>
      <c r="P917" s="72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75</v>
      </c>
      <c r="R917" s="72" t="s">
        <v>830</v>
      </c>
      <c r="S917" s="71"/>
    </row>
    <row r="918" spans="1:19" hidden="1">
      <c r="A918" s="74" t="s">
        <v>2459</v>
      </c>
      <c r="B918" s="71" t="str">
        <f>IFERROR(VLOOKUP(Proc[[#This Row],[App]],Table2[],3,0),"open")</f>
        <v>ok</v>
      </c>
      <c r="C918" s="74" t="s">
        <v>398</v>
      </c>
      <c r="D918" t="s">
        <v>2456</v>
      </c>
      <c r="E918" t="s">
        <v>2458</v>
      </c>
      <c r="F918" s="105" t="s">
        <v>2458</v>
      </c>
      <c r="G918" s="74" t="s">
        <v>406</v>
      </c>
      <c r="H918" s="71" t="str">
        <f>IF(Proc[[#This Row],[type]]="LFF (MDG-F)",MID(Proc[[#This Row],[Obj]],13,10),"")</f>
        <v>2148TQSZ91</v>
      </c>
      <c r="I918" s="74" t="s">
        <v>2474</v>
      </c>
      <c r="J918" s="71" t="b">
        <f>Proc[[#This Row],[Requested]]=Proc[[#This Row],[CurrentParent]]</f>
        <v>1</v>
      </c>
      <c r="K918" s="71" t="str">
        <f>IF(Proc[[#This Row],[Author]]="Marcela Urrego",VLOOKUP(LEFT(Proc[[#This Row],[Requested]],1),Table3[#All],2,0),VLOOKUP(Proc[[#This Row],[Author]],Table4[],2,0))</f>
        <v>LS</v>
      </c>
      <c r="L918" s="32" t="s">
        <v>509</v>
      </c>
      <c r="M918" s="73">
        <v>45734.760057870371</v>
      </c>
      <c r="P918" s="72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75</v>
      </c>
      <c r="R918" s="72" t="s">
        <v>830</v>
      </c>
      <c r="S918" s="71"/>
    </row>
    <row r="919" spans="1:19" hidden="1">
      <c r="A919" s="74" t="s">
        <v>2459</v>
      </c>
      <c r="B919" s="71" t="str">
        <f>IFERROR(VLOOKUP(Proc[[#This Row],[App]],Table2[],3,0),"open")</f>
        <v>ok</v>
      </c>
      <c r="C919" s="74" t="s">
        <v>398</v>
      </c>
      <c r="D919" t="s">
        <v>2457</v>
      </c>
      <c r="E919" t="s">
        <v>2458</v>
      </c>
      <c r="F919" s="105" t="s">
        <v>2458</v>
      </c>
      <c r="G919" s="74" t="s">
        <v>406</v>
      </c>
      <c r="H919" s="71" t="str">
        <f>IF(Proc[[#This Row],[type]]="LFF (MDG-F)",MID(Proc[[#This Row],[Obj]],13,10),"")</f>
        <v>2148TQSZ92</v>
      </c>
      <c r="I919" s="74" t="s">
        <v>2474</v>
      </c>
      <c r="J919" s="71" t="b">
        <f>Proc[[#This Row],[Requested]]=Proc[[#This Row],[CurrentParent]]</f>
        <v>1</v>
      </c>
      <c r="K919" s="71" t="str">
        <f>IF(Proc[[#This Row],[Author]]="Marcela Urrego",VLOOKUP(LEFT(Proc[[#This Row],[Requested]],1),Table3[#All],2,0),VLOOKUP(Proc[[#This Row],[Author]],Table4[],2,0))</f>
        <v>LS</v>
      </c>
      <c r="L919" s="32" t="s">
        <v>509</v>
      </c>
      <c r="M919" s="73">
        <v>45734.760057870371</v>
      </c>
      <c r="P919" s="72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75</v>
      </c>
      <c r="R919" s="72" t="s">
        <v>830</v>
      </c>
      <c r="S919" s="71"/>
    </row>
    <row r="920" spans="1:19" hidden="1">
      <c r="A920" t="s">
        <v>2460</v>
      </c>
      <c r="B920" s="71" t="str">
        <f>IFERROR(VLOOKUP(Proc[[#This Row],[App]],Table2[],3,0),"open")</f>
        <v>ok</v>
      </c>
      <c r="C920" s="74" t="s">
        <v>369</v>
      </c>
      <c r="D920" t="s">
        <v>2461</v>
      </c>
      <c r="E920" t="s">
        <v>2463</v>
      </c>
      <c r="F920" s="105" t="s">
        <v>2463</v>
      </c>
      <c r="G920" t="s">
        <v>400</v>
      </c>
      <c r="H920" s="71" t="str">
        <f>IF(Proc[[#This Row],[type]]="LFF (MDG-F)",MID(Proc[[#This Row],[Obj]],13,10),"")</f>
        <v/>
      </c>
      <c r="J920" s="71" t="b">
        <f>Proc[[#This Row],[Requested]]=Proc[[#This Row],[CurrentParent]]</f>
        <v>1</v>
      </c>
      <c r="K920" s="71" t="str">
        <f>IF(Proc[[#This Row],[Author]]="Marcela Urrego",VLOOKUP(LEFT(Proc[[#This Row],[Requested]],1),Table3[#All],2,0),VLOOKUP(Proc[[#This Row],[Author]],Table4[],2,0))</f>
        <v>LS</v>
      </c>
      <c r="L920" s="32" t="s">
        <v>509</v>
      </c>
      <c r="M920" s="73">
        <v>45734.760057870371</v>
      </c>
      <c r="N920" s="73">
        <v>45740</v>
      </c>
      <c r="O920" s="73">
        <v>45740</v>
      </c>
      <c r="P920" s="72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2" t="s">
        <v>972</v>
      </c>
      <c r="S920" s="71"/>
    </row>
    <row r="921" spans="1:19" hidden="1">
      <c r="A921" s="74" t="s">
        <v>2460</v>
      </c>
      <c r="B921" s="71" t="str">
        <f>IFERROR(VLOOKUP(Proc[[#This Row],[App]],Table2[],3,0),"open")</f>
        <v>ok</v>
      </c>
      <c r="C921" s="74" t="s">
        <v>369</v>
      </c>
      <c r="D921" t="s">
        <v>2462</v>
      </c>
      <c r="E921" t="s">
        <v>977</v>
      </c>
      <c r="F921" s="105" t="s">
        <v>977</v>
      </c>
      <c r="G921" s="74" t="s">
        <v>400</v>
      </c>
      <c r="H921" s="71" t="str">
        <f>IF(Proc[[#This Row],[type]]="LFF (MDG-F)",MID(Proc[[#This Row],[Obj]],13,10),"")</f>
        <v/>
      </c>
      <c r="J921" s="71" t="b">
        <f>Proc[[#This Row],[Requested]]=Proc[[#This Row],[CurrentParent]]</f>
        <v>1</v>
      </c>
      <c r="K921" s="71" t="str">
        <f>IF(Proc[[#This Row],[Author]]="Marcela Urrego",VLOOKUP(LEFT(Proc[[#This Row],[Requested]],1),Table3[#All],2,0),VLOOKUP(Proc[[#This Row],[Author]],Table4[],2,0))</f>
        <v>LS</v>
      </c>
      <c r="L921" s="32" t="s">
        <v>509</v>
      </c>
      <c r="M921" s="73">
        <v>45734.760057870371</v>
      </c>
      <c r="N921" s="73">
        <v>45740</v>
      </c>
      <c r="O921" s="73">
        <v>45740</v>
      </c>
      <c r="P921" s="72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2" t="s">
        <v>972</v>
      </c>
      <c r="S921" s="71"/>
    </row>
    <row r="922" spans="1:19" hidden="1">
      <c r="A922" t="s">
        <v>2464</v>
      </c>
      <c r="B922" s="71" t="str">
        <f>IFERROR(VLOOKUP(Proc[[#This Row],[App]],Table2[],3,0),"open")</f>
        <v>ok</v>
      </c>
      <c r="C922" s="74" t="s">
        <v>369</v>
      </c>
      <c r="D922" t="s">
        <v>2306</v>
      </c>
      <c r="E922" s="74" t="s">
        <v>2308</v>
      </c>
      <c r="F922" s="105" t="s">
        <v>2308</v>
      </c>
      <c r="G922" t="s">
        <v>406</v>
      </c>
      <c r="H922" s="71" t="str">
        <f>IF(Proc[[#This Row],[type]]="LFF (MDG-F)",MID(Proc[[#This Row],[Obj]],13,10),"")</f>
        <v>DE10698316</v>
      </c>
      <c r="J922" s="71" t="b">
        <f>Proc[[#This Row],[Requested]]=Proc[[#This Row],[CurrentParent]]</f>
        <v>1</v>
      </c>
      <c r="K922" s="71" t="str">
        <f>IF(Proc[[#This Row],[Author]]="Marcela Urrego",VLOOKUP(LEFT(Proc[[#This Row],[Requested]],1),Table3[#All],2,0),VLOOKUP(Proc[[#This Row],[Author]],Table4[],2,0))</f>
        <v>MGF</v>
      </c>
      <c r="L922" s="32" t="s">
        <v>509</v>
      </c>
      <c r="M922" s="73">
        <v>45734.760057870371</v>
      </c>
      <c r="N922" s="73">
        <v>45736</v>
      </c>
      <c r="O922" s="73">
        <v>45736</v>
      </c>
      <c r="P922" s="72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2" t="s">
        <v>515</v>
      </c>
      <c r="S922" s="71"/>
    </row>
    <row r="923" spans="1:19" hidden="1">
      <c r="A923" t="s">
        <v>2465</v>
      </c>
      <c r="B923" s="71" t="str">
        <f>IFERROR(VLOOKUP(Proc[[#This Row],[App]],Table2[],3,0),"open")</f>
        <v>ok</v>
      </c>
      <c r="C923" s="74" t="s">
        <v>369</v>
      </c>
      <c r="D923" t="s">
        <v>2466</v>
      </c>
      <c r="E923" t="s">
        <v>2467</v>
      </c>
      <c r="F923" s="105" t="s">
        <v>2467</v>
      </c>
      <c r="G923" t="s">
        <v>400</v>
      </c>
      <c r="H923" s="71" t="str">
        <f>IF(Proc[[#This Row],[type]]="LFF (MDG-F)",MID(Proc[[#This Row],[Obj]],13,10),"")</f>
        <v/>
      </c>
      <c r="J923" s="71" t="b">
        <f>Proc[[#This Row],[Requested]]=Proc[[#This Row],[CurrentParent]]</f>
        <v>1</v>
      </c>
      <c r="K923" s="71" t="str">
        <f>IF(Proc[[#This Row],[Author]]="Marcela Urrego",VLOOKUP(LEFT(Proc[[#This Row],[Requested]],1),Table3[#All],2,0),VLOOKUP(Proc[[#This Row],[Author]],Table4[],2,0))</f>
        <v>MGF</v>
      </c>
      <c r="L923" s="32" t="s">
        <v>509</v>
      </c>
      <c r="M923" s="73">
        <v>45734.760057870371</v>
      </c>
      <c r="N923" s="73">
        <v>45736</v>
      </c>
      <c r="O923" s="73">
        <v>45736</v>
      </c>
      <c r="P923" s="72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2" t="s">
        <v>1076</v>
      </c>
      <c r="S923" s="71"/>
    </row>
    <row r="924" spans="1:19" hidden="1">
      <c r="A924" t="s">
        <v>2469</v>
      </c>
      <c r="B924" s="71" t="str">
        <f>IFERROR(VLOOKUP(Proc[[#This Row],[App]],Table2[],3,0),"open")</f>
        <v>ok</v>
      </c>
      <c r="C924" s="74" t="s">
        <v>369</v>
      </c>
      <c r="D924" t="s">
        <v>2468</v>
      </c>
      <c r="E924" s="74" t="s">
        <v>2470</v>
      </c>
      <c r="F924" s="105" t="s">
        <v>2470</v>
      </c>
      <c r="G924" s="74" t="s">
        <v>400</v>
      </c>
      <c r="H924" s="71" t="str">
        <f>IF(Proc[[#This Row],[type]]="LFF (MDG-F)",MID(Proc[[#This Row],[Obj]],13,10),"")</f>
        <v/>
      </c>
      <c r="J924" s="71" t="b">
        <f>Proc[[#This Row],[Requested]]=Proc[[#This Row],[CurrentParent]]</f>
        <v>1</v>
      </c>
      <c r="K924" s="71" t="str">
        <f>IF(Proc[[#This Row],[Author]]="Marcela Urrego",VLOOKUP(LEFT(Proc[[#This Row],[Requested]],1),Table3[#All],2,0),VLOOKUP(Proc[[#This Row],[Author]],Table4[],2,0))</f>
        <v>MGF</v>
      </c>
      <c r="L924" s="32" t="s">
        <v>509</v>
      </c>
      <c r="M924" s="73">
        <v>45735.357986111114</v>
      </c>
      <c r="N924" s="73">
        <v>45736</v>
      </c>
      <c r="O924" s="73">
        <v>45736</v>
      </c>
      <c r="P924" s="76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3" t="s">
        <v>1076</v>
      </c>
      <c r="S924" s="71"/>
    </row>
    <row r="925" spans="1:19" hidden="1">
      <c r="A925" t="s">
        <v>2471</v>
      </c>
      <c r="B925" s="71" t="str">
        <f>IFERROR(VLOOKUP(Proc[[#This Row],[App]],Table2[],3,0),"open")</f>
        <v>ok</v>
      </c>
      <c r="C925" s="74" t="s">
        <v>369</v>
      </c>
      <c r="D925" t="s">
        <v>2472</v>
      </c>
      <c r="E925" t="s">
        <v>2473</v>
      </c>
      <c r="F925" s="105" t="s">
        <v>2473</v>
      </c>
      <c r="G925" s="74" t="s">
        <v>400</v>
      </c>
      <c r="H925" s="71" t="str">
        <f>IF(Proc[[#This Row],[type]]="LFF (MDG-F)",MID(Proc[[#This Row],[Obj]],13,10),"")</f>
        <v/>
      </c>
      <c r="J925" s="71" t="b">
        <f>Proc[[#This Row],[Requested]]=Proc[[#This Row],[CurrentParent]]</f>
        <v>1</v>
      </c>
      <c r="K925" s="71" t="str">
        <f>IF(Proc[[#This Row],[Author]]="Marcela Urrego",VLOOKUP(LEFT(Proc[[#This Row],[Requested]],1),Table3[#All],2,0),VLOOKUP(Proc[[#This Row],[Author]],Table4[],2,0))</f>
        <v>MGF</v>
      </c>
      <c r="L925" s="32" t="s">
        <v>509</v>
      </c>
      <c r="M925" s="73">
        <v>45735.557951388888</v>
      </c>
      <c r="N925" s="73">
        <v>45736</v>
      </c>
      <c r="O925" s="73">
        <v>45736</v>
      </c>
      <c r="P925" s="76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3" t="s">
        <v>1076</v>
      </c>
      <c r="S925" s="71"/>
    </row>
    <row r="926" spans="1:19" hidden="1">
      <c r="A926" t="s">
        <v>2478</v>
      </c>
      <c r="B926" s="71" t="str">
        <f>IFERROR(VLOOKUP(Proc[[#This Row],[App]],Table2[],3,0),"open")</f>
        <v>ok</v>
      </c>
      <c r="C926" t="s">
        <v>369</v>
      </c>
      <c r="D926" t="s">
        <v>2479</v>
      </c>
      <c r="E926" t="s">
        <v>2482</v>
      </c>
      <c r="F926" s="105" t="s">
        <v>2482</v>
      </c>
      <c r="G926" s="74" t="s">
        <v>406</v>
      </c>
      <c r="H926" s="71" t="str">
        <f>IF(Proc[[#This Row],[type]]="LFF (MDG-F)",MID(Proc[[#This Row],[Obj]],13,10),"")</f>
        <v>US01OF0102</v>
      </c>
      <c r="I926" t="s">
        <v>2483</v>
      </c>
      <c r="J926" s="71" t="b">
        <f>Proc[[#This Row],[Requested]]=Proc[[#This Row],[CurrentParent]]</f>
        <v>1</v>
      </c>
      <c r="K926" s="71" t="str">
        <f>IF(Proc[[#This Row],[Author]]="Marcela Urrego",VLOOKUP(LEFT(Proc[[#This Row],[Requested]],1),Table3[#All],2,0),VLOOKUP(Proc[[#This Row],[Author]],Table4[],2,0))</f>
        <v>MGF</v>
      </c>
      <c r="L926" s="32" t="s">
        <v>509</v>
      </c>
      <c r="M926" s="73">
        <v>45737.568136574075</v>
      </c>
      <c r="N926" s="73">
        <v>45743</v>
      </c>
      <c r="O926" s="73">
        <v>45743</v>
      </c>
      <c r="P926" s="76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6" t="s">
        <v>1076</v>
      </c>
      <c r="S926" s="71"/>
    </row>
    <row r="927" spans="1:19" hidden="1">
      <c r="A927" t="s">
        <v>2478</v>
      </c>
      <c r="B927" s="71" t="str">
        <f>IFERROR(VLOOKUP(Proc[[#This Row],[App]],Table2[],3,0),"open")</f>
        <v>ok</v>
      </c>
      <c r="C927" s="74" t="s">
        <v>369</v>
      </c>
      <c r="D927" t="s">
        <v>2480</v>
      </c>
      <c r="E927" t="s">
        <v>2044</v>
      </c>
      <c r="F927" s="105" t="s">
        <v>2044</v>
      </c>
      <c r="G927" s="74" t="s">
        <v>400</v>
      </c>
      <c r="H927" s="71" t="str">
        <f>IF(Proc[[#This Row],[type]]="LFF (MDG-F)",MID(Proc[[#This Row],[Obj]],13,10),"")</f>
        <v/>
      </c>
      <c r="J927" s="71" t="b">
        <f>Proc[[#This Row],[Requested]]=Proc[[#This Row],[CurrentParent]]</f>
        <v>1</v>
      </c>
      <c r="K927" s="71" t="str">
        <f>IF(Proc[[#This Row],[Author]]="Marcela Urrego",VLOOKUP(LEFT(Proc[[#This Row],[Requested]],1),Table3[#All],2,0),VLOOKUP(Proc[[#This Row],[Author]],Table4[],2,0))</f>
        <v>MGF</v>
      </c>
      <c r="L927" s="32" t="s">
        <v>509</v>
      </c>
      <c r="M927" s="73">
        <v>45737.568136574075</v>
      </c>
      <c r="N927" s="73">
        <v>45743</v>
      </c>
      <c r="O927" s="73">
        <v>45743</v>
      </c>
      <c r="P927" s="76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6" t="s">
        <v>1076</v>
      </c>
      <c r="S927" s="71"/>
    </row>
    <row r="928" spans="1:19" hidden="1">
      <c r="A928" s="74" t="s">
        <v>2478</v>
      </c>
      <c r="B928" s="71" t="str">
        <f>IFERROR(VLOOKUP(Proc[[#This Row],[App]],Table2[],3,0),"open")</f>
        <v>ok</v>
      </c>
      <c r="C928" s="74" t="s">
        <v>369</v>
      </c>
      <c r="D928" t="s">
        <v>2040</v>
      </c>
      <c r="E928" t="s">
        <v>1249</v>
      </c>
      <c r="F928" s="105" t="s">
        <v>1249</v>
      </c>
      <c r="G928" t="s">
        <v>400</v>
      </c>
      <c r="H928" s="71" t="str">
        <f>IF(Proc[[#This Row],[type]]="LFF (MDG-F)",MID(Proc[[#This Row],[Obj]],13,10),"")</f>
        <v/>
      </c>
      <c r="J928" s="71" t="b">
        <f>Proc[[#This Row],[Requested]]=Proc[[#This Row],[CurrentParent]]</f>
        <v>1</v>
      </c>
      <c r="K928" s="71" t="str">
        <f>IF(Proc[[#This Row],[Author]]="Marcela Urrego",VLOOKUP(LEFT(Proc[[#This Row],[Requested]],1),Table3[#All],2,0),VLOOKUP(Proc[[#This Row],[Author]],Table4[],2,0))</f>
        <v>MGF</v>
      </c>
      <c r="L928" s="32" t="s">
        <v>509</v>
      </c>
      <c r="M928" s="73">
        <v>45737.568136574075</v>
      </c>
      <c r="N928" s="73">
        <v>45743</v>
      </c>
      <c r="O928" s="73">
        <v>45743</v>
      </c>
      <c r="P928" s="76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6" t="s">
        <v>1076</v>
      </c>
      <c r="S928" s="71"/>
    </row>
    <row r="929" spans="1:19" hidden="1">
      <c r="A929" s="74" t="s">
        <v>2478</v>
      </c>
      <c r="B929" s="71" t="str">
        <f>IFERROR(VLOOKUP(Proc[[#This Row],[App]],Table2[],3,0),"open")</f>
        <v>ok</v>
      </c>
      <c r="C929" s="74" t="s">
        <v>369</v>
      </c>
      <c r="D929" t="s">
        <v>2481</v>
      </c>
      <c r="E929" t="s">
        <v>2044</v>
      </c>
      <c r="F929" s="105" t="s">
        <v>2044</v>
      </c>
      <c r="G929" s="74" t="s">
        <v>406</v>
      </c>
      <c r="H929" s="71" t="str">
        <f>IF(Proc[[#This Row],[type]]="LFF (MDG-F)",MID(Proc[[#This Row],[Obj]],13,10),"")</f>
        <v>CN90GM1271</v>
      </c>
      <c r="J929" s="71" t="b">
        <f>Proc[[#This Row],[Requested]]=Proc[[#This Row],[CurrentParent]]</f>
        <v>1</v>
      </c>
      <c r="K929" s="71" t="str">
        <f>IF(Proc[[#This Row],[Author]]="Marcela Urrego",VLOOKUP(LEFT(Proc[[#This Row],[Requested]],1),Table3[#All],2,0),VLOOKUP(Proc[[#This Row],[Author]],Table4[],2,0))</f>
        <v>MGF</v>
      </c>
      <c r="L929" s="32" t="s">
        <v>509</v>
      </c>
      <c r="M929" s="73">
        <v>45737.568136574075</v>
      </c>
      <c r="N929" s="73">
        <v>45743</v>
      </c>
      <c r="O929" s="73">
        <v>45743</v>
      </c>
      <c r="P929" s="76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6" t="s">
        <v>1076</v>
      </c>
      <c r="S929" s="71"/>
    </row>
    <row r="930" spans="1:19" hidden="1">
      <c r="A930" s="74" t="s">
        <v>2475</v>
      </c>
      <c r="B930" s="71" t="str">
        <f>IFERROR(VLOOKUP(Proc[[#This Row],[App]],Table2[],3,0),"open")</f>
        <v>ok</v>
      </c>
      <c r="C930" s="74" t="s">
        <v>369</v>
      </c>
      <c r="D930" t="s">
        <v>2476</v>
      </c>
      <c r="E930" t="s">
        <v>2477</v>
      </c>
      <c r="F930" s="105" t="s">
        <v>2477</v>
      </c>
      <c r="G930" s="74" t="s">
        <v>406</v>
      </c>
      <c r="H930" s="71" t="str">
        <f>IF(Proc[[#This Row],[type]]="LFF (MDG-F)",MID(Proc[[#This Row],[Obj]],13,10),"")</f>
        <v>DE10GM2000</v>
      </c>
      <c r="J930" s="71" t="b">
        <f>Proc[[#This Row],[Requested]]=Proc[[#This Row],[CurrentParent]]</f>
        <v>1</v>
      </c>
      <c r="K930" s="71" t="str">
        <f>IF(Proc[[#This Row],[Author]]="Marcela Urrego",VLOOKUP(LEFT(Proc[[#This Row],[Requested]],1),Table3[#All],2,0),VLOOKUP(Proc[[#This Row],[Author]],Table4[],2,0))</f>
        <v>MGF</v>
      </c>
      <c r="L930" s="32" t="s">
        <v>509</v>
      </c>
      <c r="M930" s="73">
        <v>45737.584166666667</v>
      </c>
      <c r="N930" s="73">
        <v>45741</v>
      </c>
      <c r="O930" s="73">
        <v>45741</v>
      </c>
      <c r="P930" s="76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6" t="s">
        <v>515</v>
      </c>
      <c r="S930" s="71"/>
    </row>
    <row r="931" spans="1:19" hidden="1">
      <c r="A931" t="s">
        <v>2488</v>
      </c>
      <c r="B931" s="71" t="str">
        <f>IFERROR(VLOOKUP(Proc[[#This Row],[App]],Table2[],3,0),"open")</f>
        <v>ok</v>
      </c>
      <c r="C931" s="74" t="s">
        <v>369</v>
      </c>
      <c r="D931" t="s">
        <v>2484</v>
      </c>
      <c r="E931" t="s">
        <v>2487</v>
      </c>
      <c r="F931" s="105" t="s">
        <v>2487</v>
      </c>
      <c r="H931" s="71" t="str">
        <f>IF(Proc[[#This Row],[type]]="LFF (MDG-F)",MID(Proc[[#This Row],[Obj]],13,10),"")</f>
        <v/>
      </c>
      <c r="J931" s="71" t="b">
        <f>Proc[[#This Row],[Requested]]=Proc[[#This Row],[CurrentParent]]</f>
        <v>1</v>
      </c>
      <c r="K931" s="71" t="str">
        <f>IF(Proc[[#This Row],[Author]]="Marcela Urrego",VLOOKUP(LEFT(Proc[[#This Row],[Requested]],1),Table3[#All],2,0),VLOOKUP(Proc[[#This Row],[Author]],Table4[],2,0))</f>
        <v>LS</v>
      </c>
      <c r="L931" s="32" t="s">
        <v>509</v>
      </c>
      <c r="M931" s="73">
        <v>45741.382430555554</v>
      </c>
      <c r="N931" s="73">
        <v>45742</v>
      </c>
      <c r="O931" s="73">
        <v>45742</v>
      </c>
      <c r="P931" s="76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6" t="s">
        <v>972</v>
      </c>
      <c r="S931" s="71"/>
    </row>
    <row r="932" spans="1:19" hidden="1">
      <c r="A932" s="74" t="s">
        <v>2488</v>
      </c>
      <c r="B932" s="71" t="str">
        <f>IFERROR(VLOOKUP(Proc[[#This Row],[App]],Table2[],3,0),"open")</f>
        <v>ok</v>
      </c>
      <c r="C932" s="74" t="s">
        <v>369</v>
      </c>
      <c r="D932" t="s">
        <v>2485</v>
      </c>
      <c r="E932" t="s">
        <v>2377</v>
      </c>
      <c r="F932" s="105" t="s">
        <v>2377</v>
      </c>
      <c r="H932" s="71" t="str">
        <f>IF(Proc[[#This Row],[type]]="LFF (MDG-F)",MID(Proc[[#This Row],[Obj]],13,10),"")</f>
        <v/>
      </c>
      <c r="J932" s="71" t="b">
        <f>Proc[[#This Row],[Requested]]=Proc[[#This Row],[CurrentParent]]</f>
        <v>1</v>
      </c>
      <c r="K932" s="71" t="str">
        <f>IF(Proc[[#This Row],[Author]]="Marcela Urrego",VLOOKUP(LEFT(Proc[[#This Row],[Requested]],1),Table3[#All],2,0),VLOOKUP(Proc[[#This Row],[Author]],Table4[],2,0))</f>
        <v>LS</v>
      </c>
      <c r="L932" s="32" t="s">
        <v>509</v>
      </c>
      <c r="M932" s="73">
        <v>45741.382430555554</v>
      </c>
      <c r="N932" s="73">
        <v>45742</v>
      </c>
      <c r="O932" s="73">
        <v>45742</v>
      </c>
      <c r="P932" s="76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6" t="s">
        <v>972</v>
      </c>
      <c r="S932" s="71"/>
    </row>
    <row r="933" spans="1:19" hidden="1">
      <c r="A933" s="74" t="s">
        <v>2488</v>
      </c>
      <c r="B933" s="71" t="str">
        <f>IFERROR(VLOOKUP(Proc[[#This Row],[App]],Table2[],3,0),"open")</f>
        <v>ok</v>
      </c>
      <c r="C933" s="74" t="s">
        <v>369</v>
      </c>
      <c r="D933" t="s">
        <v>2486</v>
      </c>
      <c r="E933" t="s">
        <v>1361</v>
      </c>
      <c r="F933" s="105" t="s">
        <v>1361</v>
      </c>
      <c r="H933" s="71" t="str">
        <f>IF(Proc[[#This Row],[type]]="LFF (MDG-F)",MID(Proc[[#This Row],[Obj]],13,10),"")</f>
        <v/>
      </c>
      <c r="J933" s="71" t="b">
        <f>Proc[[#This Row],[Requested]]=Proc[[#This Row],[CurrentParent]]</f>
        <v>1</v>
      </c>
      <c r="K933" s="71" t="str">
        <f>IF(Proc[[#This Row],[Author]]="Marcela Urrego",VLOOKUP(LEFT(Proc[[#This Row],[Requested]],1),Table3[#All],2,0),VLOOKUP(Proc[[#This Row],[Author]],Table4[],2,0))</f>
        <v>LS</v>
      </c>
      <c r="L933" s="32" t="s">
        <v>509</v>
      </c>
      <c r="M933" s="73">
        <v>45741.382430555554</v>
      </c>
      <c r="N933" s="73">
        <v>45742</v>
      </c>
      <c r="O933" s="73">
        <v>45742</v>
      </c>
      <c r="P933" s="76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6" t="s">
        <v>972</v>
      </c>
      <c r="S933" s="71"/>
    </row>
    <row r="934" spans="1:19" hidden="1">
      <c r="A934" t="s">
        <v>2497</v>
      </c>
      <c r="B934" s="71" t="str">
        <f>IFERROR(VLOOKUP(Proc[[#This Row],[App]],Table2[],3,0),"open")</f>
        <v>ok</v>
      </c>
      <c r="C934" s="74" t="s">
        <v>369</v>
      </c>
      <c r="D934" t="s">
        <v>2489</v>
      </c>
      <c r="E934" t="s">
        <v>2493</v>
      </c>
      <c r="F934" s="105" t="s">
        <v>2493</v>
      </c>
      <c r="G934" t="s">
        <v>400</v>
      </c>
      <c r="H934" s="71" t="str">
        <f>IF(Proc[[#This Row],[type]]="LFF (MDG-F)",MID(Proc[[#This Row],[Obj]],13,10),"")</f>
        <v/>
      </c>
      <c r="J934" s="71" t="b">
        <f>Proc[[#This Row],[Requested]]=Proc[[#This Row],[CurrentParent]]</f>
        <v>1</v>
      </c>
      <c r="K934" s="71" t="str">
        <f>IF(Proc[[#This Row],[Author]]="Marcela Urrego",VLOOKUP(LEFT(Proc[[#This Row],[Requested]],1),Table3[#All],2,0),VLOOKUP(Proc[[#This Row],[Author]],Table4[],2,0))</f>
        <v>LS</v>
      </c>
      <c r="L934" s="32" t="s">
        <v>509</v>
      </c>
      <c r="M934" s="73">
        <v>45742.539895833332</v>
      </c>
      <c r="N934" s="73">
        <v>45744</v>
      </c>
      <c r="O934" s="73">
        <v>45744</v>
      </c>
      <c r="P934" s="76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6" t="s">
        <v>489</v>
      </c>
      <c r="S934" s="71"/>
    </row>
    <row r="935" spans="1:19" hidden="1">
      <c r="A935" s="74" t="s">
        <v>2497</v>
      </c>
      <c r="B935" s="71" t="str">
        <f>IFERROR(VLOOKUP(Proc[[#This Row],[App]],Table2[],3,0),"open")</f>
        <v>ok</v>
      </c>
      <c r="C935" s="74" t="s">
        <v>369</v>
      </c>
      <c r="D935" t="s">
        <v>2490</v>
      </c>
      <c r="E935" t="s">
        <v>2494</v>
      </c>
      <c r="F935" s="105" t="s">
        <v>2494</v>
      </c>
      <c r="G935" s="74" t="s">
        <v>406</v>
      </c>
      <c r="H935" s="71" t="str">
        <f>IF(Proc[[#This Row],[type]]="LFF (MDG-F)",MID(Proc[[#This Row],[Obj]],13,10),"")</f>
        <v>1919TQSZ93</v>
      </c>
      <c r="J935" s="71" t="b">
        <f>Proc[[#This Row],[Requested]]=Proc[[#This Row],[CurrentParent]]</f>
        <v>1</v>
      </c>
      <c r="K935" s="71" t="str">
        <f>IF(Proc[[#This Row],[Author]]="Marcela Urrego",VLOOKUP(LEFT(Proc[[#This Row],[Requested]],1),Table3[#All],2,0),VLOOKUP(Proc[[#This Row],[Author]],Table4[],2,0))</f>
        <v>LS</v>
      </c>
      <c r="L935" s="32" t="s">
        <v>509</v>
      </c>
      <c r="M935" s="73">
        <v>45742.539895833332</v>
      </c>
      <c r="N935" s="73">
        <v>45744</v>
      </c>
      <c r="O935" s="73">
        <v>45744</v>
      </c>
      <c r="P935" s="76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6" t="s">
        <v>489</v>
      </c>
      <c r="S935" s="71"/>
    </row>
    <row r="936" spans="1:19" hidden="1">
      <c r="A936" s="74" t="s">
        <v>2497</v>
      </c>
      <c r="B936" s="71" t="str">
        <f>IFERROR(VLOOKUP(Proc[[#This Row],[App]],Table2[],3,0),"open")</f>
        <v>ok</v>
      </c>
      <c r="C936" s="74" t="s">
        <v>369</v>
      </c>
      <c r="D936" t="s">
        <v>2491</v>
      </c>
      <c r="E936" t="s">
        <v>2495</v>
      </c>
      <c r="F936" s="105" t="s">
        <v>2495</v>
      </c>
      <c r="G936" s="74" t="s">
        <v>400</v>
      </c>
      <c r="H936" s="71" t="str">
        <f>IF(Proc[[#This Row],[type]]="LFF (MDG-F)",MID(Proc[[#This Row],[Obj]],13,10),"")</f>
        <v/>
      </c>
      <c r="J936" s="71" t="b">
        <f>Proc[[#This Row],[Requested]]=Proc[[#This Row],[CurrentParent]]</f>
        <v>1</v>
      </c>
      <c r="K936" s="71" t="str">
        <f>IF(Proc[[#This Row],[Author]]="Marcela Urrego",VLOOKUP(LEFT(Proc[[#This Row],[Requested]],1),Table3[#All],2,0),VLOOKUP(Proc[[#This Row],[Author]],Table4[],2,0))</f>
        <v>LS</v>
      </c>
      <c r="L936" s="32" t="s">
        <v>509</v>
      </c>
      <c r="M936" s="73">
        <v>45742.539895833332</v>
      </c>
      <c r="N936" s="73">
        <v>45744</v>
      </c>
      <c r="O936" s="73">
        <v>45744</v>
      </c>
      <c r="P936" s="76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6" t="s">
        <v>489</v>
      </c>
      <c r="S936" s="71"/>
    </row>
    <row r="937" spans="1:19" hidden="1">
      <c r="A937" s="74" t="s">
        <v>2497</v>
      </c>
      <c r="B937" s="71" t="str">
        <f>IFERROR(VLOOKUP(Proc[[#This Row],[App]],Table2[],3,0),"open")</f>
        <v>ok</v>
      </c>
      <c r="C937" s="74" t="s">
        <v>369</v>
      </c>
      <c r="D937" t="s">
        <v>2492</v>
      </c>
      <c r="E937" t="s">
        <v>2496</v>
      </c>
      <c r="F937" s="105" t="s">
        <v>2496</v>
      </c>
      <c r="G937" s="74" t="s">
        <v>400</v>
      </c>
      <c r="H937" s="71" t="str">
        <f>IF(Proc[[#This Row],[type]]="LFF (MDG-F)",MID(Proc[[#This Row],[Obj]],13,10),"")</f>
        <v/>
      </c>
      <c r="J937" s="71" t="b">
        <f>Proc[[#This Row],[Requested]]=Proc[[#This Row],[CurrentParent]]</f>
        <v>1</v>
      </c>
      <c r="K937" s="71" t="str">
        <f>IF(Proc[[#This Row],[Author]]="Marcela Urrego",VLOOKUP(LEFT(Proc[[#This Row],[Requested]],1),Table3[#All],2,0),VLOOKUP(Proc[[#This Row],[Author]],Table4[],2,0))</f>
        <v>LS</v>
      </c>
      <c r="L937" s="32" t="s">
        <v>509</v>
      </c>
      <c r="M937" s="73">
        <v>45742.539895833332</v>
      </c>
      <c r="N937" s="73">
        <v>45744</v>
      </c>
      <c r="O937" s="73">
        <v>45744</v>
      </c>
      <c r="P937" s="76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6" t="s">
        <v>489</v>
      </c>
      <c r="S937" s="71"/>
    </row>
    <row r="938" spans="1:19" hidden="1">
      <c r="A938" t="s">
        <v>2523</v>
      </c>
      <c r="B938" s="71" t="str">
        <f>IFERROR(VLOOKUP(Proc[[#This Row],[App]],Table2[],3,0),"open")</f>
        <v>ok</v>
      </c>
      <c r="C938" s="74" t="s">
        <v>369</v>
      </c>
      <c r="D938" t="s">
        <v>2513</v>
      </c>
      <c r="E938" t="s">
        <v>2522</v>
      </c>
      <c r="F938" s="105" t="s">
        <v>2522</v>
      </c>
      <c r="G938" s="74" t="s">
        <v>406</v>
      </c>
      <c r="H938" s="71" t="str">
        <f>IF(Proc[[#This Row],[type]]="LFF (MDG-F)",MID(Proc[[#This Row],[Obj]],13,10),"")</f>
        <v>IT50C02000</v>
      </c>
      <c r="J938" s="71" t="b">
        <f>Proc[[#This Row],[Requested]]=Proc[[#This Row],[CurrentParent]]</f>
        <v>1</v>
      </c>
      <c r="K938" s="71" t="str">
        <f>IF(Proc[[#This Row],[Author]]="Marcela Urrego",VLOOKUP(LEFT(Proc[[#This Row],[Requested]],1),Table3[#All],2,0),VLOOKUP(Proc[[#This Row],[Author]],Table4[],2,0))</f>
        <v>HC</v>
      </c>
      <c r="L938" s="32" t="s">
        <v>509</v>
      </c>
      <c r="M938" s="73">
        <v>45743.430810185186</v>
      </c>
      <c r="N938" s="73">
        <v>45749</v>
      </c>
      <c r="O938" s="73">
        <v>45749</v>
      </c>
      <c r="P938" s="76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6" t="s">
        <v>2524</v>
      </c>
      <c r="S938" s="71"/>
    </row>
    <row r="939" spans="1:19" hidden="1">
      <c r="A939" s="74" t="s">
        <v>2523</v>
      </c>
      <c r="B939" s="71" t="str">
        <f>IFERROR(VLOOKUP(Proc[[#This Row],[App]],Table2[],3,0),"open")</f>
        <v>ok</v>
      </c>
      <c r="C939" s="74" t="s">
        <v>369</v>
      </c>
      <c r="D939" t="s">
        <v>2514</v>
      </c>
      <c r="E939" t="s">
        <v>2522</v>
      </c>
      <c r="F939" s="105" t="s">
        <v>2522</v>
      </c>
      <c r="G939" s="74" t="s">
        <v>406</v>
      </c>
      <c r="H939" s="71" t="str">
        <f>IF(Proc[[#This Row],[type]]="LFF (MDG-F)",MID(Proc[[#This Row],[Obj]],13,10),"")</f>
        <v>IT50C02004</v>
      </c>
      <c r="J939" s="71" t="b">
        <f>Proc[[#This Row],[Requested]]=Proc[[#This Row],[CurrentParent]]</f>
        <v>1</v>
      </c>
      <c r="K939" s="71" t="str">
        <f>IF(Proc[[#This Row],[Author]]="Marcela Urrego",VLOOKUP(LEFT(Proc[[#This Row],[Requested]],1),Table3[#All],2,0),VLOOKUP(Proc[[#This Row],[Author]],Table4[],2,0))</f>
        <v>HC</v>
      </c>
      <c r="L939" s="32" t="s">
        <v>509</v>
      </c>
      <c r="M939" s="73">
        <v>45743.430810185186</v>
      </c>
      <c r="N939" s="73">
        <v>45749</v>
      </c>
      <c r="O939" s="73">
        <v>45749</v>
      </c>
      <c r="P939" s="76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6" t="s">
        <v>2524</v>
      </c>
      <c r="S939" s="71"/>
    </row>
    <row r="940" spans="1:19" hidden="1">
      <c r="A940" s="74" t="s">
        <v>2523</v>
      </c>
      <c r="B940" s="71" t="str">
        <f>IFERROR(VLOOKUP(Proc[[#This Row],[App]],Table2[],3,0),"open")</f>
        <v>ok</v>
      </c>
      <c r="C940" s="74" t="s">
        <v>369</v>
      </c>
      <c r="D940" t="s">
        <v>2515</v>
      </c>
      <c r="E940" t="s">
        <v>2522</v>
      </c>
      <c r="F940" s="105" t="s">
        <v>2522</v>
      </c>
      <c r="G940" s="74" t="s">
        <v>406</v>
      </c>
      <c r="H940" s="71" t="str">
        <f>IF(Proc[[#This Row],[type]]="LFF (MDG-F)",MID(Proc[[#This Row],[Obj]],13,10),"")</f>
        <v>IT50C03005</v>
      </c>
      <c r="J940" s="71" t="b">
        <f>Proc[[#This Row],[Requested]]=Proc[[#This Row],[CurrentParent]]</f>
        <v>1</v>
      </c>
      <c r="K940" s="71" t="str">
        <f>IF(Proc[[#This Row],[Author]]="Marcela Urrego",VLOOKUP(LEFT(Proc[[#This Row],[Requested]],1),Table3[#All],2,0),VLOOKUP(Proc[[#This Row],[Author]],Table4[],2,0))</f>
        <v>HC</v>
      </c>
      <c r="L940" s="32" t="s">
        <v>509</v>
      </c>
      <c r="M940" s="73">
        <v>45743.430810185186</v>
      </c>
      <c r="N940" s="73">
        <v>45749</v>
      </c>
      <c r="O940" s="73">
        <v>45749</v>
      </c>
      <c r="P940" s="76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6" t="s">
        <v>2524</v>
      </c>
      <c r="S940" s="71"/>
    </row>
    <row r="941" spans="1:19" hidden="1">
      <c r="A941" s="74" t="s">
        <v>2523</v>
      </c>
      <c r="B941" s="71" t="str">
        <f>IFERROR(VLOOKUP(Proc[[#This Row],[App]],Table2[],3,0),"open")</f>
        <v>ok</v>
      </c>
      <c r="C941" s="74" t="s">
        <v>369</v>
      </c>
      <c r="D941" t="s">
        <v>2516</v>
      </c>
      <c r="E941" t="s">
        <v>2522</v>
      </c>
      <c r="F941" s="105" t="s">
        <v>2522</v>
      </c>
      <c r="G941" s="74" t="s">
        <v>406</v>
      </c>
      <c r="H941" s="71" t="str">
        <f>IF(Proc[[#This Row],[type]]="LFF (MDG-F)",MID(Proc[[#This Row],[Obj]],13,10),"")</f>
        <v>IT50C03004</v>
      </c>
      <c r="J941" s="71" t="b">
        <f>Proc[[#This Row],[Requested]]=Proc[[#This Row],[CurrentParent]]</f>
        <v>1</v>
      </c>
      <c r="K941" s="71" t="str">
        <f>IF(Proc[[#This Row],[Author]]="Marcela Urrego",VLOOKUP(LEFT(Proc[[#This Row],[Requested]],1),Table3[#All],2,0),VLOOKUP(Proc[[#This Row],[Author]],Table4[],2,0))</f>
        <v>HC</v>
      </c>
      <c r="L941" s="32" t="s">
        <v>509</v>
      </c>
      <c r="M941" s="73">
        <v>45743.430810185186</v>
      </c>
      <c r="N941" s="73">
        <v>45749</v>
      </c>
      <c r="O941" s="73">
        <v>45749</v>
      </c>
      <c r="P941" s="76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6" t="s">
        <v>2524</v>
      </c>
      <c r="S941" s="71"/>
    </row>
    <row r="942" spans="1:19" hidden="1">
      <c r="A942" s="74" t="s">
        <v>2523</v>
      </c>
      <c r="B942" s="71" t="str">
        <f>IFERROR(VLOOKUP(Proc[[#This Row],[App]],Table2[],3,0),"open")</f>
        <v>ok</v>
      </c>
      <c r="C942" s="74" t="s">
        <v>369</v>
      </c>
      <c r="D942" t="s">
        <v>2517</v>
      </c>
      <c r="E942" t="s">
        <v>2522</v>
      </c>
      <c r="F942" s="105" t="s">
        <v>2522</v>
      </c>
      <c r="G942" s="74" t="s">
        <v>406</v>
      </c>
      <c r="H942" s="71" t="str">
        <f>IF(Proc[[#This Row],[type]]="LFF (MDG-F)",MID(Proc[[#This Row],[Obj]],13,10),"")</f>
        <v>IT50C02009</v>
      </c>
      <c r="J942" s="71" t="b">
        <f>Proc[[#This Row],[Requested]]=Proc[[#This Row],[CurrentParent]]</f>
        <v>1</v>
      </c>
      <c r="K942" s="71" t="str">
        <f>IF(Proc[[#This Row],[Author]]="Marcela Urrego",VLOOKUP(LEFT(Proc[[#This Row],[Requested]],1),Table3[#All],2,0),VLOOKUP(Proc[[#This Row],[Author]],Table4[],2,0))</f>
        <v>HC</v>
      </c>
      <c r="L942" s="32" t="s">
        <v>509</v>
      </c>
      <c r="M942" s="73">
        <v>45743.430810185186</v>
      </c>
      <c r="N942" s="73">
        <v>45749</v>
      </c>
      <c r="O942" s="73">
        <v>45749</v>
      </c>
      <c r="P942" s="76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6" t="s">
        <v>2524</v>
      </c>
      <c r="S942" s="71"/>
    </row>
    <row r="943" spans="1:19" hidden="1">
      <c r="A943" s="74" t="s">
        <v>2523</v>
      </c>
      <c r="B943" s="71" t="str">
        <f>IFERROR(VLOOKUP(Proc[[#This Row],[App]],Table2[],3,0),"open")</f>
        <v>ok</v>
      </c>
      <c r="C943" s="74" t="s">
        <v>369</v>
      </c>
      <c r="D943" t="s">
        <v>2518</v>
      </c>
      <c r="E943" t="s">
        <v>2522</v>
      </c>
      <c r="F943" s="105" t="s">
        <v>2522</v>
      </c>
      <c r="G943" s="74" t="s">
        <v>406</v>
      </c>
      <c r="H943" s="71" t="str">
        <f>IF(Proc[[#This Row],[type]]="LFF (MDG-F)",MID(Proc[[#This Row],[Obj]],13,10),"")</f>
        <v>IT50C02010</v>
      </c>
      <c r="J943" s="71" t="b">
        <f>Proc[[#This Row],[Requested]]=Proc[[#This Row],[CurrentParent]]</f>
        <v>1</v>
      </c>
      <c r="K943" s="71" t="str">
        <f>IF(Proc[[#This Row],[Author]]="Marcela Urrego",VLOOKUP(LEFT(Proc[[#This Row],[Requested]],1),Table3[#All],2,0),VLOOKUP(Proc[[#This Row],[Author]],Table4[],2,0))</f>
        <v>HC</v>
      </c>
      <c r="L943" s="32" t="s">
        <v>509</v>
      </c>
      <c r="M943" s="73">
        <v>45743.430810185186</v>
      </c>
      <c r="N943" s="73">
        <v>45749</v>
      </c>
      <c r="O943" s="73">
        <v>45749</v>
      </c>
      <c r="P943" s="76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6" t="s">
        <v>2524</v>
      </c>
      <c r="S943" s="71"/>
    </row>
    <row r="944" spans="1:19" hidden="1">
      <c r="A944" t="s">
        <v>2523</v>
      </c>
      <c r="B944" s="71" t="str">
        <f>IFERROR(VLOOKUP(Proc[[#This Row],[App]],Table2[],3,0),"open")</f>
        <v>ok</v>
      </c>
      <c r="C944" s="74" t="s">
        <v>369</v>
      </c>
      <c r="D944" t="s">
        <v>2519</v>
      </c>
      <c r="E944" t="s">
        <v>2522</v>
      </c>
      <c r="F944" s="105" t="s">
        <v>2522</v>
      </c>
      <c r="G944" s="74" t="s">
        <v>406</v>
      </c>
      <c r="H944" s="71" t="str">
        <f>IF(Proc[[#This Row],[type]]="LFF (MDG-F)",MID(Proc[[#This Row],[Obj]],13,10),"")</f>
        <v>IT50C03007</v>
      </c>
      <c r="J944" s="71" t="b">
        <f>Proc[[#This Row],[Requested]]=Proc[[#This Row],[CurrentParent]]</f>
        <v>1</v>
      </c>
      <c r="K944" s="71" t="str">
        <f>IF(Proc[[#This Row],[Author]]="Marcela Urrego",VLOOKUP(LEFT(Proc[[#This Row],[Requested]],1),Table3[#All],2,0),VLOOKUP(Proc[[#This Row],[Author]],Table4[],2,0))</f>
        <v>HC</v>
      </c>
      <c r="L944" s="32" t="s">
        <v>509</v>
      </c>
      <c r="M944" s="73">
        <v>45743.430810185186</v>
      </c>
      <c r="N944" s="73">
        <v>45749</v>
      </c>
      <c r="O944" s="73">
        <v>45749</v>
      </c>
      <c r="P944" s="76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6" t="s">
        <v>2524</v>
      </c>
      <c r="S944" s="71"/>
    </row>
    <row r="945" spans="1:19" hidden="1">
      <c r="A945" t="s">
        <v>2523</v>
      </c>
      <c r="B945" s="71" t="str">
        <f>IFERROR(VLOOKUP(Proc[[#This Row],[App]],Table2[],3,0),"open")</f>
        <v>ok</v>
      </c>
      <c r="C945" s="74" t="s">
        <v>369</v>
      </c>
      <c r="D945" t="s">
        <v>2520</v>
      </c>
      <c r="E945" t="s">
        <v>2522</v>
      </c>
      <c r="F945" s="105" t="s">
        <v>2522</v>
      </c>
      <c r="G945" s="74" t="s">
        <v>406</v>
      </c>
      <c r="H945" s="71" t="str">
        <f>IF(Proc[[#This Row],[type]]="LFF (MDG-F)",MID(Proc[[#This Row],[Obj]],13,10),"")</f>
        <v>IT50C02011</v>
      </c>
      <c r="J945" s="71" t="b">
        <f>Proc[[#This Row],[Requested]]=Proc[[#This Row],[CurrentParent]]</f>
        <v>1</v>
      </c>
      <c r="K945" s="71" t="str">
        <f>IF(Proc[[#This Row],[Author]]="Marcela Urrego",VLOOKUP(LEFT(Proc[[#This Row],[Requested]],1),Table3[#All],2,0),VLOOKUP(Proc[[#This Row],[Author]],Table4[],2,0))</f>
        <v>HC</v>
      </c>
      <c r="L945" s="32" t="s">
        <v>509</v>
      </c>
      <c r="M945" s="73">
        <v>45743.430810185186</v>
      </c>
      <c r="N945" s="73">
        <v>45749</v>
      </c>
      <c r="O945" s="73">
        <v>45749</v>
      </c>
      <c r="P945" s="76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6" t="s">
        <v>2524</v>
      </c>
      <c r="S945" s="71"/>
    </row>
    <row r="946" spans="1:19" hidden="1">
      <c r="A946" s="74" t="s">
        <v>2510</v>
      </c>
      <c r="B946" s="71" t="str">
        <f>IFERROR(VLOOKUP(Proc[[#This Row],[App]],Table2[],3,0),"open")</f>
        <v>ok</v>
      </c>
      <c r="C946" s="74" t="s">
        <v>369</v>
      </c>
      <c r="D946" t="s">
        <v>2511</v>
      </c>
      <c r="E946" t="s">
        <v>476</v>
      </c>
      <c r="F946" s="105" t="s">
        <v>476</v>
      </c>
      <c r="G946" s="74" t="s">
        <v>406</v>
      </c>
      <c r="H946" s="71" t="str">
        <f>IF(Proc[[#This Row],[type]]="LFF (MDG-F)",MID(Proc[[#This Row],[Obj]],13,10),"")</f>
        <v>DZ50GM1100</v>
      </c>
      <c r="J946" s="71" t="b">
        <f>Proc[[#This Row],[Requested]]=Proc[[#This Row],[CurrentParent]]</f>
        <v>1</v>
      </c>
      <c r="K946" s="71" t="str">
        <f>IF(Proc[[#This Row],[Author]]="Marcela Urrego",VLOOKUP(LEFT(Proc[[#This Row],[Requested]],1),Table3[#All],2,0),VLOOKUP(Proc[[#This Row],[Author]],Table4[],2,0))</f>
        <v>MGF</v>
      </c>
      <c r="L946" s="32" t="s">
        <v>509</v>
      </c>
      <c r="M946" s="73">
        <v>45743.522430555553</v>
      </c>
      <c r="N946" s="73">
        <v>45749</v>
      </c>
      <c r="O946" s="73">
        <v>45749</v>
      </c>
      <c r="P946" s="76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6" t="s">
        <v>515</v>
      </c>
      <c r="S946" s="71"/>
    </row>
    <row r="947" spans="1:19" hidden="1">
      <c r="A947" t="s">
        <v>2510</v>
      </c>
      <c r="B947" s="71" t="str">
        <f>IFERROR(VLOOKUP(Proc[[#This Row],[App]],Table2[],3,0),"open")</f>
        <v>ok</v>
      </c>
      <c r="C947" s="74" t="s">
        <v>369</v>
      </c>
      <c r="D947" t="s">
        <v>2512</v>
      </c>
      <c r="E947" t="s">
        <v>2417</v>
      </c>
      <c r="F947" s="105" t="s">
        <v>2417</v>
      </c>
      <c r="G947" s="74" t="s">
        <v>406</v>
      </c>
      <c r="H947" s="71" t="str">
        <f>IF(Proc[[#This Row],[type]]="LFF (MDG-F)",MID(Proc[[#This Row],[Obj]],13,10),"")</f>
        <v>2053OF0000</v>
      </c>
      <c r="J947" s="71" t="b">
        <f>Proc[[#This Row],[Requested]]=Proc[[#This Row],[CurrentParent]]</f>
        <v>1</v>
      </c>
      <c r="K947" s="71" t="str">
        <f>IF(Proc[[#This Row],[Author]]="Marcela Urrego",VLOOKUP(LEFT(Proc[[#This Row],[Requested]],1),Table3[#All],2,0),VLOOKUP(Proc[[#This Row],[Author]],Table4[],2,0))</f>
        <v>MGF</v>
      </c>
      <c r="L947" s="32" t="s">
        <v>509</v>
      </c>
      <c r="M947" s="73">
        <v>45743.522430555553</v>
      </c>
      <c r="N947" s="73">
        <v>45749</v>
      </c>
      <c r="O947" s="73">
        <v>45749</v>
      </c>
      <c r="P947" s="76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6" t="s">
        <v>515</v>
      </c>
      <c r="S947" s="71"/>
    </row>
    <row r="948" spans="1:19" hidden="1">
      <c r="A948" s="74" t="s">
        <v>2507</v>
      </c>
      <c r="B948" s="71" t="str">
        <f>IFERROR(VLOOKUP(Proc[[#This Row],[App]],Table2[],3,0),"open")</f>
        <v>ok</v>
      </c>
      <c r="C948" s="74" t="s">
        <v>369</v>
      </c>
      <c r="D948" t="s">
        <v>2508</v>
      </c>
      <c r="E948" t="s">
        <v>2509</v>
      </c>
      <c r="F948" s="105" t="s">
        <v>2509</v>
      </c>
      <c r="G948" s="74" t="s">
        <v>406</v>
      </c>
      <c r="H948" s="71" t="str">
        <f>IF(Proc[[#This Row],[type]]="LFF (MDG-F)",MID(Proc[[#This Row],[Obj]],13,10),"")</f>
        <v>DE20569502</v>
      </c>
      <c r="J948" s="71" t="b">
        <f>Proc[[#This Row],[Requested]]=Proc[[#This Row],[CurrentParent]]</f>
        <v>1</v>
      </c>
      <c r="K948" s="71" t="str">
        <f>IF(Proc[[#This Row],[Author]]="Marcela Urrego",VLOOKUP(LEFT(Proc[[#This Row],[Requested]],1),Table3[#All],2,0),VLOOKUP(Proc[[#This Row],[Author]],Table4[],2,0))</f>
        <v>MGF</v>
      </c>
      <c r="L948" s="32" t="s">
        <v>509</v>
      </c>
      <c r="M948" s="73">
        <v>45743.525312500002</v>
      </c>
      <c r="N948" s="73">
        <v>45749</v>
      </c>
      <c r="O948" s="73">
        <v>45749</v>
      </c>
      <c r="P948" s="76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6" t="s">
        <v>549</v>
      </c>
      <c r="S948" s="71"/>
    </row>
    <row r="949" spans="1:19" hidden="1">
      <c r="A949" s="74" t="s">
        <v>2498</v>
      </c>
      <c r="B949" s="71" t="str">
        <f>IFERROR(VLOOKUP(Proc[[#This Row],[App]],Table2[],3,0),"open")</f>
        <v>ok</v>
      </c>
      <c r="C949" s="74" t="s">
        <v>369</v>
      </c>
      <c r="D949" t="s">
        <v>2499</v>
      </c>
      <c r="E949" t="s">
        <v>2417</v>
      </c>
      <c r="F949" s="105" t="s">
        <v>2417</v>
      </c>
      <c r="G949" s="74" t="s">
        <v>406</v>
      </c>
      <c r="H949" s="71" t="str">
        <f>IF(Proc[[#This Row],[type]]="LFF (MDG-F)",MID(Proc[[#This Row],[Obj]],13,10),"")</f>
        <v>ZA50GM1000</v>
      </c>
      <c r="J949" s="71" t="b">
        <f>Proc[[#This Row],[Requested]]=Proc[[#This Row],[CurrentParent]]</f>
        <v>1</v>
      </c>
      <c r="K949" s="71" t="str">
        <f>IF(Proc[[#This Row],[Author]]="Marcela Urrego",VLOOKUP(LEFT(Proc[[#This Row],[Requested]],1),Table3[#All],2,0),VLOOKUP(Proc[[#This Row],[Author]],Table4[],2,0))</f>
        <v>MGF</v>
      </c>
      <c r="L949" s="32" t="s">
        <v>509</v>
      </c>
      <c r="M949" s="73">
        <v>45743.614340277774</v>
      </c>
      <c r="N949" s="73">
        <v>45749</v>
      </c>
      <c r="O949" s="73">
        <v>45749</v>
      </c>
      <c r="P949" s="76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6" t="s">
        <v>515</v>
      </c>
      <c r="S949" s="71"/>
    </row>
    <row r="950" spans="1:19" hidden="1">
      <c r="A950" s="74" t="s">
        <v>2498</v>
      </c>
      <c r="B950" s="71" t="str">
        <f>IFERROR(VLOOKUP(Proc[[#This Row],[App]],Table2[],3,0),"open")</f>
        <v>ok</v>
      </c>
      <c r="C950" s="74" t="s">
        <v>369</v>
      </c>
      <c r="D950" t="s">
        <v>2500</v>
      </c>
      <c r="E950" t="s">
        <v>2417</v>
      </c>
      <c r="F950" s="105" t="s">
        <v>2417</v>
      </c>
      <c r="G950" s="74" t="s">
        <v>406</v>
      </c>
      <c r="H950" s="71" t="str">
        <f>IF(Proc[[#This Row],[type]]="LFF (MDG-F)",MID(Proc[[#This Row],[Obj]],13,10),"")</f>
        <v>ZA50GIT10D</v>
      </c>
      <c r="J950" s="71" t="b">
        <f>Proc[[#This Row],[Requested]]=Proc[[#This Row],[CurrentParent]]</f>
        <v>1</v>
      </c>
      <c r="K950" s="71" t="str">
        <f>IF(Proc[[#This Row],[Author]]="Marcela Urrego",VLOOKUP(LEFT(Proc[[#This Row],[Requested]],1),Table3[#All],2,0),VLOOKUP(Proc[[#This Row],[Author]],Table4[],2,0))</f>
        <v>MGF</v>
      </c>
      <c r="L950" s="32" t="s">
        <v>509</v>
      </c>
      <c r="M950" s="73">
        <v>45743.614340277774</v>
      </c>
      <c r="N950" s="73">
        <v>45749</v>
      </c>
      <c r="O950" s="73">
        <v>45749</v>
      </c>
      <c r="P950" s="76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6" t="s">
        <v>515</v>
      </c>
      <c r="S950" s="71"/>
    </row>
    <row r="951" spans="1:19" hidden="1">
      <c r="A951" s="74" t="s">
        <v>2498</v>
      </c>
      <c r="B951" s="71" t="str">
        <f>IFERROR(VLOOKUP(Proc[[#This Row],[App]],Table2[],3,0),"open")</f>
        <v>ok</v>
      </c>
      <c r="C951" s="74" t="s">
        <v>369</v>
      </c>
      <c r="D951" t="s">
        <v>2501</v>
      </c>
      <c r="E951" t="s">
        <v>2417</v>
      </c>
      <c r="F951" s="105" t="s">
        <v>2417</v>
      </c>
      <c r="G951" s="74" t="s">
        <v>406</v>
      </c>
      <c r="H951" s="71" t="str">
        <f>IF(Proc[[#This Row],[type]]="LFF (MDG-F)",MID(Proc[[#This Row],[Obj]],13,10),"")</f>
        <v>ZA50GHR014</v>
      </c>
      <c r="J951" s="71" t="b">
        <f>Proc[[#This Row],[Requested]]=Proc[[#This Row],[CurrentParent]]</f>
        <v>1</v>
      </c>
      <c r="K951" s="71" t="str">
        <f>IF(Proc[[#This Row],[Author]]="Marcela Urrego",VLOOKUP(LEFT(Proc[[#This Row],[Requested]],1),Table3[#All],2,0),VLOOKUP(Proc[[#This Row],[Author]],Table4[],2,0))</f>
        <v>MGF</v>
      </c>
      <c r="L951" s="32" t="s">
        <v>509</v>
      </c>
      <c r="M951" s="73">
        <v>45743.614340277774</v>
      </c>
      <c r="N951" s="73">
        <v>45749</v>
      </c>
      <c r="O951" s="73">
        <v>45749</v>
      </c>
      <c r="P951" s="76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6" t="s">
        <v>515</v>
      </c>
      <c r="S951" s="71"/>
    </row>
    <row r="952" spans="1:19" hidden="1">
      <c r="A952" s="74" t="s">
        <v>2498</v>
      </c>
      <c r="B952" s="71" t="str">
        <f>IFERROR(VLOOKUP(Proc[[#This Row],[App]],Table2[],3,0),"open")</f>
        <v>ok</v>
      </c>
      <c r="C952" s="74" t="s">
        <v>369</v>
      </c>
      <c r="D952" t="s">
        <v>2502</v>
      </c>
      <c r="E952" t="s">
        <v>2417</v>
      </c>
      <c r="F952" s="105" t="s">
        <v>2417</v>
      </c>
      <c r="G952" s="74" t="s">
        <v>406</v>
      </c>
      <c r="H952" s="71" t="str">
        <f>IF(Proc[[#This Row],[type]]="LFF (MDG-F)",MID(Proc[[#This Row],[Obj]],13,10),"")</f>
        <v>KE50GM2100</v>
      </c>
      <c r="J952" s="71" t="b">
        <f>Proc[[#This Row],[Requested]]=Proc[[#This Row],[CurrentParent]]</f>
        <v>1</v>
      </c>
      <c r="K952" s="71" t="str">
        <f>IF(Proc[[#This Row],[Author]]="Marcela Urrego",VLOOKUP(LEFT(Proc[[#This Row],[Requested]],1),Table3[#All],2,0),VLOOKUP(Proc[[#This Row],[Author]],Table4[],2,0))</f>
        <v>MGF</v>
      </c>
      <c r="L952" s="32" t="s">
        <v>509</v>
      </c>
      <c r="M952" s="73">
        <v>45743.614340277774</v>
      </c>
      <c r="N952" s="73">
        <v>45749</v>
      </c>
      <c r="O952" s="73">
        <v>45749</v>
      </c>
      <c r="P952" s="76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6" t="s">
        <v>515</v>
      </c>
      <c r="S952" s="71"/>
    </row>
    <row r="953" spans="1:19" hidden="1">
      <c r="A953" s="74" t="s">
        <v>2498</v>
      </c>
      <c r="B953" s="71" t="str">
        <f>IFERROR(VLOOKUP(Proc[[#This Row],[App]],Table2[],3,0),"open")</f>
        <v>ok</v>
      </c>
      <c r="C953" s="74" t="s">
        <v>369</v>
      </c>
      <c r="D953" t="s">
        <v>2503</v>
      </c>
      <c r="E953" t="s">
        <v>2417</v>
      </c>
      <c r="F953" s="105" t="s">
        <v>2417</v>
      </c>
      <c r="G953" s="74" t="s">
        <v>406</v>
      </c>
      <c r="H953" s="71" t="str">
        <f>IF(Proc[[#This Row],[type]]="LFF (MDG-F)",MID(Proc[[#This Row],[Obj]],13,10),"")</f>
        <v>CZ50GM2100</v>
      </c>
      <c r="J953" s="71" t="b">
        <f>Proc[[#This Row],[Requested]]=Proc[[#This Row],[CurrentParent]]</f>
        <v>1</v>
      </c>
      <c r="K953" s="71" t="str">
        <f>IF(Proc[[#This Row],[Author]]="Marcela Urrego",VLOOKUP(LEFT(Proc[[#This Row],[Requested]],1),Table3[#All],2,0),VLOOKUP(Proc[[#This Row],[Author]],Table4[],2,0))</f>
        <v>MGF</v>
      </c>
      <c r="L953" s="32" t="s">
        <v>509</v>
      </c>
      <c r="M953" s="73">
        <v>45743.614340277774</v>
      </c>
      <c r="N953" s="73">
        <v>45749</v>
      </c>
      <c r="O953" s="73">
        <v>45749</v>
      </c>
      <c r="P953" s="76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6" t="s">
        <v>515</v>
      </c>
      <c r="S953" s="71"/>
    </row>
    <row r="954" spans="1:19" hidden="1">
      <c r="A954" s="74" t="s">
        <v>2498</v>
      </c>
      <c r="B954" s="71" t="str">
        <f>IFERROR(VLOOKUP(Proc[[#This Row],[App]],Table2[],3,0),"open")</f>
        <v>ok</v>
      </c>
      <c r="C954" s="74" t="s">
        <v>369</v>
      </c>
      <c r="D954" t="s">
        <v>2504</v>
      </c>
      <c r="E954" t="s">
        <v>2417</v>
      </c>
      <c r="F954" s="105" t="s">
        <v>2417</v>
      </c>
      <c r="G954" s="74" t="s">
        <v>406</v>
      </c>
      <c r="H954" s="71" t="str">
        <f>IF(Proc[[#This Row],[type]]="LFF (MDG-F)",MID(Proc[[#This Row],[Obj]],13,10),"")</f>
        <v>CZ50GM2101</v>
      </c>
      <c r="J954" s="71" t="b">
        <f>Proc[[#This Row],[Requested]]=Proc[[#This Row],[CurrentParent]]</f>
        <v>1</v>
      </c>
      <c r="K954" s="71" t="str">
        <f>IF(Proc[[#This Row],[Author]]="Marcela Urrego",VLOOKUP(LEFT(Proc[[#This Row],[Requested]],1),Table3[#All],2,0),VLOOKUP(Proc[[#This Row],[Author]],Table4[],2,0))</f>
        <v>MGF</v>
      </c>
      <c r="L954" s="32" t="s">
        <v>509</v>
      </c>
      <c r="M954" s="73">
        <v>45743.614340277774</v>
      </c>
      <c r="N954" s="73">
        <v>45749</v>
      </c>
      <c r="O954" s="73">
        <v>45749</v>
      </c>
      <c r="P954" s="76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6" t="s">
        <v>515</v>
      </c>
      <c r="S954" s="71"/>
    </row>
    <row r="955" spans="1:19" hidden="1">
      <c r="A955" t="s">
        <v>2525</v>
      </c>
      <c r="B955" s="71" t="str">
        <f>IFERROR(VLOOKUP(Proc[[#This Row],[App]],Table2[],3,0),"open")</f>
        <v>ok</v>
      </c>
      <c r="C955" s="74" t="s">
        <v>369</v>
      </c>
      <c r="D955" t="s">
        <v>2526</v>
      </c>
      <c r="E955" t="s">
        <v>2536</v>
      </c>
      <c r="F955" s="105" t="s">
        <v>2536</v>
      </c>
      <c r="G955" t="s">
        <v>400</v>
      </c>
      <c r="H955" s="71" t="str">
        <f>IF(Proc[[#This Row],[type]]="LFF (MDG-F)",MID(Proc[[#This Row],[Obj]],13,10),"")</f>
        <v/>
      </c>
      <c r="J955" s="71" t="b">
        <f>Proc[[#This Row],[Requested]]=Proc[[#This Row],[CurrentParent]]</f>
        <v>1</v>
      </c>
      <c r="K955" s="71" t="str">
        <f>IF(Proc[[#This Row],[Author]]="Marcela Urrego",VLOOKUP(LEFT(Proc[[#This Row],[Requested]],1),Table3[#All],2,0),VLOOKUP(Proc[[#This Row],[Author]],Table4[],2,0))</f>
        <v>LS</v>
      </c>
      <c r="L955" s="32" t="s">
        <v>509</v>
      </c>
      <c r="M955" s="73">
        <v>45744.427824074075</v>
      </c>
      <c r="N955" s="73">
        <v>45747</v>
      </c>
      <c r="O955" s="73">
        <v>45747</v>
      </c>
      <c r="P955" s="76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6" t="s">
        <v>972</v>
      </c>
      <c r="S955" s="71"/>
    </row>
    <row r="956" spans="1:19" hidden="1">
      <c r="A956" s="74" t="s">
        <v>2525</v>
      </c>
      <c r="B956" s="71" t="str">
        <f>IFERROR(VLOOKUP(Proc[[#This Row],[App]],Table2[],3,0),"open")</f>
        <v>ok</v>
      </c>
      <c r="C956" s="74" t="s">
        <v>369</v>
      </c>
      <c r="D956" t="s">
        <v>2527</v>
      </c>
      <c r="E956" t="s">
        <v>2537</v>
      </c>
      <c r="F956" s="105" t="s">
        <v>2537</v>
      </c>
      <c r="G956" s="74" t="s">
        <v>400</v>
      </c>
      <c r="H956" s="71" t="str">
        <f>IF(Proc[[#This Row],[type]]="LFF (MDG-F)",MID(Proc[[#This Row],[Obj]],13,10),"")</f>
        <v/>
      </c>
      <c r="J956" s="71" t="b">
        <f>Proc[[#This Row],[Requested]]=Proc[[#This Row],[CurrentParent]]</f>
        <v>1</v>
      </c>
      <c r="K956" s="71" t="str">
        <f>IF(Proc[[#This Row],[Author]]="Marcela Urrego",VLOOKUP(LEFT(Proc[[#This Row],[Requested]],1),Table3[#All],2,0),VLOOKUP(Proc[[#This Row],[Author]],Table4[],2,0))</f>
        <v>LS</v>
      </c>
      <c r="L956" s="32" t="s">
        <v>509</v>
      </c>
      <c r="M956" s="73">
        <v>45744.427824074075</v>
      </c>
      <c r="N956" s="73">
        <v>45747</v>
      </c>
      <c r="O956" s="73">
        <v>45747</v>
      </c>
      <c r="P956" s="76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6" t="s">
        <v>972</v>
      </c>
      <c r="S956" s="71"/>
    </row>
    <row r="957" spans="1:19" hidden="1">
      <c r="A957" s="74" t="s">
        <v>2525</v>
      </c>
      <c r="B957" s="71" t="str">
        <f>IFERROR(VLOOKUP(Proc[[#This Row],[App]],Table2[],3,0),"open")</f>
        <v>ok</v>
      </c>
      <c r="C957" s="74" t="s">
        <v>369</v>
      </c>
      <c r="D957" t="s">
        <v>2528</v>
      </c>
      <c r="E957" t="s">
        <v>1974</v>
      </c>
      <c r="F957" s="105" t="s">
        <v>1974</v>
      </c>
      <c r="G957" s="74" t="s">
        <v>400</v>
      </c>
      <c r="H957" s="71" t="str">
        <f>IF(Proc[[#This Row],[type]]="LFF (MDG-F)",MID(Proc[[#This Row],[Obj]],13,10),"")</f>
        <v/>
      </c>
      <c r="J957" s="71" t="b">
        <f>Proc[[#This Row],[Requested]]=Proc[[#This Row],[CurrentParent]]</f>
        <v>1</v>
      </c>
      <c r="K957" s="71" t="str">
        <f>IF(Proc[[#This Row],[Author]]="Marcela Urrego",VLOOKUP(LEFT(Proc[[#This Row],[Requested]],1),Table3[#All],2,0),VLOOKUP(Proc[[#This Row],[Author]],Table4[],2,0))</f>
        <v>LS</v>
      </c>
      <c r="L957" s="32" t="s">
        <v>509</v>
      </c>
      <c r="M957" s="73">
        <v>45744.427824074075</v>
      </c>
      <c r="N957" s="73">
        <v>45747</v>
      </c>
      <c r="O957" s="73">
        <v>45747</v>
      </c>
      <c r="P957" s="76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6" t="s">
        <v>972</v>
      </c>
      <c r="S957" s="71"/>
    </row>
    <row r="958" spans="1:19" hidden="1">
      <c r="A958" s="74" t="s">
        <v>2525</v>
      </c>
      <c r="B958" s="71" t="str">
        <f>IFERROR(VLOOKUP(Proc[[#This Row],[App]],Table2[],3,0),"open")</f>
        <v>ok</v>
      </c>
      <c r="C958" s="74" t="s">
        <v>369</v>
      </c>
      <c r="D958" t="s">
        <v>2529</v>
      </c>
      <c r="E958" t="s">
        <v>1716</v>
      </c>
      <c r="F958" s="105" t="s">
        <v>1716</v>
      </c>
      <c r="G958" s="74" t="s">
        <v>400</v>
      </c>
      <c r="H958" s="71" t="str">
        <f>IF(Proc[[#This Row],[type]]="LFF (MDG-F)",MID(Proc[[#This Row],[Obj]],13,10),"")</f>
        <v/>
      </c>
      <c r="J958" s="71" t="b">
        <f>Proc[[#This Row],[Requested]]=Proc[[#This Row],[CurrentParent]]</f>
        <v>1</v>
      </c>
      <c r="K958" s="71" t="str">
        <f>IF(Proc[[#This Row],[Author]]="Marcela Urrego",VLOOKUP(LEFT(Proc[[#This Row],[Requested]],1),Table3[#All],2,0),VLOOKUP(Proc[[#This Row],[Author]],Table4[],2,0))</f>
        <v>LS</v>
      </c>
      <c r="L958" s="32" t="s">
        <v>509</v>
      </c>
      <c r="M958" s="73">
        <v>45744.427824074075</v>
      </c>
      <c r="N958" s="73">
        <v>45747</v>
      </c>
      <c r="O958" s="73">
        <v>45747</v>
      </c>
      <c r="P958" s="76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6" t="s">
        <v>972</v>
      </c>
      <c r="S958" s="71"/>
    </row>
    <row r="959" spans="1:19" hidden="1">
      <c r="A959" s="74" t="s">
        <v>2525</v>
      </c>
      <c r="B959" s="71" t="str">
        <f>IFERROR(VLOOKUP(Proc[[#This Row],[App]],Table2[],3,0),"open")</f>
        <v>ok</v>
      </c>
      <c r="C959" s="74" t="s">
        <v>369</v>
      </c>
      <c r="D959" t="s">
        <v>2530</v>
      </c>
      <c r="E959" t="s">
        <v>1716</v>
      </c>
      <c r="F959" s="105" t="s">
        <v>1716</v>
      </c>
      <c r="G959" s="74" t="s">
        <v>400</v>
      </c>
      <c r="H959" s="71" t="str">
        <f>IF(Proc[[#This Row],[type]]="LFF (MDG-F)",MID(Proc[[#This Row],[Obj]],13,10),"")</f>
        <v/>
      </c>
      <c r="J959" s="71" t="b">
        <f>Proc[[#This Row],[Requested]]=Proc[[#This Row],[CurrentParent]]</f>
        <v>1</v>
      </c>
      <c r="K959" s="71" t="str">
        <f>IF(Proc[[#This Row],[Author]]="Marcela Urrego",VLOOKUP(LEFT(Proc[[#This Row],[Requested]],1),Table3[#All],2,0),VLOOKUP(Proc[[#This Row],[Author]],Table4[],2,0))</f>
        <v>LS</v>
      </c>
      <c r="L959" s="32" t="s">
        <v>509</v>
      </c>
      <c r="M959" s="73">
        <v>45744.427824074075</v>
      </c>
      <c r="N959" s="73">
        <v>45747</v>
      </c>
      <c r="O959" s="73">
        <v>45747</v>
      </c>
      <c r="P959" s="76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6" t="s">
        <v>972</v>
      </c>
      <c r="S959" s="71"/>
    </row>
    <row r="960" spans="1:19" hidden="1">
      <c r="A960" s="74" t="s">
        <v>2525</v>
      </c>
      <c r="B960" s="71" t="str">
        <f>IFERROR(VLOOKUP(Proc[[#This Row],[App]],Table2[],3,0),"open")</f>
        <v>ok</v>
      </c>
      <c r="C960" s="74" t="s">
        <v>369</v>
      </c>
      <c r="D960" t="s">
        <v>2531</v>
      </c>
      <c r="E960" t="s">
        <v>2538</v>
      </c>
      <c r="F960" s="105" t="s">
        <v>2538</v>
      </c>
      <c r="G960" s="74" t="s">
        <v>400</v>
      </c>
      <c r="H960" s="71" t="str">
        <f>IF(Proc[[#This Row],[type]]="LFF (MDG-F)",MID(Proc[[#This Row],[Obj]],13,10),"")</f>
        <v/>
      </c>
      <c r="J960" s="71" t="b">
        <f>Proc[[#This Row],[Requested]]=Proc[[#This Row],[CurrentParent]]</f>
        <v>1</v>
      </c>
      <c r="K960" s="71" t="str">
        <f>IF(Proc[[#This Row],[Author]]="Marcela Urrego",VLOOKUP(LEFT(Proc[[#This Row],[Requested]],1),Table3[#All],2,0),VLOOKUP(Proc[[#This Row],[Author]],Table4[],2,0))</f>
        <v>LS</v>
      </c>
      <c r="L960" s="32" t="s">
        <v>509</v>
      </c>
      <c r="M960" s="73">
        <v>45744.427824074075</v>
      </c>
      <c r="N960" s="73">
        <v>45747</v>
      </c>
      <c r="O960" s="73">
        <v>45747</v>
      </c>
      <c r="P960" s="76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6" t="s">
        <v>972</v>
      </c>
      <c r="S960" s="71"/>
    </row>
    <row r="961" spans="1:19" hidden="1">
      <c r="A961" s="74" t="s">
        <v>2525</v>
      </c>
      <c r="B961" s="71" t="str">
        <f>IFERROR(VLOOKUP(Proc[[#This Row],[App]],Table2[],3,0),"open")</f>
        <v>ok</v>
      </c>
      <c r="C961" s="74" t="s">
        <v>369</v>
      </c>
      <c r="D961" t="s">
        <v>2532</v>
      </c>
      <c r="E961" t="s">
        <v>774</v>
      </c>
      <c r="F961" s="105" t="s">
        <v>774</v>
      </c>
      <c r="G961" s="74" t="s">
        <v>400</v>
      </c>
      <c r="H961" s="71" t="str">
        <f>IF(Proc[[#This Row],[type]]="LFF (MDG-F)",MID(Proc[[#This Row],[Obj]],13,10),"")</f>
        <v/>
      </c>
      <c r="J961" s="71" t="b">
        <f>Proc[[#This Row],[Requested]]=Proc[[#This Row],[CurrentParent]]</f>
        <v>1</v>
      </c>
      <c r="K961" s="71" t="str">
        <f>IF(Proc[[#This Row],[Author]]="Marcela Urrego",VLOOKUP(LEFT(Proc[[#This Row],[Requested]],1),Table3[#All],2,0),VLOOKUP(Proc[[#This Row],[Author]],Table4[],2,0))</f>
        <v>LS</v>
      </c>
      <c r="L961" s="32" t="s">
        <v>509</v>
      </c>
      <c r="M961" s="73">
        <v>45744.427824074075</v>
      </c>
      <c r="N961" s="73">
        <v>45747</v>
      </c>
      <c r="O961" s="73">
        <v>45747</v>
      </c>
      <c r="P961" s="76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6" t="s">
        <v>972</v>
      </c>
      <c r="S961" s="71"/>
    </row>
    <row r="962" spans="1:19" hidden="1">
      <c r="A962" s="74" t="s">
        <v>2525</v>
      </c>
      <c r="B962" s="71" t="str">
        <f>IFERROR(VLOOKUP(Proc[[#This Row],[App]],Table2[],3,0),"open")</f>
        <v>ok</v>
      </c>
      <c r="C962" s="74" t="s">
        <v>369</v>
      </c>
      <c r="D962" t="s">
        <v>2533</v>
      </c>
      <c r="E962" t="s">
        <v>2539</v>
      </c>
      <c r="F962" s="105" t="s">
        <v>2539</v>
      </c>
      <c r="G962" s="74" t="s">
        <v>400</v>
      </c>
      <c r="H962" s="71" t="str">
        <f>IF(Proc[[#This Row],[type]]="LFF (MDG-F)",MID(Proc[[#This Row],[Obj]],13,10),"")</f>
        <v/>
      </c>
      <c r="J962" s="71" t="b">
        <f>Proc[[#This Row],[Requested]]=Proc[[#This Row],[CurrentParent]]</f>
        <v>1</v>
      </c>
      <c r="K962" s="71" t="str">
        <f>IF(Proc[[#This Row],[Author]]="Marcela Urrego",VLOOKUP(LEFT(Proc[[#This Row],[Requested]],1),Table3[#All],2,0),VLOOKUP(Proc[[#This Row],[Author]],Table4[],2,0))</f>
        <v>LS</v>
      </c>
      <c r="L962" s="32" t="s">
        <v>509</v>
      </c>
      <c r="M962" s="73">
        <v>45744.427824074075</v>
      </c>
      <c r="N962" s="73">
        <v>45747</v>
      </c>
      <c r="O962" s="73">
        <v>45747</v>
      </c>
      <c r="P962" s="76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6" t="s">
        <v>972</v>
      </c>
      <c r="S962" s="71"/>
    </row>
    <row r="963" spans="1:19" hidden="1">
      <c r="A963" s="74" t="s">
        <v>2525</v>
      </c>
      <c r="B963" s="71" t="str">
        <f>IFERROR(VLOOKUP(Proc[[#This Row],[App]],Table2[],3,0),"open")</f>
        <v>ok</v>
      </c>
      <c r="C963" s="74" t="s">
        <v>369</v>
      </c>
      <c r="D963" t="s">
        <v>2534</v>
      </c>
      <c r="E963" t="s">
        <v>774</v>
      </c>
      <c r="F963" s="105" t="s">
        <v>774</v>
      </c>
      <c r="G963" s="74" t="s">
        <v>400</v>
      </c>
      <c r="H963" s="71" t="str">
        <f>IF(Proc[[#This Row],[type]]="LFF (MDG-F)",MID(Proc[[#This Row],[Obj]],13,10),"")</f>
        <v/>
      </c>
      <c r="J963" s="71" t="b">
        <f>Proc[[#This Row],[Requested]]=Proc[[#This Row],[CurrentParent]]</f>
        <v>1</v>
      </c>
      <c r="K963" s="71" t="str">
        <f>IF(Proc[[#This Row],[Author]]="Marcela Urrego",VLOOKUP(LEFT(Proc[[#This Row],[Requested]],1),Table3[#All],2,0),VLOOKUP(Proc[[#This Row],[Author]],Table4[],2,0))</f>
        <v>LS</v>
      </c>
      <c r="L963" s="32" t="s">
        <v>509</v>
      </c>
      <c r="M963" s="73">
        <v>45744.427824074075</v>
      </c>
      <c r="N963" s="73">
        <v>45747</v>
      </c>
      <c r="O963" s="73">
        <v>45747</v>
      </c>
      <c r="P963" s="76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6" t="s">
        <v>972</v>
      </c>
      <c r="S963" s="71"/>
    </row>
    <row r="964" spans="1:19" hidden="1">
      <c r="A964" s="74" t="s">
        <v>2525</v>
      </c>
      <c r="B964" s="71" t="str">
        <f>IFERROR(VLOOKUP(Proc[[#This Row],[App]],Table2[],3,0),"open")</f>
        <v>ok</v>
      </c>
      <c r="C964" s="74" t="s">
        <v>369</v>
      </c>
      <c r="D964" t="s">
        <v>2535</v>
      </c>
      <c r="E964" t="s">
        <v>2540</v>
      </c>
      <c r="F964" s="105" t="s">
        <v>2540</v>
      </c>
      <c r="G964" s="74" t="s">
        <v>400</v>
      </c>
      <c r="H964" s="71" t="str">
        <f>IF(Proc[[#This Row],[type]]="LFF (MDG-F)",MID(Proc[[#This Row],[Obj]],13,10),"")</f>
        <v/>
      </c>
      <c r="J964" s="71" t="b">
        <f>Proc[[#This Row],[Requested]]=Proc[[#This Row],[CurrentParent]]</f>
        <v>1</v>
      </c>
      <c r="K964" s="71" t="str">
        <f>IF(Proc[[#This Row],[Author]]="Marcela Urrego",VLOOKUP(LEFT(Proc[[#This Row],[Requested]],1),Table3[#All],2,0),VLOOKUP(Proc[[#This Row],[Author]],Table4[],2,0))</f>
        <v>LS</v>
      </c>
      <c r="L964" s="32" t="s">
        <v>509</v>
      </c>
      <c r="M964" s="73">
        <v>45744.427824074075</v>
      </c>
      <c r="N964" s="73">
        <v>45747</v>
      </c>
      <c r="O964" s="73">
        <v>45747</v>
      </c>
      <c r="P964" s="76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6" t="s">
        <v>972</v>
      </c>
      <c r="S964" s="71"/>
    </row>
    <row r="965" spans="1:19" hidden="1">
      <c r="A965" t="s">
        <v>2602</v>
      </c>
      <c r="B965" s="71" t="str">
        <f>IFERROR(VLOOKUP(Proc[[#This Row],[App]],Table2[],3,0),"open")</f>
        <v>ok</v>
      </c>
      <c r="C965" s="74" t="s">
        <v>369</v>
      </c>
      <c r="D965" t="s">
        <v>2603</v>
      </c>
      <c r="E965" t="s">
        <v>476</v>
      </c>
      <c r="F965" s="105" t="s">
        <v>476</v>
      </c>
      <c r="G965" t="s">
        <v>406</v>
      </c>
      <c r="H965" s="71" t="str">
        <f>IF(Proc[[#This Row],[type]]="LFF (MDG-F)",MID(Proc[[#This Row],[Obj]],13,10),"")</f>
        <v>GB10GM4002</v>
      </c>
      <c r="J965" s="71" t="b">
        <f>Proc[[#This Row],[Requested]]=Proc[[#This Row],[CurrentParent]]</f>
        <v>1</v>
      </c>
      <c r="K965" s="71" t="str">
        <f>IF(Proc[[#This Row],[Author]]="Marcela Urrego",VLOOKUP(LEFT(Proc[[#This Row],[Requested]],1),Table3[#All],2,0),VLOOKUP(Proc[[#This Row],[Author]],Table4[],2,0))</f>
        <v>MGF</v>
      </c>
      <c r="L965" s="32" t="s">
        <v>2563</v>
      </c>
      <c r="M965" s="73">
        <v>45744.61619212963</v>
      </c>
      <c r="N965" s="73">
        <v>45751</v>
      </c>
      <c r="O965" s="73">
        <v>45751</v>
      </c>
      <c r="P965" s="76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6" t="s">
        <v>530</v>
      </c>
      <c r="S965" s="71"/>
    </row>
    <row r="966" spans="1:19" hidden="1">
      <c r="A966" t="s">
        <v>2573</v>
      </c>
      <c r="B966" s="71" t="str">
        <f>IFERROR(VLOOKUP(Proc[[#This Row],[App]],Table2[],3,0),"open")</f>
        <v>ok</v>
      </c>
      <c r="C966" s="74" t="s">
        <v>369</v>
      </c>
      <c r="D966" s="45" t="s">
        <v>2572</v>
      </c>
      <c r="E966" t="s">
        <v>540</v>
      </c>
      <c r="F966" s="105" t="s">
        <v>540</v>
      </c>
      <c r="G966" s="74" t="s">
        <v>406</v>
      </c>
      <c r="H966" s="71" t="str">
        <f>IF(Proc[[#This Row],[type]]="LFF (MDG-F)",MID(Proc[[#This Row],[Obj]],13,10),"")</f>
        <v>US10GM4058</v>
      </c>
      <c r="I966" t="s">
        <v>2574</v>
      </c>
      <c r="J966" s="71" t="b">
        <f>Proc[[#This Row],[Requested]]=Proc[[#This Row],[CurrentParent]]</f>
        <v>1</v>
      </c>
      <c r="K966" s="71" t="str">
        <f>IF(Proc[[#This Row],[Author]]="Marcela Urrego",VLOOKUP(LEFT(Proc[[#This Row],[Requested]],1),Table3[#All],2,0),VLOOKUP(Proc[[#This Row],[Author]],Table4[],2,0))</f>
        <v>MGF</v>
      </c>
      <c r="L966" s="32" t="s">
        <v>2563</v>
      </c>
      <c r="M966" s="73">
        <v>45744.623530092591</v>
      </c>
      <c r="N966" s="73">
        <v>45751</v>
      </c>
      <c r="O966" s="73">
        <v>45751</v>
      </c>
      <c r="P966" s="76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6" t="s">
        <v>530</v>
      </c>
      <c r="S966" s="71"/>
    </row>
    <row r="967" spans="1:19" hidden="1">
      <c r="A967" t="s">
        <v>2556</v>
      </c>
      <c r="B967" s="71" t="str">
        <f>IFERROR(VLOOKUP(Proc[[#This Row],[App]],Table2[],3,0),"open")</f>
        <v>ok</v>
      </c>
      <c r="C967" s="74" t="s">
        <v>369</v>
      </c>
      <c r="D967" t="s">
        <v>2557</v>
      </c>
      <c r="E967" t="s">
        <v>2559</v>
      </c>
      <c r="F967" s="105" t="s">
        <v>2559</v>
      </c>
      <c r="G967" s="74" t="s">
        <v>406</v>
      </c>
      <c r="H967" s="71" t="str">
        <f>IF(Proc[[#This Row],[type]]="LFF (MDG-F)",MID(Proc[[#This Row],[Obj]],13,10),"")</f>
        <v>CN95GM4000</v>
      </c>
      <c r="J967" s="71" t="b">
        <f>Proc[[#This Row],[Requested]]=Proc[[#This Row],[CurrentParent]]</f>
        <v>1</v>
      </c>
      <c r="K967" s="71" t="str">
        <f>IF(Proc[[#This Row],[Author]]="Marcela Urrego",VLOOKUP(LEFT(Proc[[#This Row],[Requested]],1),Table3[#All],2,0),VLOOKUP(Proc[[#This Row],[Author]],Table4[],2,0))</f>
        <v>MGF</v>
      </c>
      <c r="L967" s="32" t="s">
        <v>509</v>
      </c>
      <c r="M967" s="73">
        <v>45744.631527777776</v>
      </c>
      <c r="N967" s="73">
        <v>45749</v>
      </c>
      <c r="O967" s="73">
        <v>45749</v>
      </c>
      <c r="P967" s="76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6" t="s">
        <v>530</v>
      </c>
      <c r="S967" s="71"/>
    </row>
    <row r="968" spans="1:19" hidden="1">
      <c r="A968" t="s">
        <v>2556</v>
      </c>
      <c r="B968" s="71" t="str">
        <f>IFERROR(VLOOKUP(Proc[[#This Row],[App]],Table2[],3,0),"open")</f>
        <v>ok</v>
      </c>
      <c r="C968" s="74" t="s">
        <v>369</v>
      </c>
      <c r="D968" t="s">
        <v>2558</v>
      </c>
      <c r="E968" t="s">
        <v>2559</v>
      </c>
      <c r="F968" s="105" t="s">
        <v>2559</v>
      </c>
      <c r="G968" s="74" t="s">
        <v>406</v>
      </c>
      <c r="H968" s="71" t="str">
        <f>IF(Proc[[#This Row],[type]]="LFF (MDG-F)",MID(Proc[[#This Row],[Obj]],13,10),"")</f>
        <v>CN96GM4002</v>
      </c>
      <c r="J968" s="71" t="b">
        <f>Proc[[#This Row],[Requested]]=Proc[[#This Row],[CurrentParent]]</f>
        <v>1</v>
      </c>
      <c r="K968" s="71" t="str">
        <f>IF(Proc[[#This Row],[Author]]="Marcela Urrego",VLOOKUP(LEFT(Proc[[#This Row],[Requested]],1),Table3[#All],2,0),VLOOKUP(Proc[[#This Row],[Author]],Table4[],2,0))</f>
        <v>MGF</v>
      </c>
      <c r="L968" s="32" t="s">
        <v>509</v>
      </c>
      <c r="M968" s="73">
        <v>45744.631527777776</v>
      </c>
      <c r="N968" s="73">
        <v>45749</v>
      </c>
      <c r="O968" s="73">
        <v>45749</v>
      </c>
      <c r="P968" s="76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6" t="s">
        <v>530</v>
      </c>
      <c r="S968" s="71"/>
    </row>
    <row r="969" spans="1:19" hidden="1">
      <c r="A969" t="s">
        <v>2619</v>
      </c>
      <c r="B969" s="71" t="str">
        <f>IFERROR(VLOOKUP(Proc[[#This Row],[App]],Table2[],3,0),"open")</f>
        <v>ok</v>
      </c>
      <c r="C969" s="74" t="s">
        <v>369</v>
      </c>
      <c r="D969" t="s">
        <v>2618</v>
      </c>
      <c r="E969" t="s">
        <v>2559</v>
      </c>
      <c r="F969" s="105" t="s">
        <v>2559</v>
      </c>
      <c r="G969" s="74" t="s">
        <v>400</v>
      </c>
      <c r="H969" s="71" t="str">
        <f>IF(Proc[[#This Row],[type]]="LFF (MDG-F)",MID(Proc[[#This Row],[Obj]],13,10),"")</f>
        <v/>
      </c>
      <c r="J969" s="71" t="b">
        <f>Proc[[#This Row],[Requested]]=Proc[[#This Row],[CurrentParent]]</f>
        <v>1</v>
      </c>
      <c r="K969" s="71" t="str">
        <f>IF(Proc[[#This Row],[Author]]="Marcela Urrego",VLOOKUP(LEFT(Proc[[#This Row],[Requested]],1),Table3[#All],2,0),VLOOKUP(Proc[[#This Row],[Author]],Table4[],2,0))</f>
        <v>MGF</v>
      </c>
      <c r="L969" s="71" t="s">
        <v>2563</v>
      </c>
      <c r="M969" s="73">
        <v>45744.635370370372</v>
      </c>
      <c r="N969" s="73">
        <v>45754</v>
      </c>
      <c r="O969" s="73">
        <v>45754</v>
      </c>
      <c r="P969" s="76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6" t="s">
        <v>530</v>
      </c>
      <c r="S969" s="71"/>
    </row>
    <row r="970" spans="1:19" hidden="1">
      <c r="A970" t="s">
        <v>2554</v>
      </c>
      <c r="B970" s="71" t="str">
        <f>IFERROR(VLOOKUP(Proc[[#This Row],[App]],Table2[],3,0),"open")</f>
        <v>ok</v>
      </c>
      <c r="C970" s="74" t="s">
        <v>369</v>
      </c>
      <c r="D970" s="77" t="s">
        <v>2555</v>
      </c>
      <c r="E970" t="s">
        <v>476</v>
      </c>
      <c r="F970" s="105" t="s">
        <v>476</v>
      </c>
      <c r="G970" s="74" t="s">
        <v>406</v>
      </c>
      <c r="H970" s="71" t="str">
        <f>IF(Proc[[#This Row],[type]]="LFF (MDG-F)",MID(Proc[[#This Row],[Obj]],13,10),"")</f>
        <v>CH50GM4010</v>
      </c>
      <c r="J970" s="71" t="b">
        <f>Proc[[#This Row],[Requested]]=Proc[[#This Row],[CurrentParent]]</f>
        <v>1</v>
      </c>
      <c r="K970" s="71" t="str">
        <f>IF(Proc[[#This Row],[Author]]="Marcela Urrego",VLOOKUP(LEFT(Proc[[#This Row],[Requested]],1),Table3[#All],2,0),VLOOKUP(Proc[[#This Row],[Author]],Table4[],2,0))</f>
        <v>MGF</v>
      </c>
      <c r="L970" s="32" t="s">
        <v>509</v>
      </c>
      <c r="M970" s="73">
        <v>45744.666585648149</v>
      </c>
      <c r="N970" s="73">
        <v>45749</v>
      </c>
      <c r="O970" s="73">
        <v>45749</v>
      </c>
      <c r="P970" s="76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6" t="s">
        <v>530</v>
      </c>
      <c r="S970" s="71"/>
    </row>
    <row r="971" spans="1:19" hidden="1">
      <c r="A971" t="s">
        <v>2553</v>
      </c>
      <c r="B971" s="71" t="str">
        <f>IFERROR(VLOOKUP(Proc[[#This Row],[App]],Table2[],3,0),"open")</f>
        <v>ok</v>
      </c>
      <c r="C971" s="74" t="s">
        <v>369</v>
      </c>
      <c r="D971" t="s">
        <v>2551</v>
      </c>
      <c r="E971" t="s">
        <v>476</v>
      </c>
      <c r="F971" s="105" t="s">
        <v>476</v>
      </c>
      <c r="G971" s="74" t="s">
        <v>400</v>
      </c>
      <c r="H971" s="71" t="str">
        <f>IF(Proc[[#This Row],[type]]="LFF (MDG-F)",MID(Proc[[#This Row],[Obj]],13,10),"")</f>
        <v/>
      </c>
      <c r="J971" s="71" t="b">
        <f>Proc[[#This Row],[Requested]]=Proc[[#This Row],[CurrentParent]]</f>
        <v>1</v>
      </c>
      <c r="K971" s="71" t="str">
        <f>IF(Proc[[#This Row],[Author]]="Marcela Urrego",VLOOKUP(LEFT(Proc[[#This Row],[Requested]],1),Table3[#All],2,0),VLOOKUP(Proc[[#This Row],[Author]],Table4[],2,0))</f>
        <v>MGF</v>
      </c>
      <c r="L971" s="32" t="s">
        <v>509</v>
      </c>
      <c r="M971" s="73">
        <v>45744.676550925928</v>
      </c>
      <c r="N971" s="73">
        <v>45749</v>
      </c>
      <c r="O971" s="73">
        <v>45749</v>
      </c>
      <c r="P971" s="76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6" t="s">
        <v>530</v>
      </c>
      <c r="S971" s="71"/>
    </row>
    <row r="972" spans="1:19" hidden="1">
      <c r="A972" t="s">
        <v>2550</v>
      </c>
      <c r="B972" s="71" t="str">
        <f>IFERROR(VLOOKUP(Proc[[#This Row],[App]],Table2[],3,0),"open")</f>
        <v>ok</v>
      </c>
      <c r="C972" s="74" t="s">
        <v>369</v>
      </c>
      <c r="D972" t="s">
        <v>2549</v>
      </c>
      <c r="E972" s="74" t="s">
        <v>476</v>
      </c>
      <c r="F972" s="105" t="s">
        <v>476</v>
      </c>
      <c r="G972" s="74" t="s">
        <v>400</v>
      </c>
      <c r="H972" s="71" t="str">
        <f>IF(Proc[[#This Row],[type]]="LFF (MDG-F)",MID(Proc[[#This Row],[Obj]],13,10),"")</f>
        <v/>
      </c>
      <c r="J972" s="71" t="b">
        <f>Proc[[#This Row],[Requested]]=Proc[[#This Row],[CurrentParent]]</f>
        <v>1</v>
      </c>
      <c r="K972" s="71" t="str">
        <f>IF(Proc[[#This Row],[Author]]="Marcela Urrego",VLOOKUP(LEFT(Proc[[#This Row],[Requested]],1),Table3[#All],2,0),VLOOKUP(Proc[[#This Row],[Author]],Table4[],2,0))</f>
        <v>MGF</v>
      </c>
      <c r="L972" s="32" t="s">
        <v>509</v>
      </c>
      <c r="M972" s="73">
        <v>45744.678877314815</v>
      </c>
      <c r="N972" s="73">
        <v>45749</v>
      </c>
      <c r="O972" s="73">
        <v>45749</v>
      </c>
      <c r="P972" s="76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6" t="s">
        <v>530</v>
      </c>
      <c r="S972" s="71"/>
    </row>
    <row r="973" spans="1:19" hidden="1">
      <c r="A973" t="s">
        <v>2547</v>
      </c>
      <c r="B973" s="71" t="str">
        <f>IFERROR(VLOOKUP(Proc[[#This Row],[App]],Table2[],3,0),"open")</f>
        <v>ok</v>
      </c>
      <c r="C973" s="74" t="s">
        <v>369</v>
      </c>
      <c r="D973" t="s">
        <v>2548</v>
      </c>
      <c r="E973" t="s">
        <v>476</v>
      </c>
      <c r="F973" s="105" t="s">
        <v>476</v>
      </c>
      <c r="G973" s="74" t="s">
        <v>406</v>
      </c>
      <c r="H973" s="71" t="str">
        <f>IF(Proc[[#This Row],[type]]="LFF (MDG-F)",MID(Proc[[#This Row],[Obj]],13,10),"")</f>
        <v>CH75GM8300</v>
      </c>
      <c r="J973" s="71" t="b">
        <f>Proc[[#This Row],[Requested]]=Proc[[#This Row],[CurrentParent]]</f>
        <v>1</v>
      </c>
      <c r="K973" s="71" t="str">
        <f>IF(Proc[[#This Row],[Author]]="Marcela Urrego",VLOOKUP(LEFT(Proc[[#This Row],[Requested]],1),Table3[#All],2,0),VLOOKUP(Proc[[#This Row],[Author]],Table4[],2,0))</f>
        <v>MGF</v>
      </c>
      <c r="L973" s="32" t="s">
        <v>509</v>
      </c>
      <c r="M973" s="73">
        <v>45744.687928240739</v>
      </c>
      <c r="N973" s="73">
        <v>45749</v>
      </c>
      <c r="O973" s="73">
        <v>45749</v>
      </c>
      <c r="P973" s="76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6" t="s">
        <v>530</v>
      </c>
      <c r="S973" s="71"/>
    </row>
    <row r="974" spans="1:19" hidden="1">
      <c r="A974" t="s">
        <v>2544</v>
      </c>
      <c r="B974" s="71" t="str">
        <f>IFERROR(VLOOKUP(Proc[[#This Row],[App]],Table2[],3,0),"open")</f>
        <v>ok</v>
      </c>
      <c r="C974" s="74" t="s">
        <v>369</v>
      </c>
      <c r="D974" t="s">
        <v>2545</v>
      </c>
      <c r="E974" t="s">
        <v>2546</v>
      </c>
      <c r="F974" s="105" t="s">
        <v>2546</v>
      </c>
      <c r="G974" t="s">
        <v>406</v>
      </c>
      <c r="H974" s="71" t="str">
        <f>IF(Proc[[#This Row],[type]]="LFF (MDG-F)",MID(Proc[[#This Row],[Obj]],13,10),"")</f>
        <v>ES50GPO794</v>
      </c>
      <c r="J974" s="71" t="b">
        <f>Proc[[#This Row],[Requested]]=Proc[[#This Row],[CurrentParent]]</f>
        <v>1</v>
      </c>
      <c r="K974" s="71" t="str">
        <f>IF(Proc[[#This Row],[Author]]="Marcela Urrego",VLOOKUP(LEFT(Proc[[#This Row],[Requested]],1),Table3[#All],2,0),VLOOKUP(Proc[[#This Row],[Author]],Table4[],2,0))</f>
        <v>MGF</v>
      </c>
      <c r="L974" s="32" t="s">
        <v>509</v>
      </c>
      <c r="M974" s="73">
        <v>45744.699282407404</v>
      </c>
      <c r="N974" s="73">
        <v>45749</v>
      </c>
      <c r="O974" s="73">
        <v>45749</v>
      </c>
      <c r="P974" s="76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6" t="s">
        <v>530</v>
      </c>
      <c r="S974" s="71"/>
    </row>
    <row r="975" spans="1:19" hidden="1">
      <c r="A975" t="s">
        <v>2541</v>
      </c>
      <c r="B975" s="71" t="str">
        <f>IFERROR(VLOOKUP(Proc[[#This Row],[App]],Table2[],3,0),"open")</f>
        <v>ok</v>
      </c>
      <c r="C975" s="74" t="s">
        <v>369</v>
      </c>
      <c r="D975" t="s">
        <v>2542</v>
      </c>
      <c r="E975" t="s">
        <v>2543</v>
      </c>
      <c r="F975" s="105" t="s">
        <v>2543</v>
      </c>
      <c r="G975" s="74" t="s">
        <v>400</v>
      </c>
      <c r="H975" s="71" t="str">
        <f>IF(Proc[[#This Row],[type]]="LFF (MDG-F)",MID(Proc[[#This Row],[Obj]],13,10),"")</f>
        <v/>
      </c>
      <c r="J975" s="71" t="b">
        <f>Proc[[#This Row],[Requested]]=Proc[[#This Row],[CurrentParent]]</f>
        <v>1</v>
      </c>
      <c r="K975" s="71" t="str">
        <f>IF(Proc[[#This Row],[Author]]="Marcela Urrego",VLOOKUP(LEFT(Proc[[#This Row],[Requested]],1),Table3[#All],2,0),VLOOKUP(Proc[[#This Row],[Author]],Table4[],2,0))</f>
        <v>MGF</v>
      </c>
      <c r="L975" s="32" t="s">
        <v>509</v>
      </c>
      <c r="M975" s="73">
        <v>45747.396412037036</v>
      </c>
      <c r="N975" s="73">
        <v>45749</v>
      </c>
      <c r="O975" s="73">
        <v>45749</v>
      </c>
      <c r="P975" s="76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6" t="s">
        <v>1076</v>
      </c>
      <c r="S975" s="71"/>
    </row>
    <row r="976" spans="1:19" hidden="1">
      <c r="A976" t="s">
        <v>2562</v>
      </c>
      <c r="B976" s="71" t="str">
        <f>IFERROR(VLOOKUP(Proc[[#This Row],[App]],Table2[],3,0),"open")</f>
        <v>ok</v>
      </c>
      <c r="C976" s="74" t="s">
        <v>369</v>
      </c>
      <c r="D976" t="s">
        <v>2560</v>
      </c>
      <c r="E976" t="s">
        <v>2561</v>
      </c>
      <c r="F976" s="105" t="s">
        <v>2561</v>
      </c>
      <c r="G976" s="74" t="s">
        <v>400</v>
      </c>
      <c r="H976" s="71" t="str">
        <f>IF(Proc[[#This Row],[type]]="LFF (MDG-F)",MID(Proc[[#This Row],[Obj]],13,10),"")</f>
        <v/>
      </c>
      <c r="J976" s="71" t="b">
        <f>Proc[[#This Row],[Requested]]=Proc[[#This Row],[CurrentParent]]</f>
        <v>1</v>
      </c>
      <c r="K976" s="71" t="str">
        <f>IF(Proc[[#This Row],[Author]]="Marcela Urrego",VLOOKUP(LEFT(Proc[[#This Row],[Requested]],1),Table3[#All],2,0),VLOOKUP(Proc[[#This Row],[Author]],Table4[],2,0))</f>
        <v>HC</v>
      </c>
      <c r="L976" s="32" t="s">
        <v>509</v>
      </c>
      <c r="M976" s="73">
        <v>45747.472418981481</v>
      </c>
      <c r="N976" s="73">
        <v>45749</v>
      </c>
      <c r="O976" s="73">
        <v>45749</v>
      </c>
      <c r="P976" s="76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6" t="s">
        <v>477</v>
      </c>
      <c r="S976" s="71"/>
    </row>
    <row r="977" spans="1:19" hidden="1">
      <c r="A977" t="s">
        <v>2568</v>
      </c>
      <c r="B977" s="71" t="str">
        <f>IFERROR(VLOOKUP(Proc[[#This Row],[App]],Table2[],3,0),"open")</f>
        <v>ok</v>
      </c>
      <c r="C977" s="74" t="s">
        <v>369</v>
      </c>
      <c r="D977" t="s">
        <v>2569</v>
      </c>
      <c r="E977" t="s">
        <v>2570</v>
      </c>
      <c r="F977" s="105" t="s">
        <v>2570</v>
      </c>
      <c r="G977" s="74" t="s">
        <v>406</v>
      </c>
      <c r="H977" s="71" t="str">
        <f>IF(Proc[[#This Row],[type]]="LFF (MDG-F)",MID(Proc[[#This Row],[Obj]],13,10),"")</f>
        <v>CH50GIT032</v>
      </c>
      <c r="I977" s="74" t="s">
        <v>2574</v>
      </c>
      <c r="J977" s="71" t="b">
        <f>Proc[[#This Row],[Requested]]=Proc[[#This Row],[CurrentParent]]</f>
        <v>1</v>
      </c>
      <c r="K977" s="71" t="str">
        <f>IF(Proc[[#This Row],[Author]]="Marcela Urrego",VLOOKUP(LEFT(Proc[[#This Row],[Requested]],1),Table3[#All],2,0),VLOOKUP(Proc[[#This Row],[Author]],Table4[],2,0))</f>
        <v>MGF</v>
      </c>
      <c r="L977" s="32" t="s">
        <v>2563</v>
      </c>
      <c r="M977" s="73">
        <v>45747.711828703701</v>
      </c>
      <c r="N977" s="73">
        <v>45751</v>
      </c>
      <c r="O977" s="73">
        <v>45751</v>
      </c>
      <c r="P977" s="76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6" t="s">
        <v>1459</v>
      </c>
      <c r="S977" s="71"/>
    </row>
    <row r="978" spans="1:19" hidden="1">
      <c r="A978" s="74" t="s">
        <v>2566</v>
      </c>
      <c r="B978" s="71" t="str">
        <f>IFERROR(VLOOKUP(Proc[[#This Row],[App]],Table2[],3,0),"open")</f>
        <v>ok</v>
      </c>
      <c r="C978" s="74" t="s">
        <v>369</v>
      </c>
      <c r="D978" t="s">
        <v>2567</v>
      </c>
      <c r="E978" t="s">
        <v>474</v>
      </c>
      <c r="F978" s="105" t="s">
        <v>474</v>
      </c>
      <c r="G978" s="74" t="s">
        <v>400</v>
      </c>
      <c r="H978" s="71" t="str">
        <f>IF(Proc[[#This Row],[type]]="LFF (MDG-F)",MID(Proc[[#This Row],[Obj]],13,10),"")</f>
        <v/>
      </c>
      <c r="I978" s="74"/>
      <c r="J978" s="71" t="b">
        <f>Proc[[#This Row],[Requested]]=Proc[[#This Row],[CurrentParent]]</f>
        <v>1</v>
      </c>
      <c r="K978" s="71" t="str">
        <f>IF(Proc[[#This Row],[Author]]="Marcela Urrego",VLOOKUP(LEFT(Proc[[#This Row],[Requested]],1),Table3[#All],2,0),VLOOKUP(Proc[[#This Row],[Author]],Table4[],2,0))</f>
        <v>MGF</v>
      </c>
      <c r="L978" s="32" t="s">
        <v>2563</v>
      </c>
      <c r="M978" s="73">
        <v>45748.710694444446</v>
      </c>
      <c r="N978" s="73">
        <v>45751</v>
      </c>
      <c r="O978" s="73">
        <v>45751</v>
      </c>
      <c r="P978" s="76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6" t="s">
        <v>530</v>
      </c>
      <c r="S978" s="71"/>
    </row>
    <row r="979" spans="1:19" hidden="1">
      <c r="A979" s="74" t="s">
        <v>2564</v>
      </c>
      <c r="B979" s="71" t="str">
        <f>IFERROR(VLOOKUP(Proc[[#This Row],[App]],Table2[],3,0),"open")</f>
        <v>ok</v>
      </c>
      <c r="C979" s="74" t="s">
        <v>369</v>
      </c>
      <c r="D979" t="s">
        <v>2565</v>
      </c>
      <c r="E979" t="s">
        <v>2552</v>
      </c>
      <c r="F979" s="105" t="s">
        <v>2552</v>
      </c>
      <c r="G979" s="74" t="s">
        <v>400</v>
      </c>
      <c r="H979" s="71" t="str">
        <f>IF(Proc[[#This Row],[type]]="LFF (MDG-F)",MID(Proc[[#This Row],[Obj]],13,10),"")</f>
        <v/>
      </c>
      <c r="I979" s="74"/>
      <c r="J979" s="71" t="b">
        <f>Proc[[#This Row],[Requested]]=Proc[[#This Row],[CurrentParent]]</f>
        <v>1</v>
      </c>
      <c r="K979" s="71" t="str">
        <f>IF(Proc[[#This Row],[Author]]="Marcela Urrego",VLOOKUP(LEFT(Proc[[#This Row],[Requested]],1),Table3[#All],2,0),VLOOKUP(Proc[[#This Row],[Author]],Table4[],2,0))</f>
        <v>MGF</v>
      </c>
      <c r="L979" s="32" t="s">
        <v>2563</v>
      </c>
      <c r="M979" s="73">
        <v>45749.402743055558</v>
      </c>
      <c r="N979" s="73">
        <v>45751</v>
      </c>
      <c r="O979" s="73">
        <v>45751</v>
      </c>
      <c r="P979" s="76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6" t="s">
        <v>515</v>
      </c>
      <c r="S979" s="71"/>
    </row>
    <row r="980" spans="1:19" hidden="1">
      <c r="A980" s="74" t="s">
        <v>2571</v>
      </c>
      <c r="B980" s="71" t="str">
        <f>IFERROR(VLOOKUP(Proc[[#This Row],[App]],Table2[],3,0),"open")</f>
        <v>ok</v>
      </c>
      <c r="C980" s="74" t="s">
        <v>369</v>
      </c>
      <c r="D980" t="s">
        <v>2513</v>
      </c>
      <c r="E980" t="s">
        <v>2521</v>
      </c>
      <c r="F980" s="105" t="s">
        <v>2521</v>
      </c>
      <c r="G980" s="74" t="s">
        <v>406</v>
      </c>
      <c r="H980" s="71" t="str">
        <f>IF(Proc[[#This Row],[type]]="LFF (MDG-F)",MID(Proc[[#This Row],[Obj]],13,10),"")</f>
        <v>IT50C02000</v>
      </c>
      <c r="I980" s="74" t="s">
        <v>2574</v>
      </c>
      <c r="J980" s="71" t="b">
        <f>Proc[[#This Row],[Requested]]=Proc[[#This Row],[CurrentParent]]</f>
        <v>1</v>
      </c>
      <c r="K980" s="71" t="str">
        <f>IF(Proc[[#This Row],[Author]]="Marcela Urrego",VLOOKUP(LEFT(Proc[[#This Row],[Requested]],1),Table3[#All],2,0),VLOOKUP(Proc[[#This Row],[Author]],Table4[],2,0))</f>
        <v>HC</v>
      </c>
      <c r="L980" s="32" t="s">
        <v>2563</v>
      </c>
      <c r="M980" s="73">
        <v>45749.440416666665</v>
      </c>
      <c r="N980" s="73">
        <v>45751</v>
      </c>
      <c r="O980" s="73">
        <v>45751</v>
      </c>
      <c r="P980" s="76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6" t="s">
        <v>2524</v>
      </c>
      <c r="S980" s="71"/>
    </row>
    <row r="981" spans="1:19" hidden="1">
      <c r="A981" s="74" t="s">
        <v>2571</v>
      </c>
      <c r="B981" s="71" t="str">
        <f>IFERROR(VLOOKUP(Proc[[#This Row],[App]],Table2[],3,0),"open")</f>
        <v>ok</v>
      </c>
      <c r="C981" s="74" t="s">
        <v>369</v>
      </c>
      <c r="D981" t="s">
        <v>2514</v>
      </c>
      <c r="E981" t="s">
        <v>2521</v>
      </c>
      <c r="F981" s="105" t="s">
        <v>2521</v>
      </c>
      <c r="G981" s="74" t="s">
        <v>406</v>
      </c>
      <c r="H981" s="71" t="str">
        <f>IF(Proc[[#This Row],[type]]="LFF (MDG-F)",MID(Proc[[#This Row],[Obj]],13,10),"")</f>
        <v>IT50C02004</v>
      </c>
      <c r="I981" s="74" t="s">
        <v>2574</v>
      </c>
      <c r="J981" s="71" t="b">
        <f>Proc[[#This Row],[Requested]]=Proc[[#This Row],[CurrentParent]]</f>
        <v>1</v>
      </c>
      <c r="K981" s="71" t="str">
        <f>IF(Proc[[#This Row],[Author]]="Marcela Urrego",VLOOKUP(LEFT(Proc[[#This Row],[Requested]],1),Table3[#All],2,0),VLOOKUP(Proc[[#This Row],[Author]],Table4[],2,0))</f>
        <v>HC</v>
      </c>
      <c r="L981" s="32" t="s">
        <v>2563</v>
      </c>
      <c r="M981" s="73">
        <v>45749.440416666665</v>
      </c>
      <c r="N981" s="73">
        <v>45751</v>
      </c>
      <c r="O981" s="73">
        <v>45751</v>
      </c>
      <c r="P981" s="76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6" t="s">
        <v>2524</v>
      </c>
      <c r="S981" s="71"/>
    </row>
    <row r="982" spans="1:19" hidden="1">
      <c r="A982" s="74" t="s">
        <v>2571</v>
      </c>
      <c r="B982" s="71" t="str">
        <f>IFERROR(VLOOKUP(Proc[[#This Row],[App]],Table2[],3,0),"open")</f>
        <v>ok</v>
      </c>
      <c r="C982" s="74" t="s">
        <v>369</v>
      </c>
      <c r="D982" t="s">
        <v>2515</v>
      </c>
      <c r="E982" t="s">
        <v>2521</v>
      </c>
      <c r="F982" s="105" t="s">
        <v>2521</v>
      </c>
      <c r="G982" s="74" t="s">
        <v>406</v>
      </c>
      <c r="H982" s="71" t="str">
        <f>IF(Proc[[#This Row],[type]]="LFF (MDG-F)",MID(Proc[[#This Row],[Obj]],13,10),"")</f>
        <v>IT50C03005</v>
      </c>
      <c r="I982" s="74" t="s">
        <v>2574</v>
      </c>
      <c r="J982" s="71" t="b">
        <f>Proc[[#This Row],[Requested]]=Proc[[#This Row],[CurrentParent]]</f>
        <v>1</v>
      </c>
      <c r="K982" s="71" t="str">
        <f>IF(Proc[[#This Row],[Author]]="Marcela Urrego",VLOOKUP(LEFT(Proc[[#This Row],[Requested]],1),Table3[#All],2,0),VLOOKUP(Proc[[#This Row],[Author]],Table4[],2,0))</f>
        <v>HC</v>
      </c>
      <c r="L982" s="32" t="s">
        <v>2563</v>
      </c>
      <c r="M982" s="73">
        <v>45749.440416666665</v>
      </c>
      <c r="N982" s="73">
        <v>45751</v>
      </c>
      <c r="O982" s="73">
        <v>45751</v>
      </c>
      <c r="P982" s="76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6" t="s">
        <v>2524</v>
      </c>
      <c r="S982" s="71"/>
    </row>
    <row r="983" spans="1:19" hidden="1">
      <c r="A983" s="74" t="s">
        <v>2571</v>
      </c>
      <c r="B983" s="71" t="str">
        <f>IFERROR(VLOOKUP(Proc[[#This Row],[App]],Table2[],3,0),"open")</f>
        <v>ok</v>
      </c>
      <c r="C983" s="74" t="s">
        <v>369</v>
      </c>
      <c r="D983" t="s">
        <v>2516</v>
      </c>
      <c r="E983" t="s">
        <v>2521</v>
      </c>
      <c r="F983" s="105" t="s">
        <v>2521</v>
      </c>
      <c r="G983" s="74" t="s">
        <v>406</v>
      </c>
      <c r="H983" s="71" t="str">
        <f>IF(Proc[[#This Row],[type]]="LFF (MDG-F)",MID(Proc[[#This Row],[Obj]],13,10),"")</f>
        <v>IT50C03004</v>
      </c>
      <c r="I983" s="74" t="s">
        <v>2574</v>
      </c>
      <c r="J983" s="71" t="b">
        <f>Proc[[#This Row],[Requested]]=Proc[[#This Row],[CurrentParent]]</f>
        <v>1</v>
      </c>
      <c r="K983" s="71" t="str">
        <f>IF(Proc[[#This Row],[Author]]="Marcela Urrego",VLOOKUP(LEFT(Proc[[#This Row],[Requested]],1),Table3[#All],2,0),VLOOKUP(Proc[[#This Row],[Author]],Table4[],2,0))</f>
        <v>HC</v>
      </c>
      <c r="L983" s="32" t="s">
        <v>2563</v>
      </c>
      <c r="M983" s="73">
        <v>45749.440416666665</v>
      </c>
      <c r="N983" s="73">
        <v>45751</v>
      </c>
      <c r="O983" s="73">
        <v>45751</v>
      </c>
      <c r="P983" s="76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6" t="s">
        <v>2524</v>
      </c>
      <c r="S983" s="71"/>
    </row>
    <row r="984" spans="1:19" hidden="1">
      <c r="A984" s="74" t="s">
        <v>2571</v>
      </c>
      <c r="B984" s="71" t="str">
        <f>IFERROR(VLOOKUP(Proc[[#This Row],[App]],Table2[],3,0),"open")</f>
        <v>ok</v>
      </c>
      <c r="C984" s="74" t="s">
        <v>369</v>
      </c>
      <c r="D984" t="s">
        <v>2517</v>
      </c>
      <c r="E984" t="s">
        <v>2521</v>
      </c>
      <c r="F984" s="105" t="s">
        <v>2521</v>
      </c>
      <c r="G984" s="74" t="s">
        <v>406</v>
      </c>
      <c r="H984" s="71" t="str">
        <f>IF(Proc[[#This Row],[type]]="LFF (MDG-F)",MID(Proc[[#This Row],[Obj]],13,10),"")</f>
        <v>IT50C02009</v>
      </c>
      <c r="I984" s="74" t="s">
        <v>2574</v>
      </c>
      <c r="J984" s="71" t="b">
        <f>Proc[[#This Row],[Requested]]=Proc[[#This Row],[CurrentParent]]</f>
        <v>1</v>
      </c>
      <c r="K984" s="71" t="str">
        <f>IF(Proc[[#This Row],[Author]]="Marcela Urrego",VLOOKUP(LEFT(Proc[[#This Row],[Requested]],1),Table3[#All],2,0),VLOOKUP(Proc[[#This Row],[Author]],Table4[],2,0))</f>
        <v>HC</v>
      </c>
      <c r="L984" s="32" t="s">
        <v>2563</v>
      </c>
      <c r="M984" s="73">
        <v>45749.440416666665</v>
      </c>
      <c r="N984" s="73">
        <v>45751</v>
      </c>
      <c r="O984" s="73">
        <v>45751</v>
      </c>
      <c r="P984" s="76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6" t="s">
        <v>2524</v>
      </c>
      <c r="S984" s="71"/>
    </row>
    <row r="985" spans="1:19" hidden="1">
      <c r="A985" t="s">
        <v>2571</v>
      </c>
      <c r="B985" s="71" t="str">
        <f>IFERROR(VLOOKUP(Proc[[#This Row],[App]],Table2[],3,0),"open")</f>
        <v>ok</v>
      </c>
      <c r="C985" s="74" t="s">
        <v>369</v>
      </c>
      <c r="D985" s="74" t="s">
        <v>2518</v>
      </c>
      <c r="E985" t="s">
        <v>2521</v>
      </c>
      <c r="F985" s="105" t="s">
        <v>2521</v>
      </c>
      <c r="G985" s="74" t="s">
        <v>406</v>
      </c>
      <c r="H985" s="71" t="str">
        <f>IF(Proc[[#This Row],[type]]="LFF (MDG-F)",MID(Proc[[#This Row],[Obj]],13,10),"")</f>
        <v>IT50C02010</v>
      </c>
      <c r="I985" s="74" t="s">
        <v>2574</v>
      </c>
      <c r="J985" s="71" t="b">
        <f>Proc[[#This Row],[Requested]]=Proc[[#This Row],[CurrentParent]]</f>
        <v>1</v>
      </c>
      <c r="K985" s="71" t="str">
        <f>IF(Proc[[#This Row],[Author]]="Marcela Urrego",VLOOKUP(LEFT(Proc[[#This Row],[Requested]],1),Table3[#All],2,0),VLOOKUP(Proc[[#This Row],[Author]],Table4[],2,0))</f>
        <v>HC</v>
      </c>
      <c r="L985" s="32" t="s">
        <v>2563</v>
      </c>
      <c r="M985" s="73">
        <v>45749.440416666665</v>
      </c>
      <c r="N985" s="73">
        <v>45751</v>
      </c>
      <c r="O985" s="73">
        <v>45751</v>
      </c>
      <c r="P985" s="76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6" t="s">
        <v>2524</v>
      </c>
      <c r="S985" s="71"/>
    </row>
    <row r="986" spans="1:19" hidden="1">
      <c r="A986" t="s">
        <v>2571</v>
      </c>
      <c r="B986" s="71" t="str">
        <f>IFERROR(VLOOKUP(Proc[[#This Row],[App]],Table2[],3,0),"open")</f>
        <v>ok</v>
      </c>
      <c r="C986" t="s">
        <v>369</v>
      </c>
      <c r="D986" t="s">
        <v>2519</v>
      </c>
      <c r="E986" t="s">
        <v>2521</v>
      </c>
      <c r="F986" s="105" t="s">
        <v>2521</v>
      </c>
      <c r="G986" t="s">
        <v>406</v>
      </c>
      <c r="H986" s="71" t="str">
        <f>IF(Proc[[#This Row],[type]]="LFF (MDG-F)",MID(Proc[[#This Row],[Obj]],13,10),"")</f>
        <v>IT50C03007</v>
      </c>
      <c r="I986" t="s">
        <v>2574</v>
      </c>
      <c r="J986" s="71" t="b">
        <f>Proc[[#This Row],[Requested]]=Proc[[#This Row],[CurrentParent]]</f>
        <v>1</v>
      </c>
      <c r="K986" s="71" t="str">
        <f>IF(Proc[[#This Row],[Author]]="Marcela Urrego",VLOOKUP(LEFT(Proc[[#This Row],[Requested]],1),Table3[#All],2,0),VLOOKUP(Proc[[#This Row],[Author]],Table4[],2,0))</f>
        <v>HC</v>
      </c>
      <c r="L986" s="32" t="s">
        <v>2563</v>
      </c>
      <c r="M986" s="73">
        <v>45749.440416666665</v>
      </c>
      <c r="N986" s="73">
        <v>45751</v>
      </c>
      <c r="O986" s="73">
        <v>45751</v>
      </c>
      <c r="P986" s="76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6" t="s">
        <v>2524</v>
      </c>
      <c r="S986" s="71"/>
    </row>
    <row r="987" spans="1:19" hidden="1">
      <c r="A987" t="s">
        <v>2571</v>
      </c>
      <c r="B987" s="71" t="str">
        <f>IFERROR(VLOOKUP(Proc[[#This Row],[App]],Table2[],3,0),"open")</f>
        <v>ok</v>
      </c>
      <c r="C987" s="74" t="s">
        <v>369</v>
      </c>
      <c r="D987" t="s">
        <v>2520</v>
      </c>
      <c r="E987" t="s">
        <v>2521</v>
      </c>
      <c r="F987" s="105" t="s">
        <v>2521</v>
      </c>
      <c r="G987" s="74" t="s">
        <v>406</v>
      </c>
      <c r="H987" s="71" t="str">
        <f>IF(Proc[[#This Row],[type]]="LFF (MDG-F)",MID(Proc[[#This Row],[Obj]],13,10),"")</f>
        <v>IT50C02011</v>
      </c>
      <c r="I987" t="s">
        <v>2574</v>
      </c>
      <c r="J987" s="71" t="b">
        <f>Proc[[#This Row],[Requested]]=Proc[[#This Row],[CurrentParent]]</f>
        <v>1</v>
      </c>
      <c r="K987" s="71" t="str">
        <f>IF(Proc[[#This Row],[Author]]="Marcela Urrego",VLOOKUP(LEFT(Proc[[#This Row],[Requested]],1),Table3[#All],2,0),VLOOKUP(Proc[[#This Row],[Author]],Table4[],2,0))</f>
        <v>HC</v>
      </c>
      <c r="L987" s="32" t="s">
        <v>2563</v>
      </c>
      <c r="M987" s="73">
        <v>45749.440416666665</v>
      </c>
      <c r="N987" s="73">
        <v>45751</v>
      </c>
      <c r="O987" s="73">
        <v>45751</v>
      </c>
      <c r="P987" s="76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6" t="s">
        <v>2524</v>
      </c>
      <c r="S987" s="71"/>
    </row>
    <row r="988" spans="1:19" hidden="1">
      <c r="A988" s="74" t="s">
        <v>2594</v>
      </c>
      <c r="B988" s="71" t="str">
        <f>IFERROR(VLOOKUP(Proc[[#This Row],[App]],Table2[],3,0),"open")</f>
        <v>ok</v>
      </c>
      <c r="C988" s="74" t="s">
        <v>369</v>
      </c>
      <c r="D988" t="s">
        <v>2589</v>
      </c>
      <c r="E988" t="s">
        <v>2592</v>
      </c>
      <c r="F988" s="105" t="s">
        <v>2592</v>
      </c>
      <c r="G988" s="74" t="s">
        <v>400</v>
      </c>
      <c r="H988" s="71" t="str">
        <f>IF(Proc[[#This Row],[type]]="LFF (MDG-F)",MID(Proc[[#This Row],[Obj]],13,10),"")</f>
        <v/>
      </c>
      <c r="J988" s="71" t="b">
        <f>Proc[[#This Row],[Requested]]=Proc[[#This Row],[CurrentParent]]</f>
        <v>1</v>
      </c>
      <c r="K988" s="71" t="str">
        <f>IF(Proc[[#This Row],[Author]]="Marcela Urrego",VLOOKUP(LEFT(Proc[[#This Row],[Requested]],1),Table3[#All],2,0),VLOOKUP(Proc[[#This Row],[Author]],Table4[],2,0))</f>
        <v>LS</v>
      </c>
      <c r="L988" s="32" t="s">
        <v>2563</v>
      </c>
      <c r="M988" s="73">
        <v>45749.499050925922</v>
      </c>
      <c r="N988" s="73">
        <v>45751</v>
      </c>
      <c r="O988" s="73">
        <v>45751</v>
      </c>
      <c r="P988" s="76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6" t="s">
        <v>972</v>
      </c>
      <c r="S988" s="71"/>
    </row>
    <row r="989" spans="1:19" hidden="1">
      <c r="A989" s="74" t="s">
        <v>2594</v>
      </c>
      <c r="B989" s="71" t="str">
        <f>IFERROR(VLOOKUP(Proc[[#This Row],[App]],Table2[],3,0),"open")</f>
        <v>ok</v>
      </c>
      <c r="C989" s="74" t="s">
        <v>369</v>
      </c>
      <c r="D989" t="s">
        <v>2590</v>
      </c>
      <c r="E989" t="s">
        <v>2593</v>
      </c>
      <c r="F989" s="105" t="s">
        <v>2593</v>
      </c>
      <c r="G989" s="74" t="s">
        <v>400</v>
      </c>
      <c r="H989" s="71" t="str">
        <f>IF(Proc[[#This Row],[type]]="LFF (MDG-F)",MID(Proc[[#This Row],[Obj]],13,10),"")</f>
        <v/>
      </c>
      <c r="J989" s="71" t="b">
        <f>Proc[[#This Row],[Requested]]=Proc[[#This Row],[CurrentParent]]</f>
        <v>1</v>
      </c>
      <c r="K989" s="71" t="str">
        <f>IF(Proc[[#This Row],[Author]]="Marcela Urrego",VLOOKUP(LEFT(Proc[[#This Row],[Requested]],1),Table3[#All],2,0),VLOOKUP(Proc[[#This Row],[Author]],Table4[],2,0))</f>
        <v>LS</v>
      </c>
      <c r="L989" s="32" t="s">
        <v>2563</v>
      </c>
      <c r="M989" s="73">
        <v>45749.499050925922</v>
      </c>
      <c r="N989" s="73">
        <v>45751</v>
      </c>
      <c r="O989" s="73">
        <v>45751</v>
      </c>
      <c r="P989" s="76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6" t="s">
        <v>972</v>
      </c>
      <c r="S989" s="71"/>
    </row>
    <row r="990" spans="1:19" hidden="1">
      <c r="A990" s="74" t="s">
        <v>2594</v>
      </c>
      <c r="B990" s="71" t="str">
        <f>IFERROR(VLOOKUP(Proc[[#This Row],[App]],Table2[],3,0),"open")</f>
        <v>ok</v>
      </c>
      <c r="C990" s="74" t="s">
        <v>369</v>
      </c>
      <c r="D990" t="s">
        <v>2591</v>
      </c>
      <c r="E990" t="s">
        <v>652</v>
      </c>
      <c r="F990" s="105" t="s">
        <v>652</v>
      </c>
      <c r="G990" s="74" t="s">
        <v>400</v>
      </c>
      <c r="H990" s="71" t="str">
        <f>IF(Proc[[#This Row],[type]]="LFF (MDG-F)",MID(Proc[[#This Row],[Obj]],13,10),"")</f>
        <v/>
      </c>
      <c r="J990" s="71" t="b">
        <f>Proc[[#This Row],[Requested]]=Proc[[#This Row],[CurrentParent]]</f>
        <v>1</v>
      </c>
      <c r="K990" s="71" t="str">
        <f>IF(Proc[[#This Row],[Author]]="Marcela Urrego",VLOOKUP(LEFT(Proc[[#This Row],[Requested]],1),Table3[#All],2,0),VLOOKUP(Proc[[#This Row],[Author]],Table4[],2,0))</f>
        <v>LS</v>
      </c>
      <c r="L990" s="32" t="s">
        <v>2563</v>
      </c>
      <c r="M990" s="73">
        <v>45749.499050925922</v>
      </c>
      <c r="N990" s="73">
        <v>45751</v>
      </c>
      <c r="O990" s="73">
        <v>45751</v>
      </c>
      <c r="P990" s="76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6" t="s">
        <v>972</v>
      </c>
      <c r="S990" s="71"/>
    </row>
    <row r="991" spans="1:19" hidden="1">
      <c r="A991" t="s">
        <v>2584</v>
      </c>
      <c r="B991" s="71" t="str">
        <f>IFERROR(VLOOKUP(Proc[[#This Row],[App]],Table2[],3,0),"open")</f>
        <v>ok</v>
      </c>
      <c r="C991" s="74" t="s">
        <v>369</v>
      </c>
      <c r="D991" t="s">
        <v>2585</v>
      </c>
      <c r="E991" t="s">
        <v>2598</v>
      </c>
      <c r="F991" s="105" t="s">
        <v>2598</v>
      </c>
      <c r="G991" s="74" t="s">
        <v>400</v>
      </c>
      <c r="H991" s="71" t="str">
        <f>IF(Proc[[#This Row],[type]]="LFF (MDG-F)",MID(Proc[[#This Row],[Obj]],13,10),"")</f>
        <v/>
      </c>
      <c r="J991" s="71" t="b">
        <f>Proc[[#This Row],[Requested]]=Proc[[#This Row],[CurrentParent]]</f>
        <v>1</v>
      </c>
      <c r="K991" s="71" t="str">
        <f>IF(Proc[[#This Row],[Author]]="Marcela Urrego",VLOOKUP(LEFT(Proc[[#This Row],[Requested]],1),Table3[#All],2,0),VLOOKUP(Proc[[#This Row],[Author]],Table4[],2,0))</f>
        <v>LS</v>
      </c>
      <c r="L991" s="32" t="s">
        <v>2563</v>
      </c>
      <c r="M991" s="73">
        <v>45749.600416666668</v>
      </c>
      <c r="N991" s="73">
        <v>45751</v>
      </c>
      <c r="O991" s="73">
        <v>45751</v>
      </c>
      <c r="P991" s="76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6" t="s">
        <v>489</v>
      </c>
      <c r="S991" s="71"/>
    </row>
    <row r="992" spans="1:19" hidden="1">
      <c r="A992" s="74" t="s">
        <v>2584</v>
      </c>
      <c r="B992" s="71" t="str">
        <f>IFERROR(VLOOKUP(Proc[[#This Row],[App]],Table2[],3,0),"open")</f>
        <v>ok</v>
      </c>
      <c r="C992" s="74" t="s">
        <v>369</v>
      </c>
      <c r="D992" t="s">
        <v>2586</v>
      </c>
      <c r="E992" t="s">
        <v>2599</v>
      </c>
      <c r="F992" s="105" t="s">
        <v>2599</v>
      </c>
      <c r="G992" t="s">
        <v>406</v>
      </c>
      <c r="H992" s="71" t="str">
        <f>IF(Proc[[#This Row],[type]]="LFF (MDG-F)",MID(Proc[[#This Row],[Obj]],13,10),"")</f>
        <v>1937TNCZ90</v>
      </c>
      <c r="J992" s="71" t="b">
        <f>Proc[[#This Row],[Requested]]=Proc[[#This Row],[CurrentParent]]</f>
        <v>1</v>
      </c>
      <c r="K992" s="71" t="str">
        <f>IF(Proc[[#This Row],[Author]]="Marcela Urrego",VLOOKUP(LEFT(Proc[[#This Row],[Requested]],1),Table3[#All],2,0),VLOOKUP(Proc[[#This Row],[Author]],Table4[],2,0))</f>
        <v>LS</v>
      </c>
      <c r="L992" s="32" t="s">
        <v>2563</v>
      </c>
      <c r="M992" s="73">
        <v>45749.600416666668</v>
      </c>
      <c r="N992" s="73">
        <v>45751</v>
      </c>
      <c r="O992" s="73">
        <v>45751</v>
      </c>
      <c r="P992" s="76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6" t="s">
        <v>489</v>
      </c>
      <c r="S992" s="71"/>
    </row>
    <row r="993" spans="1:19" hidden="1">
      <c r="A993" s="74" t="s">
        <v>2584</v>
      </c>
      <c r="B993" s="71" t="str">
        <f>IFERROR(VLOOKUP(Proc[[#This Row],[App]],Table2[],3,0),"open")</f>
        <v>ok</v>
      </c>
      <c r="C993" s="74" t="s">
        <v>369</v>
      </c>
      <c r="D993" t="s">
        <v>2587</v>
      </c>
      <c r="E993" t="s">
        <v>2600</v>
      </c>
      <c r="F993" s="105" t="s">
        <v>2600</v>
      </c>
      <c r="G993" t="s">
        <v>400</v>
      </c>
      <c r="H993" s="71" t="str">
        <f>IF(Proc[[#This Row],[type]]="LFF (MDG-F)",MID(Proc[[#This Row],[Obj]],13,10),"")</f>
        <v/>
      </c>
      <c r="J993" s="71" t="b">
        <f>Proc[[#This Row],[Requested]]=Proc[[#This Row],[CurrentParent]]</f>
        <v>1</v>
      </c>
      <c r="K993" s="71" t="str">
        <f>IF(Proc[[#This Row],[Author]]="Marcela Urrego",VLOOKUP(LEFT(Proc[[#This Row],[Requested]],1),Table3[#All],2,0),VLOOKUP(Proc[[#This Row],[Author]],Table4[],2,0))</f>
        <v>LS</v>
      </c>
      <c r="L993" s="32" t="s">
        <v>2563</v>
      </c>
      <c r="M993" s="73">
        <v>45749.600416666668</v>
      </c>
      <c r="N993" s="73">
        <v>45751</v>
      </c>
      <c r="O993" s="73">
        <v>45751</v>
      </c>
      <c r="P993" s="76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6" t="s">
        <v>489</v>
      </c>
      <c r="S993" s="71"/>
    </row>
    <row r="994" spans="1:19" hidden="1">
      <c r="A994" s="74" t="s">
        <v>2584</v>
      </c>
      <c r="B994" s="71" t="str">
        <f>IFERROR(VLOOKUP(Proc[[#This Row],[App]],Table2[],3,0),"open")</f>
        <v>ok</v>
      </c>
      <c r="C994" s="74" t="s">
        <v>369</v>
      </c>
      <c r="D994" t="s">
        <v>2588</v>
      </c>
      <c r="E994" t="s">
        <v>2496</v>
      </c>
      <c r="F994" s="105" t="s">
        <v>2496</v>
      </c>
      <c r="G994" s="74" t="s">
        <v>400</v>
      </c>
      <c r="H994" s="71" t="str">
        <f>IF(Proc[[#This Row],[type]]="LFF (MDG-F)",MID(Proc[[#This Row],[Obj]],13,10),"")</f>
        <v/>
      </c>
      <c r="J994" s="71" t="b">
        <f>Proc[[#This Row],[Requested]]=Proc[[#This Row],[CurrentParent]]</f>
        <v>1</v>
      </c>
      <c r="K994" s="71" t="str">
        <f>IF(Proc[[#This Row],[Author]]="Marcela Urrego",VLOOKUP(LEFT(Proc[[#This Row],[Requested]],1),Table3[#All],2,0),VLOOKUP(Proc[[#This Row],[Author]],Table4[],2,0))</f>
        <v>LS</v>
      </c>
      <c r="L994" s="32" t="s">
        <v>2563</v>
      </c>
      <c r="M994" s="73">
        <v>45749.600416666668</v>
      </c>
      <c r="N994" s="73">
        <v>45751</v>
      </c>
      <c r="O994" s="73">
        <v>45751</v>
      </c>
      <c r="P994" s="76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6" t="s">
        <v>489</v>
      </c>
      <c r="S994" s="71"/>
    </row>
    <row r="995" spans="1:19" hidden="1">
      <c r="A995" t="s">
        <v>2583</v>
      </c>
      <c r="B995" s="71" t="str">
        <f>IFERROR(VLOOKUP(Proc[[#This Row],[App]],Table2[],3,0),"open")</f>
        <v>ok</v>
      </c>
      <c r="C995" s="74" t="s">
        <v>369</v>
      </c>
      <c r="D995" t="s">
        <v>2578</v>
      </c>
      <c r="E995" t="s">
        <v>2596</v>
      </c>
      <c r="F995" s="105" t="s">
        <v>2596</v>
      </c>
      <c r="G995" s="74" t="s">
        <v>400</v>
      </c>
      <c r="H995" s="71" t="str">
        <f>IF(Proc[[#This Row],[type]]="LFF (MDG-F)",MID(Proc[[#This Row],[Obj]],13,10),"")</f>
        <v/>
      </c>
      <c r="J995" s="71" t="b">
        <f>Proc[[#This Row],[Requested]]=Proc[[#This Row],[CurrentParent]]</f>
        <v>1</v>
      </c>
      <c r="K995" s="71" t="str">
        <f>IF(Proc[[#This Row],[Author]]="Marcela Urrego",VLOOKUP(LEFT(Proc[[#This Row],[Requested]],1),Table3[#All],2,0),VLOOKUP(Proc[[#This Row],[Author]],Table4[],2,0))</f>
        <v>LS</v>
      </c>
      <c r="L995" s="32" t="s">
        <v>2563</v>
      </c>
      <c r="M995" s="73">
        <v>45749.710787037038</v>
      </c>
      <c r="N995" s="73">
        <v>45751</v>
      </c>
      <c r="O995" s="73">
        <v>45751</v>
      </c>
      <c r="P995" s="76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6" t="s">
        <v>489</v>
      </c>
      <c r="S995" s="71"/>
    </row>
    <row r="996" spans="1:19" hidden="1">
      <c r="A996" s="74" t="s">
        <v>2583</v>
      </c>
      <c r="B996" s="71" t="str">
        <f>IFERROR(VLOOKUP(Proc[[#This Row],[App]],Table2[],3,0),"open")</f>
        <v>ok</v>
      </c>
      <c r="C996" s="74" t="s">
        <v>369</v>
      </c>
      <c r="D996" t="s">
        <v>2579</v>
      </c>
      <c r="E996" t="s">
        <v>2597</v>
      </c>
      <c r="F996" s="105" t="s">
        <v>2597</v>
      </c>
      <c r="G996" s="74" t="s">
        <v>400</v>
      </c>
      <c r="H996" s="71" t="str">
        <f>IF(Proc[[#This Row],[type]]="LFF (MDG-F)",MID(Proc[[#This Row],[Obj]],13,10),"")</f>
        <v/>
      </c>
      <c r="J996" s="71" t="b">
        <f>Proc[[#This Row],[Requested]]=Proc[[#This Row],[CurrentParent]]</f>
        <v>1</v>
      </c>
      <c r="K996" s="71" t="str">
        <f>IF(Proc[[#This Row],[Author]]="Marcela Urrego",VLOOKUP(LEFT(Proc[[#This Row],[Requested]],1),Table3[#All],2,0),VLOOKUP(Proc[[#This Row],[Author]],Table4[],2,0))</f>
        <v>LS</v>
      </c>
      <c r="L996" s="32" t="s">
        <v>2563</v>
      </c>
      <c r="M996" s="73">
        <v>45749.710787037038</v>
      </c>
      <c r="N996" s="73">
        <v>45751</v>
      </c>
      <c r="O996" s="73">
        <v>45751</v>
      </c>
      <c r="P996" s="76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6" t="s">
        <v>489</v>
      </c>
      <c r="S996" s="71"/>
    </row>
    <row r="997" spans="1:19" hidden="1">
      <c r="A997" s="74" t="s">
        <v>2583</v>
      </c>
      <c r="B997" s="71" t="str">
        <f>IFERROR(VLOOKUP(Proc[[#This Row],[App]],Table2[],3,0),"open")</f>
        <v>ok</v>
      </c>
      <c r="C997" s="74" t="s">
        <v>369</v>
      </c>
      <c r="D997" t="s">
        <v>2580</v>
      </c>
      <c r="E997" t="s">
        <v>2597</v>
      </c>
      <c r="F997" s="105" t="s">
        <v>2597</v>
      </c>
      <c r="G997" s="74" t="s">
        <v>400</v>
      </c>
      <c r="H997" s="71" t="str">
        <f>IF(Proc[[#This Row],[type]]="LFF (MDG-F)",MID(Proc[[#This Row],[Obj]],13,10),"")</f>
        <v/>
      </c>
      <c r="J997" s="71" t="b">
        <f>Proc[[#This Row],[Requested]]=Proc[[#This Row],[CurrentParent]]</f>
        <v>1</v>
      </c>
      <c r="K997" s="71" t="str">
        <f>IF(Proc[[#This Row],[Author]]="Marcela Urrego",VLOOKUP(LEFT(Proc[[#This Row],[Requested]],1),Table3[#All],2,0),VLOOKUP(Proc[[#This Row],[Author]],Table4[],2,0))</f>
        <v>LS</v>
      </c>
      <c r="L997" s="32" t="s">
        <v>2563</v>
      </c>
      <c r="M997" s="73">
        <v>45749.710787037038</v>
      </c>
      <c r="N997" s="73">
        <v>45751</v>
      </c>
      <c r="O997" s="73">
        <v>45751</v>
      </c>
      <c r="P997" s="76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6" t="s">
        <v>489</v>
      </c>
      <c r="S997" s="71"/>
    </row>
    <row r="998" spans="1:19" hidden="1">
      <c r="A998" t="s">
        <v>2583</v>
      </c>
      <c r="B998" s="71" t="str">
        <f>IFERROR(VLOOKUP(Proc[[#This Row],[App]],Table2[],3,0),"open")</f>
        <v>ok</v>
      </c>
      <c r="C998" s="74" t="s">
        <v>369</v>
      </c>
      <c r="D998" t="s">
        <v>2581</v>
      </c>
      <c r="E998" t="s">
        <v>2582</v>
      </c>
      <c r="F998" s="105" t="s">
        <v>2582</v>
      </c>
      <c r="G998" s="74" t="s">
        <v>400</v>
      </c>
      <c r="H998" s="71" t="str">
        <f>IF(Proc[[#This Row],[type]]="LFF (MDG-F)",MID(Proc[[#This Row],[Obj]],13,10),"")</f>
        <v/>
      </c>
      <c r="J998" s="71" t="b">
        <f>Proc[[#This Row],[Requested]]=Proc[[#This Row],[CurrentParent]]</f>
        <v>1</v>
      </c>
      <c r="K998" s="71" t="str">
        <f>IF(Proc[[#This Row],[Author]]="Marcela Urrego",VLOOKUP(LEFT(Proc[[#This Row],[Requested]],1),Table3[#All],2,0),VLOOKUP(Proc[[#This Row],[Author]],Table4[],2,0))</f>
        <v>LS</v>
      </c>
      <c r="L998" s="32" t="s">
        <v>2563</v>
      </c>
      <c r="M998" s="73">
        <v>45749.710787037038</v>
      </c>
      <c r="N998" s="73">
        <v>45751</v>
      </c>
      <c r="O998" s="73">
        <v>45751</v>
      </c>
      <c r="P998" s="76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6" t="s">
        <v>489</v>
      </c>
      <c r="S998" s="71"/>
    </row>
    <row r="999" spans="1:19" hidden="1">
      <c r="A999" t="s">
        <v>2577</v>
      </c>
      <c r="B999" s="71" t="str">
        <f>IFERROR(VLOOKUP(Proc[[#This Row],[App]],Table2[],3,0),"open")</f>
        <v>ok</v>
      </c>
      <c r="C999" t="s">
        <v>369</v>
      </c>
      <c r="D999" t="s">
        <v>2576</v>
      </c>
      <c r="E999" t="s">
        <v>617</v>
      </c>
      <c r="F999" s="105" t="s">
        <v>617</v>
      </c>
      <c r="G999" s="74" t="s">
        <v>400</v>
      </c>
      <c r="H999" s="71" t="str">
        <f>IF(Proc[[#This Row],[type]]="LFF (MDG-F)",MID(Proc[[#This Row],[Obj]],13,10),"")</f>
        <v/>
      </c>
      <c r="J999" s="71" t="b">
        <f>Proc[[#This Row],[Requested]]=Proc[[#This Row],[CurrentParent]]</f>
        <v>1</v>
      </c>
      <c r="K999" s="71" t="str">
        <f>IF(Proc[[#This Row],[Author]]="Marcela Urrego",VLOOKUP(LEFT(Proc[[#This Row],[Requested]],1),Table3[#All],2,0),VLOOKUP(Proc[[#This Row],[Author]],Table4[],2,0))</f>
        <v>MGF</v>
      </c>
      <c r="L999" s="32" t="s">
        <v>2563</v>
      </c>
      <c r="M999" s="73">
        <v>45750.310289351852</v>
      </c>
      <c r="N999" s="73">
        <v>45751</v>
      </c>
      <c r="O999" s="73">
        <v>45751</v>
      </c>
      <c r="P999" s="76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6" t="s">
        <v>515</v>
      </c>
      <c r="S999" s="71"/>
    </row>
    <row r="1000" spans="1:19" hidden="1">
      <c r="A1000" t="s">
        <v>2595</v>
      </c>
      <c r="B1000" s="71" t="str">
        <f>IFERROR(VLOOKUP(Proc[[#This Row],[App]],Table2[],3,0),"open")</f>
        <v>ok</v>
      </c>
      <c r="C1000" t="s">
        <v>369</v>
      </c>
      <c r="D1000" t="s">
        <v>2601</v>
      </c>
      <c r="E1000" t="s">
        <v>2405</v>
      </c>
      <c r="F1000" s="105" t="s">
        <v>2405</v>
      </c>
      <c r="G1000" t="s">
        <v>400</v>
      </c>
      <c r="H1000" s="71" t="str">
        <f>IF(Proc[[#This Row],[type]]="LFF (MDG-F)",MID(Proc[[#This Row],[Obj]],13,10),"")</f>
        <v/>
      </c>
      <c r="J1000" s="71" t="b">
        <f>Proc[[#This Row],[Requested]]=Proc[[#This Row],[CurrentParent]]</f>
        <v>1</v>
      </c>
      <c r="K1000" s="71" t="str">
        <f>IF(Proc[[#This Row],[Author]]="Marcela Urrego",VLOOKUP(LEFT(Proc[[#This Row],[Requested]],1),Table3[#All],2,0),VLOOKUP(Proc[[#This Row],[Author]],Table4[],2,0))</f>
        <v>MGF</v>
      </c>
      <c r="L1000" s="32" t="s">
        <v>2563</v>
      </c>
      <c r="M1000" s="73">
        <v>45750.367430555554</v>
      </c>
      <c r="N1000" s="73">
        <v>45751</v>
      </c>
      <c r="O1000" s="73">
        <v>45751</v>
      </c>
      <c r="P1000" s="76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6" t="s">
        <v>515</v>
      </c>
      <c r="S1000" s="71"/>
    </row>
    <row r="1001" spans="1:19" hidden="1">
      <c r="A1001" s="74" t="s">
        <v>2608</v>
      </c>
      <c r="B1001" s="71" t="str">
        <f>IFERROR(VLOOKUP(Proc[[#This Row],[App]],Table2[],3,0),"open")</f>
        <v>ok</v>
      </c>
      <c r="C1001" s="74" t="s">
        <v>369</v>
      </c>
      <c r="D1001" t="s">
        <v>2609</v>
      </c>
      <c r="E1001" t="s">
        <v>427</v>
      </c>
      <c r="F1001" s="105" t="s">
        <v>427</v>
      </c>
      <c r="G1001" s="74" t="s">
        <v>400</v>
      </c>
      <c r="H1001" s="71" t="str">
        <f>IF(Proc[[#This Row],[type]]="LFF (MDG-F)",MID(Proc[[#This Row],[Obj]],13,10),"")</f>
        <v/>
      </c>
      <c r="J1001" s="71" t="b">
        <f>Proc[[#This Row],[Requested]]=Proc[[#This Row],[CurrentParent]]</f>
        <v>1</v>
      </c>
      <c r="K1001" s="71" t="str">
        <f>IF(Proc[[#This Row],[Author]]="Marcela Urrego",VLOOKUP(LEFT(Proc[[#This Row],[Requested]],1),Table3[#All],2,0),VLOOKUP(Proc[[#This Row],[Author]],Table4[],2,0))</f>
        <v>MGF</v>
      </c>
      <c r="L1001" s="71" t="s">
        <v>2563</v>
      </c>
      <c r="M1001" s="73">
        <v>45750.463703703703</v>
      </c>
      <c r="N1001" s="73">
        <v>45754</v>
      </c>
      <c r="O1001" s="73">
        <v>45754</v>
      </c>
      <c r="P1001" s="76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6" t="s">
        <v>1459</v>
      </c>
      <c r="S1001" s="71"/>
    </row>
    <row r="1002" spans="1:19" hidden="1">
      <c r="A1002" t="s">
        <v>2608</v>
      </c>
      <c r="B1002" s="71" t="str">
        <f>IFERROR(VLOOKUP(Proc[[#This Row],[App]],Table2[],3,0),"open")</f>
        <v>ok</v>
      </c>
      <c r="C1002" s="74" t="s">
        <v>369</v>
      </c>
      <c r="D1002" t="s">
        <v>2610</v>
      </c>
      <c r="E1002" t="s">
        <v>2614</v>
      </c>
      <c r="F1002" s="105" t="s">
        <v>2614</v>
      </c>
      <c r="G1002" s="74" t="s">
        <v>406</v>
      </c>
      <c r="H1002" s="71" t="str">
        <f>IF(Proc[[#This Row],[type]]="LFF (MDG-F)",MID(Proc[[#This Row],[Obj]],13,10),"")</f>
        <v>DE10600470</v>
      </c>
      <c r="I1002" t="s">
        <v>2617</v>
      </c>
      <c r="J1002" s="71" t="b">
        <f>Proc[[#This Row],[Requested]]=Proc[[#This Row],[CurrentParent]]</f>
        <v>1</v>
      </c>
      <c r="K1002" s="71" t="str">
        <f>IF(Proc[[#This Row],[Author]]="Marcela Urrego",VLOOKUP(LEFT(Proc[[#This Row],[Requested]],1),Table3[#All],2,0),VLOOKUP(Proc[[#This Row],[Author]],Table4[],2,0))</f>
        <v>MGF</v>
      </c>
      <c r="L1002" s="71" t="s">
        <v>2563</v>
      </c>
      <c r="M1002" s="73">
        <v>45750.463703703703</v>
      </c>
      <c r="N1002" s="73">
        <v>45754</v>
      </c>
      <c r="O1002" s="73">
        <v>45754</v>
      </c>
      <c r="P1002" s="76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6" t="s">
        <v>1459</v>
      </c>
      <c r="S1002" s="71"/>
    </row>
    <row r="1003" spans="1:19" hidden="1">
      <c r="A1003" s="74" t="s">
        <v>2608</v>
      </c>
      <c r="B1003" s="71" t="str">
        <f>IFERROR(VLOOKUP(Proc[[#This Row],[App]],Table2[],3,0),"open")</f>
        <v>ok</v>
      </c>
      <c r="C1003" s="74" t="s">
        <v>369</v>
      </c>
      <c r="D1003" t="s">
        <v>2611</v>
      </c>
      <c r="E1003" t="s">
        <v>2615</v>
      </c>
      <c r="F1003" s="105" t="s">
        <v>2615</v>
      </c>
      <c r="G1003" t="s">
        <v>406</v>
      </c>
      <c r="H1003" s="71" t="str">
        <f>IF(Proc[[#This Row],[type]]="LFF (MDG-F)",MID(Proc[[#This Row],[Obj]],13,10),"")</f>
        <v>DE10GIT705</v>
      </c>
      <c r="I1003" t="s">
        <v>2617</v>
      </c>
      <c r="J1003" s="71" t="b">
        <f>Proc[[#This Row],[Requested]]=Proc[[#This Row],[CurrentParent]]</f>
        <v>1</v>
      </c>
      <c r="K1003" s="71" t="str">
        <f>IF(Proc[[#This Row],[Author]]="Marcela Urrego",VLOOKUP(LEFT(Proc[[#This Row],[Requested]],1),Table3[#All],2,0),VLOOKUP(Proc[[#This Row],[Author]],Table4[],2,0))</f>
        <v>MGF</v>
      </c>
      <c r="L1003" s="71" t="s">
        <v>2563</v>
      </c>
      <c r="M1003" s="73">
        <v>45750.463703703703</v>
      </c>
      <c r="N1003" s="73">
        <v>45754</v>
      </c>
      <c r="O1003" s="73">
        <v>45754</v>
      </c>
      <c r="P1003" s="76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6" t="s">
        <v>1459</v>
      </c>
      <c r="S1003" s="71"/>
    </row>
    <row r="1004" spans="1:19" hidden="1">
      <c r="A1004" s="74" t="s">
        <v>2608</v>
      </c>
      <c r="B1004" s="71" t="str">
        <f>IFERROR(VLOOKUP(Proc[[#This Row],[App]],Table2[],3,0),"open")</f>
        <v>ok</v>
      </c>
      <c r="C1004" s="74" t="s">
        <v>369</v>
      </c>
      <c r="D1004" t="s">
        <v>2612</v>
      </c>
      <c r="E1004" t="s">
        <v>759</v>
      </c>
      <c r="F1004" s="105" t="s">
        <v>759</v>
      </c>
      <c r="G1004" s="74" t="s">
        <v>400</v>
      </c>
      <c r="H1004" s="71" t="str">
        <f>IF(Proc[[#This Row],[type]]="LFF (MDG-F)",MID(Proc[[#This Row],[Obj]],13,10),"")</f>
        <v/>
      </c>
      <c r="I1004" s="74"/>
      <c r="J1004" s="71" t="b">
        <f>Proc[[#This Row],[Requested]]=Proc[[#This Row],[CurrentParent]]</f>
        <v>1</v>
      </c>
      <c r="K1004" s="71" t="str">
        <f>IF(Proc[[#This Row],[Author]]="Marcela Urrego",VLOOKUP(LEFT(Proc[[#This Row],[Requested]],1),Table3[#All],2,0),VLOOKUP(Proc[[#This Row],[Author]],Table4[],2,0))</f>
        <v>MGF</v>
      </c>
      <c r="L1004" s="71" t="s">
        <v>2563</v>
      </c>
      <c r="M1004" s="73">
        <v>45750.463703703703</v>
      </c>
      <c r="N1004" s="73">
        <v>45754</v>
      </c>
      <c r="O1004" s="73">
        <v>45754</v>
      </c>
      <c r="P1004" s="76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6" t="s">
        <v>1459</v>
      </c>
      <c r="S1004" s="71"/>
    </row>
    <row r="1005" spans="1:19" hidden="1">
      <c r="A1005" s="74" t="s">
        <v>2608</v>
      </c>
      <c r="B1005" s="71" t="str">
        <f>IFERROR(VLOOKUP(Proc[[#This Row],[App]],Table2[],3,0),"open")</f>
        <v>ok</v>
      </c>
      <c r="C1005" s="74" t="s">
        <v>369</v>
      </c>
      <c r="D1005" t="s">
        <v>2613</v>
      </c>
      <c r="E1005" t="s">
        <v>2615</v>
      </c>
      <c r="F1005" s="105" t="s">
        <v>2615</v>
      </c>
      <c r="G1005" t="s">
        <v>406</v>
      </c>
      <c r="H1005" s="71" t="str">
        <f>IF(Proc[[#This Row],[type]]="LFF (MDG-F)",MID(Proc[[#This Row],[Obj]],13,10),"")</f>
        <v>2123GIT261</v>
      </c>
      <c r="I1005" t="s">
        <v>2617</v>
      </c>
      <c r="J1005" s="71" t="b">
        <f>Proc[[#This Row],[Requested]]=Proc[[#This Row],[CurrentParent]]</f>
        <v>1</v>
      </c>
      <c r="K1005" s="71" t="str">
        <f>IF(Proc[[#This Row],[Author]]="Marcela Urrego",VLOOKUP(LEFT(Proc[[#This Row],[Requested]],1),Table3[#All],2,0),VLOOKUP(Proc[[#This Row],[Author]],Table4[],2,0))</f>
        <v>MGF</v>
      </c>
      <c r="L1005" s="71" t="s">
        <v>2563</v>
      </c>
      <c r="M1005" s="73">
        <v>45750.463703703703</v>
      </c>
      <c r="N1005" s="73">
        <v>45754</v>
      </c>
      <c r="O1005" s="73">
        <v>45754</v>
      </c>
      <c r="P1005" s="76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6" t="s">
        <v>1459</v>
      </c>
      <c r="S1005" s="71"/>
    </row>
    <row r="1006" spans="1:19" hidden="1">
      <c r="A1006" s="74" t="s">
        <v>2604</v>
      </c>
      <c r="B1006" s="71" t="str">
        <f>IFERROR(VLOOKUP(Proc[[#This Row],[App]],Table2[],3,0),"open")</f>
        <v>ok</v>
      </c>
      <c r="C1006" s="74" t="s">
        <v>369</v>
      </c>
      <c r="D1006" t="s">
        <v>2605</v>
      </c>
      <c r="E1006" t="s">
        <v>2505</v>
      </c>
      <c r="F1006" s="105" t="s">
        <v>2505</v>
      </c>
      <c r="G1006" s="74" t="s">
        <v>400</v>
      </c>
      <c r="H1006" s="71" t="str">
        <f>IF(Proc[[#This Row],[type]]="LFF (MDG-F)",MID(Proc[[#This Row],[Obj]],13,10),"")</f>
        <v/>
      </c>
      <c r="I1006" s="74"/>
      <c r="J1006" s="71" t="b">
        <f>Proc[[#This Row],[Requested]]=Proc[[#This Row],[CurrentParent]]</f>
        <v>1</v>
      </c>
      <c r="K1006" s="71" t="str">
        <f>IF(Proc[[#This Row],[Author]]="Marcela Urrego",VLOOKUP(LEFT(Proc[[#This Row],[Requested]],1),Table3[#All],2,0),VLOOKUP(Proc[[#This Row],[Author]],Table4[],2,0))</f>
        <v>MGF</v>
      </c>
      <c r="L1006" s="71" t="s">
        <v>2563</v>
      </c>
      <c r="M1006" s="73">
        <v>45750.696215277778</v>
      </c>
      <c r="N1006" s="73">
        <v>45754</v>
      </c>
      <c r="O1006" s="73">
        <v>45754</v>
      </c>
      <c r="P1006" s="76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6" t="s">
        <v>515</v>
      </c>
      <c r="S1006" s="71"/>
    </row>
    <row r="1007" spans="1:19" hidden="1">
      <c r="A1007" t="s">
        <v>2604</v>
      </c>
      <c r="B1007" s="71" t="str">
        <f>IFERROR(VLOOKUP(Proc[[#This Row],[App]],Table2[],3,0),"open")</f>
        <v>ok</v>
      </c>
      <c r="C1007" s="74" t="s">
        <v>369</v>
      </c>
      <c r="D1007" t="s">
        <v>2606</v>
      </c>
      <c r="E1007" t="s">
        <v>2607</v>
      </c>
      <c r="F1007" s="105" t="s">
        <v>2607</v>
      </c>
      <c r="G1007" s="74" t="s">
        <v>400</v>
      </c>
      <c r="H1007" s="71" t="str">
        <f>IF(Proc[[#This Row],[type]]="LFF (MDG-F)",MID(Proc[[#This Row],[Obj]],13,10),"")</f>
        <v/>
      </c>
      <c r="J1007" s="71" t="b">
        <f>Proc[[#This Row],[Requested]]=Proc[[#This Row],[CurrentParent]]</f>
        <v>1</v>
      </c>
      <c r="K1007" s="71" t="str">
        <f>IF(Proc[[#This Row],[Author]]="Marcela Urrego",VLOOKUP(LEFT(Proc[[#This Row],[Requested]],1),Table3[#All],2,0),VLOOKUP(Proc[[#This Row],[Author]],Table4[],2,0))</f>
        <v>MGF</v>
      </c>
      <c r="L1007" s="71" t="s">
        <v>2563</v>
      </c>
      <c r="M1007" s="73">
        <v>45750.696215277778</v>
      </c>
      <c r="N1007" s="73">
        <v>45754</v>
      </c>
      <c r="O1007" s="73">
        <v>45754</v>
      </c>
      <c r="P1007" s="76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6" t="s">
        <v>515</v>
      </c>
      <c r="S1007" s="71"/>
    </row>
    <row r="1008" spans="1:19" hidden="1">
      <c r="A1008" t="s">
        <v>2626</v>
      </c>
      <c r="B1008" s="71" t="str">
        <f>IFERROR(VLOOKUP(Proc[[#This Row],[App]],Table2[],3,0),"open")</f>
        <v>ok</v>
      </c>
      <c r="C1008" t="s">
        <v>369</v>
      </c>
      <c r="D1008" t="s">
        <v>2627</v>
      </c>
      <c r="E1008" t="s">
        <v>622</v>
      </c>
      <c r="F1008" s="105" t="s">
        <v>622</v>
      </c>
      <c r="G1008" s="74" t="s">
        <v>400</v>
      </c>
      <c r="H1008" s="71" t="str">
        <f>IF(Proc[[#This Row],[type]]="LFF (MDG-F)",MID(Proc[[#This Row],[Obj]],13,10),"")</f>
        <v/>
      </c>
      <c r="J1008" s="71" t="b">
        <f>Proc[[#This Row],[Requested]]=Proc[[#This Row],[CurrentParent]]</f>
        <v>1</v>
      </c>
      <c r="K1008" s="71" t="str">
        <f>IF(Proc[[#This Row],[Author]]="Marcela Urrego",VLOOKUP(LEFT(Proc[[#This Row],[Requested]],1),Table3[#All],2,0),VLOOKUP(Proc[[#This Row],[Author]],Table4[],2,0))</f>
        <v>LS</v>
      </c>
      <c r="L1008" s="71" t="s">
        <v>2563</v>
      </c>
      <c r="M1008" s="73">
        <v>45754.504537037035</v>
      </c>
      <c r="N1008" s="73">
        <v>45757</v>
      </c>
      <c r="O1008" s="79"/>
      <c r="P1008" s="76" t="str">
        <f ca="1">IF(Proc[[#This Row],[DaysAgeing]]&gt;5,"yep","on track")</f>
        <v>yep</v>
      </c>
      <c r="Q1008" s="3">
        <f ca="1">IF(Proc[[#This Row],[DateClosed]]="",ABS(NETWORKDAYS(Proc[[#This Row],[DateOpened]],TODAY()))-1,ABS(NETWORKDAYS(Proc[[#This Row],[DateOpened]],Proc[[#This Row],[DateClosed]]))-1)</f>
        <v>61</v>
      </c>
      <c r="R1008" s="76" t="s">
        <v>972</v>
      </c>
      <c r="S1008" s="71"/>
    </row>
    <row r="1009" spans="1:19" hidden="1">
      <c r="A1009" s="74" t="s">
        <v>2626</v>
      </c>
      <c r="B1009" s="71" t="str">
        <f>IFERROR(VLOOKUP(Proc[[#This Row],[App]],Table2[],3,0),"open")</f>
        <v>ok</v>
      </c>
      <c r="C1009" s="74" t="s">
        <v>369</v>
      </c>
      <c r="D1009" t="s">
        <v>2628</v>
      </c>
      <c r="E1009" t="s">
        <v>468</v>
      </c>
      <c r="F1009" s="105" t="s">
        <v>468</v>
      </c>
      <c r="G1009" s="74" t="s">
        <v>400</v>
      </c>
      <c r="H1009" s="71" t="str">
        <f>IF(Proc[[#This Row],[type]]="LFF (MDG-F)",MID(Proc[[#This Row],[Obj]],13,10),"")</f>
        <v/>
      </c>
      <c r="I1009" s="74"/>
      <c r="J1009" s="71" t="b">
        <f>Proc[[#This Row],[Requested]]=Proc[[#This Row],[CurrentParent]]</f>
        <v>1</v>
      </c>
      <c r="K1009" s="71" t="str">
        <f>IF(Proc[[#This Row],[Author]]="Marcela Urrego",VLOOKUP(LEFT(Proc[[#This Row],[Requested]],1),Table3[#All],2,0),VLOOKUP(Proc[[#This Row],[Author]],Table4[],2,0))</f>
        <v>LS</v>
      </c>
      <c r="L1009" s="71" t="s">
        <v>2563</v>
      </c>
      <c r="M1009" s="73">
        <v>45754.504537037035</v>
      </c>
      <c r="N1009" s="73">
        <v>45757</v>
      </c>
      <c r="O1009" s="79"/>
      <c r="P1009" s="76" t="str">
        <f ca="1">IF(Proc[[#This Row],[DaysAgeing]]&gt;5,"yep","on track")</f>
        <v>yep</v>
      </c>
      <c r="Q1009" s="3">
        <f ca="1">IF(Proc[[#This Row],[DateClosed]]="",ABS(NETWORKDAYS(Proc[[#This Row],[DateOpened]],TODAY()))-1,ABS(NETWORKDAYS(Proc[[#This Row],[DateOpened]],Proc[[#This Row],[DateClosed]]))-1)</f>
        <v>61</v>
      </c>
      <c r="R1009" s="76" t="s">
        <v>972</v>
      </c>
      <c r="S1009" s="71"/>
    </row>
    <row r="1010" spans="1:19" hidden="1">
      <c r="A1010" t="s">
        <v>2622</v>
      </c>
      <c r="B1010" s="71" t="str">
        <f>IFERROR(VLOOKUP(Proc[[#This Row],[App]],Table2[],3,0),"open")</f>
        <v>ok</v>
      </c>
      <c r="C1010" s="74" t="s">
        <v>369</v>
      </c>
      <c r="D1010" t="s">
        <v>2623</v>
      </c>
      <c r="E1010" t="s">
        <v>2625</v>
      </c>
      <c r="F1010" s="105" t="s">
        <v>2625</v>
      </c>
      <c r="G1010" t="s">
        <v>400</v>
      </c>
      <c r="H1010" s="71" t="str">
        <f>IF(Proc[[#This Row],[type]]="LFF (MDG-F)",MID(Proc[[#This Row],[Obj]],13,10),"")</f>
        <v/>
      </c>
      <c r="I1010" t="s">
        <v>2684</v>
      </c>
      <c r="J1010" s="71" t="b">
        <f>Proc[[#This Row],[Requested]]=Proc[[#This Row],[CurrentParent]]</f>
        <v>1</v>
      </c>
      <c r="K1010" s="71" t="str">
        <f>IF(Proc[[#This Row],[Author]]="Marcela Urrego",VLOOKUP(LEFT(Proc[[#This Row],[Requested]],1),Table3[#All],2,0),VLOOKUP(Proc[[#This Row],[Author]],Table4[],2,0))</f>
        <v>MGF</v>
      </c>
      <c r="L1010" s="71" t="s">
        <v>2563</v>
      </c>
      <c r="M1010" s="73">
        <v>45754.739930555559</v>
      </c>
      <c r="N1010" s="81">
        <v>45758</v>
      </c>
      <c r="O1010" s="81">
        <v>45758</v>
      </c>
      <c r="P1010" s="76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6" t="s">
        <v>1459</v>
      </c>
      <c r="S1010" s="71"/>
    </row>
    <row r="1011" spans="1:19" hidden="1">
      <c r="A1011" s="74" t="s">
        <v>2622</v>
      </c>
      <c r="B1011" s="71" t="str">
        <f>IFERROR(VLOOKUP(Proc[[#This Row],[App]],Table2[],3,0),"open")</f>
        <v>ok</v>
      </c>
      <c r="C1011" s="74" t="s">
        <v>369</v>
      </c>
      <c r="D1011" t="s">
        <v>2624</v>
      </c>
      <c r="E1011" t="s">
        <v>424</v>
      </c>
      <c r="F1011" s="105" t="s">
        <v>424</v>
      </c>
      <c r="G1011" s="74" t="s">
        <v>400</v>
      </c>
      <c r="H1011" s="71" t="str">
        <f>IF(Proc[[#This Row],[type]]="LFF (MDG-F)",MID(Proc[[#This Row],[Obj]],13,10),"")</f>
        <v/>
      </c>
      <c r="J1011" s="71" t="b">
        <f>Proc[[#This Row],[Requested]]=Proc[[#This Row],[CurrentParent]]</f>
        <v>1</v>
      </c>
      <c r="K1011" s="71" t="str">
        <f>IF(Proc[[#This Row],[Author]]="Marcela Urrego",VLOOKUP(LEFT(Proc[[#This Row],[Requested]],1),Table3[#All],2,0),VLOOKUP(Proc[[#This Row],[Author]],Table4[],2,0))</f>
        <v>MGF</v>
      </c>
      <c r="L1011" s="71" t="s">
        <v>2563</v>
      </c>
      <c r="M1011" s="73">
        <v>45754.739930555559</v>
      </c>
      <c r="N1011" s="79">
        <v>45757</v>
      </c>
      <c r="O1011" s="79">
        <v>45758</v>
      </c>
      <c r="P1011" s="76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6" t="s">
        <v>1459</v>
      </c>
      <c r="S1011" s="71"/>
    </row>
    <row r="1012" spans="1:19" hidden="1">
      <c r="A1012" t="s">
        <v>2621</v>
      </c>
      <c r="B1012" s="71" t="str">
        <f>IFERROR(VLOOKUP(Proc[[#This Row],[App]],Table2[],3,0),"open")</f>
        <v>ok</v>
      </c>
      <c r="C1012" s="74" t="s">
        <v>369</v>
      </c>
      <c r="D1012" t="s">
        <v>486</v>
      </c>
      <c r="E1012" t="s">
        <v>2620</v>
      </c>
      <c r="F1012" s="105" t="s">
        <v>2620</v>
      </c>
      <c r="G1012" s="74" t="s">
        <v>406</v>
      </c>
      <c r="H1012" s="71" t="str">
        <f>IF(Proc[[#This Row],[type]]="LFF (MDG-F)",MID(Proc[[#This Row],[Obj]],13,10),"")</f>
        <v>DE10566400</v>
      </c>
      <c r="I1012" t="s">
        <v>2629</v>
      </c>
      <c r="J1012" s="71" t="b">
        <f>Proc[[#This Row],[Requested]]=Proc[[#This Row],[CurrentParent]]</f>
        <v>1</v>
      </c>
      <c r="K1012" s="71" t="str">
        <f>IF(Proc[[#This Row],[Author]]="Marcela Urrego",VLOOKUP(LEFT(Proc[[#This Row],[Requested]],1),Table3[#All],2,0),VLOOKUP(Proc[[#This Row],[Author]],Table4[],2,0))</f>
        <v>MGF</v>
      </c>
      <c r="L1012" s="71" t="s">
        <v>2563</v>
      </c>
      <c r="M1012" s="73">
        <v>45754.873298611114</v>
      </c>
      <c r="N1012" s="79">
        <v>45757</v>
      </c>
      <c r="O1012" s="79">
        <v>45757</v>
      </c>
      <c r="P1012" s="76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6" t="s">
        <v>549</v>
      </c>
      <c r="S1012" s="71"/>
    </row>
    <row r="1013" spans="1:19" hidden="1">
      <c r="A1013" t="s">
        <v>2621</v>
      </c>
      <c r="B1013" s="71" t="str">
        <f>IFERROR(VLOOKUP(Proc[[#This Row],[App]],Table2[],3,0),"open")</f>
        <v>ok</v>
      </c>
      <c r="C1013" s="74" t="s">
        <v>369</v>
      </c>
      <c r="D1013" t="s">
        <v>2285</v>
      </c>
      <c r="E1013" t="s">
        <v>2620</v>
      </c>
      <c r="F1013" s="105" t="s">
        <v>2620</v>
      </c>
      <c r="G1013" s="74" t="s">
        <v>406</v>
      </c>
      <c r="H1013" s="71" t="str">
        <f>IF(Proc[[#This Row],[type]]="LFF (MDG-F)",MID(Proc[[#This Row],[Obj]],13,10),"")</f>
        <v>DE10566910</v>
      </c>
      <c r="I1013" t="s">
        <v>2629</v>
      </c>
      <c r="J1013" s="71" t="b">
        <f>Proc[[#This Row],[Requested]]=Proc[[#This Row],[CurrentParent]]</f>
        <v>1</v>
      </c>
      <c r="K1013" s="71" t="str">
        <f>IF(Proc[[#This Row],[Author]]="Marcela Urrego",VLOOKUP(LEFT(Proc[[#This Row],[Requested]],1),Table3[#All],2,0),VLOOKUP(Proc[[#This Row],[Author]],Table4[],2,0))</f>
        <v>MGF</v>
      </c>
      <c r="L1013" s="71" t="s">
        <v>2563</v>
      </c>
      <c r="M1013" s="73">
        <v>45754.873298611114</v>
      </c>
      <c r="N1013" s="79"/>
      <c r="O1013" s="79">
        <v>45757</v>
      </c>
      <c r="P1013" s="76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6" t="s">
        <v>549</v>
      </c>
      <c r="S1013" s="71"/>
    </row>
    <row r="1014" spans="1:19" hidden="1">
      <c r="A1014" s="74" t="s">
        <v>2670</v>
      </c>
      <c r="B1014" s="71" t="str">
        <f>IFERROR(VLOOKUP(Proc[[#This Row],[App]],Table2[],3,0),"open")</f>
        <v>ok</v>
      </c>
      <c r="C1014" s="74" t="s">
        <v>369</v>
      </c>
      <c r="D1014" s="74" t="s">
        <v>2671</v>
      </c>
      <c r="E1014" s="74" t="s">
        <v>2417</v>
      </c>
      <c r="F1014" s="105" t="s">
        <v>2417</v>
      </c>
      <c r="G1014" t="s">
        <v>400</v>
      </c>
      <c r="H1014" s="71" t="str">
        <f>IF(Proc[[#This Row],[type]]="LFF (MDG-F)",MID(Proc[[#This Row],[Obj]],13,10),"")</f>
        <v/>
      </c>
      <c r="J1014" s="71" t="b">
        <f>Proc[[#This Row],[Requested]]=Proc[[#This Row],[CurrentParent]]</f>
        <v>1</v>
      </c>
      <c r="K1014" s="71" t="str">
        <f>IF(Proc[[#This Row],[Author]]="Marcela Urrego",VLOOKUP(LEFT(Proc[[#This Row],[Requested]],1),Table3[#All],2,0),VLOOKUP(Proc[[#This Row],[Author]],Table4[],2,0))</f>
        <v>MGF</v>
      </c>
      <c r="L1014" s="71" t="s">
        <v>2563</v>
      </c>
      <c r="M1014" s="76">
        <v>45755.527407407404</v>
      </c>
      <c r="N1014" s="81">
        <v>45758</v>
      </c>
      <c r="O1014" s="81">
        <v>45758</v>
      </c>
      <c r="P1014" s="76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6" t="s">
        <v>515</v>
      </c>
      <c r="S1014" s="71"/>
    </row>
    <row r="1015" spans="1:19" hidden="1">
      <c r="A1015" s="74" t="s">
        <v>2674</v>
      </c>
      <c r="B1015" s="71" t="str">
        <f>IFERROR(VLOOKUP(Proc[[#This Row],[App]],Table2[],3,0),"open")</f>
        <v>ok</v>
      </c>
      <c r="C1015" s="74" t="s">
        <v>398</v>
      </c>
      <c r="D1015" s="74" t="s">
        <v>2677</v>
      </c>
      <c r="E1015" s="74" t="s">
        <v>2678</v>
      </c>
      <c r="F1015" s="105" t="s">
        <v>2678</v>
      </c>
      <c r="G1015" s="74" t="s">
        <v>400</v>
      </c>
      <c r="H1015" s="71" t="str">
        <f>IF(Proc[[#This Row],[type]]="LFF (MDG-F)",MID(Proc[[#This Row],[Obj]],13,10),"")</f>
        <v/>
      </c>
      <c r="I1015" t="s">
        <v>2685</v>
      </c>
      <c r="J1015" s="71" t="b">
        <f>Proc[[#This Row],[Requested]]=Proc[[#This Row],[CurrentParent]]</f>
        <v>1</v>
      </c>
      <c r="K1015" s="71" t="str">
        <f>IF(Proc[[#This Row],[Author]]="Marcela Urrego",VLOOKUP(LEFT(Proc[[#This Row],[Requested]],1),Table3[#All],2,0),VLOOKUP(Proc[[#This Row],[Author]],Table4[],2,0))</f>
        <v>LS</v>
      </c>
      <c r="L1015" s="71" t="s">
        <v>2563</v>
      </c>
      <c r="M1015" s="76">
        <v>45755.527407407404</v>
      </c>
      <c r="N1015" s="81"/>
      <c r="O1015" s="81">
        <v>45758</v>
      </c>
      <c r="P1015" s="76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6" t="s">
        <v>2679</v>
      </c>
      <c r="S1015" s="71"/>
    </row>
    <row r="1016" spans="1:19" hidden="1">
      <c r="A1016" s="74" t="s">
        <v>2673</v>
      </c>
      <c r="B1016" s="71" t="str">
        <f>IFERROR(VLOOKUP(Proc[[#This Row],[App]],Table2[],3,0),"open")</f>
        <v>ok</v>
      </c>
      <c r="C1016" s="74" t="s">
        <v>369</v>
      </c>
      <c r="D1016" s="74" t="s">
        <v>2630</v>
      </c>
      <c r="E1016" s="74" t="s">
        <v>1830</v>
      </c>
      <c r="F1016" s="74" t="s">
        <v>1830</v>
      </c>
      <c r="G1016" s="74" t="s">
        <v>400</v>
      </c>
      <c r="H1016" s="71" t="str">
        <f>IF(Proc[[#This Row],[type]]="LFF (MDG-F)",MID(Proc[[#This Row],[Obj]],13,10),"")</f>
        <v/>
      </c>
      <c r="J1016" s="71" t="b">
        <f>Proc[[#This Row],[Requested]]=Proc[[#This Row],[CurrentParent]]</f>
        <v>1</v>
      </c>
      <c r="K1016" s="71" t="str">
        <f>IF(Proc[[#This Row],[Author]]="Marcela Urrego",VLOOKUP(LEFT(Proc[[#This Row],[Requested]],1),Table3[#All],2,0),VLOOKUP(Proc[[#This Row],[Author]],Table4[],2,0))</f>
        <v>LS</v>
      </c>
      <c r="L1016" s="71" t="s">
        <v>2563</v>
      </c>
      <c r="M1016" s="76">
        <v>45755.527407407404</v>
      </c>
      <c r="N1016" s="81"/>
      <c r="O1016" s="81"/>
      <c r="P1016" s="76" t="str">
        <f ca="1">IF(Proc[[#This Row],[DaysAgeing]]&gt;5,"yep","on track")</f>
        <v>yep</v>
      </c>
      <c r="Q1016" s="3">
        <f ca="1">IF(Proc[[#This Row],[DateClosed]]="",ABS(NETWORKDAYS(Proc[[#This Row],[DateOpened]],TODAY()))-1,ABS(NETWORKDAYS(Proc[[#This Row],[DateOpened]],Proc[[#This Row],[DateClosed]]))-1)</f>
        <v>60</v>
      </c>
      <c r="R1016" s="76" t="s">
        <v>489</v>
      </c>
      <c r="S1016" s="71"/>
    </row>
    <row r="1017" spans="1:19" hidden="1">
      <c r="A1017" s="74" t="s">
        <v>2673</v>
      </c>
      <c r="B1017" s="71" t="str">
        <f>IFERROR(VLOOKUP(Proc[[#This Row],[App]],Table2[],3,0),"open")</f>
        <v>ok</v>
      </c>
      <c r="C1017" s="74" t="s">
        <v>369</v>
      </c>
      <c r="D1017" s="74" t="s">
        <v>2631</v>
      </c>
      <c r="E1017" s="74" t="s">
        <v>1830</v>
      </c>
      <c r="F1017" s="74" t="s">
        <v>1830</v>
      </c>
      <c r="G1017" s="74" t="s">
        <v>400</v>
      </c>
      <c r="H1017" s="71" t="str">
        <f>IF(Proc[[#This Row],[type]]="LFF (MDG-F)",MID(Proc[[#This Row],[Obj]],13,10),"")</f>
        <v/>
      </c>
      <c r="J1017" s="71" t="b">
        <f>Proc[[#This Row],[Requested]]=Proc[[#This Row],[CurrentParent]]</f>
        <v>1</v>
      </c>
      <c r="K1017" s="71" t="str">
        <f>IF(Proc[[#This Row],[Author]]="Marcela Urrego",VLOOKUP(LEFT(Proc[[#This Row],[Requested]],1),Table3[#All],2,0),VLOOKUP(Proc[[#This Row],[Author]],Table4[],2,0))</f>
        <v>LS</v>
      </c>
      <c r="L1017" s="71" t="s">
        <v>2563</v>
      </c>
      <c r="M1017" s="76">
        <v>45755.527407407404</v>
      </c>
      <c r="N1017" s="81"/>
      <c r="O1017" s="81"/>
      <c r="P1017" s="76" t="str">
        <f ca="1">IF(Proc[[#This Row],[DaysAgeing]]&gt;5,"yep","on track")</f>
        <v>yep</v>
      </c>
      <c r="Q1017" s="3">
        <f ca="1">IF(Proc[[#This Row],[DateClosed]]="",ABS(NETWORKDAYS(Proc[[#This Row],[DateOpened]],TODAY()))-1,ABS(NETWORKDAYS(Proc[[#This Row],[DateOpened]],Proc[[#This Row],[DateClosed]]))-1)</f>
        <v>60</v>
      </c>
      <c r="R1017" s="76" t="s">
        <v>489</v>
      </c>
      <c r="S1017" s="71"/>
    </row>
    <row r="1018" spans="1:19" hidden="1">
      <c r="A1018" s="74" t="s">
        <v>2673</v>
      </c>
      <c r="B1018" s="71" t="str">
        <f>IFERROR(VLOOKUP(Proc[[#This Row],[App]],Table2[],3,0),"open")</f>
        <v>ok</v>
      </c>
      <c r="C1018" s="74" t="s">
        <v>369</v>
      </c>
      <c r="D1018" s="74" t="s">
        <v>2632</v>
      </c>
      <c r="E1018" s="74" t="s">
        <v>1830</v>
      </c>
      <c r="F1018" s="74" t="s">
        <v>1830</v>
      </c>
      <c r="G1018" s="74" t="s">
        <v>400</v>
      </c>
      <c r="H1018" s="71" t="str">
        <f>IF(Proc[[#This Row],[type]]="LFF (MDG-F)",MID(Proc[[#This Row],[Obj]],13,10),"")</f>
        <v/>
      </c>
      <c r="J1018" s="71" t="b">
        <f>Proc[[#This Row],[Requested]]=Proc[[#This Row],[CurrentParent]]</f>
        <v>1</v>
      </c>
      <c r="K1018" s="71" t="str">
        <f>IF(Proc[[#This Row],[Author]]="Marcela Urrego",VLOOKUP(LEFT(Proc[[#This Row],[Requested]],1),Table3[#All],2,0),VLOOKUP(Proc[[#This Row],[Author]],Table4[],2,0))</f>
        <v>LS</v>
      </c>
      <c r="L1018" s="71" t="s">
        <v>2563</v>
      </c>
      <c r="M1018" s="76">
        <v>45755.527407407404</v>
      </c>
      <c r="N1018" s="81"/>
      <c r="O1018" s="81"/>
      <c r="P1018" s="76" t="str">
        <f ca="1">IF(Proc[[#This Row],[DaysAgeing]]&gt;5,"yep","on track")</f>
        <v>yep</v>
      </c>
      <c r="Q1018" s="3">
        <f ca="1">IF(Proc[[#This Row],[DateClosed]]="",ABS(NETWORKDAYS(Proc[[#This Row],[DateOpened]],TODAY()))-1,ABS(NETWORKDAYS(Proc[[#This Row],[DateOpened]],Proc[[#This Row],[DateClosed]]))-1)</f>
        <v>60</v>
      </c>
      <c r="R1018" s="76" t="s">
        <v>489</v>
      </c>
      <c r="S1018" s="71"/>
    </row>
    <row r="1019" spans="1:19" hidden="1">
      <c r="A1019" s="74" t="s">
        <v>2667</v>
      </c>
      <c r="B1019" s="71" t="str">
        <f>IFERROR(VLOOKUP(Proc[[#This Row],[App]],Table2[],3,0),"open")</f>
        <v>ok</v>
      </c>
      <c r="C1019" s="74" t="s">
        <v>369</v>
      </c>
      <c r="D1019" s="74" t="s">
        <v>2668</v>
      </c>
      <c r="E1019" s="74" t="s">
        <v>2669</v>
      </c>
      <c r="F1019" s="105" t="s">
        <v>2669</v>
      </c>
      <c r="G1019" s="74" t="s">
        <v>400</v>
      </c>
      <c r="H1019" s="71" t="str">
        <f>IF(Proc[[#This Row],[type]]="LFF (MDG-F)",MID(Proc[[#This Row],[Obj]],13,10),"")</f>
        <v/>
      </c>
      <c r="J1019" s="71" t="b">
        <f>Proc[[#This Row],[Requested]]=Proc[[#This Row],[CurrentParent]]</f>
        <v>1</v>
      </c>
      <c r="K1019" s="71" t="str">
        <f>IF(Proc[[#This Row],[Author]]="Marcela Urrego",VLOOKUP(LEFT(Proc[[#This Row],[Requested]],1),Table3[#All],2,0),VLOOKUP(Proc[[#This Row],[Author]],Table4[],2,0))</f>
        <v>MGF</v>
      </c>
      <c r="L1019" s="71" t="s">
        <v>2563</v>
      </c>
      <c r="M1019" s="76">
        <v>45756.387754629628</v>
      </c>
      <c r="N1019" s="81">
        <v>45758</v>
      </c>
      <c r="O1019" s="81">
        <v>45758</v>
      </c>
      <c r="P1019" s="76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6" t="s">
        <v>515</v>
      </c>
      <c r="S1019" s="71"/>
    </row>
    <row r="1020" spans="1:19" hidden="1">
      <c r="A1020" s="74" t="s">
        <v>2663</v>
      </c>
      <c r="B1020" s="71" t="str">
        <f>IFERROR(VLOOKUP(Proc[[#This Row],[App]],Table2[],3,0),"open")</f>
        <v>ok</v>
      </c>
      <c r="C1020" s="74" t="s">
        <v>369</v>
      </c>
      <c r="D1020" s="74" t="s">
        <v>2664</v>
      </c>
      <c r="E1020" s="74" t="s">
        <v>2666</v>
      </c>
      <c r="F1020" s="105" t="s">
        <v>2666</v>
      </c>
      <c r="G1020" s="74" t="s">
        <v>400</v>
      </c>
      <c r="H1020" s="71" t="str">
        <f>IF(Proc[[#This Row],[type]]="LFF (MDG-F)",MID(Proc[[#This Row],[Obj]],13,10),"")</f>
        <v/>
      </c>
      <c r="J1020" s="71" t="b">
        <f>Proc[[#This Row],[Requested]]=Proc[[#This Row],[CurrentParent]]</f>
        <v>1</v>
      </c>
      <c r="K1020" s="71" t="str">
        <f>IF(Proc[[#This Row],[Author]]="Marcela Urrego",VLOOKUP(LEFT(Proc[[#This Row],[Requested]],1),Table3[#All],2,0),VLOOKUP(Proc[[#This Row],[Author]],Table4[],2,0))</f>
        <v>MGF</v>
      </c>
      <c r="L1020" s="71" t="s">
        <v>2563</v>
      </c>
      <c r="M1020" s="76">
        <v>45756.453032407408</v>
      </c>
      <c r="N1020" s="81">
        <v>45758</v>
      </c>
      <c r="O1020" s="81">
        <v>45758</v>
      </c>
      <c r="P1020" s="76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6" t="s">
        <v>515</v>
      </c>
      <c r="S1020" s="71"/>
    </row>
    <row r="1021" spans="1:19" hidden="1">
      <c r="A1021" s="74" t="s">
        <v>2663</v>
      </c>
      <c r="B1021" s="71" t="str">
        <f>IFERROR(VLOOKUP(Proc[[#This Row],[App]],Table2[],3,0),"open")</f>
        <v>ok</v>
      </c>
      <c r="C1021" s="74" t="s">
        <v>369</v>
      </c>
      <c r="D1021" s="74" t="s">
        <v>2665</v>
      </c>
      <c r="E1021" s="74" t="s">
        <v>2666</v>
      </c>
      <c r="F1021" s="105" t="s">
        <v>2666</v>
      </c>
      <c r="G1021" s="74" t="s">
        <v>400</v>
      </c>
      <c r="H1021" s="71" t="str">
        <f>IF(Proc[[#This Row],[type]]="LFF (MDG-F)",MID(Proc[[#This Row],[Obj]],13,10),"")</f>
        <v/>
      </c>
      <c r="J1021" s="71" t="b">
        <f>Proc[[#This Row],[Requested]]=Proc[[#This Row],[CurrentParent]]</f>
        <v>1</v>
      </c>
      <c r="K1021" s="71" t="str">
        <f>IF(Proc[[#This Row],[Author]]="Marcela Urrego",VLOOKUP(LEFT(Proc[[#This Row],[Requested]],1),Table3[#All],2,0),VLOOKUP(Proc[[#This Row],[Author]],Table4[],2,0))</f>
        <v>MGF</v>
      </c>
      <c r="L1021" s="71" t="s">
        <v>2563</v>
      </c>
      <c r="M1021" s="76">
        <v>45756.453032407408</v>
      </c>
      <c r="N1021" s="81">
        <v>45758</v>
      </c>
      <c r="O1021" s="81">
        <v>45758</v>
      </c>
      <c r="P1021" s="76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6" t="s">
        <v>515</v>
      </c>
      <c r="S1021" s="71"/>
    </row>
    <row r="1022" spans="1:19" hidden="1">
      <c r="A1022" s="74" t="s">
        <v>2675</v>
      </c>
      <c r="B1022" s="71" t="str">
        <f>IFERROR(VLOOKUP(Proc[[#This Row],[App]],Table2[],3,0),"open")</f>
        <v>ok</v>
      </c>
      <c r="C1022" s="74" t="s">
        <v>369</v>
      </c>
      <c r="D1022" s="74" t="s">
        <v>2680</v>
      </c>
      <c r="E1022" s="74" t="s">
        <v>2669</v>
      </c>
      <c r="F1022" s="105" t="s">
        <v>2669</v>
      </c>
      <c r="G1022" s="74" t="s">
        <v>400</v>
      </c>
      <c r="H1022" s="71" t="str">
        <f>IF(Proc[[#This Row],[type]]="LFF (MDG-F)",MID(Proc[[#This Row],[Obj]],13,10),"")</f>
        <v/>
      </c>
      <c r="J1022" s="71" t="b">
        <f>Proc[[#This Row],[Requested]]=Proc[[#This Row],[CurrentParent]]</f>
        <v>1</v>
      </c>
      <c r="K1022" s="71" t="str">
        <f>IF(Proc[[#This Row],[Author]]="Marcela Urrego",VLOOKUP(LEFT(Proc[[#This Row],[Requested]],1),Table3[#All],2,0),VLOOKUP(Proc[[#This Row],[Author]],Table4[],2,0))</f>
        <v>MGF</v>
      </c>
      <c r="L1022" s="71" t="s">
        <v>2563</v>
      </c>
      <c r="M1022" s="76">
        <v>45756.453032407408</v>
      </c>
      <c r="N1022" s="81">
        <v>45758</v>
      </c>
      <c r="O1022" s="81">
        <v>45758</v>
      </c>
      <c r="P1022" s="76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6" t="s">
        <v>530</v>
      </c>
      <c r="S1022" s="71"/>
    </row>
    <row r="1023" spans="1:19" hidden="1">
      <c r="A1023" s="74" t="s">
        <v>2676</v>
      </c>
      <c r="B1023" s="71" t="str">
        <f>IFERROR(VLOOKUP(Proc[[#This Row],[App]],Table2[],3,0),"open")</f>
        <v>ok</v>
      </c>
      <c r="C1023" s="74" t="s">
        <v>369</v>
      </c>
      <c r="D1023" s="74" t="s">
        <v>2686</v>
      </c>
      <c r="E1023" s="74" t="s">
        <v>2681</v>
      </c>
      <c r="F1023" s="105" t="s">
        <v>2681</v>
      </c>
      <c r="G1023" s="74" t="s">
        <v>406</v>
      </c>
      <c r="H1023" s="71" t="str">
        <f>IF(Proc[[#This Row],[type]]="LFF (MDG-F)",MID(Proc[[#This Row],[Obj]],13,10),"")</f>
        <v>1919O05003</v>
      </c>
      <c r="J1023" s="71" t="b">
        <f>Proc[[#This Row],[Requested]]=Proc[[#This Row],[CurrentParent]]</f>
        <v>1</v>
      </c>
      <c r="K1023" s="71" t="str">
        <f>IF(Proc[[#This Row],[Author]]="Marcela Urrego",VLOOKUP(LEFT(Proc[[#This Row],[Requested]],1),Table3[#All],2,0),VLOOKUP(Proc[[#This Row],[Author]],Table4[],2,0))</f>
        <v>MGF</v>
      </c>
      <c r="L1023" s="71" t="s">
        <v>2563</v>
      </c>
      <c r="M1023" s="76">
        <v>45756.453032407408</v>
      </c>
      <c r="N1023" s="81">
        <v>45758</v>
      </c>
      <c r="O1023" s="81">
        <v>45758</v>
      </c>
      <c r="P1023" s="76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6" t="s">
        <v>2682</v>
      </c>
      <c r="S1023" s="71"/>
    </row>
    <row r="1024" spans="1:19" hidden="1">
      <c r="A1024" s="74" t="s">
        <v>2633</v>
      </c>
      <c r="B1024" s="71" t="str">
        <f>IFERROR(VLOOKUP(Proc[[#This Row],[App]],Table2[],3,0),"open")</f>
        <v>ok</v>
      </c>
      <c r="C1024" s="74" t="s">
        <v>369</v>
      </c>
      <c r="D1024" s="78" t="s">
        <v>2630</v>
      </c>
      <c r="E1024" s="74" t="s">
        <v>1830</v>
      </c>
      <c r="F1024" s="105" t="s">
        <v>1830</v>
      </c>
      <c r="G1024" s="74" t="s">
        <v>400</v>
      </c>
      <c r="H1024" s="71" t="str">
        <f>IF(Proc[[#This Row],[type]]="LFF (MDG-F)",MID(Proc[[#This Row],[Obj]],13,10),"")</f>
        <v/>
      </c>
      <c r="J1024" s="71" t="b">
        <f>Proc[[#This Row],[Requested]]=Proc[[#This Row],[CurrentParent]]</f>
        <v>1</v>
      </c>
      <c r="K1024" s="71" t="str">
        <f>IF(Proc[[#This Row],[Author]]="Marcela Urrego",VLOOKUP(LEFT(Proc[[#This Row],[Requested]],1),Table3[#All],2,0),VLOOKUP(Proc[[#This Row],[Author]],Table4[],2,0))</f>
        <v>LS</v>
      </c>
      <c r="L1024" s="71" t="s">
        <v>2563</v>
      </c>
      <c r="M1024" s="76">
        <v>45755.504537037035</v>
      </c>
      <c r="N1024" s="79">
        <v>45757</v>
      </c>
      <c r="O1024" s="79">
        <v>45757</v>
      </c>
      <c r="P1024" s="76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6" t="s">
        <v>489</v>
      </c>
      <c r="S1024" s="71"/>
    </row>
    <row r="1025" spans="1:19" hidden="1">
      <c r="A1025" s="74" t="s">
        <v>2633</v>
      </c>
      <c r="B1025" s="71" t="str">
        <f>IFERROR(VLOOKUP(Proc[[#This Row],[App]],Table2[],3,0),"open")</f>
        <v>ok</v>
      </c>
      <c r="C1025" s="74" t="s">
        <v>369</v>
      </c>
      <c r="D1025" s="78" t="s">
        <v>2631</v>
      </c>
      <c r="E1025" s="74" t="s">
        <v>1830</v>
      </c>
      <c r="F1025" s="105" t="s">
        <v>1830</v>
      </c>
      <c r="G1025" s="74" t="s">
        <v>400</v>
      </c>
      <c r="H1025" s="71" t="str">
        <f>IF(Proc[[#This Row],[type]]="LFF (MDG-F)",MID(Proc[[#This Row],[Obj]],13,10),"")</f>
        <v/>
      </c>
      <c r="J1025" s="71" t="b">
        <f>Proc[[#This Row],[Requested]]=Proc[[#This Row],[CurrentParent]]</f>
        <v>1</v>
      </c>
      <c r="K1025" s="71" t="str">
        <f>IF(Proc[[#This Row],[Author]]="Marcela Urrego",VLOOKUP(LEFT(Proc[[#This Row],[Requested]],1),Table3[#All],2,0),VLOOKUP(Proc[[#This Row],[Author]],Table4[],2,0))</f>
        <v>LS</v>
      </c>
      <c r="L1025" s="71" t="s">
        <v>2563</v>
      </c>
      <c r="M1025" s="76">
        <v>45755.504537037035</v>
      </c>
      <c r="N1025" s="79">
        <v>45757</v>
      </c>
      <c r="O1025" s="79">
        <v>45757</v>
      </c>
      <c r="P1025" s="76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6" t="s">
        <v>489</v>
      </c>
      <c r="S1025" s="71"/>
    </row>
    <row r="1026" spans="1:19" hidden="1">
      <c r="A1026" s="74" t="s">
        <v>2633</v>
      </c>
      <c r="B1026" s="71" t="str">
        <f>IFERROR(VLOOKUP(Proc[[#This Row],[App]],Table2[],3,0),"open")</f>
        <v>ok</v>
      </c>
      <c r="C1026" s="74" t="s">
        <v>369</v>
      </c>
      <c r="D1026" s="78" t="s">
        <v>2632</v>
      </c>
      <c r="E1026" s="74" t="s">
        <v>1830</v>
      </c>
      <c r="F1026" s="105" t="s">
        <v>1830</v>
      </c>
      <c r="G1026" s="74" t="s">
        <v>400</v>
      </c>
      <c r="H1026" s="71" t="str">
        <f>IF(Proc[[#This Row],[type]]="LFF (MDG-F)",MID(Proc[[#This Row],[Obj]],13,10),"")</f>
        <v/>
      </c>
      <c r="J1026" s="71" t="b">
        <f>Proc[[#This Row],[Requested]]=Proc[[#This Row],[CurrentParent]]</f>
        <v>1</v>
      </c>
      <c r="K1026" s="71" t="str">
        <f>IF(Proc[[#This Row],[Author]]="Marcela Urrego",VLOOKUP(LEFT(Proc[[#This Row],[Requested]],1),Table3[#All],2,0),VLOOKUP(Proc[[#This Row],[Author]],Table4[],2,0))</f>
        <v>LS</v>
      </c>
      <c r="L1026" s="71" t="s">
        <v>2563</v>
      </c>
      <c r="M1026" s="76">
        <v>45755.504537037035</v>
      </c>
      <c r="N1026" s="79">
        <v>45757</v>
      </c>
      <c r="O1026" s="79">
        <v>45757</v>
      </c>
      <c r="P1026" s="76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6" t="s">
        <v>489</v>
      </c>
      <c r="S1026" s="71"/>
    </row>
    <row r="1027" spans="1:19" hidden="1">
      <c r="A1027" s="74" t="s">
        <v>2633</v>
      </c>
      <c r="B1027" s="71" t="str">
        <f>IFERROR(VLOOKUP(Proc[[#This Row],[App]],Table2[],3,0),"open")</f>
        <v>ok</v>
      </c>
      <c r="C1027" s="74" t="s">
        <v>369</v>
      </c>
      <c r="D1027" s="78" t="s">
        <v>2634</v>
      </c>
      <c r="E1027" s="74" t="s">
        <v>1830</v>
      </c>
      <c r="F1027" s="105" t="s">
        <v>1830</v>
      </c>
      <c r="G1027" s="74" t="s">
        <v>400</v>
      </c>
      <c r="H1027" s="71" t="str">
        <f>IF(Proc[[#This Row],[type]]="LFF (MDG-F)",MID(Proc[[#This Row],[Obj]],13,10),"")</f>
        <v/>
      </c>
      <c r="J1027" s="71" t="b">
        <f>Proc[[#This Row],[Requested]]=Proc[[#This Row],[CurrentParent]]</f>
        <v>1</v>
      </c>
      <c r="K1027" s="71" t="str">
        <f>IF(Proc[[#This Row],[Author]]="Marcela Urrego",VLOOKUP(LEFT(Proc[[#This Row],[Requested]],1),Table3[#All],2,0),VLOOKUP(Proc[[#This Row],[Author]],Table4[],2,0))</f>
        <v>LS</v>
      </c>
      <c r="L1027" s="71" t="s">
        <v>2563</v>
      </c>
      <c r="M1027" s="76">
        <v>45756.504537037035</v>
      </c>
      <c r="N1027" s="79">
        <v>45757</v>
      </c>
      <c r="O1027" s="79">
        <v>45757</v>
      </c>
      <c r="P1027" s="76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6" t="s">
        <v>489</v>
      </c>
      <c r="S1027" s="71"/>
    </row>
    <row r="1028" spans="1:19" hidden="1">
      <c r="A1028" s="74" t="s">
        <v>2633</v>
      </c>
      <c r="B1028" s="71" t="str">
        <f>IFERROR(VLOOKUP(Proc[[#This Row],[App]],Table2[],3,0),"open")</f>
        <v>ok</v>
      </c>
      <c r="C1028" s="74" t="s">
        <v>369</v>
      </c>
      <c r="D1028" s="78" t="s">
        <v>2635</v>
      </c>
      <c r="E1028" s="74" t="s">
        <v>1830</v>
      </c>
      <c r="F1028" s="105" t="s">
        <v>1830</v>
      </c>
      <c r="G1028" s="74" t="s">
        <v>400</v>
      </c>
      <c r="H1028" s="71" t="str">
        <f>IF(Proc[[#This Row],[type]]="LFF (MDG-F)",MID(Proc[[#This Row],[Obj]],13,10),"")</f>
        <v/>
      </c>
      <c r="J1028" s="71" t="b">
        <f>Proc[[#This Row],[Requested]]=Proc[[#This Row],[CurrentParent]]</f>
        <v>1</v>
      </c>
      <c r="K1028" s="71" t="str">
        <f>IF(Proc[[#This Row],[Author]]="Marcela Urrego",VLOOKUP(LEFT(Proc[[#This Row],[Requested]],1),Table3[#All],2,0),VLOOKUP(Proc[[#This Row],[Author]],Table4[],2,0))</f>
        <v>LS</v>
      </c>
      <c r="L1028" s="71" t="s">
        <v>2563</v>
      </c>
      <c r="M1028" s="76">
        <v>45756.504537037035</v>
      </c>
      <c r="N1028" s="79">
        <v>45757</v>
      </c>
      <c r="O1028" s="79">
        <v>45757</v>
      </c>
      <c r="P1028" s="76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6" t="s">
        <v>489</v>
      </c>
      <c r="S1028" s="71"/>
    </row>
    <row r="1029" spans="1:19" hidden="1">
      <c r="A1029" s="74" t="s">
        <v>2633</v>
      </c>
      <c r="B1029" s="71" t="str">
        <f>IFERROR(VLOOKUP(Proc[[#This Row],[App]],Table2[],3,0),"open")</f>
        <v>ok</v>
      </c>
      <c r="C1029" s="74" t="s">
        <v>369</v>
      </c>
      <c r="D1029" s="74" t="s">
        <v>2636</v>
      </c>
      <c r="E1029" s="74" t="s">
        <v>1830</v>
      </c>
      <c r="F1029" s="105" t="s">
        <v>1830</v>
      </c>
      <c r="G1029" s="74" t="s">
        <v>400</v>
      </c>
      <c r="H1029" s="71" t="str">
        <f>IF(Proc[[#This Row],[type]]="LFF (MDG-F)",MID(Proc[[#This Row],[Obj]],13,10),"")</f>
        <v/>
      </c>
      <c r="J1029" s="71" t="b">
        <f>Proc[[#This Row],[Requested]]=Proc[[#This Row],[CurrentParent]]</f>
        <v>1</v>
      </c>
      <c r="K1029" s="71" t="str">
        <f>IF(Proc[[#This Row],[Author]]="Marcela Urrego",VLOOKUP(LEFT(Proc[[#This Row],[Requested]],1),Table3[#All],2,0),VLOOKUP(Proc[[#This Row],[Author]],Table4[],2,0))</f>
        <v>LS</v>
      </c>
      <c r="L1029" s="71" t="s">
        <v>2563</v>
      </c>
      <c r="M1029" s="76">
        <v>45756.504537037035</v>
      </c>
      <c r="N1029" s="79">
        <v>45757</v>
      </c>
      <c r="O1029" s="79">
        <v>45757</v>
      </c>
      <c r="P1029" s="76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6" t="s">
        <v>489</v>
      </c>
      <c r="S1029" s="71"/>
    </row>
    <row r="1030" spans="1:19" hidden="1">
      <c r="A1030" s="74" t="s">
        <v>2633</v>
      </c>
      <c r="B1030" s="71" t="str">
        <f>IFERROR(VLOOKUP(Proc[[#This Row],[App]],Table2[],3,0),"open")</f>
        <v>ok</v>
      </c>
      <c r="C1030" s="74" t="s">
        <v>369</v>
      </c>
      <c r="D1030" s="74" t="s">
        <v>2637</v>
      </c>
      <c r="E1030" s="74" t="s">
        <v>1830</v>
      </c>
      <c r="F1030" s="105" t="s">
        <v>1830</v>
      </c>
      <c r="G1030" s="74" t="s">
        <v>400</v>
      </c>
      <c r="H1030" s="71" t="str">
        <f>IF(Proc[[#This Row],[type]]="LFF (MDG-F)",MID(Proc[[#This Row],[Obj]],13,10),"")</f>
        <v/>
      </c>
      <c r="J1030" s="71" t="b">
        <f>Proc[[#This Row],[Requested]]=Proc[[#This Row],[CurrentParent]]</f>
        <v>1</v>
      </c>
      <c r="K1030" s="71" t="str">
        <f>IF(Proc[[#This Row],[Author]]="Marcela Urrego",VLOOKUP(LEFT(Proc[[#This Row],[Requested]],1),Table3[#All],2,0),VLOOKUP(Proc[[#This Row],[Author]],Table4[],2,0))</f>
        <v>LS</v>
      </c>
      <c r="L1030" s="71" t="s">
        <v>2563</v>
      </c>
      <c r="M1030" s="76">
        <v>45756.504537037035</v>
      </c>
      <c r="N1030" s="79">
        <v>45757</v>
      </c>
      <c r="O1030" s="79">
        <v>45757</v>
      </c>
      <c r="P1030" s="76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6" t="s">
        <v>489</v>
      </c>
      <c r="S1030" s="71"/>
    </row>
    <row r="1031" spans="1:19" hidden="1">
      <c r="A1031" s="74" t="s">
        <v>2633</v>
      </c>
      <c r="B1031" s="71" t="str">
        <f>IFERROR(VLOOKUP(Proc[[#This Row],[App]],Table2[],3,0),"open")</f>
        <v>ok</v>
      </c>
      <c r="C1031" s="74" t="s">
        <v>369</v>
      </c>
      <c r="D1031" s="74" t="s">
        <v>2638</v>
      </c>
      <c r="E1031" s="74" t="s">
        <v>1830</v>
      </c>
      <c r="F1031" s="105" t="s">
        <v>1830</v>
      </c>
      <c r="G1031" s="74" t="s">
        <v>400</v>
      </c>
      <c r="H1031" s="71" t="str">
        <f>IF(Proc[[#This Row],[type]]="LFF (MDG-F)",MID(Proc[[#This Row],[Obj]],13,10),"")</f>
        <v/>
      </c>
      <c r="J1031" s="71" t="b">
        <f>Proc[[#This Row],[Requested]]=Proc[[#This Row],[CurrentParent]]</f>
        <v>1</v>
      </c>
      <c r="K1031" s="71" t="str">
        <f>IF(Proc[[#This Row],[Author]]="Marcela Urrego",VLOOKUP(LEFT(Proc[[#This Row],[Requested]],1),Table3[#All],2,0),VLOOKUP(Proc[[#This Row],[Author]],Table4[],2,0))</f>
        <v>LS</v>
      </c>
      <c r="L1031" s="71" t="s">
        <v>2563</v>
      </c>
      <c r="M1031" s="76">
        <v>45756.504537037035</v>
      </c>
      <c r="N1031" s="79">
        <v>45757</v>
      </c>
      <c r="O1031" s="79">
        <v>45757</v>
      </c>
      <c r="P1031" s="76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6" t="s">
        <v>489</v>
      </c>
      <c r="S1031" s="71"/>
    </row>
    <row r="1032" spans="1:19" hidden="1">
      <c r="A1032" s="74" t="s">
        <v>2633</v>
      </c>
      <c r="B1032" s="71" t="str">
        <f>IFERROR(VLOOKUP(Proc[[#This Row],[App]],Table2[],3,0),"open")</f>
        <v>ok</v>
      </c>
      <c r="C1032" s="74" t="s">
        <v>369</v>
      </c>
      <c r="D1032" s="74" t="s">
        <v>2639</v>
      </c>
      <c r="E1032" s="74" t="s">
        <v>1830</v>
      </c>
      <c r="F1032" s="105" t="s">
        <v>1830</v>
      </c>
      <c r="G1032" s="74" t="s">
        <v>400</v>
      </c>
      <c r="H1032" s="71" t="str">
        <f>IF(Proc[[#This Row],[type]]="LFF (MDG-F)",MID(Proc[[#This Row],[Obj]],13,10),"")</f>
        <v/>
      </c>
      <c r="J1032" s="71" t="b">
        <f>Proc[[#This Row],[Requested]]=Proc[[#This Row],[CurrentParent]]</f>
        <v>1</v>
      </c>
      <c r="K1032" s="71" t="str">
        <f>IF(Proc[[#This Row],[Author]]="Marcela Urrego",VLOOKUP(LEFT(Proc[[#This Row],[Requested]],1),Table3[#All],2,0),VLOOKUP(Proc[[#This Row],[Author]],Table4[],2,0))</f>
        <v>LS</v>
      </c>
      <c r="L1032" s="71" t="s">
        <v>2563</v>
      </c>
      <c r="M1032" s="76">
        <v>45756.504537037035</v>
      </c>
      <c r="N1032" s="79">
        <v>45757</v>
      </c>
      <c r="O1032" s="79">
        <v>45757</v>
      </c>
      <c r="P1032" s="76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6" t="s">
        <v>489</v>
      </c>
      <c r="S1032" s="71"/>
    </row>
    <row r="1033" spans="1:19" hidden="1">
      <c r="A1033" s="74" t="s">
        <v>2633</v>
      </c>
      <c r="B1033" s="71" t="str">
        <f>IFERROR(VLOOKUP(Proc[[#This Row],[App]],Table2[],3,0),"open")</f>
        <v>ok</v>
      </c>
      <c r="C1033" s="74" t="s">
        <v>369</v>
      </c>
      <c r="D1033" s="74" t="s">
        <v>2640</v>
      </c>
      <c r="E1033" s="74" t="s">
        <v>1830</v>
      </c>
      <c r="F1033" s="105" t="s">
        <v>1830</v>
      </c>
      <c r="G1033" s="74" t="s">
        <v>400</v>
      </c>
      <c r="H1033" s="71" t="str">
        <f>IF(Proc[[#This Row],[type]]="LFF (MDG-F)",MID(Proc[[#This Row],[Obj]],13,10),"")</f>
        <v/>
      </c>
      <c r="J1033" s="71" t="b">
        <f>Proc[[#This Row],[Requested]]=Proc[[#This Row],[CurrentParent]]</f>
        <v>1</v>
      </c>
      <c r="K1033" s="71" t="str">
        <f>IF(Proc[[#This Row],[Author]]="Marcela Urrego",VLOOKUP(LEFT(Proc[[#This Row],[Requested]],1),Table3[#All],2,0),VLOOKUP(Proc[[#This Row],[Author]],Table4[],2,0))</f>
        <v>LS</v>
      </c>
      <c r="L1033" s="71" t="s">
        <v>2563</v>
      </c>
      <c r="M1033" s="76">
        <v>45756.504537037035</v>
      </c>
      <c r="N1033" s="79">
        <v>45757</v>
      </c>
      <c r="O1033" s="79">
        <v>45757</v>
      </c>
      <c r="P1033" s="76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6" t="s">
        <v>489</v>
      </c>
      <c r="S1033" s="71"/>
    </row>
    <row r="1034" spans="1:19" hidden="1">
      <c r="A1034" s="74" t="s">
        <v>2633</v>
      </c>
      <c r="B1034" s="71" t="str">
        <f>IFERROR(VLOOKUP(Proc[[#This Row],[App]],Table2[],3,0),"open")</f>
        <v>ok</v>
      </c>
      <c r="C1034" s="74" t="s">
        <v>369</v>
      </c>
      <c r="D1034" s="74" t="s">
        <v>2641</v>
      </c>
      <c r="E1034" s="74" t="s">
        <v>1830</v>
      </c>
      <c r="F1034" s="105" t="s">
        <v>1830</v>
      </c>
      <c r="G1034" s="74" t="s">
        <v>400</v>
      </c>
      <c r="H1034" s="71" t="str">
        <f>IF(Proc[[#This Row],[type]]="LFF (MDG-F)",MID(Proc[[#This Row],[Obj]],13,10),"")</f>
        <v/>
      </c>
      <c r="J1034" s="71" t="b">
        <f>Proc[[#This Row],[Requested]]=Proc[[#This Row],[CurrentParent]]</f>
        <v>1</v>
      </c>
      <c r="K1034" s="71" t="str">
        <f>IF(Proc[[#This Row],[Author]]="Marcela Urrego",VLOOKUP(LEFT(Proc[[#This Row],[Requested]],1),Table3[#All],2,0),VLOOKUP(Proc[[#This Row],[Author]],Table4[],2,0))</f>
        <v>LS</v>
      </c>
      <c r="L1034" s="71" t="s">
        <v>2563</v>
      </c>
      <c r="M1034" s="76">
        <v>45756.504537037035</v>
      </c>
      <c r="N1034" s="79">
        <v>45757</v>
      </c>
      <c r="O1034" s="79">
        <v>45757</v>
      </c>
      <c r="P1034" s="76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6" t="s">
        <v>489</v>
      </c>
      <c r="S1034" s="71"/>
    </row>
    <row r="1035" spans="1:19" hidden="1">
      <c r="A1035" s="74" t="s">
        <v>2633</v>
      </c>
      <c r="B1035" s="71" t="str">
        <f>IFERROR(VLOOKUP(Proc[[#This Row],[App]],Table2[],3,0),"open")</f>
        <v>ok</v>
      </c>
      <c r="C1035" s="74" t="s">
        <v>369</v>
      </c>
      <c r="D1035" s="74" t="s">
        <v>2642</v>
      </c>
      <c r="E1035" s="74" t="s">
        <v>1830</v>
      </c>
      <c r="F1035" s="105" t="s">
        <v>1830</v>
      </c>
      <c r="G1035" s="74" t="s">
        <v>400</v>
      </c>
      <c r="H1035" s="71" t="str">
        <f>IF(Proc[[#This Row],[type]]="LFF (MDG-F)",MID(Proc[[#This Row],[Obj]],13,10),"")</f>
        <v/>
      </c>
      <c r="J1035" s="71" t="b">
        <f>Proc[[#This Row],[Requested]]=Proc[[#This Row],[CurrentParent]]</f>
        <v>1</v>
      </c>
      <c r="K1035" s="71" t="str">
        <f>IF(Proc[[#This Row],[Author]]="Marcela Urrego",VLOOKUP(LEFT(Proc[[#This Row],[Requested]],1),Table3[#All],2,0),VLOOKUP(Proc[[#This Row],[Author]],Table4[],2,0))</f>
        <v>LS</v>
      </c>
      <c r="L1035" s="71" t="s">
        <v>2563</v>
      </c>
      <c r="M1035" s="76">
        <v>45756.504537037035</v>
      </c>
      <c r="N1035" s="79">
        <v>45757</v>
      </c>
      <c r="O1035" s="79">
        <v>45757</v>
      </c>
      <c r="P1035" s="76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6" t="s">
        <v>489</v>
      </c>
      <c r="S1035" s="71"/>
    </row>
    <row r="1036" spans="1:19" hidden="1">
      <c r="A1036" s="74" t="s">
        <v>2633</v>
      </c>
      <c r="B1036" s="71" t="str">
        <f>IFERROR(VLOOKUP(Proc[[#This Row],[App]],Table2[],3,0),"open")</f>
        <v>ok</v>
      </c>
      <c r="C1036" s="74" t="s">
        <v>369</v>
      </c>
      <c r="D1036" s="74" t="s">
        <v>2643</v>
      </c>
      <c r="E1036" s="74" t="s">
        <v>1830</v>
      </c>
      <c r="F1036" s="105" t="s">
        <v>1830</v>
      </c>
      <c r="G1036" s="74" t="s">
        <v>400</v>
      </c>
      <c r="H1036" s="71" t="str">
        <f>IF(Proc[[#This Row],[type]]="LFF (MDG-F)",MID(Proc[[#This Row],[Obj]],13,10),"")</f>
        <v/>
      </c>
      <c r="J1036" s="71" t="b">
        <f>Proc[[#This Row],[Requested]]=Proc[[#This Row],[CurrentParent]]</f>
        <v>1</v>
      </c>
      <c r="K1036" s="71" t="str">
        <f>IF(Proc[[#This Row],[Author]]="Marcela Urrego",VLOOKUP(LEFT(Proc[[#This Row],[Requested]],1),Table3[#All],2,0),VLOOKUP(Proc[[#This Row],[Author]],Table4[],2,0))</f>
        <v>LS</v>
      </c>
      <c r="L1036" s="71" t="s">
        <v>2563</v>
      </c>
      <c r="M1036" s="76">
        <v>45756.504537037035</v>
      </c>
      <c r="N1036" s="79">
        <v>45757</v>
      </c>
      <c r="O1036" s="79">
        <v>45757</v>
      </c>
      <c r="P1036" s="76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6" t="s">
        <v>489</v>
      </c>
      <c r="S1036" s="71"/>
    </row>
    <row r="1037" spans="1:19" hidden="1">
      <c r="A1037" s="74" t="s">
        <v>2633</v>
      </c>
      <c r="B1037" s="71" t="str">
        <f>IFERROR(VLOOKUP(Proc[[#This Row],[App]],Table2[],3,0),"open")</f>
        <v>ok</v>
      </c>
      <c r="C1037" s="74" t="s">
        <v>369</v>
      </c>
      <c r="D1037" s="74" t="s">
        <v>2644</v>
      </c>
      <c r="E1037" s="74" t="s">
        <v>1830</v>
      </c>
      <c r="F1037" s="105" t="s">
        <v>1830</v>
      </c>
      <c r="G1037" s="74" t="s">
        <v>400</v>
      </c>
      <c r="H1037" s="71" t="str">
        <f>IF(Proc[[#This Row],[type]]="LFF (MDG-F)",MID(Proc[[#This Row],[Obj]],13,10),"")</f>
        <v/>
      </c>
      <c r="J1037" s="71" t="b">
        <f>Proc[[#This Row],[Requested]]=Proc[[#This Row],[CurrentParent]]</f>
        <v>1</v>
      </c>
      <c r="K1037" s="71" t="str">
        <f>IF(Proc[[#This Row],[Author]]="Marcela Urrego",VLOOKUP(LEFT(Proc[[#This Row],[Requested]],1),Table3[#All],2,0),VLOOKUP(Proc[[#This Row],[Author]],Table4[],2,0))</f>
        <v>LS</v>
      </c>
      <c r="L1037" s="71" t="s">
        <v>2563</v>
      </c>
      <c r="M1037" s="76">
        <v>45756.504537037035</v>
      </c>
      <c r="N1037" s="79">
        <v>45757</v>
      </c>
      <c r="O1037" s="79">
        <v>45757</v>
      </c>
      <c r="P1037" s="76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6" t="s">
        <v>489</v>
      </c>
      <c r="S1037" s="71"/>
    </row>
    <row r="1038" spans="1:19" hidden="1">
      <c r="A1038" s="74" t="s">
        <v>2633</v>
      </c>
      <c r="B1038" s="71" t="str">
        <f>IFERROR(VLOOKUP(Proc[[#This Row],[App]],Table2[],3,0),"open")</f>
        <v>ok</v>
      </c>
      <c r="C1038" s="74" t="s">
        <v>369</v>
      </c>
      <c r="D1038" s="74" t="s">
        <v>2645</v>
      </c>
      <c r="E1038" s="74" t="s">
        <v>1830</v>
      </c>
      <c r="F1038" s="105" t="s">
        <v>1830</v>
      </c>
      <c r="G1038" s="74" t="s">
        <v>400</v>
      </c>
      <c r="H1038" s="71" t="str">
        <f>IF(Proc[[#This Row],[type]]="LFF (MDG-F)",MID(Proc[[#This Row],[Obj]],13,10),"")</f>
        <v/>
      </c>
      <c r="J1038" s="71" t="b">
        <f>Proc[[#This Row],[Requested]]=Proc[[#This Row],[CurrentParent]]</f>
        <v>1</v>
      </c>
      <c r="K1038" s="71" t="str">
        <f>IF(Proc[[#This Row],[Author]]="Marcela Urrego",VLOOKUP(LEFT(Proc[[#This Row],[Requested]],1),Table3[#All],2,0),VLOOKUP(Proc[[#This Row],[Author]],Table4[],2,0))</f>
        <v>LS</v>
      </c>
      <c r="L1038" s="71" t="s">
        <v>2563</v>
      </c>
      <c r="M1038" s="76">
        <v>45756.504537037035</v>
      </c>
      <c r="N1038" s="79">
        <v>45757</v>
      </c>
      <c r="O1038" s="79">
        <v>45757</v>
      </c>
      <c r="P1038" s="76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6" t="s">
        <v>489</v>
      </c>
      <c r="S1038" s="71"/>
    </row>
    <row r="1039" spans="1:19" hidden="1">
      <c r="A1039" s="74" t="s">
        <v>2633</v>
      </c>
      <c r="B1039" s="71" t="str">
        <f>IFERROR(VLOOKUP(Proc[[#This Row],[App]],Table2[],3,0),"open")</f>
        <v>ok</v>
      </c>
      <c r="C1039" s="74" t="s">
        <v>369</v>
      </c>
      <c r="D1039" s="74" t="s">
        <v>2646</v>
      </c>
      <c r="E1039" s="74" t="s">
        <v>1830</v>
      </c>
      <c r="F1039" s="105" t="s">
        <v>1830</v>
      </c>
      <c r="G1039" s="74" t="s">
        <v>400</v>
      </c>
      <c r="H1039" s="71" t="str">
        <f>IF(Proc[[#This Row],[type]]="LFF (MDG-F)",MID(Proc[[#This Row],[Obj]],13,10),"")</f>
        <v/>
      </c>
      <c r="J1039" s="71" t="b">
        <f>Proc[[#This Row],[Requested]]=Proc[[#This Row],[CurrentParent]]</f>
        <v>1</v>
      </c>
      <c r="K1039" s="71" t="str">
        <f>IF(Proc[[#This Row],[Author]]="Marcela Urrego",VLOOKUP(LEFT(Proc[[#This Row],[Requested]],1),Table3[#All],2,0),VLOOKUP(Proc[[#This Row],[Author]],Table4[],2,0))</f>
        <v>LS</v>
      </c>
      <c r="L1039" s="71" t="s">
        <v>2563</v>
      </c>
      <c r="M1039" s="76">
        <v>45756.504537037035</v>
      </c>
      <c r="N1039" s="79">
        <v>45757</v>
      </c>
      <c r="O1039" s="79">
        <v>45757</v>
      </c>
      <c r="P1039" s="76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6" t="s">
        <v>489</v>
      </c>
      <c r="S1039" s="71"/>
    </row>
    <row r="1040" spans="1:19" hidden="1">
      <c r="A1040" s="74" t="s">
        <v>2633</v>
      </c>
      <c r="B1040" s="71" t="str">
        <f>IFERROR(VLOOKUP(Proc[[#This Row],[App]],Table2[],3,0),"open")</f>
        <v>ok</v>
      </c>
      <c r="C1040" s="74" t="s">
        <v>369</v>
      </c>
      <c r="D1040" s="74" t="s">
        <v>2647</v>
      </c>
      <c r="E1040" s="74" t="s">
        <v>1830</v>
      </c>
      <c r="F1040" s="105" t="s">
        <v>1830</v>
      </c>
      <c r="G1040" s="74" t="s">
        <v>400</v>
      </c>
      <c r="H1040" s="71" t="str">
        <f>IF(Proc[[#This Row],[type]]="LFF (MDG-F)",MID(Proc[[#This Row],[Obj]],13,10),"")</f>
        <v/>
      </c>
      <c r="J1040" s="71" t="b">
        <f>Proc[[#This Row],[Requested]]=Proc[[#This Row],[CurrentParent]]</f>
        <v>1</v>
      </c>
      <c r="K1040" s="71" t="str">
        <f>IF(Proc[[#This Row],[Author]]="Marcela Urrego",VLOOKUP(LEFT(Proc[[#This Row],[Requested]],1),Table3[#All],2,0),VLOOKUP(Proc[[#This Row],[Author]],Table4[],2,0))</f>
        <v>LS</v>
      </c>
      <c r="L1040" s="71" t="s">
        <v>2563</v>
      </c>
      <c r="M1040" s="76">
        <v>45756.504537037035</v>
      </c>
      <c r="N1040" s="79">
        <v>45757</v>
      </c>
      <c r="O1040" s="79">
        <v>45757</v>
      </c>
      <c r="P1040" s="76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6" t="s">
        <v>489</v>
      </c>
      <c r="S1040" s="71"/>
    </row>
    <row r="1041" spans="1:19" hidden="1">
      <c r="A1041" s="74" t="s">
        <v>2633</v>
      </c>
      <c r="B1041" s="71" t="str">
        <f>IFERROR(VLOOKUP(Proc[[#This Row],[App]],Table2[],3,0),"open")</f>
        <v>ok</v>
      </c>
      <c r="C1041" s="74" t="s">
        <v>369</v>
      </c>
      <c r="D1041" s="74" t="s">
        <v>2648</v>
      </c>
      <c r="E1041" s="74" t="s">
        <v>1830</v>
      </c>
      <c r="F1041" s="105" t="s">
        <v>1830</v>
      </c>
      <c r="G1041" s="74" t="s">
        <v>400</v>
      </c>
      <c r="H1041" s="71" t="str">
        <f>IF(Proc[[#This Row],[type]]="LFF (MDG-F)",MID(Proc[[#This Row],[Obj]],13,10),"")</f>
        <v/>
      </c>
      <c r="J1041" s="71" t="b">
        <f>Proc[[#This Row],[Requested]]=Proc[[#This Row],[CurrentParent]]</f>
        <v>1</v>
      </c>
      <c r="K1041" s="71" t="str">
        <f>IF(Proc[[#This Row],[Author]]="Marcela Urrego",VLOOKUP(LEFT(Proc[[#This Row],[Requested]],1),Table3[#All],2,0),VLOOKUP(Proc[[#This Row],[Author]],Table4[],2,0))</f>
        <v>LS</v>
      </c>
      <c r="L1041" s="71" t="s">
        <v>2563</v>
      </c>
      <c r="M1041" s="76">
        <v>45756.504537037035</v>
      </c>
      <c r="N1041" s="79">
        <v>45757</v>
      </c>
      <c r="O1041" s="79">
        <v>45757</v>
      </c>
      <c r="P1041" s="76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6" t="s">
        <v>489</v>
      </c>
      <c r="S1041" s="71"/>
    </row>
    <row r="1042" spans="1:19" hidden="1">
      <c r="A1042" s="74" t="s">
        <v>2633</v>
      </c>
      <c r="B1042" s="71" t="str">
        <f>IFERROR(VLOOKUP(Proc[[#This Row],[App]],Table2[],3,0),"open")</f>
        <v>ok</v>
      </c>
      <c r="C1042" s="74" t="s">
        <v>369</v>
      </c>
      <c r="D1042" s="74" t="s">
        <v>2649</v>
      </c>
      <c r="E1042" s="74" t="s">
        <v>1830</v>
      </c>
      <c r="F1042" s="105" t="s">
        <v>1830</v>
      </c>
      <c r="G1042" s="74" t="s">
        <v>400</v>
      </c>
      <c r="H1042" s="71" t="str">
        <f>IF(Proc[[#This Row],[type]]="LFF (MDG-F)",MID(Proc[[#This Row],[Obj]],13,10),"")</f>
        <v/>
      </c>
      <c r="J1042" s="71" t="b">
        <f>Proc[[#This Row],[Requested]]=Proc[[#This Row],[CurrentParent]]</f>
        <v>1</v>
      </c>
      <c r="K1042" s="71" t="str">
        <f>IF(Proc[[#This Row],[Author]]="Marcela Urrego",VLOOKUP(LEFT(Proc[[#This Row],[Requested]],1),Table3[#All],2,0),VLOOKUP(Proc[[#This Row],[Author]],Table4[],2,0))</f>
        <v>LS</v>
      </c>
      <c r="L1042" s="71" t="s">
        <v>2563</v>
      </c>
      <c r="M1042" s="76">
        <v>45756.504537037035</v>
      </c>
      <c r="N1042" s="79">
        <v>45757</v>
      </c>
      <c r="O1042" s="79">
        <v>45757</v>
      </c>
      <c r="P1042" s="76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6" t="s">
        <v>489</v>
      </c>
      <c r="S1042" s="71"/>
    </row>
    <row r="1043" spans="1:19" hidden="1">
      <c r="A1043" t="s">
        <v>2633</v>
      </c>
      <c r="B1043" s="71" t="str">
        <f>IFERROR(VLOOKUP(Proc[[#This Row],[App]],Table2[],3,0),"open")</f>
        <v>ok</v>
      </c>
      <c r="C1043" t="s">
        <v>369</v>
      </c>
      <c r="D1043" t="s">
        <v>2650</v>
      </c>
      <c r="E1043" t="s">
        <v>1830</v>
      </c>
      <c r="F1043" s="105" t="s">
        <v>1830</v>
      </c>
      <c r="G1043" t="s">
        <v>400</v>
      </c>
      <c r="H1043" s="71" t="str">
        <f>IF(Proc[[#This Row],[type]]="LFF (MDG-F)",MID(Proc[[#This Row],[Obj]],13,10),"")</f>
        <v/>
      </c>
      <c r="J1043" s="71" t="b">
        <f>Proc[[#This Row],[Requested]]=Proc[[#This Row],[CurrentParent]]</f>
        <v>1</v>
      </c>
      <c r="K1043" s="71" t="str">
        <f>IF(Proc[[#This Row],[Author]]="Marcela Urrego",VLOOKUP(LEFT(Proc[[#This Row],[Requested]],1),Table3[#All],2,0),VLOOKUP(Proc[[#This Row],[Author]],Table4[],2,0))</f>
        <v>LS</v>
      </c>
      <c r="L1043" s="71" t="s">
        <v>2563</v>
      </c>
      <c r="M1043" s="79">
        <v>45756.504537037035</v>
      </c>
      <c r="N1043" s="79">
        <v>45757</v>
      </c>
      <c r="O1043" s="79">
        <v>45757</v>
      </c>
      <c r="P1043" s="80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80" t="s">
        <v>489</v>
      </c>
      <c r="S1043" s="71"/>
    </row>
    <row r="1044" spans="1:19" hidden="1">
      <c r="A1044" t="s">
        <v>2633</v>
      </c>
      <c r="B1044" s="71" t="str">
        <f>IFERROR(VLOOKUP(Proc[[#This Row],[App]],Table2[],3,0),"open")</f>
        <v>ok</v>
      </c>
      <c r="C1044" s="74" t="s">
        <v>369</v>
      </c>
      <c r="D1044" t="s">
        <v>2651</v>
      </c>
      <c r="E1044" t="s">
        <v>1830</v>
      </c>
      <c r="F1044" s="105" t="s">
        <v>1830</v>
      </c>
      <c r="G1044" s="74" t="s">
        <v>400</v>
      </c>
      <c r="H1044" s="71" t="str">
        <f>IF(Proc[[#This Row],[type]]="LFF (MDG-F)",MID(Proc[[#This Row],[Obj]],13,10),"")</f>
        <v/>
      </c>
      <c r="J1044" s="71" t="b">
        <f>Proc[[#This Row],[Requested]]=Proc[[#This Row],[CurrentParent]]</f>
        <v>1</v>
      </c>
      <c r="K1044" s="71" t="str">
        <f>IF(Proc[[#This Row],[Author]]="Marcela Urrego",VLOOKUP(LEFT(Proc[[#This Row],[Requested]],1),Table3[#All],2,0),VLOOKUP(Proc[[#This Row],[Author]],Table4[],2,0))</f>
        <v>LS</v>
      </c>
      <c r="L1044" s="71" t="s">
        <v>2563</v>
      </c>
      <c r="M1044" s="79">
        <v>45756.504537037035</v>
      </c>
      <c r="N1044" s="79">
        <v>45757</v>
      </c>
      <c r="O1044" s="79">
        <v>45757</v>
      </c>
      <c r="P1044" s="80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80" t="s">
        <v>489</v>
      </c>
      <c r="S1044" s="71"/>
    </row>
    <row r="1045" spans="1:19" hidden="1">
      <c r="A1045" s="74" t="s">
        <v>2633</v>
      </c>
      <c r="B1045" s="71" t="str">
        <f>IFERROR(VLOOKUP(Proc[[#This Row],[App]],Table2[],3,0),"open")</f>
        <v>ok</v>
      </c>
      <c r="C1045" s="74" t="s">
        <v>369</v>
      </c>
      <c r="D1045" t="s">
        <v>2652</v>
      </c>
      <c r="E1045" t="s">
        <v>1830</v>
      </c>
      <c r="F1045" s="105" t="s">
        <v>1830</v>
      </c>
      <c r="G1045" s="74" t="s">
        <v>400</v>
      </c>
      <c r="H1045" s="71" t="str">
        <f>IF(Proc[[#This Row],[type]]="LFF (MDG-F)",MID(Proc[[#This Row],[Obj]],13,10),"")</f>
        <v/>
      </c>
      <c r="J1045" s="71" t="b">
        <f>Proc[[#This Row],[Requested]]=Proc[[#This Row],[CurrentParent]]</f>
        <v>1</v>
      </c>
      <c r="K1045" s="71" t="str">
        <f>IF(Proc[[#This Row],[Author]]="Marcela Urrego",VLOOKUP(LEFT(Proc[[#This Row],[Requested]],1),Table3[#All],2,0),VLOOKUP(Proc[[#This Row],[Author]],Table4[],2,0))</f>
        <v>LS</v>
      </c>
      <c r="L1045" s="71" t="s">
        <v>2563</v>
      </c>
      <c r="M1045" s="79">
        <v>45756.504537037035</v>
      </c>
      <c r="N1045" s="79">
        <v>45757</v>
      </c>
      <c r="O1045" s="79">
        <v>45757</v>
      </c>
      <c r="P1045" s="80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80" t="s">
        <v>489</v>
      </c>
      <c r="S1045" s="71"/>
    </row>
    <row r="1046" spans="1:19" hidden="1">
      <c r="A1046" t="s">
        <v>2633</v>
      </c>
      <c r="B1046" s="71" t="str">
        <f>IFERROR(VLOOKUP(Proc[[#This Row],[App]],Table2[],3,0),"open")</f>
        <v>ok</v>
      </c>
      <c r="C1046" s="74" t="s">
        <v>369</v>
      </c>
      <c r="D1046" t="s">
        <v>2653</v>
      </c>
      <c r="E1046" t="s">
        <v>1830</v>
      </c>
      <c r="F1046" s="105" t="s">
        <v>1830</v>
      </c>
      <c r="G1046" s="74" t="s">
        <v>400</v>
      </c>
      <c r="H1046" s="71" t="str">
        <f>IF(Proc[[#This Row],[type]]="LFF (MDG-F)",MID(Proc[[#This Row],[Obj]],13,10),"")</f>
        <v/>
      </c>
      <c r="J1046" s="71" t="b">
        <f>Proc[[#This Row],[Requested]]=Proc[[#This Row],[CurrentParent]]</f>
        <v>1</v>
      </c>
      <c r="K1046" s="71" t="str">
        <f>IF(Proc[[#This Row],[Author]]="Marcela Urrego",VLOOKUP(LEFT(Proc[[#This Row],[Requested]],1),Table3[#All],2,0),VLOOKUP(Proc[[#This Row],[Author]],Table4[],2,0))</f>
        <v>LS</v>
      </c>
      <c r="L1046" s="71" t="s">
        <v>2563</v>
      </c>
      <c r="M1046" s="79">
        <v>45756.504537037035</v>
      </c>
      <c r="N1046" s="79">
        <v>45757</v>
      </c>
      <c r="O1046" s="79">
        <v>45757</v>
      </c>
      <c r="P1046" s="80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80" t="s">
        <v>489</v>
      </c>
      <c r="S1046" s="71"/>
    </row>
    <row r="1047" spans="1:19" hidden="1">
      <c r="A1047" t="s">
        <v>2633</v>
      </c>
      <c r="B1047" s="71" t="str">
        <f>IFERROR(VLOOKUP(Proc[[#This Row],[App]],Table2[],3,0),"open")</f>
        <v>ok</v>
      </c>
      <c r="C1047" s="74" t="s">
        <v>369</v>
      </c>
      <c r="D1047" t="s">
        <v>2654</v>
      </c>
      <c r="E1047" t="s">
        <v>1830</v>
      </c>
      <c r="F1047" s="105" t="s">
        <v>1830</v>
      </c>
      <c r="G1047" s="74" t="s">
        <v>400</v>
      </c>
      <c r="H1047" s="71" t="str">
        <f>IF(Proc[[#This Row],[type]]="LFF (MDG-F)",MID(Proc[[#This Row],[Obj]],13,10),"")</f>
        <v/>
      </c>
      <c r="J1047" s="71" t="b">
        <f>Proc[[#This Row],[Requested]]=Proc[[#This Row],[CurrentParent]]</f>
        <v>1</v>
      </c>
      <c r="K1047" s="71" t="str">
        <f>IF(Proc[[#This Row],[Author]]="Marcela Urrego",VLOOKUP(LEFT(Proc[[#This Row],[Requested]],1),Table3[#All],2,0),VLOOKUP(Proc[[#This Row],[Author]],Table4[],2,0))</f>
        <v>LS</v>
      </c>
      <c r="L1047" s="71" t="s">
        <v>2563</v>
      </c>
      <c r="M1047" s="79">
        <v>45756.504537037035</v>
      </c>
      <c r="N1047" s="79">
        <v>45757</v>
      </c>
      <c r="O1047" s="79">
        <v>45757</v>
      </c>
      <c r="P1047" s="80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80" t="s">
        <v>489</v>
      </c>
      <c r="S1047" s="71"/>
    </row>
    <row r="1048" spans="1:19" hidden="1">
      <c r="A1048" t="s">
        <v>2633</v>
      </c>
      <c r="B1048" s="71" t="str">
        <f>IFERROR(VLOOKUP(Proc[[#This Row],[App]],Table2[],3,0),"open")</f>
        <v>ok</v>
      </c>
      <c r="C1048" s="74" t="s">
        <v>369</v>
      </c>
      <c r="D1048" t="s">
        <v>2655</v>
      </c>
      <c r="E1048" s="74" t="s">
        <v>1830</v>
      </c>
      <c r="F1048" s="105" t="s">
        <v>1830</v>
      </c>
      <c r="G1048" s="74" t="s">
        <v>400</v>
      </c>
      <c r="H1048" s="71" t="str">
        <f>IF(Proc[[#This Row],[type]]="LFF (MDG-F)",MID(Proc[[#This Row],[Obj]],13,10),"")</f>
        <v/>
      </c>
      <c r="J1048" s="71" t="b">
        <f>Proc[[#This Row],[Requested]]=Proc[[#This Row],[CurrentParent]]</f>
        <v>1</v>
      </c>
      <c r="K1048" s="71" t="str">
        <f>IF(Proc[[#This Row],[Author]]="Marcela Urrego",VLOOKUP(LEFT(Proc[[#This Row],[Requested]],1),Table3[#All],2,0),VLOOKUP(Proc[[#This Row],[Author]],Table4[],2,0))</f>
        <v>LS</v>
      </c>
      <c r="L1048" s="71" t="s">
        <v>2563</v>
      </c>
      <c r="M1048" s="80">
        <v>45756.504537037035</v>
      </c>
      <c r="N1048" s="80">
        <v>45757</v>
      </c>
      <c r="O1048" s="80">
        <v>45757</v>
      </c>
      <c r="P1048" s="80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80" t="s">
        <v>489</v>
      </c>
      <c r="S1048" s="71"/>
    </row>
    <row r="1049" spans="1:19" hidden="1">
      <c r="A1049" s="74" t="s">
        <v>2633</v>
      </c>
      <c r="B1049" s="71" t="str">
        <f>IFERROR(VLOOKUP(Proc[[#This Row],[App]],Table2[],3,0),"open")</f>
        <v>ok</v>
      </c>
      <c r="C1049" s="74" t="s">
        <v>369</v>
      </c>
      <c r="D1049" t="s">
        <v>2656</v>
      </c>
      <c r="E1049" s="74" t="s">
        <v>1830</v>
      </c>
      <c r="F1049" s="105" t="s">
        <v>1830</v>
      </c>
      <c r="G1049" s="74" t="s">
        <v>400</v>
      </c>
      <c r="H1049" s="71" t="str">
        <f>IF(Proc[[#This Row],[type]]="LFF (MDG-F)",MID(Proc[[#This Row],[Obj]],13,10),"")</f>
        <v/>
      </c>
      <c r="J1049" s="71" t="b">
        <f>Proc[[#This Row],[Requested]]=Proc[[#This Row],[CurrentParent]]</f>
        <v>1</v>
      </c>
      <c r="K1049" s="71" t="str">
        <f>IF(Proc[[#This Row],[Author]]="Marcela Urrego",VLOOKUP(LEFT(Proc[[#This Row],[Requested]],1),Table3[#All],2,0),VLOOKUP(Proc[[#This Row],[Author]],Table4[],2,0))</f>
        <v>LS</v>
      </c>
      <c r="L1049" s="71" t="s">
        <v>2563</v>
      </c>
      <c r="M1049" s="80">
        <v>45756.504537037035</v>
      </c>
      <c r="N1049" s="80">
        <v>45757</v>
      </c>
      <c r="O1049" s="80">
        <v>45757</v>
      </c>
      <c r="P1049" s="80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80" t="s">
        <v>489</v>
      </c>
      <c r="S1049" s="71"/>
    </row>
    <row r="1050" spans="1:19" hidden="1">
      <c r="A1050" s="74" t="s">
        <v>2633</v>
      </c>
      <c r="B1050" s="71" t="str">
        <f>IFERROR(VLOOKUP(Proc[[#This Row],[App]],Table2[],3,0),"open")</f>
        <v>ok</v>
      </c>
      <c r="C1050" s="74" t="s">
        <v>369</v>
      </c>
      <c r="D1050" t="s">
        <v>2657</v>
      </c>
      <c r="E1050" t="s">
        <v>1830</v>
      </c>
      <c r="F1050" s="105" t="s">
        <v>1830</v>
      </c>
      <c r="G1050" s="74" t="s">
        <v>400</v>
      </c>
      <c r="H1050" s="71" t="str">
        <f>IF(Proc[[#This Row],[type]]="LFF (MDG-F)",MID(Proc[[#This Row],[Obj]],13,10),"")</f>
        <v/>
      </c>
      <c r="J1050" s="71" t="b">
        <f>Proc[[#This Row],[Requested]]=Proc[[#This Row],[CurrentParent]]</f>
        <v>1</v>
      </c>
      <c r="K1050" s="71" t="str">
        <f>IF(Proc[[#This Row],[Author]]="Marcela Urrego",VLOOKUP(LEFT(Proc[[#This Row],[Requested]],1),Table3[#All],2,0),VLOOKUP(Proc[[#This Row],[Author]],Table4[],2,0))</f>
        <v>LS</v>
      </c>
      <c r="L1050" s="71" t="s">
        <v>2563</v>
      </c>
      <c r="M1050" s="80">
        <v>45756.504537037035</v>
      </c>
      <c r="N1050" s="80">
        <v>45757</v>
      </c>
      <c r="O1050" s="80">
        <v>45757</v>
      </c>
      <c r="P1050" s="80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80" t="s">
        <v>489</v>
      </c>
      <c r="S1050" s="71"/>
    </row>
    <row r="1051" spans="1:19" hidden="1">
      <c r="A1051" s="74" t="s">
        <v>2633</v>
      </c>
      <c r="B1051" s="71" t="str">
        <f>IFERROR(VLOOKUP(Proc[[#This Row],[App]],Table2[],3,0),"open")</f>
        <v>ok</v>
      </c>
      <c r="C1051" t="s">
        <v>369</v>
      </c>
      <c r="D1051" t="s">
        <v>2658</v>
      </c>
      <c r="E1051" t="s">
        <v>1830</v>
      </c>
      <c r="F1051" s="105" t="s">
        <v>1830</v>
      </c>
      <c r="G1051" s="74" t="s">
        <v>400</v>
      </c>
      <c r="H1051" s="71" t="str">
        <f>IF(Proc[[#This Row],[type]]="LFF (MDG-F)",MID(Proc[[#This Row],[Obj]],13,10),"")</f>
        <v/>
      </c>
      <c r="J1051" s="71" t="b">
        <f>Proc[[#This Row],[Requested]]=Proc[[#This Row],[CurrentParent]]</f>
        <v>1</v>
      </c>
      <c r="K1051" s="71" t="str">
        <f>IF(Proc[[#This Row],[Author]]="Marcela Urrego",VLOOKUP(LEFT(Proc[[#This Row],[Requested]],1),Table3[#All],2,0),VLOOKUP(Proc[[#This Row],[Author]],Table4[],2,0))</f>
        <v>LS</v>
      </c>
      <c r="L1051" s="71" t="s">
        <v>2563</v>
      </c>
      <c r="M1051" s="80">
        <v>45756.504537037035</v>
      </c>
      <c r="N1051" s="80">
        <v>45757</v>
      </c>
      <c r="O1051" s="80">
        <v>45757</v>
      </c>
      <c r="P1051" s="80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80" t="s">
        <v>489</v>
      </c>
      <c r="S1051" s="71"/>
    </row>
    <row r="1052" spans="1:19" hidden="1">
      <c r="A1052" t="s">
        <v>2633</v>
      </c>
      <c r="B1052" s="71" t="str">
        <f>IFERROR(VLOOKUP(Proc[[#This Row],[App]],Table2[],3,0),"open")</f>
        <v>ok</v>
      </c>
      <c r="C1052" s="74" t="s">
        <v>369</v>
      </c>
      <c r="D1052" t="s">
        <v>2659</v>
      </c>
      <c r="E1052" t="s">
        <v>1830</v>
      </c>
      <c r="F1052" s="105" t="s">
        <v>1830</v>
      </c>
      <c r="G1052" s="74" t="s">
        <v>400</v>
      </c>
      <c r="H1052" s="71" t="str">
        <f>IF(Proc[[#This Row],[type]]="LFF (MDG-F)",MID(Proc[[#This Row],[Obj]],13,10),"")</f>
        <v/>
      </c>
      <c r="J1052" s="71" t="b">
        <f>Proc[[#This Row],[Requested]]=Proc[[#This Row],[CurrentParent]]</f>
        <v>1</v>
      </c>
      <c r="K1052" s="71" t="str">
        <f>IF(Proc[[#This Row],[Author]]="Marcela Urrego",VLOOKUP(LEFT(Proc[[#This Row],[Requested]],1),Table3[#All],2,0),VLOOKUP(Proc[[#This Row],[Author]],Table4[],2,0))</f>
        <v>LS</v>
      </c>
      <c r="L1052" s="71" t="s">
        <v>2563</v>
      </c>
      <c r="M1052" s="80">
        <v>45756.504537037035</v>
      </c>
      <c r="N1052" s="80">
        <v>45757</v>
      </c>
      <c r="O1052" s="80">
        <v>45757</v>
      </c>
      <c r="P1052" s="80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80" t="s">
        <v>489</v>
      </c>
      <c r="S1052" s="71"/>
    </row>
    <row r="1053" spans="1:19" hidden="1">
      <c r="A1053" t="s">
        <v>2661</v>
      </c>
      <c r="B1053" s="71" t="str">
        <f>IFERROR(VLOOKUP(Proc[[#This Row],[App]],Table2[],3,0),"open")</f>
        <v>ok</v>
      </c>
      <c r="C1053" s="74" t="s">
        <v>369</v>
      </c>
      <c r="D1053" t="s">
        <v>2683</v>
      </c>
      <c r="E1053" t="s">
        <v>2660</v>
      </c>
      <c r="F1053" s="105" t="s">
        <v>2660</v>
      </c>
      <c r="G1053" s="74" t="s">
        <v>406</v>
      </c>
      <c r="H1053" s="71" t="str">
        <f>IF(Proc[[#This Row],[type]]="LFF (MDG-F)",MID(Proc[[#This Row],[Obj]],13,10),"")</f>
        <v>2029C01022</v>
      </c>
      <c r="I1053" t="s">
        <v>2672</v>
      </c>
      <c r="J1053" s="71" t="b">
        <f>Proc[[#This Row],[Requested]]=Proc[[#This Row],[CurrentParent]]</f>
        <v>1</v>
      </c>
      <c r="K1053" s="71" t="str">
        <f>IF(Proc[[#This Row],[Author]]="Marcela Urrego",VLOOKUP(LEFT(Proc[[#This Row],[Requested]],1),Table3[#All],2,0),VLOOKUP(Proc[[#This Row],[Author]],Table4[],2,0))</f>
        <v>MGF</v>
      </c>
      <c r="L1053" s="71" t="s">
        <v>2563</v>
      </c>
      <c r="M1053" s="80">
        <v>45756.958229166667</v>
      </c>
      <c r="N1053" s="80">
        <v>45758</v>
      </c>
      <c r="O1053" s="80">
        <v>45758</v>
      </c>
      <c r="P1053" s="80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80" t="s">
        <v>2662</v>
      </c>
      <c r="S1053" s="71"/>
    </row>
    <row r="1054" spans="1:19" hidden="1">
      <c r="A1054" t="s">
        <v>2688</v>
      </c>
      <c r="B1054" s="71" t="str">
        <f>IFERROR(VLOOKUP(Proc[[#This Row],[App]],Table2[],3,0),"open")</f>
        <v>ok</v>
      </c>
      <c r="C1054" t="s">
        <v>369</v>
      </c>
      <c r="D1054" t="s">
        <v>2713</v>
      </c>
      <c r="E1054" t="s">
        <v>2687</v>
      </c>
      <c r="F1054" s="105" t="s">
        <v>2687</v>
      </c>
      <c r="G1054" s="74" t="s">
        <v>400</v>
      </c>
      <c r="H1054" s="71" t="str">
        <f>IF(Proc[[#This Row],[type]]="LFF (MDG-F)",MID(Proc[[#This Row],[Obj]],13,10),"")</f>
        <v/>
      </c>
      <c r="J1054" s="71" t="b">
        <f>Proc[[#This Row],[Requested]]=Proc[[#This Row],[CurrentParent]]</f>
        <v>1</v>
      </c>
      <c r="K1054" s="71" t="str">
        <f>IF(Proc[[#This Row],[Author]]="Marcela Urrego",VLOOKUP(LEFT(Proc[[#This Row],[Requested]],1),Table3[#All],2,0),VLOOKUP(Proc[[#This Row],[Author]],Table4[],2,0))</f>
        <v>HC</v>
      </c>
      <c r="L1054" s="71" t="s">
        <v>2563</v>
      </c>
      <c r="M1054" s="81">
        <v>45758.372824074075</v>
      </c>
      <c r="N1054" s="81">
        <v>45761</v>
      </c>
      <c r="O1054" s="81">
        <v>45761</v>
      </c>
      <c r="P1054" s="82" t="str">
        <f ca="1">IF(Proc[[#This Row],[DaysAgeing]]&gt;5,"yep","on track")</f>
        <v>on track</v>
      </c>
      <c r="Q1054" s="3">
        <f ca="1">IF(Proc[[#This Row],[DateClosed]]="",ABS(NETWORKDAYS(Proc[[#This Row],[DateOpened]],TODAY()))-1,ABS(NETWORKDAYS(Proc[[#This Row],[DateOpened]],Proc[[#This Row],[DateClosed]]))-1)</f>
        <v>1</v>
      </c>
      <c r="R1054" s="82" t="s">
        <v>478</v>
      </c>
      <c r="S1054" s="71"/>
    </row>
    <row r="1055" spans="1:19" hidden="1">
      <c r="A1055" t="s">
        <v>2692</v>
      </c>
      <c r="B1055" s="71" t="str">
        <f>IFERROR(VLOOKUP(Proc[[#This Row],[App]],Table2[],3,0),"open")</f>
        <v>ok</v>
      </c>
      <c r="C1055" s="74" t="s">
        <v>369</v>
      </c>
      <c r="D1055" t="s">
        <v>2689</v>
      </c>
      <c r="E1055" t="s">
        <v>2373</v>
      </c>
      <c r="F1055" s="105" t="s">
        <v>2373</v>
      </c>
      <c r="G1055" s="74" t="s">
        <v>400</v>
      </c>
      <c r="H1055" s="71" t="str">
        <f>IF(Proc[[#This Row],[type]]="LFF (MDG-F)",MID(Proc[[#This Row],[Obj]],13,10),"")</f>
        <v/>
      </c>
      <c r="J1055" s="71" t="b">
        <f>Proc[[#This Row],[Requested]]=Proc[[#This Row],[CurrentParent]]</f>
        <v>1</v>
      </c>
      <c r="K1055" s="71" t="str">
        <f>IF(Proc[[#This Row],[Author]]="Marcela Urrego",VLOOKUP(LEFT(Proc[[#This Row],[Requested]],1),Table3[#All],2,0),VLOOKUP(Proc[[#This Row],[Author]],Table4[],2,0))</f>
        <v>LS</v>
      </c>
      <c r="L1055" s="71" t="s">
        <v>2563</v>
      </c>
      <c r="M1055" s="81">
        <v>45758.358437499999</v>
      </c>
      <c r="N1055" s="81">
        <v>45761</v>
      </c>
      <c r="O1055" s="81">
        <v>45761</v>
      </c>
      <c r="P1055" s="82" t="str">
        <f ca="1">IF(Proc[[#This Row],[DaysAgeing]]&gt;5,"yep","on track")</f>
        <v>on track</v>
      </c>
      <c r="Q1055" s="3">
        <f ca="1">IF(Proc[[#This Row],[DateClosed]]="",ABS(NETWORKDAYS(Proc[[#This Row],[DateOpened]],TODAY()))-1,ABS(NETWORKDAYS(Proc[[#This Row],[DateOpened]],Proc[[#This Row],[DateClosed]]))-1)</f>
        <v>1</v>
      </c>
      <c r="R1055" s="82" t="s">
        <v>830</v>
      </c>
      <c r="S1055" s="71"/>
    </row>
    <row r="1056" spans="1:19" hidden="1">
      <c r="A1056" s="74" t="s">
        <v>2692</v>
      </c>
      <c r="B1056" s="71" t="str">
        <f>IFERROR(VLOOKUP(Proc[[#This Row],[App]],Table2[],3,0),"open")</f>
        <v>ok</v>
      </c>
      <c r="C1056" s="74" t="s">
        <v>369</v>
      </c>
      <c r="D1056" t="s">
        <v>2690</v>
      </c>
      <c r="E1056" t="s">
        <v>2691</v>
      </c>
      <c r="F1056" s="105" t="s">
        <v>2691</v>
      </c>
      <c r="G1056" s="74" t="s">
        <v>400</v>
      </c>
      <c r="H1056" s="71" t="str">
        <f>IF(Proc[[#This Row],[type]]="LFF (MDG-F)",MID(Proc[[#This Row],[Obj]],13,10),"")</f>
        <v/>
      </c>
      <c r="J1056" s="71" t="b">
        <f>Proc[[#This Row],[Requested]]=Proc[[#This Row],[CurrentParent]]</f>
        <v>1</v>
      </c>
      <c r="K1056" s="71" t="str">
        <f>IF(Proc[[#This Row],[Author]]="Marcela Urrego",VLOOKUP(LEFT(Proc[[#This Row],[Requested]],1),Table3[#All],2,0),VLOOKUP(Proc[[#This Row],[Author]],Table4[],2,0))</f>
        <v>LS</v>
      </c>
      <c r="L1056" s="71" t="s">
        <v>2563</v>
      </c>
      <c r="M1056" s="81">
        <v>45758.358437499999</v>
      </c>
      <c r="N1056" s="81">
        <v>45761</v>
      </c>
      <c r="O1056" s="81">
        <v>45761</v>
      </c>
      <c r="P1056" s="82" t="str">
        <f ca="1">IF(Proc[[#This Row],[DaysAgeing]]&gt;5,"yep","on track")</f>
        <v>on track</v>
      </c>
      <c r="Q1056" s="3">
        <f ca="1">IF(Proc[[#This Row],[DateClosed]]="",ABS(NETWORKDAYS(Proc[[#This Row],[DateOpened]],TODAY()))-1,ABS(NETWORKDAYS(Proc[[#This Row],[DateOpened]],Proc[[#This Row],[DateClosed]]))-1)</f>
        <v>1</v>
      </c>
      <c r="R1056" s="82" t="s">
        <v>830</v>
      </c>
      <c r="S1056" s="71"/>
    </row>
    <row r="1057" spans="1:19" hidden="1">
      <c r="A1057" t="s">
        <v>2711</v>
      </c>
      <c r="B1057" s="71" t="str">
        <f>IFERROR(VLOOKUP(Proc[[#This Row],[App]],Table2[],3,0),"open")</f>
        <v>ok</v>
      </c>
      <c r="C1057" s="74" t="s">
        <v>369</v>
      </c>
      <c r="D1057" t="s">
        <v>2693</v>
      </c>
      <c r="E1057" t="s">
        <v>2694</v>
      </c>
      <c r="F1057" s="105" t="s">
        <v>2694</v>
      </c>
      <c r="G1057" t="s">
        <v>406</v>
      </c>
      <c r="H1057" s="71" t="str">
        <f>IF(Proc[[#This Row],[type]]="LFF (MDG-F)",MID(Proc[[#This Row],[Obj]],13,10),"")</f>
        <v>DE10N12380</v>
      </c>
      <c r="I1057" t="s">
        <v>2714</v>
      </c>
      <c r="J1057" s="71" t="b">
        <f>Proc[[#This Row],[Requested]]=Proc[[#This Row],[CurrentParent]]</f>
        <v>1</v>
      </c>
      <c r="K1057" s="71" t="str">
        <f>IF(Proc[[#This Row],[Author]]="Marcela Urrego",VLOOKUP(LEFT(Proc[[#This Row],[Requested]],1),Table3[#All],2,0),VLOOKUP(Proc[[#This Row],[Author]],Table4[],2,0))</f>
        <v>MGF</v>
      </c>
      <c r="L1057" s="71" t="s">
        <v>2563</v>
      </c>
      <c r="M1057" s="81">
        <v>45757.718622685185</v>
      </c>
      <c r="N1057" s="81">
        <v>45768</v>
      </c>
      <c r="O1057" s="81">
        <v>45768</v>
      </c>
      <c r="P1057" s="82" t="str">
        <f ca="1">IF(Proc[[#This Row],[DaysAgeing]]&gt;5,"yep","on track")</f>
        <v>yep</v>
      </c>
      <c r="Q1057" s="3">
        <f ca="1">IF(Proc[[#This Row],[DateClosed]]="",ABS(NETWORKDAYS(Proc[[#This Row],[DateOpened]],TODAY()))-1,ABS(NETWORKDAYS(Proc[[#This Row],[DateOpened]],Proc[[#This Row],[DateClosed]]))-1)</f>
        <v>7</v>
      </c>
      <c r="R1057" s="82" t="s">
        <v>2712</v>
      </c>
      <c r="S1057" s="71"/>
    </row>
    <row r="1058" spans="1:19" hidden="1">
      <c r="A1058" s="74" t="s">
        <v>2711</v>
      </c>
      <c r="B1058" s="71" t="str">
        <f>IFERROR(VLOOKUP(Proc[[#This Row],[App]],Table2[],3,0),"open")</f>
        <v>ok</v>
      </c>
      <c r="C1058" s="74" t="s">
        <v>369</v>
      </c>
      <c r="D1058" t="s">
        <v>2695</v>
      </c>
      <c r="E1058" t="s">
        <v>2694</v>
      </c>
      <c r="F1058" s="105" t="s">
        <v>2694</v>
      </c>
      <c r="G1058" s="74" t="s">
        <v>406</v>
      </c>
      <c r="H1058" s="71" t="str">
        <f>IF(Proc[[#This Row],[type]]="LFF (MDG-F)",MID(Proc[[#This Row],[Obj]],13,10),"")</f>
        <v>DE10N12340</v>
      </c>
      <c r="I1058" s="74" t="s">
        <v>2714</v>
      </c>
      <c r="J1058" s="71" t="b">
        <f>Proc[[#This Row],[Requested]]=Proc[[#This Row],[CurrentParent]]</f>
        <v>1</v>
      </c>
      <c r="K1058" s="71" t="str">
        <f>IF(Proc[[#This Row],[Author]]="Marcela Urrego",VLOOKUP(LEFT(Proc[[#This Row],[Requested]],1),Table3[#All],2,0),VLOOKUP(Proc[[#This Row],[Author]],Table4[],2,0))</f>
        <v>MGF</v>
      </c>
      <c r="L1058" s="71" t="s">
        <v>2563</v>
      </c>
      <c r="M1058" s="81">
        <v>45757.718622685185</v>
      </c>
      <c r="N1058" s="81">
        <v>45768</v>
      </c>
      <c r="O1058" s="81">
        <v>45768</v>
      </c>
      <c r="P1058" s="82" t="str">
        <f ca="1">IF(Proc[[#This Row],[DaysAgeing]]&gt;5,"yep","on track")</f>
        <v>yep</v>
      </c>
      <c r="Q1058" s="3">
        <f ca="1">IF(Proc[[#This Row],[DateClosed]]="",ABS(NETWORKDAYS(Proc[[#This Row],[DateOpened]],TODAY()))-1,ABS(NETWORKDAYS(Proc[[#This Row],[DateOpened]],Proc[[#This Row],[DateClosed]]))-1)</f>
        <v>7</v>
      </c>
      <c r="R1058" s="82" t="s">
        <v>2712</v>
      </c>
      <c r="S1058" s="71"/>
    </row>
    <row r="1059" spans="1:19" hidden="1">
      <c r="A1059" s="74" t="s">
        <v>2711</v>
      </c>
      <c r="B1059" s="71" t="str">
        <f>IFERROR(VLOOKUP(Proc[[#This Row],[App]],Table2[],3,0),"open")</f>
        <v>ok</v>
      </c>
      <c r="C1059" s="74" t="s">
        <v>369</v>
      </c>
      <c r="D1059" t="s">
        <v>2696</v>
      </c>
      <c r="E1059" t="s">
        <v>2697</v>
      </c>
      <c r="F1059" s="105" t="s">
        <v>2697</v>
      </c>
      <c r="G1059" s="74" t="s">
        <v>406</v>
      </c>
      <c r="H1059" s="71" t="str">
        <f>IF(Proc[[#This Row],[type]]="LFF (MDG-F)",MID(Proc[[#This Row],[Obj]],13,10),"")</f>
        <v>DE10N11170</v>
      </c>
      <c r="I1059" s="74" t="s">
        <v>2714</v>
      </c>
      <c r="J1059" s="71" t="b">
        <f>Proc[[#This Row],[Requested]]=Proc[[#This Row],[CurrentParent]]</f>
        <v>1</v>
      </c>
      <c r="K1059" s="71" t="str">
        <f>IF(Proc[[#This Row],[Author]]="Marcela Urrego",VLOOKUP(LEFT(Proc[[#This Row],[Requested]],1),Table3[#All],2,0),VLOOKUP(Proc[[#This Row],[Author]],Table4[],2,0))</f>
        <v>MGF</v>
      </c>
      <c r="L1059" s="71" t="s">
        <v>2563</v>
      </c>
      <c r="M1059" s="81">
        <v>45757.718622685185</v>
      </c>
      <c r="N1059" s="81">
        <v>45768</v>
      </c>
      <c r="O1059" s="81">
        <v>45768</v>
      </c>
      <c r="P1059" s="82" t="str">
        <f ca="1">IF(Proc[[#This Row],[DaysAgeing]]&gt;5,"yep","on track")</f>
        <v>yep</v>
      </c>
      <c r="Q1059" s="3">
        <f ca="1">IF(Proc[[#This Row],[DateClosed]]="",ABS(NETWORKDAYS(Proc[[#This Row],[DateOpened]],TODAY()))-1,ABS(NETWORKDAYS(Proc[[#This Row],[DateOpened]],Proc[[#This Row],[DateClosed]]))-1)</f>
        <v>7</v>
      </c>
      <c r="R1059" s="82" t="s">
        <v>2712</v>
      </c>
      <c r="S1059" s="71"/>
    </row>
    <row r="1060" spans="1:19" hidden="1">
      <c r="A1060" s="74" t="s">
        <v>2711</v>
      </c>
      <c r="B1060" s="71" t="str">
        <f>IFERROR(VLOOKUP(Proc[[#This Row],[App]],Table2[],3,0),"open")</f>
        <v>ok</v>
      </c>
      <c r="C1060" s="74" t="s">
        <v>369</v>
      </c>
      <c r="D1060" t="s">
        <v>2698</v>
      </c>
      <c r="E1060" t="s">
        <v>2697</v>
      </c>
      <c r="F1060" s="105" t="s">
        <v>2697</v>
      </c>
      <c r="G1060" s="74" t="s">
        <v>406</v>
      </c>
      <c r="H1060" s="71" t="str">
        <f>IF(Proc[[#This Row],[type]]="LFF (MDG-F)",MID(Proc[[#This Row],[Obj]],13,10),"")</f>
        <v>DE10N11115</v>
      </c>
      <c r="I1060" s="74" t="s">
        <v>2714</v>
      </c>
      <c r="J1060" s="71" t="b">
        <f>Proc[[#This Row],[Requested]]=Proc[[#This Row],[CurrentParent]]</f>
        <v>1</v>
      </c>
      <c r="K1060" s="71" t="str">
        <f>IF(Proc[[#This Row],[Author]]="Marcela Urrego",VLOOKUP(LEFT(Proc[[#This Row],[Requested]],1),Table3[#All],2,0),VLOOKUP(Proc[[#This Row],[Author]],Table4[],2,0))</f>
        <v>MGF</v>
      </c>
      <c r="L1060" s="71" t="s">
        <v>2563</v>
      </c>
      <c r="M1060" s="81">
        <v>45757.718622685185</v>
      </c>
      <c r="N1060" s="81">
        <v>45768</v>
      </c>
      <c r="O1060" s="81">
        <v>45768</v>
      </c>
      <c r="P1060" s="82" t="str">
        <f ca="1">IF(Proc[[#This Row],[DaysAgeing]]&gt;5,"yep","on track")</f>
        <v>yep</v>
      </c>
      <c r="Q1060" s="3">
        <f ca="1">IF(Proc[[#This Row],[DateClosed]]="",ABS(NETWORKDAYS(Proc[[#This Row],[DateOpened]],TODAY()))-1,ABS(NETWORKDAYS(Proc[[#This Row],[DateOpened]],Proc[[#This Row],[DateClosed]]))-1)</f>
        <v>7</v>
      </c>
      <c r="R1060" s="82" t="s">
        <v>2712</v>
      </c>
      <c r="S1060" s="71"/>
    </row>
    <row r="1061" spans="1:19" hidden="1">
      <c r="A1061" s="74" t="s">
        <v>2711</v>
      </c>
      <c r="B1061" s="71" t="str">
        <f>IFERROR(VLOOKUP(Proc[[#This Row],[App]],Table2[],3,0),"open")</f>
        <v>ok</v>
      </c>
      <c r="C1061" s="74" t="s">
        <v>369</v>
      </c>
      <c r="D1061" t="s">
        <v>2699</v>
      </c>
      <c r="E1061" t="s">
        <v>2697</v>
      </c>
      <c r="F1061" s="105" t="s">
        <v>2697</v>
      </c>
      <c r="G1061" s="74" t="s">
        <v>406</v>
      </c>
      <c r="H1061" s="71" t="str">
        <f>IF(Proc[[#This Row],[type]]="LFF (MDG-F)",MID(Proc[[#This Row],[Obj]],13,10),"")</f>
        <v>DE10N11181</v>
      </c>
      <c r="I1061" s="74" t="s">
        <v>2714</v>
      </c>
      <c r="J1061" s="71" t="b">
        <f>Proc[[#This Row],[Requested]]=Proc[[#This Row],[CurrentParent]]</f>
        <v>1</v>
      </c>
      <c r="K1061" s="71" t="str">
        <f>IF(Proc[[#This Row],[Author]]="Marcela Urrego",VLOOKUP(LEFT(Proc[[#This Row],[Requested]],1),Table3[#All],2,0),VLOOKUP(Proc[[#This Row],[Author]],Table4[],2,0))</f>
        <v>MGF</v>
      </c>
      <c r="L1061" s="71" t="s">
        <v>2563</v>
      </c>
      <c r="M1061" s="81">
        <v>45757.718622685185</v>
      </c>
      <c r="N1061" s="81">
        <v>45768</v>
      </c>
      <c r="O1061" s="81">
        <v>45768</v>
      </c>
      <c r="P1061" s="82" t="str">
        <f ca="1">IF(Proc[[#This Row],[DaysAgeing]]&gt;5,"yep","on track")</f>
        <v>yep</v>
      </c>
      <c r="Q1061" s="3">
        <f ca="1">IF(Proc[[#This Row],[DateClosed]]="",ABS(NETWORKDAYS(Proc[[#This Row],[DateOpened]],TODAY()))-1,ABS(NETWORKDAYS(Proc[[#This Row],[DateOpened]],Proc[[#This Row],[DateClosed]]))-1)</f>
        <v>7</v>
      </c>
      <c r="R1061" s="82" t="s">
        <v>2712</v>
      </c>
      <c r="S1061" s="71"/>
    </row>
    <row r="1062" spans="1:19" hidden="1">
      <c r="A1062" s="74" t="s">
        <v>2711</v>
      </c>
      <c r="B1062" s="71" t="str">
        <f>IFERROR(VLOOKUP(Proc[[#This Row],[App]],Table2[],3,0),"open")</f>
        <v>ok</v>
      </c>
      <c r="C1062" s="74" t="s">
        <v>369</v>
      </c>
      <c r="D1062" t="s">
        <v>2700</v>
      </c>
      <c r="E1062" t="s">
        <v>2697</v>
      </c>
      <c r="F1062" s="105" t="s">
        <v>2697</v>
      </c>
      <c r="G1062" s="74" t="s">
        <v>406</v>
      </c>
      <c r="H1062" s="71" t="str">
        <f>IF(Proc[[#This Row],[type]]="LFF (MDG-F)",MID(Proc[[#This Row],[Obj]],13,10),"")</f>
        <v>DE10N11160</v>
      </c>
      <c r="I1062" s="74" t="s">
        <v>2714</v>
      </c>
      <c r="J1062" s="71" t="b">
        <f>Proc[[#This Row],[Requested]]=Proc[[#This Row],[CurrentParent]]</f>
        <v>1</v>
      </c>
      <c r="K1062" s="71" t="str">
        <f>IF(Proc[[#This Row],[Author]]="Marcela Urrego",VLOOKUP(LEFT(Proc[[#This Row],[Requested]],1),Table3[#All],2,0),VLOOKUP(Proc[[#This Row],[Author]],Table4[],2,0))</f>
        <v>MGF</v>
      </c>
      <c r="L1062" s="71" t="s">
        <v>2563</v>
      </c>
      <c r="M1062" s="81">
        <v>45757.718622685185</v>
      </c>
      <c r="N1062" s="81">
        <v>45768</v>
      </c>
      <c r="O1062" s="81">
        <v>45768</v>
      </c>
      <c r="P1062" s="82" t="str">
        <f ca="1">IF(Proc[[#This Row],[DaysAgeing]]&gt;5,"yep","on track")</f>
        <v>yep</v>
      </c>
      <c r="Q1062" s="3">
        <f ca="1">IF(Proc[[#This Row],[DateClosed]]="",ABS(NETWORKDAYS(Proc[[#This Row],[DateOpened]],TODAY()))-1,ABS(NETWORKDAYS(Proc[[#This Row],[DateOpened]],Proc[[#This Row],[DateClosed]]))-1)</f>
        <v>7</v>
      </c>
      <c r="R1062" s="82" t="s">
        <v>2712</v>
      </c>
      <c r="S1062" s="71"/>
    </row>
    <row r="1063" spans="1:19" hidden="1">
      <c r="A1063" s="74" t="s">
        <v>2711</v>
      </c>
      <c r="B1063" s="71" t="str">
        <f>IFERROR(VLOOKUP(Proc[[#This Row],[App]],Table2[],3,0),"open")</f>
        <v>ok</v>
      </c>
      <c r="C1063" s="74" t="s">
        <v>369</v>
      </c>
      <c r="D1063" t="s">
        <v>2701</v>
      </c>
      <c r="E1063" t="s">
        <v>2697</v>
      </c>
      <c r="F1063" s="105" t="s">
        <v>2697</v>
      </c>
      <c r="G1063" s="74" t="s">
        <v>406</v>
      </c>
      <c r="H1063" s="71" t="str">
        <f>IF(Proc[[#This Row],[type]]="LFF (MDG-F)",MID(Proc[[#This Row],[Obj]],13,10),"")</f>
        <v>DE10N11180</v>
      </c>
      <c r="I1063" s="74" t="s">
        <v>2714</v>
      </c>
      <c r="J1063" s="71" t="b">
        <f>Proc[[#This Row],[Requested]]=Proc[[#This Row],[CurrentParent]]</f>
        <v>1</v>
      </c>
      <c r="K1063" s="71" t="str">
        <f>IF(Proc[[#This Row],[Author]]="Marcela Urrego",VLOOKUP(LEFT(Proc[[#This Row],[Requested]],1),Table3[#All],2,0),VLOOKUP(Proc[[#This Row],[Author]],Table4[],2,0))</f>
        <v>MGF</v>
      </c>
      <c r="L1063" s="71" t="s">
        <v>2563</v>
      </c>
      <c r="M1063" s="81">
        <v>45757.718622685185</v>
      </c>
      <c r="N1063" s="81">
        <v>45768</v>
      </c>
      <c r="O1063" s="81">
        <v>45768</v>
      </c>
      <c r="P1063" s="82" t="str">
        <f ca="1">IF(Proc[[#This Row],[DaysAgeing]]&gt;5,"yep","on track")</f>
        <v>yep</v>
      </c>
      <c r="Q1063" s="3">
        <f ca="1">IF(Proc[[#This Row],[DateClosed]]="",ABS(NETWORKDAYS(Proc[[#This Row],[DateOpened]],TODAY()))-1,ABS(NETWORKDAYS(Proc[[#This Row],[DateOpened]],Proc[[#This Row],[DateClosed]]))-1)</f>
        <v>7</v>
      </c>
      <c r="R1063" s="82" t="s">
        <v>2712</v>
      </c>
      <c r="S1063" s="71"/>
    </row>
    <row r="1064" spans="1:19" hidden="1">
      <c r="A1064" s="74" t="s">
        <v>2711</v>
      </c>
      <c r="B1064" s="71" t="str">
        <f>IFERROR(VLOOKUP(Proc[[#This Row],[App]],Table2[],3,0),"open")</f>
        <v>ok</v>
      </c>
      <c r="C1064" s="74" t="s">
        <v>369</v>
      </c>
      <c r="D1064" t="s">
        <v>2702</v>
      </c>
      <c r="E1064" t="s">
        <v>2697</v>
      </c>
      <c r="F1064" s="105" t="s">
        <v>2697</v>
      </c>
      <c r="G1064" s="74" t="s">
        <v>406</v>
      </c>
      <c r="H1064" s="71" t="str">
        <f>IF(Proc[[#This Row],[type]]="LFF (MDG-F)",MID(Proc[[#This Row],[Obj]],13,10),"")</f>
        <v>DE10N11131</v>
      </c>
      <c r="I1064" s="74" t="s">
        <v>2714</v>
      </c>
      <c r="J1064" s="71" t="b">
        <f>Proc[[#This Row],[Requested]]=Proc[[#This Row],[CurrentParent]]</f>
        <v>1</v>
      </c>
      <c r="K1064" s="71" t="str">
        <f>IF(Proc[[#This Row],[Author]]="Marcela Urrego",VLOOKUP(LEFT(Proc[[#This Row],[Requested]],1),Table3[#All],2,0),VLOOKUP(Proc[[#This Row],[Author]],Table4[],2,0))</f>
        <v>MGF</v>
      </c>
      <c r="L1064" s="71" t="s">
        <v>2563</v>
      </c>
      <c r="M1064" s="81">
        <v>45757.718622685185</v>
      </c>
      <c r="N1064" s="81">
        <v>45768</v>
      </c>
      <c r="O1064" s="81">
        <v>45768</v>
      </c>
      <c r="P1064" s="82" t="str">
        <f ca="1">IF(Proc[[#This Row],[DaysAgeing]]&gt;5,"yep","on track")</f>
        <v>yep</v>
      </c>
      <c r="Q1064" s="3">
        <f ca="1">IF(Proc[[#This Row],[DateClosed]]="",ABS(NETWORKDAYS(Proc[[#This Row],[DateOpened]],TODAY()))-1,ABS(NETWORKDAYS(Proc[[#This Row],[DateOpened]],Proc[[#This Row],[DateClosed]]))-1)</f>
        <v>7</v>
      </c>
      <c r="R1064" s="82" t="s">
        <v>2712</v>
      </c>
      <c r="S1064" s="71"/>
    </row>
    <row r="1065" spans="1:19" hidden="1">
      <c r="A1065" s="74" t="s">
        <v>2711</v>
      </c>
      <c r="B1065" s="71" t="str">
        <f>IFERROR(VLOOKUP(Proc[[#This Row],[App]],Table2[],3,0),"open")</f>
        <v>ok</v>
      </c>
      <c r="C1065" s="74" t="s">
        <v>369</v>
      </c>
      <c r="D1065" t="s">
        <v>2703</v>
      </c>
      <c r="E1065" t="s">
        <v>2697</v>
      </c>
      <c r="F1065" s="105" t="s">
        <v>2697</v>
      </c>
      <c r="G1065" s="74" t="s">
        <v>406</v>
      </c>
      <c r="H1065" s="71" t="str">
        <f>IF(Proc[[#This Row],[type]]="LFF (MDG-F)",MID(Proc[[#This Row],[Obj]],13,10),"")</f>
        <v>DE10N11116</v>
      </c>
      <c r="I1065" s="74" t="s">
        <v>2714</v>
      </c>
      <c r="J1065" s="71" t="b">
        <f>Proc[[#This Row],[Requested]]=Proc[[#This Row],[CurrentParent]]</f>
        <v>1</v>
      </c>
      <c r="K1065" s="71" t="str">
        <f>IF(Proc[[#This Row],[Author]]="Marcela Urrego",VLOOKUP(LEFT(Proc[[#This Row],[Requested]],1),Table3[#All],2,0),VLOOKUP(Proc[[#This Row],[Author]],Table4[],2,0))</f>
        <v>MGF</v>
      </c>
      <c r="L1065" s="71" t="s">
        <v>2563</v>
      </c>
      <c r="M1065" s="81">
        <v>45757.718622685185</v>
      </c>
      <c r="N1065" s="81">
        <v>45768</v>
      </c>
      <c r="O1065" s="81">
        <v>45768</v>
      </c>
      <c r="P1065" s="82" t="str">
        <f ca="1">IF(Proc[[#This Row],[DaysAgeing]]&gt;5,"yep","on track")</f>
        <v>yep</v>
      </c>
      <c r="Q1065" s="3">
        <f ca="1">IF(Proc[[#This Row],[DateClosed]]="",ABS(NETWORKDAYS(Proc[[#This Row],[DateOpened]],TODAY()))-1,ABS(NETWORKDAYS(Proc[[#This Row],[DateOpened]],Proc[[#This Row],[DateClosed]]))-1)</f>
        <v>7</v>
      </c>
      <c r="R1065" s="82" t="s">
        <v>2712</v>
      </c>
      <c r="S1065" s="71"/>
    </row>
    <row r="1066" spans="1:19" hidden="1">
      <c r="A1066" s="74" t="s">
        <v>2711</v>
      </c>
      <c r="B1066" s="71" t="str">
        <f>IFERROR(VLOOKUP(Proc[[#This Row],[App]],Table2[],3,0),"open")</f>
        <v>ok</v>
      </c>
      <c r="C1066" s="74" t="s">
        <v>369</v>
      </c>
      <c r="D1066" t="s">
        <v>2704</v>
      </c>
      <c r="E1066" t="s">
        <v>2697</v>
      </c>
      <c r="F1066" s="105" t="s">
        <v>2697</v>
      </c>
      <c r="G1066" s="74" t="s">
        <v>406</v>
      </c>
      <c r="H1066" s="71" t="str">
        <f>IF(Proc[[#This Row],[type]]="LFF (MDG-F)",MID(Proc[[#This Row],[Obj]],13,10),"")</f>
        <v>DE10N12312</v>
      </c>
      <c r="I1066" s="74" t="s">
        <v>2714</v>
      </c>
      <c r="J1066" s="71" t="b">
        <f>Proc[[#This Row],[Requested]]=Proc[[#This Row],[CurrentParent]]</f>
        <v>1</v>
      </c>
      <c r="K1066" s="71" t="str">
        <f>IF(Proc[[#This Row],[Author]]="Marcela Urrego",VLOOKUP(LEFT(Proc[[#This Row],[Requested]],1),Table3[#All],2,0),VLOOKUP(Proc[[#This Row],[Author]],Table4[],2,0))</f>
        <v>MGF</v>
      </c>
      <c r="L1066" s="71" t="s">
        <v>2563</v>
      </c>
      <c r="M1066" s="81">
        <v>45757.718622685185</v>
      </c>
      <c r="N1066" s="81">
        <v>45768</v>
      </c>
      <c r="O1066" s="81">
        <v>45768</v>
      </c>
      <c r="P1066" s="82" t="str">
        <f ca="1">IF(Proc[[#This Row],[DaysAgeing]]&gt;5,"yep","on track")</f>
        <v>yep</v>
      </c>
      <c r="Q1066" s="3">
        <f ca="1">IF(Proc[[#This Row],[DateClosed]]="",ABS(NETWORKDAYS(Proc[[#This Row],[DateOpened]],TODAY()))-1,ABS(NETWORKDAYS(Proc[[#This Row],[DateOpened]],Proc[[#This Row],[DateClosed]]))-1)</f>
        <v>7</v>
      </c>
      <c r="R1066" s="82" t="s">
        <v>2712</v>
      </c>
      <c r="S1066" s="71"/>
    </row>
    <row r="1067" spans="1:19" hidden="1">
      <c r="A1067" s="74" t="s">
        <v>2711</v>
      </c>
      <c r="B1067" s="71" t="str">
        <f>IFERROR(VLOOKUP(Proc[[#This Row],[App]],Table2[],3,0),"open")</f>
        <v>ok</v>
      </c>
      <c r="C1067" s="74" t="s">
        <v>369</v>
      </c>
      <c r="D1067" t="s">
        <v>2705</v>
      </c>
      <c r="E1067" t="s">
        <v>2697</v>
      </c>
      <c r="F1067" s="105" t="s">
        <v>2697</v>
      </c>
      <c r="G1067" s="74" t="s">
        <v>406</v>
      </c>
      <c r="H1067" s="71" t="str">
        <f>IF(Proc[[#This Row],[type]]="LFF (MDG-F)",MID(Proc[[#This Row],[Obj]],13,10),"")</f>
        <v>DE10N12313</v>
      </c>
      <c r="I1067" s="74" t="s">
        <v>2714</v>
      </c>
      <c r="J1067" s="71" t="b">
        <f>Proc[[#This Row],[Requested]]=Proc[[#This Row],[CurrentParent]]</f>
        <v>1</v>
      </c>
      <c r="K1067" s="71" t="str">
        <f>IF(Proc[[#This Row],[Author]]="Marcela Urrego",VLOOKUP(LEFT(Proc[[#This Row],[Requested]],1),Table3[#All],2,0),VLOOKUP(Proc[[#This Row],[Author]],Table4[],2,0))</f>
        <v>MGF</v>
      </c>
      <c r="L1067" s="71" t="s">
        <v>2563</v>
      </c>
      <c r="M1067" s="81">
        <v>45757.718622685185</v>
      </c>
      <c r="N1067" s="81">
        <v>45768</v>
      </c>
      <c r="O1067" s="81">
        <v>45768</v>
      </c>
      <c r="P1067" s="82" t="str">
        <f ca="1">IF(Proc[[#This Row],[DaysAgeing]]&gt;5,"yep","on track")</f>
        <v>yep</v>
      </c>
      <c r="Q1067" s="3">
        <f ca="1">IF(Proc[[#This Row],[DateClosed]]="",ABS(NETWORKDAYS(Proc[[#This Row],[DateOpened]],TODAY()))-1,ABS(NETWORKDAYS(Proc[[#This Row],[DateOpened]],Proc[[#This Row],[DateClosed]]))-1)</f>
        <v>7</v>
      </c>
      <c r="R1067" s="82" t="s">
        <v>2712</v>
      </c>
      <c r="S1067" s="71"/>
    </row>
    <row r="1068" spans="1:19" hidden="1">
      <c r="A1068" s="74" t="s">
        <v>2711</v>
      </c>
      <c r="B1068" s="71" t="str">
        <f>IFERROR(VLOOKUP(Proc[[#This Row],[App]],Table2[],3,0),"open")</f>
        <v>ok</v>
      </c>
      <c r="C1068" s="74" t="s">
        <v>369</v>
      </c>
      <c r="D1068" t="s">
        <v>2706</v>
      </c>
      <c r="E1068" t="s">
        <v>2707</v>
      </c>
      <c r="F1068" s="105" t="s">
        <v>2707</v>
      </c>
      <c r="G1068" s="74" t="s">
        <v>406</v>
      </c>
      <c r="H1068" s="71" t="str">
        <f>IF(Proc[[#This Row],[type]]="LFF (MDG-F)",MID(Proc[[#This Row],[Obj]],13,10),"")</f>
        <v>DE10N12321</v>
      </c>
      <c r="I1068" s="74" t="s">
        <v>2714</v>
      </c>
      <c r="J1068" s="71" t="b">
        <f>Proc[[#This Row],[Requested]]=Proc[[#This Row],[CurrentParent]]</f>
        <v>1</v>
      </c>
      <c r="K1068" s="71" t="str">
        <f>IF(Proc[[#This Row],[Author]]="Marcela Urrego",VLOOKUP(LEFT(Proc[[#This Row],[Requested]],1),Table3[#All],2,0),VLOOKUP(Proc[[#This Row],[Author]],Table4[],2,0))</f>
        <v>MGF</v>
      </c>
      <c r="L1068" s="71" t="s">
        <v>2563</v>
      </c>
      <c r="M1068" s="81">
        <v>45757.718622685185</v>
      </c>
      <c r="N1068" s="81">
        <v>45768</v>
      </c>
      <c r="O1068" s="81">
        <v>45768</v>
      </c>
      <c r="P1068" s="82" t="str">
        <f ca="1">IF(Proc[[#This Row],[DaysAgeing]]&gt;5,"yep","on track")</f>
        <v>yep</v>
      </c>
      <c r="Q1068" s="3">
        <f ca="1">IF(Proc[[#This Row],[DateClosed]]="",ABS(NETWORKDAYS(Proc[[#This Row],[DateOpened]],TODAY()))-1,ABS(NETWORKDAYS(Proc[[#This Row],[DateOpened]],Proc[[#This Row],[DateClosed]]))-1)</f>
        <v>7</v>
      </c>
      <c r="R1068" s="82" t="s">
        <v>2712</v>
      </c>
      <c r="S1068" s="71"/>
    </row>
    <row r="1069" spans="1:19" hidden="1">
      <c r="A1069" s="74" t="s">
        <v>2711</v>
      </c>
      <c r="B1069" s="71" t="str">
        <f>IFERROR(VLOOKUP(Proc[[#This Row],[App]],Table2[],3,0),"open")</f>
        <v>ok</v>
      </c>
      <c r="C1069" s="74" t="s">
        <v>369</v>
      </c>
      <c r="D1069" t="s">
        <v>2708</v>
      </c>
      <c r="E1069" t="s">
        <v>2707</v>
      </c>
      <c r="F1069" s="105" t="s">
        <v>2707</v>
      </c>
      <c r="G1069" s="74" t="s">
        <v>406</v>
      </c>
      <c r="H1069" s="71" t="str">
        <f>IF(Proc[[#This Row],[type]]="LFF (MDG-F)",MID(Proc[[#This Row],[Obj]],13,10),"")</f>
        <v>DE10N12323</v>
      </c>
      <c r="I1069" s="74" t="s">
        <v>2714</v>
      </c>
      <c r="J1069" s="71" t="b">
        <f>Proc[[#This Row],[Requested]]=Proc[[#This Row],[CurrentParent]]</f>
        <v>1</v>
      </c>
      <c r="K1069" s="71" t="str">
        <f>IF(Proc[[#This Row],[Author]]="Marcela Urrego",VLOOKUP(LEFT(Proc[[#This Row],[Requested]],1),Table3[#All],2,0),VLOOKUP(Proc[[#This Row],[Author]],Table4[],2,0))</f>
        <v>MGF</v>
      </c>
      <c r="L1069" s="71" t="s">
        <v>2563</v>
      </c>
      <c r="M1069" s="81">
        <v>45757.718622685185</v>
      </c>
      <c r="N1069" s="81">
        <v>45768</v>
      </c>
      <c r="O1069" s="81">
        <v>45768</v>
      </c>
      <c r="P1069" s="82" t="str">
        <f ca="1">IF(Proc[[#This Row],[DaysAgeing]]&gt;5,"yep","on track")</f>
        <v>yep</v>
      </c>
      <c r="Q1069" s="3">
        <f ca="1">IF(Proc[[#This Row],[DateClosed]]="",ABS(NETWORKDAYS(Proc[[#This Row],[DateOpened]],TODAY()))-1,ABS(NETWORKDAYS(Proc[[#This Row],[DateOpened]],Proc[[#This Row],[DateClosed]]))-1)</f>
        <v>7</v>
      </c>
      <c r="R1069" s="82" t="s">
        <v>2712</v>
      </c>
      <c r="S1069" s="71"/>
    </row>
    <row r="1070" spans="1:19" hidden="1">
      <c r="A1070" s="74" t="s">
        <v>2711</v>
      </c>
      <c r="B1070" s="71" t="str">
        <f>IFERROR(VLOOKUP(Proc[[#This Row],[App]],Table2[],3,0),"open")</f>
        <v>ok</v>
      </c>
      <c r="C1070" s="74" t="s">
        <v>369</v>
      </c>
      <c r="D1070" t="s">
        <v>2709</v>
      </c>
      <c r="E1070" t="s">
        <v>2707</v>
      </c>
      <c r="F1070" s="105" t="s">
        <v>2707</v>
      </c>
      <c r="G1070" s="74" t="s">
        <v>406</v>
      </c>
      <c r="H1070" s="71" t="str">
        <f>IF(Proc[[#This Row],[type]]="LFF (MDG-F)",MID(Proc[[#This Row],[Obj]],13,10),"")</f>
        <v>DE10N12395</v>
      </c>
      <c r="I1070" s="74" t="s">
        <v>2714</v>
      </c>
      <c r="J1070" s="71" t="b">
        <f>Proc[[#This Row],[Requested]]=Proc[[#This Row],[CurrentParent]]</f>
        <v>1</v>
      </c>
      <c r="K1070" s="71" t="str">
        <f>IF(Proc[[#This Row],[Author]]="Marcela Urrego",VLOOKUP(LEFT(Proc[[#This Row],[Requested]],1),Table3[#All],2,0),VLOOKUP(Proc[[#This Row],[Author]],Table4[],2,0))</f>
        <v>MGF</v>
      </c>
      <c r="L1070" s="71" t="s">
        <v>2563</v>
      </c>
      <c r="M1070" s="81">
        <v>45757.718622685185</v>
      </c>
      <c r="N1070" s="81">
        <v>45768</v>
      </c>
      <c r="O1070" s="81">
        <v>45768</v>
      </c>
      <c r="P1070" s="82" t="str">
        <f ca="1">IF(Proc[[#This Row],[DaysAgeing]]&gt;5,"yep","on track")</f>
        <v>yep</v>
      </c>
      <c r="Q1070" s="3">
        <f ca="1">IF(Proc[[#This Row],[DateClosed]]="",ABS(NETWORKDAYS(Proc[[#This Row],[DateOpened]],TODAY()))-1,ABS(NETWORKDAYS(Proc[[#This Row],[DateOpened]],Proc[[#This Row],[DateClosed]]))-1)</f>
        <v>7</v>
      </c>
      <c r="R1070" s="82" t="s">
        <v>2712</v>
      </c>
      <c r="S1070" s="71"/>
    </row>
    <row r="1071" spans="1:19" hidden="1">
      <c r="A1071" s="74" t="s">
        <v>2711</v>
      </c>
      <c r="B1071" s="71" t="str">
        <f>IFERROR(VLOOKUP(Proc[[#This Row],[App]],Table2[],3,0),"open")</f>
        <v>ok</v>
      </c>
      <c r="C1071" s="74" t="s">
        <v>369</v>
      </c>
      <c r="D1071" t="s">
        <v>2710</v>
      </c>
      <c r="E1071" t="s">
        <v>2707</v>
      </c>
      <c r="F1071" s="105" t="s">
        <v>2707</v>
      </c>
      <c r="G1071" s="74" t="s">
        <v>406</v>
      </c>
      <c r="H1071" s="71" t="str">
        <f>IF(Proc[[#This Row],[type]]="LFF (MDG-F)",MID(Proc[[#This Row],[Obj]],13,10),"")</f>
        <v>DE10N11195</v>
      </c>
      <c r="I1071" s="74" t="s">
        <v>2714</v>
      </c>
      <c r="J1071" s="71" t="b">
        <f>Proc[[#This Row],[Requested]]=Proc[[#This Row],[CurrentParent]]</f>
        <v>1</v>
      </c>
      <c r="K1071" s="71" t="str">
        <f>IF(Proc[[#This Row],[Author]]="Marcela Urrego",VLOOKUP(LEFT(Proc[[#This Row],[Requested]],1),Table3[#All],2,0),VLOOKUP(Proc[[#This Row],[Author]],Table4[],2,0))</f>
        <v>MGF</v>
      </c>
      <c r="L1071" s="71" t="s">
        <v>2563</v>
      </c>
      <c r="M1071" s="81">
        <v>45757.718622685185</v>
      </c>
      <c r="N1071" s="81">
        <v>45768</v>
      </c>
      <c r="O1071" s="81">
        <v>45768</v>
      </c>
      <c r="P1071" s="82" t="str">
        <f ca="1">IF(Proc[[#This Row],[DaysAgeing]]&gt;5,"yep","on track")</f>
        <v>yep</v>
      </c>
      <c r="Q1071" s="3">
        <f ca="1">IF(Proc[[#This Row],[DateClosed]]="",ABS(NETWORKDAYS(Proc[[#This Row],[DateOpened]],TODAY()))-1,ABS(NETWORKDAYS(Proc[[#This Row],[DateOpened]],Proc[[#This Row],[DateClosed]]))-1)</f>
        <v>7</v>
      </c>
      <c r="R1071" s="82" t="s">
        <v>2712</v>
      </c>
      <c r="S1071" s="71"/>
    </row>
    <row r="1072" spans="1:19" hidden="1">
      <c r="A1072" t="s">
        <v>2715</v>
      </c>
      <c r="B1072" s="71" t="str">
        <f>IFERROR(VLOOKUP(Proc[[#This Row],[App]],Table2[],3,0),"open")</f>
        <v>ok</v>
      </c>
      <c r="C1072" s="74" t="s">
        <v>369</v>
      </c>
      <c r="D1072" t="s">
        <v>2716</v>
      </c>
      <c r="E1072" t="s">
        <v>2691</v>
      </c>
      <c r="F1072" s="105" t="s">
        <v>2691</v>
      </c>
      <c r="G1072" t="s">
        <v>400</v>
      </c>
      <c r="H1072" s="71" t="str">
        <f>IF(Proc[[#This Row],[type]]="LFF (MDG-F)",MID(Proc[[#This Row],[Obj]],13,10),"")</f>
        <v/>
      </c>
      <c r="J1072" s="71" t="b">
        <f>Proc[[#This Row],[Requested]]=Proc[[#This Row],[CurrentParent]]</f>
        <v>1</v>
      </c>
      <c r="K1072" s="71" t="str">
        <f>IF(Proc[[#This Row],[Author]]="Marcela Urrego",VLOOKUP(LEFT(Proc[[#This Row],[Requested]],1),Table3[#All],2,0),VLOOKUP(Proc[[#This Row],[Author]],Table4[],2,0))</f>
        <v>LS</v>
      </c>
      <c r="L1072" s="71" t="s">
        <v>2563</v>
      </c>
      <c r="M1072" s="81">
        <v>45765.420370370368</v>
      </c>
      <c r="N1072" s="81">
        <v>45769</v>
      </c>
      <c r="O1072" s="81">
        <v>45769</v>
      </c>
      <c r="P1072" s="82" t="str">
        <f ca="1">IF(Proc[[#This Row],[DaysAgeing]]&gt;5,"yep","on track")</f>
        <v>on track</v>
      </c>
      <c r="Q1072" s="3">
        <f ca="1">IF(Proc[[#This Row],[DateClosed]]="",ABS(NETWORKDAYS(Proc[[#This Row],[DateOpened]],TODAY()))-1,ABS(NETWORKDAYS(Proc[[#This Row],[DateOpened]],Proc[[#This Row],[DateClosed]]))-1)</f>
        <v>2</v>
      </c>
      <c r="R1072" s="82" t="s">
        <v>489</v>
      </c>
      <c r="S1072" s="71"/>
    </row>
    <row r="1073" spans="1:19" hidden="1">
      <c r="A1073" s="74" t="s">
        <v>2715</v>
      </c>
      <c r="B1073" s="71" t="str">
        <f>IFERROR(VLOOKUP(Proc[[#This Row],[App]],Table2[],3,0),"open")</f>
        <v>ok</v>
      </c>
      <c r="C1073" s="74" t="s">
        <v>369</v>
      </c>
      <c r="D1073" t="s">
        <v>2717</v>
      </c>
      <c r="E1073" t="s">
        <v>2691</v>
      </c>
      <c r="F1073" s="105" t="s">
        <v>2691</v>
      </c>
      <c r="G1073" s="74" t="s">
        <v>400</v>
      </c>
      <c r="H1073" s="71" t="str">
        <f>IF(Proc[[#This Row],[type]]="LFF (MDG-F)",MID(Proc[[#This Row],[Obj]],13,10),"")</f>
        <v/>
      </c>
      <c r="J1073" s="71" t="b">
        <f>Proc[[#This Row],[Requested]]=Proc[[#This Row],[CurrentParent]]</f>
        <v>1</v>
      </c>
      <c r="K1073" s="71" t="str">
        <f>IF(Proc[[#This Row],[Author]]="Marcela Urrego",VLOOKUP(LEFT(Proc[[#This Row],[Requested]],1),Table3[#All],2,0),VLOOKUP(Proc[[#This Row],[Author]],Table4[],2,0))</f>
        <v>LS</v>
      </c>
      <c r="L1073" s="71" t="s">
        <v>2563</v>
      </c>
      <c r="M1073" s="81">
        <v>45765.420370370368</v>
      </c>
      <c r="N1073" s="81">
        <v>45769</v>
      </c>
      <c r="O1073" s="81">
        <v>45769</v>
      </c>
      <c r="P1073" s="82" t="str">
        <f ca="1">IF(Proc[[#This Row],[DaysAgeing]]&gt;5,"yep","on track")</f>
        <v>on track</v>
      </c>
      <c r="Q1073" s="3">
        <f ca="1">IF(Proc[[#This Row],[DateClosed]]="",ABS(NETWORKDAYS(Proc[[#This Row],[DateOpened]],TODAY()))-1,ABS(NETWORKDAYS(Proc[[#This Row],[DateOpened]],Proc[[#This Row],[DateClosed]]))-1)</f>
        <v>2</v>
      </c>
      <c r="R1073" s="82" t="s">
        <v>489</v>
      </c>
      <c r="S1073" s="71"/>
    </row>
    <row r="1074" spans="1:19" hidden="1">
      <c r="A1074" s="74" t="s">
        <v>2715</v>
      </c>
      <c r="B1074" s="71" t="str">
        <f>IFERROR(VLOOKUP(Proc[[#This Row],[App]],Table2[],3,0),"open")</f>
        <v>ok</v>
      </c>
      <c r="C1074" s="74" t="s">
        <v>369</v>
      </c>
      <c r="D1074" t="s">
        <v>2718</v>
      </c>
      <c r="E1074" t="s">
        <v>2768</v>
      </c>
      <c r="F1074" s="105" t="s">
        <v>2768</v>
      </c>
      <c r="G1074" s="74" t="s">
        <v>400</v>
      </c>
      <c r="H1074" s="71" t="str">
        <f>IF(Proc[[#This Row],[type]]="LFF (MDG-F)",MID(Proc[[#This Row],[Obj]],13,10),"")</f>
        <v/>
      </c>
      <c r="J1074" s="71" t="b">
        <f>Proc[[#This Row],[Requested]]=Proc[[#This Row],[CurrentParent]]</f>
        <v>1</v>
      </c>
      <c r="K1074" s="71" t="str">
        <f>IF(Proc[[#This Row],[Author]]="Marcela Urrego",VLOOKUP(LEFT(Proc[[#This Row],[Requested]],1),Table3[#All],2,0),VLOOKUP(Proc[[#This Row],[Author]],Table4[],2,0))</f>
        <v>LS</v>
      </c>
      <c r="L1074" s="71" t="s">
        <v>2563</v>
      </c>
      <c r="M1074" s="81">
        <v>45765.420370370368</v>
      </c>
      <c r="N1074" s="81">
        <v>45769</v>
      </c>
      <c r="O1074" s="81">
        <v>45769</v>
      </c>
      <c r="P1074" s="82" t="str">
        <f ca="1">IF(Proc[[#This Row],[DaysAgeing]]&gt;5,"yep","on track")</f>
        <v>on track</v>
      </c>
      <c r="Q1074" s="3">
        <f ca="1">IF(Proc[[#This Row],[DateClosed]]="",ABS(NETWORKDAYS(Proc[[#This Row],[DateOpened]],TODAY()))-1,ABS(NETWORKDAYS(Proc[[#This Row],[DateOpened]],Proc[[#This Row],[DateClosed]]))-1)</f>
        <v>2</v>
      </c>
      <c r="R1074" s="82" t="s">
        <v>489</v>
      </c>
      <c r="S1074" s="71"/>
    </row>
    <row r="1075" spans="1:19" hidden="1">
      <c r="A1075" s="74" t="s">
        <v>2715</v>
      </c>
      <c r="B1075" s="71" t="str">
        <f>IFERROR(VLOOKUP(Proc[[#This Row],[App]],Table2[],3,0),"open")</f>
        <v>ok</v>
      </c>
      <c r="C1075" s="74" t="s">
        <v>369</v>
      </c>
      <c r="D1075" t="s">
        <v>2719</v>
      </c>
      <c r="E1075" t="s">
        <v>2691</v>
      </c>
      <c r="F1075" s="105" t="s">
        <v>2691</v>
      </c>
      <c r="G1075" s="74" t="s">
        <v>400</v>
      </c>
      <c r="H1075" s="71" t="str">
        <f>IF(Proc[[#This Row],[type]]="LFF (MDG-F)",MID(Proc[[#This Row],[Obj]],13,10),"")</f>
        <v/>
      </c>
      <c r="J1075" s="71" t="b">
        <f>Proc[[#This Row],[Requested]]=Proc[[#This Row],[CurrentParent]]</f>
        <v>1</v>
      </c>
      <c r="K1075" s="71" t="str">
        <f>IF(Proc[[#This Row],[Author]]="Marcela Urrego",VLOOKUP(LEFT(Proc[[#This Row],[Requested]],1),Table3[#All],2,0),VLOOKUP(Proc[[#This Row],[Author]],Table4[],2,0))</f>
        <v>LS</v>
      </c>
      <c r="L1075" s="71" t="s">
        <v>2563</v>
      </c>
      <c r="M1075" s="81">
        <v>45765.420370370368</v>
      </c>
      <c r="N1075" s="81">
        <v>45769</v>
      </c>
      <c r="O1075" s="81">
        <v>45769</v>
      </c>
      <c r="P1075" s="82" t="str">
        <f ca="1">IF(Proc[[#This Row],[DaysAgeing]]&gt;5,"yep","on track")</f>
        <v>on track</v>
      </c>
      <c r="Q1075" s="3">
        <f ca="1">IF(Proc[[#This Row],[DateClosed]]="",ABS(NETWORKDAYS(Proc[[#This Row],[DateOpened]],TODAY()))-1,ABS(NETWORKDAYS(Proc[[#This Row],[DateOpened]],Proc[[#This Row],[DateClosed]]))-1)</f>
        <v>2</v>
      </c>
      <c r="R1075" s="82" t="s">
        <v>489</v>
      </c>
      <c r="S1075" s="71"/>
    </row>
    <row r="1076" spans="1:19" hidden="1">
      <c r="A1076" s="74" t="s">
        <v>2715</v>
      </c>
      <c r="B1076" s="71" t="str">
        <f>IFERROR(VLOOKUP(Proc[[#This Row],[App]],Table2[],3,0),"open")</f>
        <v>ok</v>
      </c>
      <c r="C1076" s="74" t="s">
        <v>369</v>
      </c>
      <c r="D1076" t="s">
        <v>2720</v>
      </c>
      <c r="E1076" t="s">
        <v>2691</v>
      </c>
      <c r="F1076" s="105" t="s">
        <v>2691</v>
      </c>
      <c r="G1076" s="74" t="s">
        <v>400</v>
      </c>
      <c r="H1076" s="71" t="str">
        <f>IF(Proc[[#This Row],[type]]="LFF (MDG-F)",MID(Proc[[#This Row],[Obj]],13,10),"")</f>
        <v/>
      </c>
      <c r="J1076" s="71" t="b">
        <f>Proc[[#This Row],[Requested]]=Proc[[#This Row],[CurrentParent]]</f>
        <v>1</v>
      </c>
      <c r="K1076" s="71" t="str">
        <f>IF(Proc[[#This Row],[Author]]="Marcela Urrego",VLOOKUP(LEFT(Proc[[#This Row],[Requested]],1),Table3[#All],2,0),VLOOKUP(Proc[[#This Row],[Author]],Table4[],2,0))</f>
        <v>LS</v>
      </c>
      <c r="L1076" s="71" t="s">
        <v>2563</v>
      </c>
      <c r="M1076" s="81">
        <v>45765.420370370368</v>
      </c>
      <c r="N1076" s="81">
        <v>45769</v>
      </c>
      <c r="O1076" s="81">
        <v>45769</v>
      </c>
      <c r="P1076" s="82" t="str">
        <f ca="1">IF(Proc[[#This Row],[DaysAgeing]]&gt;5,"yep","on track")</f>
        <v>on track</v>
      </c>
      <c r="Q1076" s="3">
        <f ca="1">IF(Proc[[#This Row],[DateClosed]]="",ABS(NETWORKDAYS(Proc[[#This Row],[DateOpened]],TODAY()))-1,ABS(NETWORKDAYS(Proc[[#This Row],[DateOpened]],Proc[[#This Row],[DateClosed]]))-1)</f>
        <v>2</v>
      </c>
      <c r="R1076" s="82" t="s">
        <v>489</v>
      </c>
      <c r="S1076" s="71"/>
    </row>
    <row r="1077" spans="1:19" hidden="1">
      <c r="A1077" s="74" t="s">
        <v>2715</v>
      </c>
      <c r="B1077" s="71" t="str">
        <f>IFERROR(VLOOKUP(Proc[[#This Row],[App]],Table2[],3,0),"open")</f>
        <v>ok</v>
      </c>
      <c r="C1077" s="74" t="s">
        <v>369</v>
      </c>
      <c r="D1077" t="s">
        <v>2721</v>
      </c>
      <c r="E1077" t="s">
        <v>2691</v>
      </c>
      <c r="F1077" s="105" t="s">
        <v>2691</v>
      </c>
      <c r="G1077" s="74" t="s">
        <v>400</v>
      </c>
      <c r="H1077" s="71" t="str">
        <f>IF(Proc[[#This Row],[type]]="LFF (MDG-F)",MID(Proc[[#This Row],[Obj]],13,10),"")</f>
        <v/>
      </c>
      <c r="J1077" s="71" t="b">
        <f>Proc[[#This Row],[Requested]]=Proc[[#This Row],[CurrentParent]]</f>
        <v>1</v>
      </c>
      <c r="K1077" s="71" t="str">
        <f>IF(Proc[[#This Row],[Author]]="Marcela Urrego",VLOOKUP(LEFT(Proc[[#This Row],[Requested]],1),Table3[#All],2,0),VLOOKUP(Proc[[#This Row],[Author]],Table4[],2,0))</f>
        <v>LS</v>
      </c>
      <c r="L1077" s="71" t="s">
        <v>2563</v>
      </c>
      <c r="M1077" s="81">
        <v>45765.420370370368</v>
      </c>
      <c r="N1077" s="81">
        <v>45769</v>
      </c>
      <c r="O1077" s="81">
        <v>45769</v>
      </c>
      <c r="P1077" s="82" t="str">
        <f ca="1">IF(Proc[[#This Row],[DaysAgeing]]&gt;5,"yep","on track")</f>
        <v>on track</v>
      </c>
      <c r="Q1077" s="3">
        <f ca="1">IF(Proc[[#This Row],[DateClosed]]="",ABS(NETWORKDAYS(Proc[[#This Row],[DateOpened]],TODAY()))-1,ABS(NETWORKDAYS(Proc[[#This Row],[DateOpened]],Proc[[#This Row],[DateClosed]]))-1)</f>
        <v>2</v>
      </c>
      <c r="R1077" s="82" t="s">
        <v>489</v>
      </c>
      <c r="S1077" s="71"/>
    </row>
    <row r="1078" spans="1:19" hidden="1">
      <c r="A1078" s="74" t="s">
        <v>2715</v>
      </c>
      <c r="B1078" s="71" t="str">
        <f>IFERROR(VLOOKUP(Proc[[#This Row],[App]],Table2[],3,0),"open")</f>
        <v>ok</v>
      </c>
      <c r="C1078" s="74" t="s">
        <v>369</v>
      </c>
      <c r="D1078" t="s">
        <v>2763</v>
      </c>
      <c r="E1078" t="s">
        <v>2769</v>
      </c>
      <c r="F1078" s="105" t="s">
        <v>2769</v>
      </c>
      <c r="G1078" s="74" t="s">
        <v>406</v>
      </c>
      <c r="H1078" s="71" t="str">
        <f>IF(Proc[[#This Row],[type]]="LFF (MDG-F)",MID(Proc[[#This Row],[Obj]],13,10),"")</f>
        <v>KE50C0FF11</v>
      </c>
      <c r="I1078" t="s">
        <v>2816</v>
      </c>
      <c r="J1078" s="71" t="b">
        <f>Proc[[#This Row],[Requested]]=Proc[[#This Row],[CurrentParent]]</f>
        <v>1</v>
      </c>
      <c r="K1078" s="71" t="str">
        <f>IF(Proc[[#This Row],[Author]]="Marcela Urrego",VLOOKUP(LEFT(Proc[[#This Row],[Requested]],1),Table3[#All],2,0),VLOOKUP(Proc[[#This Row],[Author]],Table4[],2,0))</f>
        <v>LS</v>
      </c>
      <c r="L1078" s="71" t="s">
        <v>2563</v>
      </c>
      <c r="M1078" s="81">
        <v>45765.420370370368</v>
      </c>
      <c r="N1078" s="81">
        <v>45769</v>
      </c>
      <c r="O1078" s="81">
        <v>45769</v>
      </c>
      <c r="P1078" s="82" t="str">
        <f ca="1">IF(Proc[[#This Row],[DaysAgeing]]&gt;5,"yep","on track")</f>
        <v>on track</v>
      </c>
      <c r="Q1078" s="3">
        <f ca="1">IF(Proc[[#This Row],[DateClosed]]="",ABS(NETWORKDAYS(Proc[[#This Row],[DateOpened]],TODAY()))-1,ABS(NETWORKDAYS(Proc[[#This Row],[DateOpened]],Proc[[#This Row],[DateClosed]]))-1)</f>
        <v>2</v>
      </c>
      <c r="R1078" s="82" t="s">
        <v>489</v>
      </c>
      <c r="S1078" s="71"/>
    </row>
    <row r="1079" spans="1:19" hidden="1">
      <c r="A1079" s="74" t="s">
        <v>2715</v>
      </c>
      <c r="B1079" s="71" t="str">
        <f>IFERROR(VLOOKUP(Proc[[#This Row],[App]],Table2[],3,0),"open")</f>
        <v>ok</v>
      </c>
      <c r="C1079" s="74" t="s">
        <v>369</v>
      </c>
      <c r="D1079" t="s">
        <v>2764</v>
      </c>
      <c r="E1079" t="s">
        <v>2769</v>
      </c>
      <c r="F1079" s="105" t="s">
        <v>2769</v>
      </c>
      <c r="G1079" s="74" t="s">
        <v>406</v>
      </c>
      <c r="H1079" s="71" t="str">
        <f>IF(Proc[[#This Row],[type]]="LFF (MDG-F)",MID(Proc[[#This Row],[Obj]],13,10),"")</f>
        <v>KE50C0IM11</v>
      </c>
      <c r="I1079" s="74" t="s">
        <v>2816</v>
      </c>
      <c r="J1079" s="71" t="b">
        <f>Proc[[#This Row],[Requested]]=Proc[[#This Row],[CurrentParent]]</f>
        <v>1</v>
      </c>
      <c r="K1079" s="71" t="str">
        <f>IF(Proc[[#This Row],[Author]]="Marcela Urrego",VLOOKUP(LEFT(Proc[[#This Row],[Requested]],1),Table3[#All],2,0),VLOOKUP(Proc[[#This Row],[Author]],Table4[],2,0))</f>
        <v>LS</v>
      </c>
      <c r="L1079" s="71" t="s">
        <v>2563</v>
      </c>
      <c r="M1079" s="81">
        <v>45765.420370370368</v>
      </c>
      <c r="N1079" s="81">
        <v>45769</v>
      </c>
      <c r="O1079" s="81">
        <v>45769</v>
      </c>
      <c r="P1079" s="82" t="str">
        <f ca="1">IF(Proc[[#This Row],[DaysAgeing]]&gt;5,"yep","on track")</f>
        <v>on track</v>
      </c>
      <c r="Q1079" s="3">
        <f ca="1">IF(Proc[[#This Row],[DateClosed]]="",ABS(NETWORKDAYS(Proc[[#This Row],[DateOpened]],TODAY()))-1,ABS(NETWORKDAYS(Proc[[#This Row],[DateOpened]],Proc[[#This Row],[DateClosed]]))-1)</f>
        <v>2</v>
      </c>
      <c r="R1079" s="82" t="s">
        <v>489</v>
      </c>
      <c r="S1079" s="71"/>
    </row>
    <row r="1080" spans="1:19" hidden="1">
      <c r="A1080" s="74" t="s">
        <v>2715</v>
      </c>
      <c r="B1080" s="71" t="str">
        <f>IFERROR(VLOOKUP(Proc[[#This Row],[App]],Table2[],3,0),"open")</f>
        <v>ok</v>
      </c>
      <c r="C1080" s="74" t="s">
        <v>369</v>
      </c>
      <c r="D1080" t="s">
        <v>2765</v>
      </c>
      <c r="E1080" t="s">
        <v>2691</v>
      </c>
      <c r="F1080" s="105" t="s">
        <v>2691</v>
      </c>
      <c r="G1080" s="74" t="s">
        <v>406</v>
      </c>
      <c r="H1080" s="71" t="str">
        <f>IF(Proc[[#This Row],[type]]="LFF (MDG-F)",MID(Proc[[#This Row],[Obj]],13,10),"")</f>
        <v>2029C00004</v>
      </c>
      <c r="I1080" s="74" t="s">
        <v>2816</v>
      </c>
      <c r="J1080" s="71" t="b">
        <f>Proc[[#This Row],[Requested]]=Proc[[#This Row],[CurrentParent]]</f>
        <v>1</v>
      </c>
      <c r="K1080" s="71" t="str">
        <f>IF(Proc[[#This Row],[Author]]="Marcela Urrego",VLOOKUP(LEFT(Proc[[#This Row],[Requested]],1),Table3[#All],2,0),VLOOKUP(Proc[[#This Row],[Author]],Table4[],2,0))</f>
        <v>LS</v>
      </c>
      <c r="L1080" s="71" t="s">
        <v>2563</v>
      </c>
      <c r="M1080" s="81">
        <v>45765.420370370368</v>
      </c>
      <c r="N1080" s="81">
        <v>45769</v>
      </c>
      <c r="O1080" s="81">
        <v>45769</v>
      </c>
      <c r="P1080" s="82" t="str">
        <f ca="1">IF(Proc[[#This Row],[DaysAgeing]]&gt;5,"yep","on track")</f>
        <v>on track</v>
      </c>
      <c r="Q1080" s="3">
        <f ca="1">IF(Proc[[#This Row],[DateClosed]]="",ABS(NETWORKDAYS(Proc[[#This Row],[DateOpened]],TODAY()))-1,ABS(NETWORKDAYS(Proc[[#This Row],[DateOpened]],Proc[[#This Row],[DateClosed]]))-1)</f>
        <v>2</v>
      </c>
      <c r="R1080" s="82" t="s">
        <v>489</v>
      </c>
      <c r="S1080" s="71"/>
    </row>
    <row r="1081" spans="1:19" hidden="1">
      <c r="A1081" s="74" t="s">
        <v>2715</v>
      </c>
      <c r="B1081" s="71" t="str">
        <f>IFERROR(VLOOKUP(Proc[[#This Row],[App]],Table2[],3,0),"open")</f>
        <v>ok</v>
      </c>
      <c r="C1081" s="74" t="s">
        <v>369</v>
      </c>
      <c r="D1081" t="s">
        <v>2766</v>
      </c>
      <c r="E1081" t="s">
        <v>2691</v>
      </c>
      <c r="F1081" s="105" t="s">
        <v>2691</v>
      </c>
      <c r="G1081" s="74" t="s">
        <v>406</v>
      </c>
      <c r="H1081" s="71" t="str">
        <f>IF(Proc[[#This Row],[type]]="LFF (MDG-F)",MID(Proc[[#This Row],[Obj]],13,10),"")</f>
        <v>2031C00005</v>
      </c>
      <c r="I1081" s="74" t="s">
        <v>2816</v>
      </c>
      <c r="J1081" s="71" t="b">
        <f>Proc[[#This Row],[Requested]]=Proc[[#This Row],[CurrentParent]]</f>
        <v>1</v>
      </c>
      <c r="K1081" s="71" t="str">
        <f>IF(Proc[[#This Row],[Author]]="Marcela Urrego",VLOOKUP(LEFT(Proc[[#This Row],[Requested]],1),Table3[#All],2,0),VLOOKUP(Proc[[#This Row],[Author]],Table4[],2,0))</f>
        <v>LS</v>
      </c>
      <c r="L1081" s="71" t="s">
        <v>2563</v>
      </c>
      <c r="M1081" s="81">
        <v>45765.420370370368</v>
      </c>
      <c r="N1081" s="81">
        <v>45769</v>
      </c>
      <c r="O1081" s="81">
        <v>45769</v>
      </c>
      <c r="P1081" s="82" t="str">
        <f ca="1">IF(Proc[[#This Row],[DaysAgeing]]&gt;5,"yep","on track")</f>
        <v>on track</v>
      </c>
      <c r="Q1081" s="3">
        <f ca="1">IF(Proc[[#This Row],[DateClosed]]="",ABS(NETWORKDAYS(Proc[[#This Row],[DateOpened]],TODAY()))-1,ABS(NETWORKDAYS(Proc[[#This Row],[DateOpened]],Proc[[#This Row],[DateClosed]]))-1)</f>
        <v>2</v>
      </c>
      <c r="R1081" s="82" t="s">
        <v>489</v>
      </c>
      <c r="S1081" s="71"/>
    </row>
    <row r="1082" spans="1:19" hidden="1">
      <c r="A1082" s="74" t="s">
        <v>2715</v>
      </c>
      <c r="B1082" s="71" t="str">
        <f>IFERROR(VLOOKUP(Proc[[#This Row],[App]],Table2[],3,0),"open")</f>
        <v>ok</v>
      </c>
      <c r="C1082" s="74" t="s">
        <v>369</v>
      </c>
      <c r="D1082" t="s">
        <v>2767</v>
      </c>
      <c r="E1082" t="s">
        <v>2691</v>
      </c>
      <c r="F1082" s="105" t="s">
        <v>2691</v>
      </c>
      <c r="G1082" s="74" t="s">
        <v>406</v>
      </c>
      <c r="H1082" s="71" t="str">
        <f>IF(Proc[[#This Row],[type]]="LFF (MDG-F)",MID(Proc[[#This Row],[Obj]],13,10),"")</f>
        <v>2034C00012</v>
      </c>
      <c r="I1082" s="74" t="s">
        <v>2816</v>
      </c>
      <c r="J1082" s="71" t="b">
        <f>Proc[[#This Row],[Requested]]=Proc[[#This Row],[CurrentParent]]</f>
        <v>1</v>
      </c>
      <c r="K1082" s="71" t="str">
        <f>IF(Proc[[#This Row],[Author]]="Marcela Urrego",VLOOKUP(LEFT(Proc[[#This Row],[Requested]],1),Table3[#All],2,0),VLOOKUP(Proc[[#This Row],[Author]],Table4[],2,0))</f>
        <v>LS</v>
      </c>
      <c r="L1082" s="71" t="s">
        <v>2563</v>
      </c>
      <c r="M1082" s="81">
        <v>45765.420370370368</v>
      </c>
      <c r="N1082" s="81">
        <v>45769</v>
      </c>
      <c r="O1082" s="81">
        <v>45769</v>
      </c>
      <c r="P1082" s="82" t="str">
        <f ca="1">IF(Proc[[#This Row],[DaysAgeing]]&gt;5,"yep","on track")</f>
        <v>on track</v>
      </c>
      <c r="Q1082" s="3">
        <f ca="1">IF(Proc[[#This Row],[DateClosed]]="",ABS(NETWORKDAYS(Proc[[#This Row],[DateOpened]],TODAY()))-1,ABS(NETWORKDAYS(Proc[[#This Row],[DateOpened]],Proc[[#This Row],[DateClosed]]))-1)</f>
        <v>2</v>
      </c>
      <c r="R1082" s="82" t="s">
        <v>489</v>
      </c>
      <c r="S1082" s="71"/>
    </row>
    <row r="1083" spans="1:19" hidden="1">
      <c r="A1083" s="74" t="s">
        <v>2715</v>
      </c>
      <c r="B1083" s="71" t="str">
        <f>IFERROR(VLOOKUP(Proc[[#This Row],[App]],Table2[],3,0),"open")</f>
        <v>ok</v>
      </c>
      <c r="C1083" s="74" t="s">
        <v>369</v>
      </c>
      <c r="D1083" t="s">
        <v>2722</v>
      </c>
      <c r="E1083" t="s">
        <v>2770</v>
      </c>
      <c r="F1083" s="105" t="s">
        <v>2770</v>
      </c>
      <c r="G1083" s="74" t="s">
        <v>400</v>
      </c>
      <c r="H1083" s="71" t="str">
        <f>IF(Proc[[#This Row],[type]]="LFF (MDG-F)",MID(Proc[[#This Row],[Obj]],13,10),"")</f>
        <v/>
      </c>
      <c r="J1083" s="71" t="b">
        <f>Proc[[#This Row],[Requested]]=Proc[[#This Row],[CurrentParent]]</f>
        <v>1</v>
      </c>
      <c r="K1083" s="71" t="str">
        <f>IF(Proc[[#This Row],[Author]]="Marcela Urrego",VLOOKUP(LEFT(Proc[[#This Row],[Requested]],1),Table3[#All],2,0),VLOOKUP(Proc[[#This Row],[Author]],Table4[],2,0))</f>
        <v>LS</v>
      </c>
      <c r="L1083" s="71" t="s">
        <v>2563</v>
      </c>
      <c r="M1083" s="81">
        <v>45765.420370370368</v>
      </c>
      <c r="N1083" s="81">
        <v>45769</v>
      </c>
      <c r="O1083" s="81">
        <v>45769</v>
      </c>
      <c r="P1083" s="82" t="str">
        <f ca="1">IF(Proc[[#This Row],[DaysAgeing]]&gt;5,"yep","on track")</f>
        <v>on track</v>
      </c>
      <c r="Q1083" s="3">
        <f ca="1">IF(Proc[[#This Row],[DateClosed]]="",ABS(NETWORKDAYS(Proc[[#This Row],[DateOpened]],TODAY()))-1,ABS(NETWORKDAYS(Proc[[#This Row],[DateOpened]],Proc[[#This Row],[DateClosed]]))-1)</f>
        <v>2</v>
      </c>
      <c r="R1083" s="82" t="s">
        <v>489</v>
      </c>
      <c r="S1083" s="71"/>
    </row>
    <row r="1084" spans="1:19" hidden="1">
      <c r="A1084" s="74" t="s">
        <v>2715</v>
      </c>
      <c r="B1084" s="71" t="str">
        <f>IFERROR(VLOOKUP(Proc[[#This Row],[App]],Table2[],3,0),"open")</f>
        <v>ok</v>
      </c>
      <c r="C1084" s="74" t="s">
        <v>369</v>
      </c>
      <c r="D1084" t="s">
        <v>2723</v>
      </c>
      <c r="E1084" t="s">
        <v>2770</v>
      </c>
      <c r="F1084" s="105" t="s">
        <v>2770</v>
      </c>
      <c r="G1084" s="74" t="s">
        <v>400</v>
      </c>
      <c r="H1084" s="71" t="str">
        <f>IF(Proc[[#This Row],[type]]="LFF (MDG-F)",MID(Proc[[#This Row],[Obj]],13,10),"")</f>
        <v/>
      </c>
      <c r="J1084" s="71" t="b">
        <f>Proc[[#This Row],[Requested]]=Proc[[#This Row],[CurrentParent]]</f>
        <v>1</v>
      </c>
      <c r="K1084" s="71" t="str">
        <f>IF(Proc[[#This Row],[Author]]="Marcela Urrego",VLOOKUP(LEFT(Proc[[#This Row],[Requested]],1),Table3[#All],2,0),VLOOKUP(Proc[[#This Row],[Author]],Table4[],2,0))</f>
        <v>LS</v>
      </c>
      <c r="L1084" s="71" t="s">
        <v>2563</v>
      </c>
      <c r="M1084" s="81">
        <v>45765.420370370368</v>
      </c>
      <c r="N1084" s="81">
        <v>45769</v>
      </c>
      <c r="O1084" s="81">
        <v>45769</v>
      </c>
      <c r="P1084" s="82" t="str">
        <f ca="1">IF(Proc[[#This Row],[DaysAgeing]]&gt;5,"yep","on track")</f>
        <v>on track</v>
      </c>
      <c r="Q1084" s="3">
        <f ca="1">IF(Proc[[#This Row],[DateClosed]]="",ABS(NETWORKDAYS(Proc[[#This Row],[DateOpened]],TODAY()))-1,ABS(NETWORKDAYS(Proc[[#This Row],[DateOpened]],Proc[[#This Row],[DateClosed]]))-1)</f>
        <v>2</v>
      </c>
      <c r="R1084" s="82" t="s">
        <v>489</v>
      </c>
      <c r="S1084" s="71"/>
    </row>
    <row r="1085" spans="1:19" hidden="1">
      <c r="A1085" s="74" t="s">
        <v>2715</v>
      </c>
      <c r="B1085" s="71" t="str">
        <f>IFERROR(VLOOKUP(Proc[[#This Row],[App]],Table2[],3,0),"open")</f>
        <v>ok</v>
      </c>
      <c r="C1085" s="74" t="s">
        <v>369</v>
      </c>
      <c r="D1085" t="s">
        <v>2724</v>
      </c>
      <c r="E1085" t="s">
        <v>2770</v>
      </c>
      <c r="F1085" s="105" t="s">
        <v>2770</v>
      </c>
      <c r="G1085" s="74" t="s">
        <v>400</v>
      </c>
      <c r="H1085" s="71" t="str">
        <f>IF(Proc[[#This Row],[type]]="LFF (MDG-F)",MID(Proc[[#This Row],[Obj]],13,10),"")</f>
        <v/>
      </c>
      <c r="J1085" s="71" t="b">
        <f>Proc[[#This Row],[Requested]]=Proc[[#This Row],[CurrentParent]]</f>
        <v>1</v>
      </c>
      <c r="K1085" s="71" t="str">
        <f>IF(Proc[[#This Row],[Author]]="Marcela Urrego",VLOOKUP(LEFT(Proc[[#This Row],[Requested]],1),Table3[#All],2,0),VLOOKUP(Proc[[#This Row],[Author]],Table4[],2,0))</f>
        <v>LS</v>
      </c>
      <c r="L1085" s="71" t="s">
        <v>2563</v>
      </c>
      <c r="M1085" s="81">
        <v>45765.420370370368</v>
      </c>
      <c r="N1085" s="81">
        <v>45769</v>
      </c>
      <c r="O1085" s="81">
        <v>45769</v>
      </c>
      <c r="P1085" s="82" t="str">
        <f ca="1">IF(Proc[[#This Row],[DaysAgeing]]&gt;5,"yep","on track")</f>
        <v>on track</v>
      </c>
      <c r="Q1085" s="3">
        <f ca="1">IF(Proc[[#This Row],[DateClosed]]="",ABS(NETWORKDAYS(Proc[[#This Row],[DateOpened]],TODAY()))-1,ABS(NETWORKDAYS(Proc[[#This Row],[DateOpened]],Proc[[#This Row],[DateClosed]]))-1)</f>
        <v>2</v>
      </c>
      <c r="R1085" s="82" t="s">
        <v>489</v>
      </c>
      <c r="S1085" s="71"/>
    </row>
    <row r="1086" spans="1:19" hidden="1">
      <c r="A1086" s="74" t="s">
        <v>2715</v>
      </c>
      <c r="B1086" s="71" t="str">
        <f>IFERROR(VLOOKUP(Proc[[#This Row],[App]],Table2[],3,0),"open")</f>
        <v>ok</v>
      </c>
      <c r="C1086" s="74" t="s">
        <v>369</v>
      </c>
      <c r="D1086" t="s">
        <v>2725</v>
      </c>
      <c r="E1086" t="s">
        <v>2770</v>
      </c>
      <c r="F1086" s="105" t="s">
        <v>2770</v>
      </c>
      <c r="G1086" s="74" t="s">
        <v>400</v>
      </c>
      <c r="H1086" s="71" t="str">
        <f>IF(Proc[[#This Row],[type]]="LFF (MDG-F)",MID(Proc[[#This Row],[Obj]],13,10),"")</f>
        <v/>
      </c>
      <c r="J1086" s="71" t="b">
        <f>Proc[[#This Row],[Requested]]=Proc[[#This Row],[CurrentParent]]</f>
        <v>1</v>
      </c>
      <c r="K1086" s="71" t="str">
        <f>IF(Proc[[#This Row],[Author]]="Marcela Urrego",VLOOKUP(LEFT(Proc[[#This Row],[Requested]],1),Table3[#All],2,0),VLOOKUP(Proc[[#This Row],[Author]],Table4[],2,0))</f>
        <v>LS</v>
      </c>
      <c r="L1086" s="71" t="s">
        <v>2563</v>
      </c>
      <c r="M1086" s="81">
        <v>45765.420370370368</v>
      </c>
      <c r="N1086" s="81">
        <v>45769</v>
      </c>
      <c r="O1086" s="81">
        <v>45769</v>
      </c>
      <c r="P1086" s="82" t="str">
        <f ca="1">IF(Proc[[#This Row],[DaysAgeing]]&gt;5,"yep","on track")</f>
        <v>on track</v>
      </c>
      <c r="Q1086" s="3">
        <f ca="1">IF(Proc[[#This Row],[DateClosed]]="",ABS(NETWORKDAYS(Proc[[#This Row],[DateOpened]],TODAY()))-1,ABS(NETWORKDAYS(Proc[[#This Row],[DateOpened]],Proc[[#This Row],[DateClosed]]))-1)</f>
        <v>2</v>
      </c>
      <c r="R1086" s="82" t="s">
        <v>489</v>
      </c>
      <c r="S1086" s="71"/>
    </row>
    <row r="1087" spans="1:19" hidden="1">
      <c r="A1087" s="74" t="s">
        <v>2715</v>
      </c>
      <c r="B1087" s="71" t="str">
        <f>IFERROR(VLOOKUP(Proc[[#This Row],[App]],Table2[],3,0),"open")</f>
        <v>ok</v>
      </c>
      <c r="C1087" s="74" t="s">
        <v>369</v>
      </c>
      <c r="D1087" t="s">
        <v>2726</v>
      </c>
      <c r="E1087" t="s">
        <v>2770</v>
      </c>
      <c r="F1087" s="105" t="s">
        <v>2770</v>
      </c>
      <c r="G1087" s="74" t="s">
        <v>400</v>
      </c>
      <c r="H1087" s="71" t="str">
        <f>IF(Proc[[#This Row],[type]]="LFF (MDG-F)",MID(Proc[[#This Row],[Obj]],13,10),"")</f>
        <v/>
      </c>
      <c r="J1087" s="71" t="b">
        <f>Proc[[#This Row],[Requested]]=Proc[[#This Row],[CurrentParent]]</f>
        <v>1</v>
      </c>
      <c r="K1087" s="71" t="str">
        <f>IF(Proc[[#This Row],[Author]]="Marcela Urrego",VLOOKUP(LEFT(Proc[[#This Row],[Requested]],1),Table3[#All],2,0),VLOOKUP(Proc[[#This Row],[Author]],Table4[],2,0))</f>
        <v>LS</v>
      </c>
      <c r="L1087" s="71" t="s">
        <v>2563</v>
      </c>
      <c r="M1087" s="81">
        <v>45765.420370370368</v>
      </c>
      <c r="N1087" s="81">
        <v>45769</v>
      </c>
      <c r="O1087" s="81">
        <v>45769</v>
      </c>
      <c r="P1087" s="82" t="str">
        <f ca="1">IF(Proc[[#This Row],[DaysAgeing]]&gt;5,"yep","on track")</f>
        <v>on track</v>
      </c>
      <c r="Q1087" s="3">
        <f ca="1">IF(Proc[[#This Row],[DateClosed]]="",ABS(NETWORKDAYS(Proc[[#This Row],[DateOpened]],TODAY()))-1,ABS(NETWORKDAYS(Proc[[#This Row],[DateOpened]],Proc[[#This Row],[DateClosed]]))-1)</f>
        <v>2</v>
      </c>
      <c r="R1087" s="82" t="s">
        <v>489</v>
      </c>
      <c r="S1087" s="71"/>
    </row>
    <row r="1088" spans="1:19" hidden="1">
      <c r="A1088" s="74" t="s">
        <v>2715</v>
      </c>
      <c r="B1088" s="71" t="str">
        <f>IFERROR(VLOOKUP(Proc[[#This Row],[App]],Table2[],3,0),"open")</f>
        <v>ok</v>
      </c>
      <c r="C1088" s="74" t="s">
        <v>369</v>
      </c>
      <c r="D1088" t="s">
        <v>2727</v>
      </c>
      <c r="E1088" t="s">
        <v>2770</v>
      </c>
      <c r="F1088" s="105" t="s">
        <v>2770</v>
      </c>
      <c r="G1088" s="74" t="s">
        <v>400</v>
      </c>
      <c r="H1088" s="71" t="str">
        <f>IF(Proc[[#This Row],[type]]="LFF (MDG-F)",MID(Proc[[#This Row],[Obj]],13,10),"")</f>
        <v/>
      </c>
      <c r="J1088" s="71" t="b">
        <f>Proc[[#This Row],[Requested]]=Proc[[#This Row],[CurrentParent]]</f>
        <v>1</v>
      </c>
      <c r="K1088" s="71" t="str">
        <f>IF(Proc[[#This Row],[Author]]="Marcela Urrego",VLOOKUP(LEFT(Proc[[#This Row],[Requested]],1),Table3[#All],2,0),VLOOKUP(Proc[[#This Row],[Author]],Table4[],2,0))</f>
        <v>LS</v>
      </c>
      <c r="L1088" s="71" t="s">
        <v>2563</v>
      </c>
      <c r="M1088" s="81">
        <v>45765.420370370368</v>
      </c>
      <c r="N1088" s="81">
        <v>45769</v>
      </c>
      <c r="O1088" s="81">
        <v>45769</v>
      </c>
      <c r="P1088" s="82" t="str">
        <f ca="1">IF(Proc[[#This Row],[DaysAgeing]]&gt;5,"yep","on track")</f>
        <v>on track</v>
      </c>
      <c r="Q1088" s="3">
        <f ca="1">IF(Proc[[#This Row],[DateClosed]]="",ABS(NETWORKDAYS(Proc[[#This Row],[DateOpened]],TODAY()))-1,ABS(NETWORKDAYS(Proc[[#This Row],[DateOpened]],Proc[[#This Row],[DateClosed]]))-1)</f>
        <v>2</v>
      </c>
      <c r="R1088" s="82" t="s">
        <v>489</v>
      </c>
      <c r="S1088" s="71"/>
    </row>
    <row r="1089" spans="1:19" hidden="1">
      <c r="A1089" s="74" t="s">
        <v>2715</v>
      </c>
      <c r="B1089" s="71" t="str">
        <f>IFERROR(VLOOKUP(Proc[[#This Row],[App]],Table2[],3,0),"open")</f>
        <v>ok</v>
      </c>
      <c r="C1089" s="74" t="s">
        <v>369</v>
      </c>
      <c r="D1089" t="s">
        <v>2728</v>
      </c>
      <c r="E1089" t="s">
        <v>2770</v>
      </c>
      <c r="F1089" s="105" t="s">
        <v>2770</v>
      </c>
      <c r="G1089" s="74" t="s">
        <v>400</v>
      </c>
      <c r="H1089" s="71" t="str">
        <f>IF(Proc[[#This Row],[type]]="LFF (MDG-F)",MID(Proc[[#This Row],[Obj]],13,10),"")</f>
        <v/>
      </c>
      <c r="J1089" s="71" t="b">
        <f>Proc[[#This Row],[Requested]]=Proc[[#This Row],[CurrentParent]]</f>
        <v>1</v>
      </c>
      <c r="K1089" s="71" t="str">
        <f>IF(Proc[[#This Row],[Author]]="Marcela Urrego",VLOOKUP(LEFT(Proc[[#This Row],[Requested]],1),Table3[#All],2,0),VLOOKUP(Proc[[#This Row],[Author]],Table4[],2,0))</f>
        <v>LS</v>
      </c>
      <c r="L1089" s="71" t="s">
        <v>2563</v>
      </c>
      <c r="M1089" s="81">
        <v>45765.420370370368</v>
      </c>
      <c r="N1089" s="81">
        <v>45769</v>
      </c>
      <c r="O1089" s="81">
        <v>45769</v>
      </c>
      <c r="P1089" s="82" t="str">
        <f ca="1">IF(Proc[[#This Row],[DaysAgeing]]&gt;5,"yep","on track")</f>
        <v>on track</v>
      </c>
      <c r="Q1089" s="3">
        <f ca="1">IF(Proc[[#This Row],[DateClosed]]="",ABS(NETWORKDAYS(Proc[[#This Row],[DateOpened]],TODAY()))-1,ABS(NETWORKDAYS(Proc[[#This Row],[DateOpened]],Proc[[#This Row],[DateClosed]]))-1)</f>
        <v>2</v>
      </c>
      <c r="R1089" s="82" t="s">
        <v>489</v>
      </c>
      <c r="S1089" s="71"/>
    </row>
    <row r="1090" spans="1:19" hidden="1">
      <c r="A1090" s="74" t="s">
        <v>2715</v>
      </c>
      <c r="B1090" s="71" t="str">
        <f>IFERROR(VLOOKUP(Proc[[#This Row],[App]],Table2[],3,0),"open")</f>
        <v>ok</v>
      </c>
      <c r="C1090" s="74" t="s">
        <v>369</v>
      </c>
      <c r="D1090" t="s">
        <v>2729</v>
      </c>
      <c r="E1090" t="s">
        <v>2770</v>
      </c>
      <c r="F1090" s="105" t="s">
        <v>2770</v>
      </c>
      <c r="G1090" s="74" t="s">
        <v>400</v>
      </c>
      <c r="H1090" s="71" t="str">
        <f>IF(Proc[[#This Row],[type]]="LFF (MDG-F)",MID(Proc[[#This Row],[Obj]],13,10),"")</f>
        <v/>
      </c>
      <c r="J1090" s="71" t="b">
        <f>Proc[[#This Row],[Requested]]=Proc[[#This Row],[CurrentParent]]</f>
        <v>1</v>
      </c>
      <c r="K1090" s="71" t="str">
        <f>IF(Proc[[#This Row],[Author]]="Marcela Urrego",VLOOKUP(LEFT(Proc[[#This Row],[Requested]],1),Table3[#All],2,0),VLOOKUP(Proc[[#This Row],[Author]],Table4[],2,0))</f>
        <v>LS</v>
      </c>
      <c r="L1090" s="71" t="s">
        <v>2563</v>
      </c>
      <c r="M1090" s="81">
        <v>45765.420370370368</v>
      </c>
      <c r="N1090" s="81">
        <v>45769</v>
      </c>
      <c r="O1090" s="81">
        <v>45769</v>
      </c>
      <c r="P1090" s="82" t="str">
        <f ca="1">IF(Proc[[#This Row],[DaysAgeing]]&gt;5,"yep","on track")</f>
        <v>on track</v>
      </c>
      <c r="Q1090" s="3">
        <f ca="1">IF(Proc[[#This Row],[DateClosed]]="",ABS(NETWORKDAYS(Proc[[#This Row],[DateOpened]],TODAY()))-1,ABS(NETWORKDAYS(Proc[[#This Row],[DateOpened]],Proc[[#This Row],[DateClosed]]))-1)</f>
        <v>2</v>
      </c>
      <c r="R1090" s="82" t="s">
        <v>489</v>
      </c>
      <c r="S1090" s="71"/>
    </row>
    <row r="1091" spans="1:19" hidden="1">
      <c r="A1091" s="74" t="s">
        <v>2715</v>
      </c>
      <c r="B1091" s="71" t="str">
        <f>IFERROR(VLOOKUP(Proc[[#This Row],[App]],Table2[],3,0),"open")</f>
        <v>ok</v>
      </c>
      <c r="C1091" s="74" t="s">
        <v>369</v>
      </c>
      <c r="D1091" t="s">
        <v>2730</v>
      </c>
      <c r="E1091" t="s">
        <v>2770</v>
      </c>
      <c r="F1091" s="105" t="s">
        <v>2770</v>
      </c>
      <c r="G1091" s="74" t="s">
        <v>400</v>
      </c>
      <c r="H1091" s="71" t="str">
        <f>IF(Proc[[#This Row],[type]]="LFF (MDG-F)",MID(Proc[[#This Row],[Obj]],13,10),"")</f>
        <v/>
      </c>
      <c r="J1091" s="71" t="b">
        <f>Proc[[#This Row],[Requested]]=Proc[[#This Row],[CurrentParent]]</f>
        <v>1</v>
      </c>
      <c r="K1091" s="71" t="str">
        <f>IF(Proc[[#This Row],[Author]]="Marcela Urrego",VLOOKUP(LEFT(Proc[[#This Row],[Requested]],1),Table3[#All],2,0),VLOOKUP(Proc[[#This Row],[Author]],Table4[],2,0))</f>
        <v>LS</v>
      </c>
      <c r="L1091" s="71" t="s">
        <v>2563</v>
      </c>
      <c r="M1091" s="81">
        <v>45765.420370370368</v>
      </c>
      <c r="N1091" s="81">
        <v>45769</v>
      </c>
      <c r="O1091" s="81">
        <v>45769</v>
      </c>
      <c r="P1091" s="82" t="str">
        <f ca="1">IF(Proc[[#This Row],[DaysAgeing]]&gt;5,"yep","on track")</f>
        <v>on track</v>
      </c>
      <c r="Q1091" s="3">
        <f ca="1">IF(Proc[[#This Row],[DateClosed]]="",ABS(NETWORKDAYS(Proc[[#This Row],[DateOpened]],TODAY()))-1,ABS(NETWORKDAYS(Proc[[#This Row],[DateOpened]],Proc[[#This Row],[DateClosed]]))-1)</f>
        <v>2</v>
      </c>
      <c r="R1091" s="82" t="s">
        <v>489</v>
      </c>
      <c r="S1091" s="71"/>
    </row>
    <row r="1092" spans="1:19" hidden="1">
      <c r="A1092" s="74" t="s">
        <v>2715</v>
      </c>
      <c r="B1092" s="71" t="str">
        <f>IFERROR(VLOOKUP(Proc[[#This Row],[App]],Table2[],3,0),"open")</f>
        <v>ok</v>
      </c>
      <c r="C1092" s="74" t="s">
        <v>369</v>
      </c>
      <c r="D1092" t="s">
        <v>2731</v>
      </c>
      <c r="E1092" t="s">
        <v>2770</v>
      </c>
      <c r="F1092" s="105" t="s">
        <v>2770</v>
      </c>
      <c r="G1092" s="74" t="s">
        <v>400</v>
      </c>
      <c r="H1092" s="71" t="str">
        <f>IF(Proc[[#This Row],[type]]="LFF (MDG-F)",MID(Proc[[#This Row],[Obj]],13,10),"")</f>
        <v/>
      </c>
      <c r="J1092" s="71" t="b">
        <f>Proc[[#This Row],[Requested]]=Proc[[#This Row],[CurrentParent]]</f>
        <v>1</v>
      </c>
      <c r="K1092" s="71" t="str">
        <f>IF(Proc[[#This Row],[Author]]="Marcela Urrego",VLOOKUP(LEFT(Proc[[#This Row],[Requested]],1),Table3[#All],2,0),VLOOKUP(Proc[[#This Row],[Author]],Table4[],2,0))</f>
        <v>LS</v>
      </c>
      <c r="L1092" s="71" t="s">
        <v>2563</v>
      </c>
      <c r="M1092" s="81">
        <v>45765.420370370368</v>
      </c>
      <c r="N1092" s="81">
        <v>45769</v>
      </c>
      <c r="O1092" s="81">
        <v>45769</v>
      </c>
      <c r="P1092" s="82" t="str">
        <f ca="1">IF(Proc[[#This Row],[DaysAgeing]]&gt;5,"yep","on track")</f>
        <v>on track</v>
      </c>
      <c r="Q1092" s="3">
        <f ca="1">IF(Proc[[#This Row],[DateClosed]]="",ABS(NETWORKDAYS(Proc[[#This Row],[DateOpened]],TODAY()))-1,ABS(NETWORKDAYS(Proc[[#This Row],[DateOpened]],Proc[[#This Row],[DateClosed]]))-1)</f>
        <v>2</v>
      </c>
      <c r="R1092" s="82" t="s">
        <v>489</v>
      </c>
      <c r="S1092" s="71"/>
    </row>
    <row r="1093" spans="1:19" hidden="1">
      <c r="A1093" s="74" t="s">
        <v>2715</v>
      </c>
      <c r="B1093" s="71" t="str">
        <f>IFERROR(VLOOKUP(Proc[[#This Row],[App]],Table2[],3,0),"open")</f>
        <v>ok</v>
      </c>
      <c r="C1093" s="74" t="s">
        <v>369</v>
      </c>
      <c r="D1093" t="s">
        <v>2732</v>
      </c>
      <c r="E1093" t="s">
        <v>2771</v>
      </c>
      <c r="F1093" s="105" t="s">
        <v>2771</v>
      </c>
      <c r="G1093" s="74" t="s">
        <v>400</v>
      </c>
      <c r="H1093" s="71" t="str">
        <f>IF(Proc[[#This Row],[type]]="LFF (MDG-F)",MID(Proc[[#This Row],[Obj]],13,10),"")</f>
        <v/>
      </c>
      <c r="J1093" s="71" t="b">
        <f>Proc[[#This Row],[Requested]]=Proc[[#This Row],[CurrentParent]]</f>
        <v>1</v>
      </c>
      <c r="K1093" s="71" t="str">
        <f>IF(Proc[[#This Row],[Author]]="Marcela Urrego",VLOOKUP(LEFT(Proc[[#This Row],[Requested]],1),Table3[#All],2,0),VLOOKUP(Proc[[#This Row],[Author]],Table4[],2,0))</f>
        <v>LS</v>
      </c>
      <c r="L1093" s="71" t="s">
        <v>2563</v>
      </c>
      <c r="M1093" s="81">
        <v>45765.420370370368</v>
      </c>
      <c r="N1093" s="81">
        <v>45769</v>
      </c>
      <c r="O1093" s="81">
        <v>45769</v>
      </c>
      <c r="P1093" s="82" t="str">
        <f ca="1">IF(Proc[[#This Row],[DaysAgeing]]&gt;5,"yep","on track")</f>
        <v>on track</v>
      </c>
      <c r="Q1093" s="3">
        <f ca="1">IF(Proc[[#This Row],[DateClosed]]="",ABS(NETWORKDAYS(Proc[[#This Row],[DateOpened]],TODAY()))-1,ABS(NETWORKDAYS(Proc[[#This Row],[DateOpened]],Proc[[#This Row],[DateClosed]]))-1)</f>
        <v>2</v>
      </c>
      <c r="R1093" s="82" t="s">
        <v>489</v>
      </c>
      <c r="S1093" s="71"/>
    </row>
    <row r="1094" spans="1:19" hidden="1">
      <c r="A1094" s="74" t="s">
        <v>2715</v>
      </c>
      <c r="B1094" s="71" t="str">
        <f>IFERROR(VLOOKUP(Proc[[#This Row],[App]],Table2[],3,0),"open")</f>
        <v>ok</v>
      </c>
      <c r="C1094" s="74" t="s">
        <v>369</v>
      </c>
      <c r="D1094" t="s">
        <v>2733</v>
      </c>
      <c r="E1094" t="s">
        <v>2772</v>
      </c>
      <c r="F1094" s="105" t="s">
        <v>2772</v>
      </c>
      <c r="G1094" s="74" t="s">
        <v>400</v>
      </c>
      <c r="H1094" s="71" t="str">
        <f>IF(Proc[[#This Row],[type]]="LFF (MDG-F)",MID(Proc[[#This Row],[Obj]],13,10),"")</f>
        <v/>
      </c>
      <c r="J1094" s="71" t="b">
        <f>Proc[[#This Row],[Requested]]=Proc[[#This Row],[CurrentParent]]</f>
        <v>1</v>
      </c>
      <c r="K1094" s="71" t="str">
        <f>IF(Proc[[#This Row],[Author]]="Marcela Urrego",VLOOKUP(LEFT(Proc[[#This Row],[Requested]],1),Table3[#All],2,0),VLOOKUP(Proc[[#This Row],[Author]],Table4[],2,0))</f>
        <v>LS</v>
      </c>
      <c r="L1094" s="71" t="s">
        <v>2563</v>
      </c>
      <c r="M1094" s="81">
        <v>45765.420370370368</v>
      </c>
      <c r="N1094" s="81">
        <v>45769</v>
      </c>
      <c r="O1094" s="81">
        <v>45769</v>
      </c>
      <c r="P1094" s="82" t="str">
        <f ca="1">IF(Proc[[#This Row],[DaysAgeing]]&gt;5,"yep","on track")</f>
        <v>on track</v>
      </c>
      <c r="Q1094" s="3">
        <f ca="1">IF(Proc[[#This Row],[DateClosed]]="",ABS(NETWORKDAYS(Proc[[#This Row],[DateOpened]],TODAY()))-1,ABS(NETWORKDAYS(Proc[[#This Row],[DateOpened]],Proc[[#This Row],[DateClosed]]))-1)</f>
        <v>2</v>
      </c>
      <c r="R1094" s="82" t="s">
        <v>489</v>
      </c>
      <c r="S1094" s="71"/>
    </row>
    <row r="1095" spans="1:19" hidden="1">
      <c r="A1095" s="74" t="s">
        <v>2715</v>
      </c>
      <c r="B1095" s="71" t="str">
        <f>IFERROR(VLOOKUP(Proc[[#This Row],[App]],Table2[],3,0),"open")</f>
        <v>ok</v>
      </c>
      <c r="C1095" s="74" t="s">
        <v>369</v>
      </c>
      <c r="D1095" t="s">
        <v>2734</v>
      </c>
      <c r="E1095" t="s">
        <v>2773</v>
      </c>
      <c r="F1095" s="105" t="s">
        <v>2773</v>
      </c>
      <c r="G1095" s="74" t="s">
        <v>400</v>
      </c>
      <c r="H1095" s="71" t="str">
        <f>IF(Proc[[#This Row],[type]]="LFF (MDG-F)",MID(Proc[[#This Row],[Obj]],13,10),"")</f>
        <v/>
      </c>
      <c r="J1095" s="71" t="b">
        <f>Proc[[#This Row],[Requested]]=Proc[[#This Row],[CurrentParent]]</f>
        <v>1</v>
      </c>
      <c r="K1095" s="71" t="str">
        <f>IF(Proc[[#This Row],[Author]]="Marcela Urrego",VLOOKUP(LEFT(Proc[[#This Row],[Requested]],1),Table3[#All],2,0),VLOOKUP(Proc[[#This Row],[Author]],Table4[],2,0))</f>
        <v>LS</v>
      </c>
      <c r="L1095" s="71" t="s">
        <v>2563</v>
      </c>
      <c r="M1095" s="81">
        <v>45765.420370370368</v>
      </c>
      <c r="N1095" s="81">
        <v>45769</v>
      </c>
      <c r="O1095" s="81">
        <v>45769</v>
      </c>
      <c r="P1095" s="82" t="str">
        <f ca="1">IF(Proc[[#This Row],[DaysAgeing]]&gt;5,"yep","on track")</f>
        <v>on track</v>
      </c>
      <c r="Q1095" s="3">
        <f ca="1">IF(Proc[[#This Row],[DateClosed]]="",ABS(NETWORKDAYS(Proc[[#This Row],[DateOpened]],TODAY()))-1,ABS(NETWORKDAYS(Proc[[#This Row],[DateOpened]],Proc[[#This Row],[DateClosed]]))-1)</f>
        <v>2</v>
      </c>
      <c r="R1095" s="82" t="s">
        <v>489</v>
      </c>
      <c r="S1095" s="71"/>
    </row>
    <row r="1096" spans="1:19" hidden="1">
      <c r="A1096" s="74" t="s">
        <v>2715</v>
      </c>
      <c r="B1096" s="71" t="str">
        <f>IFERROR(VLOOKUP(Proc[[#This Row],[App]],Table2[],3,0),"open")</f>
        <v>ok</v>
      </c>
      <c r="C1096" s="74" t="s">
        <v>369</v>
      </c>
      <c r="D1096" t="s">
        <v>2735</v>
      </c>
      <c r="E1096" t="s">
        <v>2770</v>
      </c>
      <c r="F1096" s="105" t="s">
        <v>2770</v>
      </c>
      <c r="G1096" s="74" t="s">
        <v>400</v>
      </c>
      <c r="H1096" s="71" t="str">
        <f>IF(Proc[[#This Row],[type]]="LFF (MDG-F)",MID(Proc[[#This Row],[Obj]],13,10),"")</f>
        <v/>
      </c>
      <c r="J1096" s="71" t="b">
        <f>Proc[[#This Row],[Requested]]=Proc[[#This Row],[CurrentParent]]</f>
        <v>1</v>
      </c>
      <c r="K1096" s="71" t="str">
        <f>IF(Proc[[#This Row],[Author]]="Marcela Urrego",VLOOKUP(LEFT(Proc[[#This Row],[Requested]],1),Table3[#All],2,0),VLOOKUP(Proc[[#This Row],[Author]],Table4[],2,0))</f>
        <v>LS</v>
      </c>
      <c r="L1096" s="71" t="s">
        <v>2563</v>
      </c>
      <c r="M1096" s="81">
        <v>45765.420370370368</v>
      </c>
      <c r="N1096" s="81">
        <v>45769</v>
      </c>
      <c r="O1096" s="81">
        <v>45769</v>
      </c>
      <c r="P1096" s="82" t="str">
        <f ca="1">IF(Proc[[#This Row],[DaysAgeing]]&gt;5,"yep","on track")</f>
        <v>on track</v>
      </c>
      <c r="Q1096" s="3">
        <f ca="1">IF(Proc[[#This Row],[DateClosed]]="",ABS(NETWORKDAYS(Proc[[#This Row],[DateOpened]],TODAY()))-1,ABS(NETWORKDAYS(Proc[[#This Row],[DateOpened]],Proc[[#This Row],[DateClosed]]))-1)</f>
        <v>2</v>
      </c>
      <c r="R1096" s="82" t="s">
        <v>489</v>
      </c>
      <c r="S1096" s="71"/>
    </row>
    <row r="1097" spans="1:19" hidden="1">
      <c r="A1097" s="74" t="s">
        <v>2715</v>
      </c>
      <c r="B1097" s="71" t="str">
        <f>IFERROR(VLOOKUP(Proc[[#This Row],[App]],Table2[],3,0),"open")</f>
        <v>ok</v>
      </c>
      <c r="C1097" s="74" t="s">
        <v>369</v>
      </c>
      <c r="D1097" t="s">
        <v>2736</v>
      </c>
      <c r="E1097" t="s">
        <v>2691</v>
      </c>
      <c r="F1097" s="105" t="s">
        <v>2691</v>
      </c>
      <c r="G1097" s="74" t="s">
        <v>400</v>
      </c>
      <c r="H1097" s="71" t="str">
        <f>IF(Proc[[#This Row],[type]]="LFF (MDG-F)",MID(Proc[[#This Row],[Obj]],13,10),"")</f>
        <v/>
      </c>
      <c r="J1097" s="71" t="b">
        <f>Proc[[#This Row],[Requested]]=Proc[[#This Row],[CurrentParent]]</f>
        <v>1</v>
      </c>
      <c r="K1097" s="71" t="str">
        <f>IF(Proc[[#This Row],[Author]]="Marcela Urrego",VLOOKUP(LEFT(Proc[[#This Row],[Requested]],1),Table3[#All],2,0),VLOOKUP(Proc[[#This Row],[Author]],Table4[],2,0))</f>
        <v>LS</v>
      </c>
      <c r="L1097" s="71" t="s">
        <v>2563</v>
      </c>
      <c r="M1097" s="81">
        <v>45765.420370370368</v>
      </c>
      <c r="N1097" s="81">
        <v>45769</v>
      </c>
      <c r="O1097" s="81">
        <v>45769</v>
      </c>
      <c r="P1097" s="82" t="str">
        <f ca="1">IF(Proc[[#This Row],[DaysAgeing]]&gt;5,"yep","on track")</f>
        <v>on track</v>
      </c>
      <c r="Q1097" s="3">
        <f ca="1">IF(Proc[[#This Row],[DateClosed]]="",ABS(NETWORKDAYS(Proc[[#This Row],[DateOpened]],TODAY()))-1,ABS(NETWORKDAYS(Proc[[#This Row],[DateOpened]],Proc[[#This Row],[DateClosed]]))-1)</f>
        <v>2</v>
      </c>
      <c r="R1097" s="82" t="s">
        <v>489</v>
      </c>
      <c r="S1097" s="71"/>
    </row>
    <row r="1098" spans="1:19" hidden="1">
      <c r="A1098" s="74" t="s">
        <v>2715</v>
      </c>
      <c r="B1098" s="71" t="str">
        <f>IFERROR(VLOOKUP(Proc[[#This Row],[App]],Table2[],3,0),"open")</f>
        <v>ok</v>
      </c>
      <c r="C1098" s="74" t="s">
        <v>369</v>
      </c>
      <c r="D1098" t="s">
        <v>2737</v>
      </c>
      <c r="E1098" t="s">
        <v>2691</v>
      </c>
      <c r="F1098" s="105" t="s">
        <v>2691</v>
      </c>
      <c r="G1098" s="74" t="s">
        <v>400</v>
      </c>
      <c r="H1098" s="71" t="str">
        <f>IF(Proc[[#This Row],[type]]="LFF (MDG-F)",MID(Proc[[#This Row],[Obj]],13,10),"")</f>
        <v/>
      </c>
      <c r="J1098" s="71" t="b">
        <f>Proc[[#This Row],[Requested]]=Proc[[#This Row],[CurrentParent]]</f>
        <v>1</v>
      </c>
      <c r="K1098" s="71" t="str">
        <f>IF(Proc[[#This Row],[Author]]="Marcela Urrego",VLOOKUP(LEFT(Proc[[#This Row],[Requested]],1),Table3[#All],2,0),VLOOKUP(Proc[[#This Row],[Author]],Table4[],2,0))</f>
        <v>LS</v>
      </c>
      <c r="L1098" s="71" t="s">
        <v>2563</v>
      </c>
      <c r="M1098" s="81">
        <v>45765.420370370368</v>
      </c>
      <c r="N1098" s="81">
        <v>45769</v>
      </c>
      <c r="O1098" s="81">
        <v>45769</v>
      </c>
      <c r="P1098" s="82" t="str">
        <f ca="1">IF(Proc[[#This Row],[DaysAgeing]]&gt;5,"yep","on track")</f>
        <v>on track</v>
      </c>
      <c r="Q1098" s="3">
        <f ca="1">IF(Proc[[#This Row],[DateClosed]]="",ABS(NETWORKDAYS(Proc[[#This Row],[DateOpened]],TODAY()))-1,ABS(NETWORKDAYS(Proc[[#This Row],[DateOpened]],Proc[[#This Row],[DateClosed]]))-1)</f>
        <v>2</v>
      </c>
      <c r="R1098" s="82" t="s">
        <v>489</v>
      </c>
      <c r="S1098" s="71"/>
    </row>
    <row r="1099" spans="1:19" hidden="1">
      <c r="A1099" s="74" t="s">
        <v>2715</v>
      </c>
      <c r="B1099" s="71" t="str">
        <f>IFERROR(VLOOKUP(Proc[[#This Row],[App]],Table2[],3,0),"open")</f>
        <v>ok</v>
      </c>
      <c r="C1099" s="74" t="s">
        <v>369</v>
      </c>
      <c r="D1099" t="s">
        <v>2738</v>
      </c>
      <c r="E1099" t="s">
        <v>2691</v>
      </c>
      <c r="F1099" s="105" t="s">
        <v>2691</v>
      </c>
      <c r="G1099" s="74" t="s">
        <v>400</v>
      </c>
      <c r="H1099" s="71" t="str">
        <f>IF(Proc[[#This Row],[type]]="LFF (MDG-F)",MID(Proc[[#This Row],[Obj]],13,10),"")</f>
        <v/>
      </c>
      <c r="J1099" s="71" t="b">
        <f>Proc[[#This Row],[Requested]]=Proc[[#This Row],[CurrentParent]]</f>
        <v>1</v>
      </c>
      <c r="K1099" s="71" t="str">
        <f>IF(Proc[[#This Row],[Author]]="Marcela Urrego",VLOOKUP(LEFT(Proc[[#This Row],[Requested]],1),Table3[#All],2,0),VLOOKUP(Proc[[#This Row],[Author]],Table4[],2,0))</f>
        <v>LS</v>
      </c>
      <c r="L1099" s="71" t="s">
        <v>2563</v>
      </c>
      <c r="M1099" s="81">
        <v>45765.420370370368</v>
      </c>
      <c r="N1099" s="81">
        <v>45769</v>
      </c>
      <c r="O1099" s="81">
        <v>45769</v>
      </c>
      <c r="P1099" s="82" t="str">
        <f ca="1">IF(Proc[[#This Row],[DaysAgeing]]&gt;5,"yep","on track")</f>
        <v>on track</v>
      </c>
      <c r="Q1099" s="3">
        <f ca="1">IF(Proc[[#This Row],[DateClosed]]="",ABS(NETWORKDAYS(Proc[[#This Row],[DateOpened]],TODAY()))-1,ABS(NETWORKDAYS(Proc[[#This Row],[DateOpened]],Proc[[#This Row],[DateClosed]]))-1)</f>
        <v>2</v>
      </c>
      <c r="R1099" s="82" t="s">
        <v>489</v>
      </c>
      <c r="S1099" s="71"/>
    </row>
    <row r="1100" spans="1:19" hidden="1">
      <c r="A1100" s="74" t="s">
        <v>2715</v>
      </c>
      <c r="B1100" s="71" t="str">
        <f>IFERROR(VLOOKUP(Proc[[#This Row],[App]],Table2[],3,0),"open")</f>
        <v>ok</v>
      </c>
      <c r="C1100" s="74" t="s">
        <v>369</v>
      </c>
      <c r="D1100" t="s">
        <v>2739</v>
      </c>
      <c r="E1100" t="s">
        <v>2774</v>
      </c>
      <c r="F1100" s="105" t="s">
        <v>2774</v>
      </c>
      <c r="G1100" s="74" t="s">
        <v>400</v>
      </c>
      <c r="H1100" s="71" t="str">
        <f>IF(Proc[[#This Row],[type]]="LFF (MDG-F)",MID(Proc[[#This Row],[Obj]],13,10),"")</f>
        <v/>
      </c>
      <c r="J1100" s="71" t="b">
        <f>Proc[[#This Row],[Requested]]=Proc[[#This Row],[CurrentParent]]</f>
        <v>1</v>
      </c>
      <c r="K1100" s="71" t="str">
        <f>IF(Proc[[#This Row],[Author]]="Marcela Urrego",VLOOKUP(LEFT(Proc[[#This Row],[Requested]],1),Table3[#All],2,0),VLOOKUP(Proc[[#This Row],[Author]],Table4[],2,0))</f>
        <v>LS</v>
      </c>
      <c r="L1100" s="71" t="s">
        <v>2563</v>
      </c>
      <c r="M1100" s="81">
        <v>45765.420370370368</v>
      </c>
      <c r="N1100" s="81">
        <v>45769</v>
      </c>
      <c r="O1100" s="81">
        <v>45769</v>
      </c>
      <c r="P1100" s="82" t="str">
        <f ca="1">IF(Proc[[#This Row],[DaysAgeing]]&gt;5,"yep","on track")</f>
        <v>on track</v>
      </c>
      <c r="Q1100" s="3">
        <f ca="1">IF(Proc[[#This Row],[DateClosed]]="",ABS(NETWORKDAYS(Proc[[#This Row],[DateOpened]],TODAY()))-1,ABS(NETWORKDAYS(Proc[[#This Row],[DateOpened]],Proc[[#This Row],[DateClosed]]))-1)</f>
        <v>2</v>
      </c>
      <c r="R1100" s="82" t="s">
        <v>489</v>
      </c>
      <c r="S1100" s="71"/>
    </row>
    <row r="1101" spans="1:19" hidden="1">
      <c r="A1101" s="74" t="s">
        <v>2715</v>
      </c>
      <c r="B1101" s="71" t="str">
        <f>IFERROR(VLOOKUP(Proc[[#This Row],[App]],Table2[],3,0),"open")</f>
        <v>ok</v>
      </c>
      <c r="C1101" s="74" t="s">
        <v>369</v>
      </c>
      <c r="D1101" t="s">
        <v>2740</v>
      </c>
      <c r="E1101" t="s">
        <v>2774</v>
      </c>
      <c r="F1101" s="105" t="s">
        <v>2774</v>
      </c>
      <c r="G1101" s="74" t="s">
        <v>400</v>
      </c>
      <c r="H1101" s="71" t="str">
        <f>IF(Proc[[#This Row],[type]]="LFF (MDG-F)",MID(Proc[[#This Row],[Obj]],13,10),"")</f>
        <v/>
      </c>
      <c r="J1101" s="71" t="b">
        <f>Proc[[#This Row],[Requested]]=Proc[[#This Row],[CurrentParent]]</f>
        <v>1</v>
      </c>
      <c r="K1101" s="71" t="str">
        <f>IF(Proc[[#This Row],[Author]]="Marcela Urrego",VLOOKUP(LEFT(Proc[[#This Row],[Requested]],1),Table3[#All],2,0),VLOOKUP(Proc[[#This Row],[Author]],Table4[],2,0))</f>
        <v>LS</v>
      </c>
      <c r="L1101" s="71" t="s">
        <v>2563</v>
      </c>
      <c r="M1101" s="81">
        <v>45765.420370370368</v>
      </c>
      <c r="N1101" s="81">
        <v>45769</v>
      </c>
      <c r="O1101" s="81">
        <v>45769</v>
      </c>
      <c r="P1101" s="82" t="str">
        <f ca="1">IF(Proc[[#This Row],[DaysAgeing]]&gt;5,"yep","on track")</f>
        <v>on track</v>
      </c>
      <c r="Q1101" s="3">
        <f ca="1">IF(Proc[[#This Row],[DateClosed]]="",ABS(NETWORKDAYS(Proc[[#This Row],[DateOpened]],TODAY()))-1,ABS(NETWORKDAYS(Proc[[#This Row],[DateOpened]],Proc[[#This Row],[DateClosed]]))-1)</f>
        <v>2</v>
      </c>
      <c r="R1101" s="82" t="s">
        <v>489</v>
      </c>
      <c r="S1101" s="71"/>
    </row>
    <row r="1102" spans="1:19" hidden="1">
      <c r="A1102" s="74" t="s">
        <v>2715</v>
      </c>
      <c r="B1102" s="71" t="str">
        <f>IFERROR(VLOOKUP(Proc[[#This Row],[App]],Table2[],3,0),"open")</f>
        <v>ok</v>
      </c>
      <c r="C1102" s="74" t="s">
        <v>369</v>
      </c>
      <c r="D1102" t="s">
        <v>2741</v>
      </c>
      <c r="E1102" t="s">
        <v>2691</v>
      </c>
      <c r="F1102" s="105" t="s">
        <v>2691</v>
      </c>
      <c r="G1102" s="74" t="s">
        <v>400</v>
      </c>
      <c r="H1102" s="71" t="str">
        <f>IF(Proc[[#This Row],[type]]="LFF (MDG-F)",MID(Proc[[#This Row],[Obj]],13,10),"")</f>
        <v/>
      </c>
      <c r="J1102" s="71" t="b">
        <f>Proc[[#This Row],[Requested]]=Proc[[#This Row],[CurrentParent]]</f>
        <v>1</v>
      </c>
      <c r="K1102" s="71" t="str">
        <f>IF(Proc[[#This Row],[Author]]="Marcela Urrego",VLOOKUP(LEFT(Proc[[#This Row],[Requested]],1),Table3[#All],2,0),VLOOKUP(Proc[[#This Row],[Author]],Table4[],2,0))</f>
        <v>LS</v>
      </c>
      <c r="L1102" s="71" t="s">
        <v>2563</v>
      </c>
      <c r="M1102" s="81">
        <v>45765.420370370368</v>
      </c>
      <c r="N1102" s="81">
        <v>45769</v>
      </c>
      <c r="O1102" s="81">
        <v>45769</v>
      </c>
      <c r="P1102" s="82" t="str">
        <f ca="1">IF(Proc[[#This Row],[DaysAgeing]]&gt;5,"yep","on track")</f>
        <v>on track</v>
      </c>
      <c r="Q1102" s="3">
        <f ca="1">IF(Proc[[#This Row],[DateClosed]]="",ABS(NETWORKDAYS(Proc[[#This Row],[DateOpened]],TODAY()))-1,ABS(NETWORKDAYS(Proc[[#This Row],[DateOpened]],Proc[[#This Row],[DateClosed]]))-1)</f>
        <v>2</v>
      </c>
      <c r="R1102" s="82" t="s">
        <v>489</v>
      </c>
      <c r="S1102" s="71"/>
    </row>
    <row r="1103" spans="1:19" hidden="1">
      <c r="A1103" s="74" t="s">
        <v>2715</v>
      </c>
      <c r="B1103" s="71" t="str">
        <f>IFERROR(VLOOKUP(Proc[[#This Row],[App]],Table2[],3,0),"open")</f>
        <v>ok</v>
      </c>
      <c r="C1103" s="74" t="s">
        <v>369</v>
      </c>
      <c r="D1103" t="s">
        <v>2742</v>
      </c>
      <c r="E1103" t="s">
        <v>2775</v>
      </c>
      <c r="F1103" s="105" t="s">
        <v>2775</v>
      </c>
      <c r="G1103" s="74" t="s">
        <v>400</v>
      </c>
      <c r="H1103" s="71" t="str">
        <f>IF(Proc[[#This Row],[type]]="LFF (MDG-F)",MID(Proc[[#This Row],[Obj]],13,10),"")</f>
        <v/>
      </c>
      <c r="J1103" s="71" t="b">
        <f>Proc[[#This Row],[Requested]]=Proc[[#This Row],[CurrentParent]]</f>
        <v>1</v>
      </c>
      <c r="K1103" s="71" t="str">
        <f>IF(Proc[[#This Row],[Author]]="Marcela Urrego",VLOOKUP(LEFT(Proc[[#This Row],[Requested]],1),Table3[#All],2,0),VLOOKUP(Proc[[#This Row],[Author]],Table4[],2,0))</f>
        <v>LS</v>
      </c>
      <c r="L1103" s="71" t="s">
        <v>2563</v>
      </c>
      <c r="M1103" s="81">
        <v>45765.420370370368</v>
      </c>
      <c r="N1103" s="81">
        <v>45769</v>
      </c>
      <c r="O1103" s="81">
        <v>45769</v>
      </c>
      <c r="P1103" s="82" t="str">
        <f ca="1">IF(Proc[[#This Row],[DaysAgeing]]&gt;5,"yep","on track")</f>
        <v>on track</v>
      </c>
      <c r="Q1103" s="3">
        <f ca="1">IF(Proc[[#This Row],[DateClosed]]="",ABS(NETWORKDAYS(Proc[[#This Row],[DateOpened]],TODAY()))-1,ABS(NETWORKDAYS(Proc[[#This Row],[DateOpened]],Proc[[#This Row],[DateClosed]]))-1)</f>
        <v>2</v>
      </c>
      <c r="R1103" s="82" t="s">
        <v>489</v>
      </c>
      <c r="S1103" s="71"/>
    </row>
    <row r="1104" spans="1:19" hidden="1">
      <c r="A1104" s="74" t="s">
        <v>2715</v>
      </c>
      <c r="B1104" s="71" t="str">
        <f>IFERROR(VLOOKUP(Proc[[#This Row],[App]],Table2[],3,0),"open")</f>
        <v>ok</v>
      </c>
      <c r="C1104" s="74" t="s">
        <v>369</v>
      </c>
      <c r="D1104" t="s">
        <v>2743</v>
      </c>
      <c r="E1104" t="s">
        <v>2776</v>
      </c>
      <c r="F1104" s="105" t="s">
        <v>2776</v>
      </c>
      <c r="G1104" s="74" t="s">
        <v>400</v>
      </c>
      <c r="H1104" s="71" t="str">
        <f>IF(Proc[[#This Row],[type]]="LFF (MDG-F)",MID(Proc[[#This Row],[Obj]],13,10),"")</f>
        <v/>
      </c>
      <c r="J1104" s="71" t="b">
        <f>Proc[[#This Row],[Requested]]=Proc[[#This Row],[CurrentParent]]</f>
        <v>1</v>
      </c>
      <c r="K1104" s="71" t="str">
        <f>IF(Proc[[#This Row],[Author]]="Marcela Urrego",VLOOKUP(LEFT(Proc[[#This Row],[Requested]],1),Table3[#All],2,0),VLOOKUP(Proc[[#This Row],[Author]],Table4[],2,0))</f>
        <v>LS</v>
      </c>
      <c r="L1104" s="71" t="s">
        <v>2563</v>
      </c>
      <c r="M1104" s="81">
        <v>45765.420370370368</v>
      </c>
      <c r="N1104" s="81">
        <v>45769</v>
      </c>
      <c r="O1104" s="81">
        <v>45769</v>
      </c>
      <c r="P1104" s="82" t="str">
        <f ca="1">IF(Proc[[#This Row],[DaysAgeing]]&gt;5,"yep","on track")</f>
        <v>on track</v>
      </c>
      <c r="Q1104" s="3">
        <f ca="1">IF(Proc[[#This Row],[DateClosed]]="",ABS(NETWORKDAYS(Proc[[#This Row],[DateOpened]],TODAY()))-1,ABS(NETWORKDAYS(Proc[[#This Row],[DateOpened]],Proc[[#This Row],[DateClosed]]))-1)</f>
        <v>2</v>
      </c>
      <c r="R1104" s="82" t="s">
        <v>489</v>
      </c>
      <c r="S1104" s="71"/>
    </row>
    <row r="1105" spans="1:19" hidden="1">
      <c r="A1105" s="74" t="s">
        <v>2715</v>
      </c>
      <c r="B1105" s="71" t="str">
        <f>IFERROR(VLOOKUP(Proc[[#This Row],[App]],Table2[],3,0),"open")</f>
        <v>ok</v>
      </c>
      <c r="C1105" s="74" t="s">
        <v>369</v>
      </c>
      <c r="D1105" t="s">
        <v>2744</v>
      </c>
      <c r="E1105" t="s">
        <v>2777</v>
      </c>
      <c r="F1105" s="105" t="s">
        <v>2777</v>
      </c>
      <c r="G1105" s="74" t="s">
        <v>400</v>
      </c>
      <c r="H1105" s="71" t="str">
        <f>IF(Proc[[#This Row],[type]]="LFF (MDG-F)",MID(Proc[[#This Row],[Obj]],13,10),"")</f>
        <v/>
      </c>
      <c r="J1105" s="71" t="b">
        <f>Proc[[#This Row],[Requested]]=Proc[[#This Row],[CurrentParent]]</f>
        <v>1</v>
      </c>
      <c r="K1105" s="71" t="str">
        <f>IF(Proc[[#This Row],[Author]]="Marcela Urrego",VLOOKUP(LEFT(Proc[[#This Row],[Requested]],1),Table3[#All],2,0),VLOOKUP(Proc[[#This Row],[Author]],Table4[],2,0))</f>
        <v>LS</v>
      </c>
      <c r="L1105" s="71" t="s">
        <v>2563</v>
      </c>
      <c r="M1105" s="81">
        <v>45765.420370370368</v>
      </c>
      <c r="N1105" s="81">
        <v>45769</v>
      </c>
      <c r="O1105" s="81">
        <v>45769</v>
      </c>
      <c r="P1105" s="82" t="str">
        <f ca="1">IF(Proc[[#This Row],[DaysAgeing]]&gt;5,"yep","on track")</f>
        <v>on track</v>
      </c>
      <c r="Q1105" s="3">
        <f ca="1">IF(Proc[[#This Row],[DateClosed]]="",ABS(NETWORKDAYS(Proc[[#This Row],[DateOpened]],TODAY()))-1,ABS(NETWORKDAYS(Proc[[#This Row],[DateOpened]],Proc[[#This Row],[DateClosed]]))-1)</f>
        <v>2</v>
      </c>
      <c r="R1105" s="82" t="s">
        <v>489</v>
      </c>
      <c r="S1105" s="71"/>
    </row>
    <row r="1106" spans="1:19" hidden="1">
      <c r="A1106" s="74" t="s">
        <v>2715</v>
      </c>
      <c r="B1106" s="71" t="str">
        <f>IFERROR(VLOOKUP(Proc[[#This Row],[App]],Table2[],3,0),"open")</f>
        <v>ok</v>
      </c>
      <c r="C1106" s="74" t="s">
        <v>369</v>
      </c>
      <c r="D1106" t="s">
        <v>2745</v>
      </c>
      <c r="E1106" t="s">
        <v>2774</v>
      </c>
      <c r="F1106" s="105" t="s">
        <v>2774</v>
      </c>
      <c r="G1106" s="74" t="s">
        <v>400</v>
      </c>
      <c r="H1106" s="71" t="str">
        <f>IF(Proc[[#This Row],[type]]="LFF (MDG-F)",MID(Proc[[#This Row],[Obj]],13,10),"")</f>
        <v/>
      </c>
      <c r="J1106" s="71" t="b">
        <f>Proc[[#This Row],[Requested]]=Proc[[#This Row],[CurrentParent]]</f>
        <v>1</v>
      </c>
      <c r="K1106" s="71" t="str">
        <f>IF(Proc[[#This Row],[Author]]="Marcela Urrego",VLOOKUP(LEFT(Proc[[#This Row],[Requested]],1),Table3[#All],2,0),VLOOKUP(Proc[[#This Row],[Author]],Table4[],2,0))</f>
        <v>LS</v>
      </c>
      <c r="L1106" s="71" t="s">
        <v>2563</v>
      </c>
      <c r="M1106" s="81">
        <v>45765.420370370368</v>
      </c>
      <c r="N1106" s="81">
        <v>45769</v>
      </c>
      <c r="O1106" s="81">
        <v>45769</v>
      </c>
      <c r="P1106" s="82" t="str">
        <f ca="1">IF(Proc[[#This Row],[DaysAgeing]]&gt;5,"yep","on track")</f>
        <v>on track</v>
      </c>
      <c r="Q1106" s="3">
        <f ca="1">IF(Proc[[#This Row],[DateClosed]]="",ABS(NETWORKDAYS(Proc[[#This Row],[DateOpened]],TODAY()))-1,ABS(NETWORKDAYS(Proc[[#This Row],[DateOpened]],Proc[[#This Row],[DateClosed]]))-1)</f>
        <v>2</v>
      </c>
      <c r="R1106" s="82" t="s">
        <v>489</v>
      </c>
      <c r="S1106" s="71"/>
    </row>
    <row r="1107" spans="1:19" hidden="1">
      <c r="A1107" s="74" t="s">
        <v>2715</v>
      </c>
      <c r="B1107" s="71" t="str">
        <f>IFERROR(VLOOKUP(Proc[[#This Row],[App]],Table2[],3,0),"open")</f>
        <v>ok</v>
      </c>
      <c r="C1107" s="74" t="s">
        <v>369</v>
      </c>
      <c r="D1107" t="s">
        <v>2746</v>
      </c>
      <c r="E1107" t="s">
        <v>2774</v>
      </c>
      <c r="F1107" s="105" t="s">
        <v>2774</v>
      </c>
      <c r="G1107" s="74" t="s">
        <v>400</v>
      </c>
      <c r="H1107" s="71" t="str">
        <f>IF(Proc[[#This Row],[type]]="LFF (MDG-F)",MID(Proc[[#This Row],[Obj]],13,10),"")</f>
        <v/>
      </c>
      <c r="J1107" s="71" t="b">
        <f>Proc[[#This Row],[Requested]]=Proc[[#This Row],[CurrentParent]]</f>
        <v>1</v>
      </c>
      <c r="K1107" s="71" t="str">
        <f>IF(Proc[[#This Row],[Author]]="Marcela Urrego",VLOOKUP(LEFT(Proc[[#This Row],[Requested]],1),Table3[#All],2,0),VLOOKUP(Proc[[#This Row],[Author]],Table4[],2,0))</f>
        <v>LS</v>
      </c>
      <c r="L1107" s="71" t="s">
        <v>2563</v>
      </c>
      <c r="M1107" s="81">
        <v>45765.420370370368</v>
      </c>
      <c r="N1107" s="81">
        <v>45769</v>
      </c>
      <c r="O1107" s="81">
        <v>45769</v>
      </c>
      <c r="P1107" s="82" t="str">
        <f ca="1">IF(Proc[[#This Row],[DaysAgeing]]&gt;5,"yep","on track")</f>
        <v>on track</v>
      </c>
      <c r="Q1107" s="3">
        <f ca="1">IF(Proc[[#This Row],[DateClosed]]="",ABS(NETWORKDAYS(Proc[[#This Row],[DateOpened]],TODAY()))-1,ABS(NETWORKDAYS(Proc[[#This Row],[DateOpened]],Proc[[#This Row],[DateClosed]]))-1)</f>
        <v>2</v>
      </c>
      <c r="R1107" s="82" t="s">
        <v>489</v>
      </c>
      <c r="S1107" s="71"/>
    </row>
    <row r="1108" spans="1:19" hidden="1">
      <c r="A1108" s="74" t="s">
        <v>2715</v>
      </c>
      <c r="B1108" s="71" t="str">
        <f>IFERROR(VLOOKUP(Proc[[#This Row],[App]],Table2[],3,0),"open")</f>
        <v>ok</v>
      </c>
      <c r="C1108" s="74" t="s">
        <v>369</v>
      </c>
      <c r="D1108" t="s">
        <v>2747</v>
      </c>
      <c r="E1108" t="s">
        <v>2774</v>
      </c>
      <c r="F1108" s="105" t="s">
        <v>2774</v>
      </c>
      <c r="G1108" s="74" t="s">
        <v>400</v>
      </c>
      <c r="H1108" s="71" t="str">
        <f>IF(Proc[[#This Row],[type]]="LFF (MDG-F)",MID(Proc[[#This Row],[Obj]],13,10),"")</f>
        <v/>
      </c>
      <c r="J1108" s="71" t="b">
        <f>Proc[[#This Row],[Requested]]=Proc[[#This Row],[CurrentParent]]</f>
        <v>1</v>
      </c>
      <c r="K1108" s="71" t="str">
        <f>IF(Proc[[#This Row],[Author]]="Marcela Urrego",VLOOKUP(LEFT(Proc[[#This Row],[Requested]],1),Table3[#All],2,0),VLOOKUP(Proc[[#This Row],[Author]],Table4[],2,0))</f>
        <v>LS</v>
      </c>
      <c r="L1108" s="71" t="s">
        <v>2563</v>
      </c>
      <c r="M1108" s="81">
        <v>45765.420370370368</v>
      </c>
      <c r="N1108" s="81">
        <v>45769</v>
      </c>
      <c r="O1108" s="81">
        <v>45769</v>
      </c>
      <c r="P1108" s="82" t="str">
        <f ca="1">IF(Proc[[#This Row],[DaysAgeing]]&gt;5,"yep","on track")</f>
        <v>on track</v>
      </c>
      <c r="Q1108" s="3">
        <f ca="1">IF(Proc[[#This Row],[DateClosed]]="",ABS(NETWORKDAYS(Proc[[#This Row],[DateOpened]],TODAY()))-1,ABS(NETWORKDAYS(Proc[[#This Row],[DateOpened]],Proc[[#This Row],[DateClosed]]))-1)</f>
        <v>2</v>
      </c>
      <c r="R1108" s="82" t="s">
        <v>489</v>
      </c>
      <c r="S1108" s="71"/>
    </row>
    <row r="1109" spans="1:19" hidden="1">
      <c r="A1109" s="74" t="s">
        <v>2715</v>
      </c>
      <c r="B1109" s="71" t="str">
        <f>IFERROR(VLOOKUP(Proc[[#This Row],[App]],Table2[],3,0),"open")</f>
        <v>ok</v>
      </c>
      <c r="C1109" s="74" t="s">
        <v>369</v>
      </c>
      <c r="D1109" t="s">
        <v>2748</v>
      </c>
      <c r="E1109" t="s">
        <v>2774</v>
      </c>
      <c r="F1109" s="105" t="s">
        <v>2774</v>
      </c>
      <c r="G1109" s="74" t="s">
        <v>400</v>
      </c>
      <c r="H1109" s="71" t="str">
        <f>IF(Proc[[#This Row],[type]]="LFF (MDG-F)",MID(Proc[[#This Row],[Obj]],13,10),"")</f>
        <v/>
      </c>
      <c r="J1109" s="71" t="b">
        <f>Proc[[#This Row],[Requested]]=Proc[[#This Row],[CurrentParent]]</f>
        <v>1</v>
      </c>
      <c r="K1109" s="71" t="str">
        <f>IF(Proc[[#This Row],[Author]]="Marcela Urrego",VLOOKUP(LEFT(Proc[[#This Row],[Requested]],1),Table3[#All],2,0),VLOOKUP(Proc[[#This Row],[Author]],Table4[],2,0))</f>
        <v>LS</v>
      </c>
      <c r="L1109" s="71" t="s">
        <v>2563</v>
      </c>
      <c r="M1109" s="81">
        <v>45765.420370370368</v>
      </c>
      <c r="N1109" s="81">
        <v>45769</v>
      </c>
      <c r="O1109" s="81">
        <v>45769</v>
      </c>
      <c r="P1109" s="82" t="str">
        <f ca="1">IF(Proc[[#This Row],[DaysAgeing]]&gt;5,"yep","on track")</f>
        <v>on track</v>
      </c>
      <c r="Q1109" s="3">
        <f ca="1">IF(Proc[[#This Row],[DateClosed]]="",ABS(NETWORKDAYS(Proc[[#This Row],[DateOpened]],TODAY()))-1,ABS(NETWORKDAYS(Proc[[#This Row],[DateOpened]],Proc[[#This Row],[DateClosed]]))-1)</f>
        <v>2</v>
      </c>
      <c r="R1109" s="82" t="s">
        <v>489</v>
      </c>
      <c r="S1109" s="71"/>
    </row>
    <row r="1110" spans="1:19" hidden="1">
      <c r="A1110" s="74" t="s">
        <v>2715</v>
      </c>
      <c r="B1110" s="71" t="str">
        <f>IFERROR(VLOOKUP(Proc[[#This Row],[App]],Table2[],3,0),"open")</f>
        <v>ok</v>
      </c>
      <c r="C1110" s="74" t="s">
        <v>369</v>
      </c>
      <c r="D1110" t="s">
        <v>2749</v>
      </c>
      <c r="E1110" t="s">
        <v>2775</v>
      </c>
      <c r="F1110" s="105" t="s">
        <v>2775</v>
      </c>
      <c r="G1110" s="74" t="s">
        <v>400</v>
      </c>
      <c r="H1110" s="71" t="str">
        <f>IF(Proc[[#This Row],[type]]="LFF (MDG-F)",MID(Proc[[#This Row],[Obj]],13,10),"")</f>
        <v/>
      </c>
      <c r="J1110" s="71" t="b">
        <f>Proc[[#This Row],[Requested]]=Proc[[#This Row],[CurrentParent]]</f>
        <v>1</v>
      </c>
      <c r="K1110" s="71" t="str">
        <f>IF(Proc[[#This Row],[Author]]="Marcela Urrego",VLOOKUP(LEFT(Proc[[#This Row],[Requested]],1),Table3[#All],2,0),VLOOKUP(Proc[[#This Row],[Author]],Table4[],2,0))</f>
        <v>LS</v>
      </c>
      <c r="L1110" s="71" t="s">
        <v>2563</v>
      </c>
      <c r="M1110" s="81">
        <v>45765.420370370368</v>
      </c>
      <c r="N1110" s="81">
        <v>45769</v>
      </c>
      <c r="O1110" s="81">
        <v>45769</v>
      </c>
      <c r="P1110" s="82" t="str">
        <f ca="1">IF(Proc[[#This Row],[DaysAgeing]]&gt;5,"yep","on track")</f>
        <v>on track</v>
      </c>
      <c r="Q1110" s="3">
        <f ca="1">IF(Proc[[#This Row],[DateClosed]]="",ABS(NETWORKDAYS(Proc[[#This Row],[DateOpened]],TODAY()))-1,ABS(NETWORKDAYS(Proc[[#This Row],[DateOpened]],Proc[[#This Row],[DateClosed]]))-1)</f>
        <v>2</v>
      </c>
      <c r="R1110" s="82" t="s">
        <v>489</v>
      </c>
      <c r="S1110" s="71"/>
    </row>
    <row r="1111" spans="1:19" hidden="1">
      <c r="A1111" s="74" t="s">
        <v>2715</v>
      </c>
      <c r="B1111" s="71" t="str">
        <f>IFERROR(VLOOKUP(Proc[[#This Row],[App]],Table2[],3,0),"open")</f>
        <v>ok</v>
      </c>
      <c r="C1111" s="74" t="s">
        <v>369</v>
      </c>
      <c r="D1111" t="s">
        <v>2750</v>
      </c>
      <c r="E1111" t="s">
        <v>2776</v>
      </c>
      <c r="F1111" s="105" t="s">
        <v>2776</v>
      </c>
      <c r="G1111" s="74" t="s">
        <v>400</v>
      </c>
      <c r="H1111" s="71" t="str">
        <f>IF(Proc[[#This Row],[type]]="LFF (MDG-F)",MID(Proc[[#This Row],[Obj]],13,10),"")</f>
        <v/>
      </c>
      <c r="J1111" s="71" t="b">
        <f>Proc[[#This Row],[Requested]]=Proc[[#This Row],[CurrentParent]]</f>
        <v>1</v>
      </c>
      <c r="K1111" s="71" t="str">
        <f>IF(Proc[[#This Row],[Author]]="Marcela Urrego",VLOOKUP(LEFT(Proc[[#This Row],[Requested]],1),Table3[#All],2,0),VLOOKUP(Proc[[#This Row],[Author]],Table4[],2,0))</f>
        <v>LS</v>
      </c>
      <c r="L1111" s="71" t="s">
        <v>2563</v>
      </c>
      <c r="M1111" s="81">
        <v>45765.420370370368</v>
      </c>
      <c r="N1111" s="81">
        <v>45769</v>
      </c>
      <c r="O1111" s="81">
        <v>45769</v>
      </c>
      <c r="P1111" s="82" t="str">
        <f ca="1">IF(Proc[[#This Row],[DaysAgeing]]&gt;5,"yep","on track")</f>
        <v>on track</v>
      </c>
      <c r="Q1111" s="3">
        <f ca="1">IF(Proc[[#This Row],[DateClosed]]="",ABS(NETWORKDAYS(Proc[[#This Row],[DateOpened]],TODAY()))-1,ABS(NETWORKDAYS(Proc[[#This Row],[DateOpened]],Proc[[#This Row],[DateClosed]]))-1)</f>
        <v>2</v>
      </c>
      <c r="R1111" s="82" t="s">
        <v>489</v>
      </c>
      <c r="S1111" s="71"/>
    </row>
    <row r="1112" spans="1:19" hidden="1">
      <c r="A1112" s="74" t="s">
        <v>2715</v>
      </c>
      <c r="B1112" s="71" t="str">
        <f>IFERROR(VLOOKUP(Proc[[#This Row],[App]],Table2[],3,0),"open")</f>
        <v>ok</v>
      </c>
      <c r="C1112" s="74" t="s">
        <v>369</v>
      </c>
      <c r="D1112" t="s">
        <v>2751</v>
      </c>
      <c r="E1112" t="s">
        <v>2778</v>
      </c>
      <c r="F1112" s="105" t="s">
        <v>2778</v>
      </c>
      <c r="G1112" s="74" t="s">
        <v>400</v>
      </c>
      <c r="H1112" s="71" t="str">
        <f>IF(Proc[[#This Row],[type]]="LFF (MDG-F)",MID(Proc[[#This Row],[Obj]],13,10),"")</f>
        <v/>
      </c>
      <c r="J1112" s="71" t="b">
        <f>Proc[[#This Row],[Requested]]=Proc[[#This Row],[CurrentParent]]</f>
        <v>1</v>
      </c>
      <c r="K1112" s="71" t="str">
        <f>IF(Proc[[#This Row],[Author]]="Marcela Urrego",VLOOKUP(LEFT(Proc[[#This Row],[Requested]],1),Table3[#All],2,0),VLOOKUP(Proc[[#This Row],[Author]],Table4[],2,0))</f>
        <v>LS</v>
      </c>
      <c r="L1112" s="71" t="s">
        <v>2563</v>
      </c>
      <c r="M1112" s="81">
        <v>45765.420370370368</v>
      </c>
      <c r="N1112" s="81">
        <v>45769</v>
      </c>
      <c r="O1112" s="81">
        <v>45769</v>
      </c>
      <c r="P1112" s="82" t="str">
        <f ca="1">IF(Proc[[#This Row],[DaysAgeing]]&gt;5,"yep","on track")</f>
        <v>on track</v>
      </c>
      <c r="Q1112" s="3">
        <f ca="1">IF(Proc[[#This Row],[DateClosed]]="",ABS(NETWORKDAYS(Proc[[#This Row],[DateOpened]],TODAY()))-1,ABS(NETWORKDAYS(Proc[[#This Row],[DateOpened]],Proc[[#This Row],[DateClosed]]))-1)</f>
        <v>2</v>
      </c>
      <c r="R1112" s="82" t="s">
        <v>489</v>
      </c>
      <c r="S1112" s="71"/>
    </row>
    <row r="1113" spans="1:19" hidden="1">
      <c r="A1113" s="74" t="s">
        <v>2715</v>
      </c>
      <c r="B1113" s="71" t="str">
        <f>IFERROR(VLOOKUP(Proc[[#This Row],[App]],Table2[],3,0),"open")</f>
        <v>ok</v>
      </c>
      <c r="C1113" s="74" t="s">
        <v>369</v>
      </c>
      <c r="D1113" t="s">
        <v>2752</v>
      </c>
      <c r="E1113" t="s">
        <v>2779</v>
      </c>
      <c r="F1113" s="105" t="s">
        <v>2779</v>
      </c>
      <c r="G1113" s="74" t="s">
        <v>400</v>
      </c>
      <c r="H1113" s="71" t="str">
        <f>IF(Proc[[#This Row],[type]]="LFF (MDG-F)",MID(Proc[[#This Row],[Obj]],13,10),"")</f>
        <v/>
      </c>
      <c r="J1113" s="71" t="b">
        <f>Proc[[#This Row],[Requested]]=Proc[[#This Row],[CurrentParent]]</f>
        <v>1</v>
      </c>
      <c r="K1113" s="71" t="str">
        <f>IF(Proc[[#This Row],[Author]]="Marcela Urrego",VLOOKUP(LEFT(Proc[[#This Row],[Requested]],1),Table3[#All],2,0),VLOOKUP(Proc[[#This Row],[Author]],Table4[],2,0))</f>
        <v>LS</v>
      </c>
      <c r="L1113" s="71" t="s">
        <v>2563</v>
      </c>
      <c r="M1113" s="81">
        <v>45765.420370370368</v>
      </c>
      <c r="N1113" s="81">
        <v>45769</v>
      </c>
      <c r="O1113" s="81">
        <v>45769</v>
      </c>
      <c r="P1113" s="82" t="str">
        <f ca="1">IF(Proc[[#This Row],[DaysAgeing]]&gt;5,"yep","on track")</f>
        <v>on track</v>
      </c>
      <c r="Q1113" s="3">
        <f ca="1">IF(Proc[[#This Row],[DateClosed]]="",ABS(NETWORKDAYS(Proc[[#This Row],[DateOpened]],TODAY()))-1,ABS(NETWORKDAYS(Proc[[#This Row],[DateOpened]],Proc[[#This Row],[DateClosed]]))-1)</f>
        <v>2</v>
      </c>
      <c r="R1113" s="82" t="s">
        <v>489</v>
      </c>
      <c r="S1113" s="71"/>
    </row>
    <row r="1114" spans="1:19" hidden="1">
      <c r="A1114" s="74" t="s">
        <v>2715</v>
      </c>
      <c r="B1114" s="71" t="str">
        <f>IFERROR(VLOOKUP(Proc[[#This Row],[App]],Table2[],3,0),"open")</f>
        <v>ok</v>
      </c>
      <c r="C1114" s="74" t="s">
        <v>369</v>
      </c>
      <c r="D1114" t="s">
        <v>2753</v>
      </c>
      <c r="E1114" t="s">
        <v>2691</v>
      </c>
      <c r="F1114" s="105" t="s">
        <v>2691</v>
      </c>
      <c r="G1114" s="74" t="s">
        <v>400</v>
      </c>
      <c r="H1114" s="71" t="str">
        <f>IF(Proc[[#This Row],[type]]="LFF (MDG-F)",MID(Proc[[#This Row],[Obj]],13,10),"")</f>
        <v/>
      </c>
      <c r="J1114" s="71" t="b">
        <f>Proc[[#This Row],[Requested]]=Proc[[#This Row],[CurrentParent]]</f>
        <v>1</v>
      </c>
      <c r="K1114" s="71" t="str">
        <f>IF(Proc[[#This Row],[Author]]="Marcela Urrego",VLOOKUP(LEFT(Proc[[#This Row],[Requested]],1),Table3[#All],2,0),VLOOKUP(Proc[[#This Row],[Author]],Table4[],2,0))</f>
        <v>LS</v>
      </c>
      <c r="L1114" s="71" t="s">
        <v>2563</v>
      </c>
      <c r="M1114" s="81">
        <v>45765.420370370368</v>
      </c>
      <c r="N1114" s="81">
        <v>45769</v>
      </c>
      <c r="O1114" s="81">
        <v>45769</v>
      </c>
      <c r="P1114" s="82" t="str">
        <f ca="1">IF(Proc[[#This Row],[DaysAgeing]]&gt;5,"yep","on track")</f>
        <v>on track</v>
      </c>
      <c r="Q1114" s="3">
        <f ca="1">IF(Proc[[#This Row],[DateClosed]]="",ABS(NETWORKDAYS(Proc[[#This Row],[DateOpened]],TODAY()))-1,ABS(NETWORKDAYS(Proc[[#This Row],[DateOpened]],Proc[[#This Row],[DateClosed]]))-1)</f>
        <v>2</v>
      </c>
      <c r="R1114" s="82" t="s">
        <v>489</v>
      </c>
      <c r="S1114" s="71"/>
    </row>
    <row r="1115" spans="1:19" hidden="1">
      <c r="A1115" s="74" t="s">
        <v>2715</v>
      </c>
      <c r="B1115" s="71" t="str">
        <f>IFERROR(VLOOKUP(Proc[[#This Row],[App]],Table2[],3,0),"open")</f>
        <v>ok</v>
      </c>
      <c r="C1115" s="74" t="s">
        <v>369</v>
      </c>
      <c r="D1115" t="s">
        <v>2754</v>
      </c>
      <c r="E1115" t="s">
        <v>2776</v>
      </c>
      <c r="F1115" s="105" t="s">
        <v>2776</v>
      </c>
      <c r="G1115" s="74" t="s">
        <v>400</v>
      </c>
      <c r="H1115" s="71" t="str">
        <f>IF(Proc[[#This Row],[type]]="LFF (MDG-F)",MID(Proc[[#This Row],[Obj]],13,10),"")</f>
        <v/>
      </c>
      <c r="J1115" s="71" t="b">
        <f>Proc[[#This Row],[Requested]]=Proc[[#This Row],[CurrentParent]]</f>
        <v>1</v>
      </c>
      <c r="K1115" s="71" t="str">
        <f>IF(Proc[[#This Row],[Author]]="Marcela Urrego",VLOOKUP(LEFT(Proc[[#This Row],[Requested]],1),Table3[#All],2,0),VLOOKUP(Proc[[#This Row],[Author]],Table4[],2,0))</f>
        <v>LS</v>
      </c>
      <c r="L1115" s="71" t="s">
        <v>2563</v>
      </c>
      <c r="M1115" s="81">
        <v>45765.420370370368</v>
      </c>
      <c r="N1115" s="81">
        <v>45769</v>
      </c>
      <c r="O1115" s="81">
        <v>45769</v>
      </c>
      <c r="P1115" s="82" t="str">
        <f ca="1">IF(Proc[[#This Row],[DaysAgeing]]&gt;5,"yep","on track")</f>
        <v>on track</v>
      </c>
      <c r="Q1115" s="3">
        <f ca="1">IF(Proc[[#This Row],[DateClosed]]="",ABS(NETWORKDAYS(Proc[[#This Row],[DateOpened]],TODAY()))-1,ABS(NETWORKDAYS(Proc[[#This Row],[DateOpened]],Proc[[#This Row],[DateClosed]]))-1)</f>
        <v>2</v>
      </c>
      <c r="R1115" s="82" t="s">
        <v>489</v>
      </c>
      <c r="S1115" s="71"/>
    </row>
    <row r="1116" spans="1:19" hidden="1">
      <c r="A1116" s="74" t="s">
        <v>2715</v>
      </c>
      <c r="B1116" s="71" t="str">
        <f>IFERROR(VLOOKUP(Proc[[#This Row],[App]],Table2[],3,0),"open")</f>
        <v>ok</v>
      </c>
      <c r="C1116" s="74" t="s">
        <v>369</v>
      </c>
      <c r="D1116" t="s">
        <v>2755</v>
      </c>
      <c r="E1116" t="s">
        <v>2776</v>
      </c>
      <c r="F1116" s="105" t="s">
        <v>2776</v>
      </c>
      <c r="G1116" s="74" t="s">
        <v>400</v>
      </c>
      <c r="H1116" s="71" t="str">
        <f>IF(Proc[[#This Row],[type]]="LFF (MDG-F)",MID(Proc[[#This Row],[Obj]],13,10),"")</f>
        <v/>
      </c>
      <c r="J1116" s="71" t="b">
        <f>Proc[[#This Row],[Requested]]=Proc[[#This Row],[CurrentParent]]</f>
        <v>1</v>
      </c>
      <c r="K1116" s="71" t="str">
        <f>IF(Proc[[#This Row],[Author]]="Marcela Urrego",VLOOKUP(LEFT(Proc[[#This Row],[Requested]],1),Table3[#All],2,0),VLOOKUP(Proc[[#This Row],[Author]],Table4[],2,0))</f>
        <v>LS</v>
      </c>
      <c r="L1116" s="71" t="s">
        <v>2563</v>
      </c>
      <c r="M1116" s="81">
        <v>45765.420370370368</v>
      </c>
      <c r="N1116" s="81">
        <v>45769</v>
      </c>
      <c r="O1116" s="81">
        <v>45769</v>
      </c>
      <c r="P1116" s="82" t="str">
        <f ca="1">IF(Proc[[#This Row],[DaysAgeing]]&gt;5,"yep","on track")</f>
        <v>on track</v>
      </c>
      <c r="Q1116" s="3">
        <f ca="1">IF(Proc[[#This Row],[DateClosed]]="",ABS(NETWORKDAYS(Proc[[#This Row],[DateOpened]],TODAY()))-1,ABS(NETWORKDAYS(Proc[[#This Row],[DateOpened]],Proc[[#This Row],[DateClosed]]))-1)</f>
        <v>2</v>
      </c>
      <c r="R1116" s="82" t="s">
        <v>489</v>
      </c>
      <c r="S1116" s="71"/>
    </row>
    <row r="1117" spans="1:19" hidden="1">
      <c r="A1117" s="74" t="s">
        <v>2715</v>
      </c>
      <c r="B1117" s="71" t="str">
        <f>IFERROR(VLOOKUP(Proc[[#This Row],[App]],Table2[],3,0),"open")</f>
        <v>ok</v>
      </c>
      <c r="C1117" s="74" t="s">
        <v>369</v>
      </c>
      <c r="D1117" t="s">
        <v>2756</v>
      </c>
      <c r="E1117" t="s">
        <v>2691</v>
      </c>
      <c r="F1117" s="105" t="s">
        <v>2691</v>
      </c>
      <c r="G1117" s="74" t="s">
        <v>400</v>
      </c>
      <c r="H1117" s="71" t="str">
        <f>IF(Proc[[#This Row],[type]]="LFF (MDG-F)",MID(Proc[[#This Row],[Obj]],13,10),"")</f>
        <v/>
      </c>
      <c r="J1117" s="71" t="b">
        <f>Proc[[#This Row],[Requested]]=Proc[[#This Row],[CurrentParent]]</f>
        <v>1</v>
      </c>
      <c r="K1117" s="71" t="str">
        <f>IF(Proc[[#This Row],[Author]]="Marcela Urrego",VLOOKUP(LEFT(Proc[[#This Row],[Requested]],1),Table3[#All],2,0),VLOOKUP(Proc[[#This Row],[Author]],Table4[],2,0))</f>
        <v>LS</v>
      </c>
      <c r="L1117" s="71" t="s">
        <v>2563</v>
      </c>
      <c r="M1117" s="81">
        <v>45765.420370370368</v>
      </c>
      <c r="N1117" s="81">
        <v>45769</v>
      </c>
      <c r="O1117" s="81">
        <v>45769</v>
      </c>
      <c r="P1117" s="82" t="str">
        <f ca="1">IF(Proc[[#This Row],[DaysAgeing]]&gt;5,"yep","on track")</f>
        <v>on track</v>
      </c>
      <c r="Q1117" s="3">
        <f ca="1">IF(Proc[[#This Row],[DateClosed]]="",ABS(NETWORKDAYS(Proc[[#This Row],[DateOpened]],TODAY()))-1,ABS(NETWORKDAYS(Proc[[#This Row],[DateOpened]],Proc[[#This Row],[DateClosed]]))-1)</f>
        <v>2</v>
      </c>
      <c r="R1117" s="82" t="s">
        <v>489</v>
      </c>
      <c r="S1117" s="71"/>
    </row>
    <row r="1118" spans="1:19" hidden="1">
      <c r="A1118" s="74" t="s">
        <v>2715</v>
      </c>
      <c r="B1118" s="71" t="str">
        <f>IFERROR(VLOOKUP(Proc[[#This Row],[App]],Table2[],3,0),"open")</f>
        <v>ok</v>
      </c>
      <c r="C1118" s="74" t="s">
        <v>369</v>
      </c>
      <c r="D1118" t="s">
        <v>2757</v>
      </c>
      <c r="E1118" t="s">
        <v>2691</v>
      </c>
      <c r="F1118" s="105" t="s">
        <v>2691</v>
      </c>
      <c r="G1118" s="74" t="s">
        <v>400</v>
      </c>
      <c r="H1118" s="71" t="str">
        <f>IF(Proc[[#This Row],[type]]="LFF (MDG-F)",MID(Proc[[#This Row],[Obj]],13,10),"")</f>
        <v/>
      </c>
      <c r="J1118" s="71" t="b">
        <f>Proc[[#This Row],[Requested]]=Proc[[#This Row],[CurrentParent]]</f>
        <v>1</v>
      </c>
      <c r="K1118" s="71" t="str">
        <f>IF(Proc[[#This Row],[Author]]="Marcela Urrego",VLOOKUP(LEFT(Proc[[#This Row],[Requested]],1),Table3[#All],2,0),VLOOKUP(Proc[[#This Row],[Author]],Table4[],2,0))</f>
        <v>LS</v>
      </c>
      <c r="L1118" s="71" t="s">
        <v>2563</v>
      </c>
      <c r="M1118" s="81">
        <v>45765.420370370368</v>
      </c>
      <c r="N1118" s="81">
        <v>45769</v>
      </c>
      <c r="O1118" s="81">
        <v>45769</v>
      </c>
      <c r="P1118" s="82" t="str">
        <f ca="1">IF(Proc[[#This Row],[DaysAgeing]]&gt;5,"yep","on track")</f>
        <v>on track</v>
      </c>
      <c r="Q1118" s="3">
        <f ca="1">IF(Proc[[#This Row],[DateClosed]]="",ABS(NETWORKDAYS(Proc[[#This Row],[DateOpened]],TODAY()))-1,ABS(NETWORKDAYS(Proc[[#This Row],[DateOpened]],Proc[[#This Row],[DateClosed]]))-1)</f>
        <v>2</v>
      </c>
      <c r="R1118" s="82" t="s">
        <v>489</v>
      </c>
      <c r="S1118" s="71"/>
    </row>
    <row r="1119" spans="1:19" hidden="1">
      <c r="A1119" s="74" t="s">
        <v>2715</v>
      </c>
      <c r="B1119" s="71" t="str">
        <f>IFERROR(VLOOKUP(Proc[[#This Row],[App]],Table2[],3,0),"open")</f>
        <v>ok</v>
      </c>
      <c r="C1119" s="74" t="s">
        <v>369</v>
      </c>
      <c r="D1119" t="s">
        <v>2758</v>
      </c>
      <c r="E1119" t="s">
        <v>2777</v>
      </c>
      <c r="F1119" s="105" t="s">
        <v>2777</v>
      </c>
      <c r="G1119" s="74" t="s">
        <v>400</v>
      </c>
      <c r="H1119" s="71" t="str">
        <f>IF(Proc[[#This Row],[type]]="LFF (MDG-F)",MID(Proc[[#This Row],[Obj]],13,10),"")</f>
        <v/>
      </c>
      <c r="J1119" s="71" t="b">
        <f>Proc[[#This Row],[Requested]]=Proc[[#This Row],[CurrentParent]]</f>
        <v>1</v>
      </c>
      <c r="K1119" s="71" t="str">
        <f>IF(Proc[[#This Row],[Author]]="Marcela Urrego",VLOOKUP(LEFT(Proc[[#This Row],[Requested]],1),Table3[#All],2,0),VLOOKUP(Proc[[#This Row],[Author]],Table4[],2,0))</f>
        <v>LS</v>
      </c>
      <c r="L1119" s="71" t="s">
        <v>2563</v>
      </c>
      <c r="M1119" s="81">
        <v>45765.420370370368</v>
      </c>
      <c r="N1119" s="81">
        <v>45769</v>
      </c>
      <c r="O1119" s="81">
        <v>45769</v>
      </c>
      <c r="P1119" s="82" t="str">
        <f ca="1">IF(Proc[[#This Row],[DaysAgeing]]&gt;5,"yep","on track")</f>
        <v>on track</v>
      </c>
      <c r="Q1119" s="3">
        <f ca="1">IF(Proc[[#This Row],[DateClosed]]="",ABS(NETWORKDAYS(Proc[[#This Row],[DateOpened]],TODAY()))-1,ABS(NETWORKDAYS(Proc[[#This Row],[DateOpened]],Proc[[#This Row],[DateClosed]]))-1)</f>
        <v>2</v>
      </c>
      <c r="R1119" s="82" t="s">
        <v>489</v>
      </c>
      <c r="S1119" s="71"/>
    </row>
    <row r="1120" spans="1:19" hidden="1">
      <c r="A1120" s="74" t="s">
        <v>2715</v>
      </c>
      <c r="B1120" s="71" t="str">
        <f>IFERROR(VLOOKUP(Proc[[#This Row],[App]],Table2[],3,0),"open")</f>
        <v>ok</v>
      </c>
      <c r="C1120" s="74" t="s">
        <v>369</v>
      </c>
      <c r="D1120" t="s">
        <v>2759</v>
      </c>
      <c r="E1120" t="s">
        <v>2777</v>
      </c>
      <c r="F1120" s="105" t="s">
        <v>2777</v>
      </c>
      <c r="G1120" s="74" t="s">
        <v>400</v>
      </c>
      <c r="H1120" s="71" t="str">
        <f>IF(Proc[[#This Row],[type]]="LFF (MDG-F)",MID(Proc[[#This Row],[Obj]],13,10),"")</f>
        <v/>
      </c>
      <c r="J1120" s="71" t="b">
        <f>Proc[[#This Row],[Requested]]=Proc[[#This Row],[CurrentParent]]</f>
        <v>1</v>
      </c>
      <c r="K1120" s="71" t="str">
        <f>IF(Proc[[#This Row],[Author]]="Marcela Urrego",VLOOKUP(LEFT(Proc[[#This Row],[Requested]],1),Table3[#All],2,0),VLOOKUP(Proc[[#This Row],[Author]],Table4[],2,0))</f>
        <v>LS</v>
      </c>
      <c r="L1120" s="71" t="s">
        <v>2563</v>
      </c>
      <c r="M1120" s="81">
        <v>45765.420370370368</v>
      </c>
      <c r="N1120" s="81">
        <v>45769</v>
      </c>
      <c r="O1120" s="81">
        <v>45769</v>
      </c>
      <c r="P1120" s="82" t="str">
        <f ca="1">IF(Proc[[#This Row],[DaysAgeing]]&gt;5,"yep","on track")</f>
        <v>on track</v>
      </c>
      <c r="Q1120" s="3">
        <f ca="1">IF(Proc[[#This Row],[DateClosed]]="",ABS(NETWORKDAYS(Proc[[#This Row],[DateOpened]],TODAY()))-1,ABS(NETWORKDAYS(Proc[[#This Row],[DateOpened]],Proc[[#This Row],[DateClosed]]))-1)</f>
        <v>2</v>
      </c>
      <c r="R1120" s="82" t="s">
        <v>489</v>
      </c>
      <c r="S1120" s="71"/>
    </row>
    <row r="1121" spans="1:19" hidden="1">
      <c r="A1121" s="74" t="s">
        <v>2715</v>
      </c>
      <c r="B1121" s="71" t="str">
        <f>IFERROR(VLOOKUP(Proc[[#This Row],[App]],Table2[],3,0),"open")</f>
        <v>ok</v>
      </c>
      <c r="C1121" s="74" t="s">
        <v>369</v>
      </c>
      <c r="D1121" t="s">
        <v>2760</v>
      </c>
      <c r="E1121" t="s">
        <v>2770</v>
      </c>
      <c r="F1121" s="105" t="s">
        <v>2770</v>
      </c>
      <c r="G1121" s="74" t="s">
        <v>400</v>
      </c>
      <c r="H1121" s="71" t="str">
        <f>IF(Proc[[#This Row],[type]]="LFF (MDG-F)",MID(Proc[[#This Row],[Obj]],13,10),"")</f>
        <v/>
      </c>
      <c r="J1121" s="71" t="b">
        <f>Proc[[#This Row],[Requested]]=Proc[[#This Row],[CurrentParent]]</f>
        <v>1</v>
      </c>
      <c r="K1121" s="71" t="str">
        <f>IF(Proc[[#This Row],[Author]]="Marcela Urrego",VLOOKUP(LEFT(Proc[[#This Row],[Requested]],1),Table3[#All],2,0),VLOOKUP(Proc[[#This Row],[Author]],Table4[],2,0))</f>
        <v>LS</v>
      </c>
      <c r="L1121" s="71" t="s">
        <v>2563</v>
      </c>
      <c r="M1121" s="81">
        <v>45765.420370370368</v>
      </c>
      <c r="N1121" s="81">
        <v>45769</v>
      </c>
      <c r="O1121" s="81">
        <v>45769</v>
      </c>
      <c r="P1121" s="82" t="str">
        <f ca="1">IF(Proc[[#This Row],[DaysAgeing]]&gt;5,"yep","on track")</f>
        <v>on track</v>
      </c>
      <c r="Q1121" s="3">
        <f ca="1">IF(Proc[[#This Row],[DateClosed]]="",ABS(NETWORKDAYS(Proc[[#This Row],[DateOpened]],TODAY()))-1,ABS(NETWORKDAYS(Proc[[#This Row],[DateOpened]],Proc[[#This Row],[DateClosed]]))-1)</f>
        <v>2</v>
      </c>
      <c r="R1121" s="82" t="s">
        <v>489</v>
      </c>
      <c r="S1121" s="71"/>
    </row>
    <row r="1122" spans="1:19" hidden="1">
      <c r="A1122" s="74" t="s">
        <v>2715</v>
      </c>
      <c r="B1122" s="71" t="str">
        <f>IFERROR(VLOOKUP(Proc[[#This Row],[App]],Table2[],3,0),"open")</f>
        <v>ok</v>
      </c>
      <c r="C1122" s="74" t="s">
        <v>369</v>
      </c>
      <c r="D1122" t="s">
        <v>2761</v>
      </c>
      <c r="E1122" t="s">
        <v>2772</v>
      </c>
      <c r="F1122" s="105" t="s">
        <v>2772</v>
      </c>
      <c r="G1122" s="74" t="s">
        <v>400</v>
      </c>
      <c r="H1122" s="71" t="str">
        <f>IF(Proc[[#This Row],[type]]="LFF (MDG-F)",MID(Proc[[#This Row],[Obj]],13,10),"")</f>
        <v/>
      </c>
      <c r="J1122" s="71" t="b">
        <f>Proc[[#This Row],[Requested]]=Proc[[#This Row],[CurrentParent]]</f>
        <v>1</v>
      </c>
      <c r="K1122" s="71" t="str">
        <f>IF(Proc[[#This Row],[Author]]="Marcela Urrego",VLOOKUP(LEFT(Proc[[#This Row],[Requested]],1),Table3[#All],2,0),VLOOKUP(Proc[[#This Row],[Author]],Table4[],2,0))</f>
        <v>LS</v>
      </c>
      <c r="L1122" s="71" t="s">
        <v>2563</v>
      </c>
      <c r="M1122" s="81">
        <v>45765.420370370368</v>
      </c>
      <c r="N1122" s="81">
        <v>45769</v>
      </c>
      <c r="O1122" s="81">
        <v>45769</v>
      </c>
      <c r="P1122" s="82" t="str">
        <f ca="1">IF(Proc[[#This Row],[DaysAgeing]]&gt;5,"yep","on track")</f>
        <v>on track</v>
      </c>
      <c r="Q1122" s="3">
        <f ca="1">IF(Proc[[#This Row],[DateClosed]]="",ABS(NETWORKDAYS(Proc[[#This Row],[DateOpened]],TODAY()))-1,ABS(NETWORKDAYS(Proc[[#This Row],[DateOpened]],Proc[[#This Row],[DateClosed]]))-1)</f>
        <v>2</v>
      </c>
      <c r="R1122" s="82" t="s">
        <v>489</v>
      </c>
      <c r="S1122" s="71"/>
    </row>
    <row r="1123" spans="1:19" hidden="1">
      <c r="A1123" s="74" t="s">
        <v>2715</v>
      </c>
      <c r="B1123" s="71" t="str">
        <f>IFERROR(VLOOKUP(Proc[[#This Row],[App]],Table2[],3,0),"open")</f>
        <v>ok</v>
      </c>
      <c r="C1123" s="74" t="s">
        <v>369</v>
      </c>
      <c r="D1123" t="s">
        <v>2762</v>
      </c>
      <c r="E1123" t="s">
        <v>2773</v>
      </c>
      <c r="F1123" s="105" t="s">
        <v>2773</v>
      </c>
      <c r="G1123" s="74" t="s">
        <v>400</v>
      </c>
      <c r="H1123" s="71" t="str">
        <f>IF(Proc[[#This Row],[type]]="LFF (MDG-F)",MID(Proc[[#This Row],[Obj]],13,10),"")</f>
        <v/>
      </c>
      <c r="J1123" s="71" t="b">
        <f>Proc[[#This Row],[Requested]]=Proc[[#This Row],[CurrentParent]]</f>
        <v>1</v>
      </c>
      <c r="K1123" s="71" t="str">
        <f>IF(Proc[[#This Row],[Author]]="Marcela Urrego",VLOOKUP(LEFT(Proc[[#This Row],[Requested]],1),Table3[#All],2,0),VLOOKUP(Proc[[#This Row],[Author]],Table4[],2,0))</f>
        <v>LS</v>
      </c>
      <c r="L1123" s="71" t="s">
        <v>2563</v>
      </c>
      <c r="M1123" s="81">
        <v>45765.420370370368</v>
      </c>
      <c r="N1123" s="81">
        <v>45769</v>
      </c>
      <c r="O1123" s="81">
        <v>45769</v>
      </c>
      <c r="P1123" s="82" t="str">
        <f ca="1">IF(Proc[[#This Row],[DaysAgeing]]&gt;5,"yep","on track")</f>
        <v>on track</v>
      </c>
      <c r="Q1123" s="3">
        <f ca="1">IF(Proc[[#This Row],[DateClosed]]="",ABS(NETWORKDAYS(Proc[[#This Row],[DateOpened]],TODAY()))-1,ABS(NETWORKDAYS(Proc[[#This Row],[DateOpened]],Proc[[#This Row],[DateClosed]]))-1)</f>
        <v>2</v>
      </c>
      <c r="R1123" s="82" t="s">
        <v>489</v>
      </c>
      <c r="S1123" s="71"/>
    </row>
    <row r="1124" spans="1:19" hidden="1">
      <c r="A1124" t="s">
        <v>2780</v>
      </c>
      <c r="B1124" s="71" t="str">
        <f>IFERROR(VLOOKUP(Proc[[#This Row],[App]],Table2[],3,0),"open")</f>
        <v>ok</v>
      </c>
      <c r="C1124" s="74" t="s">
        <v>369</v>
      </c>
      <c r="D1124" t="s">
        <v>2781</v>
      </c>
      <c r="E1124" t="s">
        <v>418</v>
      </c>
      <c r="F1124" s="105" t="s">
        <v>418</v>
      </c>
      <c r="G1124" s="74" t="s">
        <v>400</v>
      </c>
      <c r="H1124" s="71" t="str">
        <f>IF(Proc[[#This Row],[type]]="LFF (MDG-F)",MID(Proc[[#This Row],[Obj]],13,10),"")</f>
        <v/>
      </c>
      <c r="J1124" s="71" t="b">
        <f>Proc[[#This Row],[Requested]]=Proc[[#This Row],[CurrentParent]]</f>
        <v>1</v>
      </c>
      <c r="K1124" s="71" t="str">
        <f>IF(Proc[[#This Row],[Author]]="Marcela Urrego",VLOOKUP(LEFT(Proc[[#This Row],[Requested]],1),Table3[#All],2,0),VLOOKUP(Proc[[#This Row],[Author]],Table4[],2,0))</f>
        <v>MGF</v>
      </c>
      <c r="L1124" s="71" t="s">
        <v>2563</v>
      </c>
      <c r="M1124" s="81">
        <v>45763.611655092594</v>
      </c>
      <c r="N1124" s="81">
        <v>45770</v>
      </c>
      <c r="O1124" s="81">
        <v>45770</v>
      </c>
      <c r="P1124" s="82" t="str">
        <f ca="1">IF(Proc[[#This Row],[DaysAgeing]]&gt;5,"yep","on track")</f>
        <v>on track</v>
      </c>
      <c r="Q1124" s="3">
        <f ca="1">IF(Proc[[#This Row],[DateClosed]]="",ABS(NETWORKDAYS(Proc[[#This Row],[DateOpened]],TODAY()))-1,ABS(NETWORKDAYS(Proc[[#This Row],[DateOpened]],Proc[[#This Row],[DateClosed]]))-1)</f>
        <v>5</v>
      </c>
      <c r="R1124" s="82" t="s">
        <v>1076</v>
      </c>
      <c r="S1124" s="71"/>
    </row>
    <row r="1125" spans="1:19" hidden="1">
      <c r="A1125" s="74" t="s">
        <v>2780</v>
      </c>
      <c r="B1125" s="71" t="str">
        <f>IFERROR(VLOOKUP(Proc[[#This Row],[App]],Table2[],3,0),"open")</f>
        <v>ok</v>
      </c>
      <c r="C1125" s="74" t="s">
        <v>369</v>
      </c>
      <c r="D1125" t="s">
        <v>2782</v>
      </c>
      <c r="E1125" t="s">
        <v>418</v>
      </c>
      <c r="F1125" s="105" t="s">
        <v>418</v>
      </c>
      <c r="G1125" s="74" t="s">
        <v>400</v>
      </c>
      <c r="H1125" s="71" t="str">
        <f>IF(Proc[[#This Row],[type]]="LFF (MDG-F)",MID(Proc[[#This Row],[Obj]],13,10),"")</f>
        <v/>
      </c>
      <c r="J1125" s="71" t="b">
        <f>Proc[[#This Row],[Requested]]=Proc[[#This Row],[CurrentParent]]</f>
        <v>1</v>
      </c>
      <c r="K1125" s="71" t="str">
        <f>IF(Proc[[#This Row],[Author]]="Marcela Urrego",VLOOKUP(LEFT(Proc[[#This Row],[Requested]],1),Table3[#All],2,0),VLOOKUP(Proc[[#This Row],[Author]],Table4[],2,0))</f>
        <v>MGF</v>
      </c>
      <c r="L1125" s="71" t="s">
        <v>2563</v>
      </c>
      <c r="M1125" s="81">
        <v>45763.611655092594</v>
      </c>
      <c r="N1125" s="81">
        <v>45770</v>
      </c>
      <c r="O1125" s="81">
        <v>45770</v>
      </c>
      <c r="P1125" s="82" t="str">
        <f ca="1">IF(Proc[[#This Row],[DaysAgeing]]&gt;5,"yep","on track")</f>
        <v>on track</v>
      </c>
      <c r="Q1125" s="3">
        <f ca="1">IF(Proc[[#This Row],[DateClosed]]="",ABS(NETWORKDAYS(Proc[[#This Row],[DateOpened]],TODAY()))-1,ABS(NETWORKDAYS(Proc[[#This Row],[DateOpened]],Proc[[#This Row],[DateClosed]]))-1)</f>
        <v>5</v>
      </c>
      <c r="R1125" s="82" t="s">
        <v>1076</v>
      </c>
      <c r="S1125" s="71"/>
    </row>
    <row r="1126" spans="1:19" hidden="1">
      <c r="A1126" s="74" t="s">
        <v>2780</v>
      </c>
      <c r="B1126" s="71" t="str">
        <f>IFERROR(VLOOKUP(Proc[[#This Row],[App]],Table2[],3,0),"open")</f>
        <v>ok</v>
      </c>
      <c r="C1126" s="74" t="s">
        <v>369</v>
      </c>
      <c r="D1126" t="s">
        <v>2783</v>
      </c>
      <c r="E1126" t="s">
        <v>418</v>
      </c>
      <c r="F1126" s="105" t="s">
        <v>418</v>
      </c>
      <c r="G1126" s="74" t="s">
        <v>400</v>
      </c>
      <c r="H1126" s="71" t="str">
        <f>IF(Proc[[#This Row],[type]]="LFF (MDG-F)",MID(Proc[[#This Row],[Obj]],13,10),"")</f>
        <v/>
      </c>
      <c r="J1126" s="71" t="b">
        <f>Proc[[#This Row],[Requested]]=Proc[[#This Row],[CurrentParent]]</f>
        <v>1</v>
      </c>
      <c r="K1126" s="71" t="str">
        <f>IF(Proc[[#This Row],[Author]]="Marcela Urrego",VLOOKUP(LEFT(Proc[[#This Row],[Requested]],1),Table3[#All],2,0),VLOOKUP(Proc[[#This Row],[Author]],Table4[],2,0))</f>
        <v>MGF</v>
      </c>
      <c r="L1126" s="71" t="s">
        <v>2563</v>
      </c>
      <c r="M1126" s="81">
        <v>45763.611655092594</v>
      </c>
      <c r="N1126" s="81">
        <v>45770</v>
      </c>
      <c r="O1126" s="81">
        <v>45770</v>
      </c>
      <c r="P1126" s="82" t="str">
        <f ca="1">IF(Proc[[#This Row],[DaysAgeing]]&gt;5,"yep","on track")</f>
        <v>on track</v>
      </c>
      <c r="Q1126" s="3">
        <f ca="1">IF(Proc[[#This Row],[DateClosed]]="",ABS(NETWORKDAYS(Proc[[#This Row],[DateOpened]],TODAY()))-1,ABS(NETWORKDAYS(Proc[[#This Row],[DateOpened]],Proc[[#This Row],[DateClosed]]))-1)</f>
        <v>5</v>
      </c>
      <c r="R1126" s="82" t="s">
        <v>1076</v>
      </c>
      <c r="S1126" s="71"/>
    </row>
    <row r="1127" spans="1:19" hidden="1">
      <c r="A1127" s="74" t="s">
        <v>2780</v>
      </c>
      <c r="B1127" s="71" t="str">
        <f>IFERROR(VLOOKUP(Proc[[#This Row],[App]],Table2[],3,0),"open")</f>
        <v>ok</v>
      </c>
      <c r="C1127" s="74" t="s">
        <v>369</v>
      </c>
      <c r="D1127" t="s">
        <v>2784</v>
      </c>
      <c r="E1127" t="s">
        <v>418</v>
      </c>
      <c r="F1127" s="105" t="s">
        <v>418</v>
      </c>
      <c r="G1127" s="74" t="s">
        <v>400</v>
      </c>
      <c r="H1127" s="71" t="str">
        <f>IF(Proc[[#This Row],[type]]="LFF (MDG-F)",MID(Proc[[#This Row],[Obj]],13,10),"")</f>
        <v/>
      </c>
      <c r="J1127" s="71" t="b">
        <f>Proc[[#This Row],[Requested]]=Proc[[#This Row],[CurrentParent]]</f>
        <v>1</v>
      </c>
      <c r="K1127" s="71" t="str">
        <f>IF(Proc[[#This Row],[Author]]="Marcela Urrego",VLOOKUP(LEFT(Proc[[#This Row],[Requested]],1),Table3[#All],2,0),VLOOKUP(Proc[[#This Row],[Author]],Table4[],2,0))</f>
        <v>MGF</v>
      </c>
      <c r="L1127" s="71" t="s">
        <v>2563</v>
      </c>
      <c r="M1127" s="81">
        <v>45763.611655092594</v>
      </c>
      <c r="N1127" s="81">
        <v>45770</v>
      </c>
      <c r="O1127" s="81">
        <v>45770</v>
      </c>
      <c r="P1127" s="82" t="str">
        <f ca="1">IF(Proc[[#This Row],[DaysAgeing]]&gt;5,"yep","on track")</f>
        <v>on track</v>
      </c>
      <c r="Q1127" s="3">
        <f ca="1">IF(Proc[[#This Row],[DateClosed]]="",ABS(NETWORKDAYS(Proc[[#This Row],[DateOpened]],TODAY()))-1,ABS(NETWORKDAYS(Proc[[#This Row],[DateOpened]],Proc[[#This Row],[DateClosed]]))-1)</f>
        <v>5</v>
      </c>
      <c r="R1127" s="82" t="s">
        <v>1076</v>
      </c>
      <c r="S1127" s="71"/>
    </row>
    <row r="1128" spans="1:19" hidden="1">
      <c r="A1128" s="74" t="s">
        <v>2780</v>
      </c>
      <c r="B1128" s="71" t="str">
        <f>IFERROR(VLOOKUP(Proc[[#This Row],[App]],Table2[],3,0),"open")</f>
        <v>ok</v>
      </c>
      <c r="C1128" s="74" t="s">
        <v>377</v>
      </c>
      <c r="D1128" t="s">
        <v>2785</v>
      </c>
      <c r="E1128" t="s">
        <v>418</v>
      </c>
      <c r="F1128" s="105" t="s">
        <v>418</v>
      </c>
      <c r="G1128" s="74" t="s">
        <v>400</v>
      </c>
      <c r="H1128" s="71" t="str">
        <f>IF(Proc[[#This Row],[type]]="LFF (MDG-F)",MID(Proc[[#This Row],[Obj]],13,10),"")</f>
        <v/>
      </c>
      <c r="J1128" s="71" t="b">
        <f>Proc[[#This Row],[Requested]]=Proc[[#This Row],[CurrentParent]]</f>
        <v>1</v>
      </c>
      <c r="K1128" s="71" t="str">
        <f>IF(Proc[[#This Row],[Author]]="Marcela Urrego",VLOOKUP(LEFT(Proc[[#This Row],[Requested]],1),Table3[#All],2,0),VLOOKUP(Proc[[#This Row],[Author]],Table4[],2,0))</f>
        <v>MGF</v>
      </c>
      <c r="L1128" s="71" t="s">
        <v>2563</v>
      </c>
      <c r="M1128" s="81">
        <v>45763.611655092594</v>
      </c>
      <c r="N1128" s="81"/>
      <c r="O1128" s="81">
        <v>45770</v>
      </c>
      <c r="P1128" s="82" t="str">
        <f ca="1">IF(Proc[[#This Row],[DaysAgeing]]&gt;5,"yep","on track")</f>
        <v>on track</v>
      </c>
      <c r="Q1128" s="3">
        <f ca="1">IF(Proc[[#This Row],[DateClosed]]="",ABS(NETWORKDAYS(Proc[[#This Row],[DateOpened]],TODAY()))-1,ABS(NETWORKDAYS(Proc[[#This Row],[DateOpened]],Proc[[#This Row],[DateClosed]]))-1)</f>
        <v>5</v>
      </c>
      <c r="R1128" s="82" t="s">
        <v>1076</v>
      </c>
      <c r="S1128" s="71"/>
    </row>
    <row r="1129" spans="1:19" hidden="1">
      <c r="A1129" s="74" t="s">
        <v>2780</v>
      </c>
      <c r="B1129" s="71" t="str">
        <f>IFERROR(VLOOKUP(Proc[[#This Row],[App]],Table2[],3,0),"open")</f>
        <v>ok</v>
      </c>
      <c r="C1129" s="74" t="s">
        <v>377</v>
      </c>
      <c r="D1129" t="s">
        <v>2786</v>
      </c>
      <c r="E1129" t="s">
        <v>418</v>
      </c>
      <c r="F1129" s="105" t="s">
        <v>418</v>
      </c>
      <c r="G1129" s="74" t="s">
        <v>400</v>
      </c>
      <c r="H1129" s="71" t="str">
        <f>IF(Proc[[#This Row],[type]]="LFF (MDG-F)",MID(Proc[[#This Row],[Obj]],13,10),"")</f>
        <v/>
      </c>
      <c r="J1129" s="71" t="b">
        <f>Proc[[#This Row],[Requested]]=Proc[[#This Row],[CurrentParent]]</f>
        <v>1</v>
      </c>
      <c r="K1129" s="71" t="str">
        <f>IF(Proc[[#This Row],[Author]]="Marcela Urrego",VLOOKUP(LEFT(Proc[[#This Row],[Requested]],1),Table3[#All],2,0),VLOOKUP(Proc[[#This Row],[Author]],Table4[],2,0))</f>
        <v>MGF</v>
      </c>
      <c r="L1129" s="71" t="s">
        <v>2563</v>
      </c>
      <c r="M1129" s="81">
        <v>45763.611655092594</v>
      </c>
      <c r="N1129" s="81"/>
      <c r="O1129" s="81">
        <v>45770</v>
      </c>
      <c r="P1129" s="82" t="str">
        <f ca="1">IF(Proc[[#This Row],[DaysAgeing]]&gt;5,"yep","on track")</f>
        <v>on track</v>
      </c>
      <c r="Q1129" s="3">
        <f ca="1">IF(Proc[[#This Row],[DateClosed]]="",ABS(NETWORKDAYS(Proc[[#This Row],[DateOpened]],TODAY()))-1,ABS(NETWORKDAYS(Proc[[#This Row],[DateOpened]],Proc[[#This Row],[DateClosed]]))-1)</f>
        <v>5</v>
      </c>
      <c r="R1129" s="82" t="s">
        <v>1076</v>
      </c>
      <c r="S1129" s="71"/>
    </row>
    <row r="1130" spans="1:19" hidden="1">
      <c r="A1130" s="74" t="s">
        <v>2780</v>
      </c>
      <c r="B1130" s="71" t="str">
        <f>IFERROR(VLOOKUP(Proc[[#This Row],[App]],Table2[],3,0),"open")</f>
        <v>ok</v>
      </c>
      <c r="C1130" s="74" t="s">
        <v>377</v>
      </c>
      <c r="D1130" t="s">
        <v>2787</v>
      </c>
      <c r="E1130" t="s">
        <v>418</v>
      </c>
      <c r="F1130" s="105" t="s">
        <v>418</v>
      </c>
      <c r="G1130" s="74" t="s">
        <v>400</v>
      </c>
      <c r="H1130" s="71" t="str">
        <f>IF(Proc[[#This Row],[type]]="LFF (MDG-F)",MID(Proc[[#This Row],[Obj]],13,10),"")</f>
        <v/>
      </c>
      <c r="J1130" s="71" t="b">
        <f>Proc[[#This Row],[Requested]]=Proc[[#This Row],[CurrentParent]]</f>
        <v>1</v>
      </c>
      <c r="K1130" s="71" t="str">
        <f>IF(Proc[[#This Row],[Author]]="Marcela Urrego",VLOOKUP(LEFT(Proc[[#This Row],[Requested]],1),Table3[#All],2,0),VLOOKUP(Proc[[#This Row],[Author]],Table4[],2,0))</f>
        <v>MGF</v>
      </c>
      <c r="L1130" s="71" t="s">
        <v>2563</v>
      </c>
      <c r="M1130" s="81">
        <v>45763.611655092594</v>
      </c>
      <c r="N1130" s="81"/>
      <c r="O1130" s="81">
        <v>45770</v>
      </c>
      <c r="P1130" s="82" t="str">
        <f ca="1">IF(Proc[[#This Row],[DaysAgeing]]&gt;5,"yep","on track")</f>
        <v>on track</v>
      </c>
      <c r="Q1130" s="3">
        <f ca="1">IF(Proc[[#This Row],[DateClosed]]="",ABS(NETWORKDAYS(Proc[[#This Row],[DateOpened]],TODAY()))-1,ABS(NETWORKDAYS(Proc[[#This Row],[DateOpened]],Proc[[#This Row],[DateClosed]]))-1)</f>
        <v>5</v>
      </c>
      <c r="R1130" s="82" t="s">
        <v>1076</v>
      </c>
      <c r="S1130" s="71"/>
    </row>
    <row r="1131" spans="1:19" hidden="1">
      <c r="A1131" s="74" t="s">
        <v>2780</v>
      </c>
      <c r="B1131" s="71" t="str">
        <f>IFERROR(VLOOKUP(Proc[[#This Row],[App]],Table2[],3,0),"open")</f>
        <v>ok</v>
      </c>
      <c r="C1131" s="74" t="s">
        <v>377</v>
      </c>
      <c r="D1131" t="s">
        <v>2788</v>
      </c>
      <c r="E1131" t="s">
        <v>418</v>
      </c>
      <c r="F1131" s="105" t="s">
        <v>418</v>
      </c>
      <c r="G1131" s="74" t="s">
        <v>400</v>
      </c>
      <c r="H1131" s="71" t="str">
        <f>IF(Proc[[#This Row],[type]]="LFF (MDG-F)",MID(Proc[[#This Row],[Obj]],13,10),"")</f>
        <v/>
      </c>
      <c r="J1131" s="71" t="b">
        <f>Proc[[#This Row],[Requested]]=Proc[[#This Row],[CurrentParent]]</f>
        <v>1</v>
      </c>
      <c r="K1131" s="71" t="str">
        <f>IF(Proc[[#This Row],[Author]]="Marcela Urrego",VLOOKUP(LEFT(Proc[[#This Row],[Requested]],1),Table3[#All],2,0),VLOOKUP(Proc[[#This Row],[Author]],Table4[],2,0))</f>
        <v>MGF</v>
      </c>
      <c r="L1131" s="71" t="s">
        <v>2563</v>
      </c>
      <c r="M1131" s="81">
        <v>45763.611655092594</v>
      </c>
      <c r="N1131" s="81"/>
      <c r="O1131" s="81">
        <v>45770</v>
      </c>
      <c r="P1131" s="82" t="str">
        <f ca="1">IF(Proc[[#This Row],[DaysAgeing]]&gt;5,"yep","on track")</f>
        <v>on track</v>
      </c>
      <c r="Q1131" s="3">
        <f ca="1">IF(Proc[[#This Row],[DateClosed]]="",ABS(NETWORKDAYS(Proc[[#This Row],[DateOpened]],TODAY()))-1,ABS(NETWORKDAYS(Proc[[#This Row],[DateOpened]],Proc[[#This Row],[DateClosed]]))-1)</f>
        <v>5</v>
      </c>
      <c r="R1131" s="82" t="s">
        <v>1076</v>
      </c>
      <c r="S1131" s="71"/>
    </row>
    <row r="1132" spans="1:19" hidden="1">
      <c r="A1132" t="s">
        <v>2789</v>
      </c>
      <c r="B1132" s="71" t="str">
        <f>IFERROR(VLOOKUP(Proc[[#This Row],[App]],Table2[],3,0),"open")</f>
        <v>ok</v>
      </c>
      <c r="C1132" s="74" t="s">
        <v>369</v>
      </c>
      <c r="D1132" t="s">
        <v>2790</v>
      </c>
      <c r="E1132" t="s">
        <v>2791</v>
      </c>
      <c r="F1132" s="105" t="s">
        <v>2791</v>
      </c>
      <c r="G1132" t="s">
        <v>406</v>
      </c>
      <c r="H1132" s="71" t="str">
        <f>IF(Proc[[#This Row],[type]]="LFF (MDG-F)",MID(Proc[[#This Row],[Obj]],13,10),"")</f>
        <v>2123OF0027</v>
      </c>
      <c r="I1132" t="s">
        <v>2792</v>
      </c>
      <c r="J1132" s="71" t="b">
        <f>Proc[[#This Row],[Requested]]=Proc[[#This Row],[CurrentParent]]</f>
        <v>1</v>
      </c>
      <c r="K1132" s="71" t="str">
        <f>IF(Proc[[#This Row],[Author]]="Marcela Urrego",VLOOKUP(LEFT(Proc[[#This Row],[Requested]],1),Table3[#All],2,0),VLOOKUP(Proc[[#This Row],[Author]],Table4[],2,0))</f>
        <v>MGF</v>
      </c>
      <c r="L1132" s="71" t="s">
        <v>2563</v>
      </c>
      <c r="M1132" s="81">
        <v>45763.611655092594</v>
      </c>
      <c r="N1132" s="81">
        <v>45770</v>
      </c>
      <c r="O1132" s="81">
        <v>45770</v>
      </c>
      <c r="P1132" s="82" t="str">
        <f ca="1">IF(Proc[[#This Row],[DaysAgeing]]&gt;5,"yep","on track")</f>
        <v>on track</v>
      </c>
      <c r="Q1132" s="3">
        <f ca="1">IF(Proc[[#This Row],[DateClosed]]="",ABS(NETWORKDAYS(Proc[[#This Row],[DateOpened]],TODAY()))-1,ABS(NETWORKDAYS(Proc[[#This Row],[DateOpened]],Proc[[#This Row],[DateClosed]]))-1)</f>
        <v>5</v>
      </c>
      <c r="R1132" s="82" t="s">
        <v>515</v>
      </c>
      <c r="S1132" s="71"/>
    </row>
    <row r="1133" spans="1:19" hidden="1">
      <c r="A1133" t="s">
        <v>2795</v>
      </c>
      <c r="B1133" s="71" t="str">
        <f>IFERROR(VLOOKUP(Proc[[#This Row],[App]],Table2[],3,0),"open")</f>
        <v>ok</v>
      </c>
      <c r="C1133" s="74" t="s">
        <v>369</v>
      </c>
      <c r="D1133" t="s">
        <v>2793</v>
      </c>
      <c r="E1133" t="s">
        <v>2417</v>
      </c>
      <c r="F1133" s="105" t="s">
        <v>2417</v>
      </c>
      <c r="G1133" s="74" t="s">
        <v>400</v>
      </c>
      <c r="H1133" s="71" t="str">
        <f>IF(Proc[[#This Row],[type]]="LFF (MDG-F)",MID(Proc[[#This Row],[Obj]],13,10),"")</f>
        <v/>
      </c>
      <c r="J1133" s="71" t="b">
        <f>Proc[[#This Row],[Requested]]=Proc[[#This Row],[CurrentParent]]</f>
        <v>1</v>
      </c>
      <c r="K1133" s="71" t="str">
        <f>IF(Proc[[#This Row],[Author]]="Marcela Urrego",VLOOKUP(LEFT(Proc[[#This Row],[Requested]],1),Table3[#All],2,0),VLOOKUP(Proc[[#This Row],[Author]],Table4[],2,0))</f>
        <v>MGF</v>
      </c>
      <c r="L1133" s="71" t="s">
        <v>2563</v>
      </c>
      <c r="M1133" s="81">
        <v>45763.415729166663</v>
      </c>
      <c r="N1133" s="81">
        <v>45770</v>
      </c>
      <c r="O1133" s="81">
        <v>45770</v>
      </c>
      <c r="P1133" s="82" t="str">
        <f ca="1">IF(Proc[[#This Row],[DaysAgeing]]&gt;5,"yep","on track")</f>
        <v>on track</v>
      </c>
      <c r="Q1133" s="3">
        <f ca="1">IF(Proc[[#This Row],[DateClosed]]="",ABS(NETWORKDAYS(Proc[[#This Row],[DateOpened]],TODAY()))-1,ABS(NETWORKDAYS(Proc[[#This Row],[DateOpened]],Proc[[#This Row],[DateClosed]]))-1)</f>
        <v>5</v>
      </c>
      <c r="R1133" s="82" t="s">
        <v>515</v>
      </c>
      <c r="S1133" s="71"/>
    </row>
    <row r="1134" spans="1:19" hidden="1">
      <c r="A1134" s="74" t="s">
        <v>2795</v>
      </c>
      <c r="B1134" s="71" t="str">
        <f>IFERROR(VLOOKUP(Proc[[#This Row],[App]],Table2[],3,0),"open")</f>
        <v>ok</v>
      </c>
      <c r="C1134" s="74" t="s">
        <v>369</v>
      </c>
      <c r="D1134" t="s">
        <v>2794</v>
      </c>
      <c r="E1134" t="s">
        <v>2417</v>
      </c>
      <c r="F1134" s="105" t="s">
        <v>2417</v>
      </c>
      <c r="G1134" s="74" t="s">
        <v>400</v>
      </c>
      <c r="H1134" s="71" t="str">
        <f>IF(Proc[[#This Row],[type]]="LFF (MDG-F)",MID(Proc[[#This Row],[Obj]],13,10),"")</f>
        <v/>
      </c>
      <c r="J1134" s="71" t="b">
        <f>Proc[[#This Row],[Requested]]=Proc[[#This Row],[CurrentParent]]</f>
        <v>1</v>
      </c>
      <c r="K1134" s="71" t="str">
        <f>IF(Proc[[#This Row],[Author]]="Marcela Urrego",VLOOKUP(LEFT(Proc[[#This Row],[Requested]],1),Table3[#All],2,0),VLOOKUP(Proc[[#This Row],[Author]],Table4[],2,0))</f>
        <v>MGF</v>
      </c>
      <c r="L1134" s="71" t="s">
        <v>2563</v>
      </c>
      <c r="M1134" s="81">
        <v>45763.415729166663</v>
      </c>
      <c r="N1134" s="81">
        <v>45770</v>
      </c>
      <c r="O1134" s="81">
        <v>45770</v>
      </c>
      <c r="P1134" s="82" t="str">
        <f ca="1">IF(Proc[[#This Row],[DaysAgeing]]&gt;5,"yep","on track")</f>
        <v>on track</v>
      </c>
      <c r="Q1134" s="3">
        <f ca="1">IF(Proc[[#This Row],[DateClosed]]="",ABS(NETWORKDAYS(Proc[[#This Row],[DateOpened]],TODAY()))-1,ABS(NETWORKDAYS(Proc[[#This Row],[DateOpened]],Proc[[#This Row],[DateClosed]]))-1)</f>
        <v>5</v>
      </c>
      <c r="R1134" s="82" t="s">
        <v>515</v>
      </c>
      <c r="S1134" s="71"/>
    </row>
    <row r="1135" spans="1:19" hidden="1">
      <c r="A1135" t="s">
        <v>2796</v>
      </c>
      <c r="B1135" s="71" t="str">
        <f>IFERROR(VLOOKUP(Proc[[#This Row],[App]],Table2[],3,0),"open")</f>
        <v>ok</v>
      </c>
      <c r="C1135" s="74" t="s">
        <v>369</v>
      </c>
      <c r="D1135" s="74" t="s">
        <v>2797</v>
      </c>
      <c r="E1135" t="s">
        <v>2798</v>
      </c>
      <c r="F1135" s="105" t="s">
        <v>2798</v>
      </c>
      <c r="G1135" s="74" t="s">
        <v>400</v>
      </c>
      <c r="H1135" s="71" t="str">
        <f>IF(Proc[[#This Row],[type]]="LFF (MDG-F)",MID(Proc[[#This Row],[Obj]],13,10),"")</f>
        <v/>
      </c>
      <c r="J1135" s="71" t="b">
        <f>Proc[[#This Row],[Requested]]=Proc[[#This Row],[CurrentParent]]</f>
        <v>1</v>
      </c>
      <c r="K1135" s="71" t="str">
        <f>IF(Proc[[#This Row],[Author]]="Marcela Urrego",VLOOKUP(LEFT(Proc[[#This Row],[Requested]],1),Table3[#All],2,0),VLOOKUP(Proc[[#This Row],[Author]],Table4[],2,0))</f>
        <v>MGF</v>
      </c>
      <c r="L1135" s="71" t="s">
        <v>2563</v>
      </c>
      <c r="M1135" s="81">
        <v>45762.764386574076</v>
      </c>
      <c r="N1135" s="81">
        <v>45770</v>
      </c>
      <c r="O1135" s="81">
        <v>45770</v>
      </c>
      <c r="P1135" s="82" t="str">
        <f ca="1">IF(Proc[[#This Row],[DaysAgeing]]&gt;5,"yep","on track")</f>
        <v>yep</v>
      </c>
      <c r="Q1135" s="3">
        <f ca="1">IF(Proc[[#This Row],[DateClosed]]="",ABS(NETWORKDAYS(Proc[[#This Row],[DateOpened]],TODAY()))-1,ABS(NETWORKDAYS(Proc[[#This Row],[DateOpened]],Proc[[#This Row],[DateClosed]]))-1)</f>
        <v>6</v>
      </c>
      <c r="R1135" s="82" t="s">
        <v>515</v>
      </c>
      <c r="S1135" s="71"/>
    </row>
    <row r="1136" spans="1:19" hidden="1">
      <c r="A1136" t="s">
        <v>2800</v>
      </c>
      <c r="B1136" s="71" t="str">
        <f>IFERROR(VLOOKUP(Proc[[#This Row],[App]],Table2[],3,0),"open")</f>
        <v>ok</v>
      </c>
      <c r="C1136" s="74" t="s">
        <v>369</v>
      </c>
      <c r="D1136" t="s">
        <v>2799</v>
      </c>
      <c r="E1136" t="s">
        <v>473</v>
      </c>
      <c r="F1136" s="105" t="s">
        <v>473</v>
      </c>
      <c r="G1136" s="74" t="s">
        <v>400</v>
      </c>
      <c r="H1136" s="71" t="str">
        <f>IF(Proc[[#This Row],[type]]="LFF (MDG-F)",MID(Proc[[#This Row],[Obj]],13,10),"")</f>
        <v/>
      </c>
      <c r="J1136" s="71" t="b">
        <f>Proc[[#This Row],[Requested]]=Proc[[#This Row],[CurrentParent]]</f>
        <v>1</v>
      </c>
      <c r="K1136" s="71" t="str">
        <f>IF(Proc[[#This Row],[Author]]="Marcela Urrego",VLOOKUP(LEFT(Proc[[#This Row],[Requested]],1),Table3[#All],2,0),VLOOKUP(Proc[[#This Row],[Author]],Table4[],2,0))</f>
        <v>MGF</v>
      </c>
      <c r="L1136" s="71" t="s">
        <v>2563</v>
      </c>
      <c r="M1136" s="81">
        <v>45762.624085648145</v>
      </c>
      <c r="N1136" s="81">
        <v>45770</v>
      </c>
      <c r="O1136" s="81">
        <v>45770</v>
      </c>
      <c r="P1136" s="82" t="str">
        <f ca="1">IF(Proc[[#This Row],[DaysAgeing]]&gt;5,"yep","on track")</f>
        <v>yep</v>
      </c>
      <c r="Q1136" s="3">
        <f ca="1">IF(Proc[[#This Row],[DateClosed]]="",ABS(NETWORKDAYS(Proc[[#This Row],[DateOpened]],TODAY()))-1,ABS(NETWORKDAYS(Proc[[#This Row],[DateOpened]],Proc[[#This Row],[DateClosed]]))-1)</f>
        <v>6</v>
      </c>
      <c r="R1136" s="82" t="s">
        <v>515</v>
      </c>
      <c r="S1136" s="71"/>
    </row>
    <row r="1137" spans="1:19" hidden="1">
      <c r="A1137" t="s">
        <v>2801</v>
      </c>
      <c r="B1137" s="71" t="str">
        <f>IFERROR(VLOOKUP(Proc[[#This Row],[App]],Table2[],3,0),"open")</f>
        <v>ok</v>
      </c>
      <c r="C1137" s="74" t="s">
        <v>369</v>
      </c>
      <c r="D1137" t="s">
        <v>2802</v>
      </c>
      <c r="E1137" t="s">
        <v>2592</v>
      </c>
      <c r="F1137" s="105" t="s">
        <v>2592</v>
      </c>
      <c r="G1137" s="74" t="s">
        <v>400</v>
      </c>
      <c r="H1137" s="71" t="str">
        <f>IF(Proc[[#This Row],[type]]="LFF (MDG-F)",MID(Proc[[#This Row],[Obj]],13,10),"")</f>
        <v/>
      </c>
      <c r="J1137" s="71" t="b">
        <f>Proc[[#This Row],[Requested]]=Proc[[#This Row],[CurrentParent]]</f>
        <v>1</v>
      </c>
      <c r="K1137" s="71" t="str">
        <f>IF(Proc[[#This Row],[Author]]="Marcela Urrego",VLOOKUP(LEFT(Proc[[#This Row],[Requested]],1),Table3[#All],2,0),VLOOKUP(Proc[[#This Row],[Author]],Table4[],2,0))</f>
        <v>LS</v>
      </c>
      <c r="L1137" s="71" t="s">
        <v>2563</v>
      </c>
      <c r="M1137" s="81">
        <v>45768.444976851853</v>
      </c>
      <c r="N1137" s="81">
        <v>45770</v>
      </c>
      <c r="O1137" s="81">
        <v>45770</v>
      </c>
      <c r="P1137" s="82" t="str">
        <f ca="1">IF(Proc[[#This Row],[DaysAgeing]]&gt;5,"yep","on track")</f>
        <v>on track</v>
      </c>
      <c r="Q1137" s="3">
        <f ca="1">IF(Proc[[#This Row],[DateClosed]]="",ABS(NETWORKDAYS(Proc[[#This Row],[DateOpened]],TODAY()))-1,ABS(NETWORKDAYS(Proc[[#This Row],[DateOpened]],Proc[[#This Row],[DateClosed]]))-1)</f>
        <v>2</v>
      </c>
      <c r="R1137" s="82" t="s">
        <v>972</v>
      </c>
      <c r="S1137" s="71"/>
    </row>
    <row r="1138" spans="1:19" hidden="1">
      <c r="A1138" s="74" t="s">
        <v>2801</v>
      </c>
      <c r="B1138" s="71" t="str">
        <f>IFERROR(VLOOKUP(Proc[[#This Row],[App]],Table2[],3,0),"open")</f>
        <v>ok</v>
      </c>
      <c r="C1138" s="74" t="s">
        <v>377</v>
      </c>
      <c r="D1138" t="s">
        <v>2803</v>
      </c>
      <c r="E1138" t="s">
        <v>2811</v>
      </c>
      <c r="F1138" s="105" t="s">
        <v>2811</v>
      </c>
      <c r="G1138" s="74" t="s">
        <v>406</v>
      </c>
      <c r="H1138" s="71" t="str">
        <f>IF(Proc[[#This Row],[type]]="LFF (MDG-F)",MID(Proc[[#This Row],[Obj]],13,10),"")</f>
        <v>2102TPSZ93</v>
      </c>
      <c r="I1138" t="s">
        <v>822</v>
      </c>
      <c r="J1138" s="71" t="b">
        <f>Proc[[#This Row],[Requested]]=Proc[[#This Row],[CurrentParent]]</f>
        <v>1</v>
      </c>
      <c r="K1138" s="71" t="str">
        <f>IF(Proc[[#This Row],[Author]]="Marcela Urrego",VLOOKUP(LEFT(Proc[[#This Row],[Requested]],1),Table3[#All],2,0),VLOOKUP(Proc[[#This Row],[Author]],Table4[],2,0))</f>
        <v>LS</v>
      </c>
      <c r="L1138" s="71" t="s">
        <v>2563</v>
      </c>
      <c r="M1138" s="81">
        <v>45768.444976851853</v>
      </c>
      <c r="N1138" s="81"/>
      <c r="O1138" s="81">
        <v>45770</v>
      </c>
      <c r="P1138" s="82" t="str">
        <f ca="1">IF(Proc[[#This Row],[DaysAgeing]]&gt;5,"yep","on track")</f>
        <v>on track</v>
      </c>
      <c r="Q1138" s="3">
        <f ca="1">IF(Proc[[#This Row],[DateClosed]]="",ABS(NETWORKDAYS(Proc[[#This Row],[DateOpened]],TODAY()))-1,ABS(NETWORKDAYS(Proc[[#This Row],[DateOpened]],Proc[[#This Row],[DateClosed]]))-1)</f>
        <v>2</v>
      </c>
      <c r="R1138" s="82" t="s">
        <v>972</v>
      </c>
      <c r="S1138" s="71"/>
    </row>
    <row r="1139" spans="1:19" hidden="1">
      <c r="A1139" s="74" t="s">
        <v>2801</v>
      </c>
      <c r="B1139" s="71" t="str">
        <f>IFERROR(VLOOKUP(Proc[[#This Row],[App]],Table2[],3,0),"open")</f>
        <v>ok</v>
      </c>
      <c r="C1139" s="74" t="s">
        <v>369</v>
      </c>
      <c r="D1139" t="s">
        <v>2804</v>
      </c>
      <c r="E1139" t="s">
        <v>2812</v>
      </c>
      <c r="F1139" s="105" t="s">
        <v>2812</v>
      </c>
      <c r="G1139" s="74" t="s">
        <v>400</v>
      </c>
      <c r="H1139" s="71" t="str">
        <f>IF(Proc[[#This Row],[type]]="LFF (MDG-F)",MID(Proc[[#This Row],[Obj]],13,10),"")</f>
        <v/>
      </c>
      <c r="J1139" s="71" t="b">
        <f>Proc[[#This Row],[Requested]]=Proc[[#This Row],[CurrentParent]]</f>
        <v>1</v>
      </c>
      <c r="K1139" s="71" t="str">
        <f>IF(Proc[[#This Row],[Author]]="Marcela Urrego",VLOOKUP(LEFT(Proc[[#This Row],[Requested]],1),Table3[#All],2,0),VLOOKUP(Proc[[#This Row],[Author]],Table4[],2,0))</f>
        <v>LS</v>
      </c>
      <c r="L1139" s="71" t="s">
        <v>2563</v>
      </c>
      <c r="M1139" s="81">
        <v>45768.444976851853</v>
      </c>
      <c r="N1139" s="81">
        <v>45770</v>
      </c>
      <c r="O1139" s="81">
        <v>45770</v>
      </c>
      <c r="P1139" s="82" t="str">
        <f ca="1">IF(Proc[[#This Row],[DaysAgeing]]&gt;5,"yep","on track")</f>
        <v>on track</v>
      </c>
      <c r="Q1139" s="3">
        <f ca="1">IF(Proc[[#This Row],[DateClosed]]="",ABS(NETWORKDAYS(Proc[[#This Row],[DateOpened]],TODAY()))-1,ABS(NETWORKDAYS(Proc[[#This Row],[DateOpened]],Proc[[#This Row],[DateClosed]]))-1)</f>
        <v>2</v>
      </c>
      <c r="R1139" s="82" t="s">
        <v>972</v>
      </c>
      <c r="S1139" s="71"/>
    </row>
    <row r="1140" spans="1:19" hidden="1">
      <c r="A1140" s="74" t="s">
        <v>2801</v>
      </c>
      <c r="B1140" s="71" t="str">
        <f>IFERROR(VLOOKUP(Proc[[#This Row],[App]],Table2[],3,0),"open")</f>
        <v>ok</v>
      </c>
      <c r="C1140" s="74" t="s">
        <v>369</v>
      </c>
      <c r="D1140" t="s">
        <v>2805</v>
      </c>
      <c r="E1140" t="s">
        <v>2813</v>
      </c>
      <c r="F1140" s="105" t="s">
        <v>2813</v>
      </c>
      <c r="G1140" s="74" t="s">
        <v>400</v>
      </c>
      <c r="H1140" s="71" t="str">
        <f>IF(Proc[[#This Row],[type]]="LFF (MDG-F)",MID(Proc[[#This Row],[Obj]],13,10),"")</f>
        <v/>
      </c>
      <c r="J1140" s="71" t="b">
        <f>Proc[[#This Row],[Requested]]=Proc[[#This Row],[CurrentParent]]</f>
        <v>1</v>
      </c>
      <c r="K1140" s="71" t="str">
        <f>IF(Proc[[#This Row],[Author]]="Marcela Urrego",VLOOKUP(LEFT(Proc[[#This Row],[Requested]],1),Table3[#All],2,0),VLOOKUP(Proc[[#This Row],[Author]],Table4[],2,0))</f>
        <v>LS</v>
      </c>
      <c r="L1140" s="71" t="s">
        <v>2563</v>
      </c>
      <c r="M1140" s="81">
        <v>45768.444976851853</v>
      </c>
      <c r="N1140" s="81">
        <v>45770</v>
      </c>
      <c r="O1140" s="81">
        <v>45770</v>
      </c>
      <c r="P1140" s="82" t="str">
        <f ca="1">IF(Proc[[#This Row],[DaysAgeing]]&gt;5,"yep","on track")</f>
        <v>on track</v>
      </c>
      <c r="Q1140" s="3">
        <f ca="1">IF(Proc[[#This Row],[DateClosed]]="",ABS(NETWORKDAYS(Proc[[#This Row],[DateOpened]],TODAY()))-1,ABS(NETWORKDAYS(Proc[[#This Row],[DateOpened]],Proc[[#This Row],[DateClosed]]))-1)</f>
        <v>2</v>
      </c>
      <c r="R1140" s="82" t="s">
        <v>972</v>
      </c>
      <c r="S1140" s="71"/>
    </row>
    <row r="1141" spans="1:19" hidden="1">
      <c r="A1141" s="74" t="s">
        <v>2801</v>
      </c>
      <c r="B1141" s="71" t="str">
        <f>IFERROR(VLOOKUP(Proc[[#This Row],[App]],Table2[],3,0),"open")</f>
        <v>ok</v>
      </c>
      <c r="C1141" s="74" t="s">
        <v>369</v>
      </c>
      <c r="D1141" t="s">
        <v>2806</v>
      </c>
      <c r="E1141" t="s">
        <v>2813</v>
      </c>
      <c r="F1141" s="105" t="s">
        <v>2813</v>
      </c>
      <c r="G1141" s="74" t="s">
        <v>400</v>
      </c>
      <c r="H1141" s="71" t="str">
        <f>IF(Proc[[#This Row],[type]]="LFF (MDG-F)",MID(Proc[[#This Row],[Obj]],13,10),"")</f>
        <v/>
      </c>
      <c r="J1141" s="71" t="b">
        <f>Proc[[#This Row],[Requested]]=Proc[[#This Row],[CurrentParent]]</f>
        <v>1</v>
      </c>
      <c r="K1141" s="71" t="str">
        <f>IF(Proc[[#This Row],[Author]]="Marcela Urrego",VLOOKUP(LEFT(Proc[[#This Row],[Requested]],1),Table3[#All],2,0),VLOOKUP(Proc[[#This Row],[Author]],Table4[],2,0))</f>
        <v>LS</v>
      </c>
      <c r="L1141" s="71" t="s">
        <v>2563</v>
      </c>
      <c r="M1141" s="81">
        <v>45768.444976851853</v>
      </c>
      <c r="N1141" s="81">
        <v>45770</v>
      </c>
      <c r="O1141" s="81">
        <v>45770</v>
      </c>
      <c r="P1141" s="82" t="str">
        <f ca="1">IF(Proc[[#This Row],[DaysAgeing]]&gt;5,"yep","on track")</f>
        <v>on track</v>
      </c>
      <c r="Q1141" s="3">
        <f ca="1">IF(Proc[[#This Row],[DateClosed]]="",ABS(NETWORKDAYS(Proc[[#This Row],[DateOpened]],TODAY()))-1,ABS(NETWORKDAYS(Proc[[#This Row],[DateOpened]],Proc[[#This Row],[DateClosed]]))-1)</f>
        <v>2</v>
      </c>
      <c r="R1141" s="82" t="s">
        <v>972</v>
      </c>
      <c r="S1141" s="71"/>
    </row>
    <row r="1142" spans="1:19" hidden="1">
      <c r="A1142" s="74" t="s">
        <v>2801</v>
      </c>
      <c r="B1142" s="71" t="str">
        <f>IFERROR(VLOOKUP(Proc[[#This Row],[App]],Table2[],3,0),"open")</f>
        <v>ok</v>
      </c>
      <c r="C1142" s="74" t="s">
        <v>369</v>
      </c>
      <c r="D1142" t="s">
        <v>2807</v>
      </c>
      <c r="E1142" t="s">
        <v>2814</v>
      </c>
      <c r="F1142" s="105" t="s">
        <v>2814</v>
      </c>
      <c r="G1142" s="74" t="s">
        <v>400</v>
      </c>
      <c r="H1142" s="71" t="str">
        <f>IF(Proc[[#This Row],[type]]="LFF (MDG-F)",MID(Proc[[#This Row],[Obj]],13,10),"")</f>
        <v/>
      </c>
      <c r="J1142" s="71" t="b">
        <f>Proc[[#This Row],[Requested]]=Proc[[#This Row],[CurrentParent]]</f>
        <v>1</v>
      </c>
      <c r="K1142" s="71" t="str">
        <f>IF(Proc[[#This Row],[Author]]="Marcela Urrego",VLOOKUP(LEFT(Proc[[#This Row],[Requested]],1),Table3[#All],2,0),VLOOKUP(Proc[[#This Row],[Author]],Table4[],2,0))</f>
        <v>LS</v>
      </c>
      <c r="L1142" s="71" t="s">
        <v>2563</v>
      </c>
      <c r="M1142" s="81">
        <v>45768.444976851853</v>
      </c>
      <c r="N1142" s="81">
        <v>45770</v>
      </c>
      <c r="O1142" s="81">
        <v>45770</v>
      </c>
      <c r="P1142" s="82" t="str">
        <f ca="1">IF(Proc[[#This Row],[DaysAgeing]]&gt;5,"yep","on track")</f>
        <v>on track</v>
      </c>
      <c r="Q1142" s="3">
        <f ca="1">IF(Proc[[#This Row],[DateClosed]]="",ABS(NETWORKDAYS(Proc[[#This Row],[DateOpened]],TODAY()))-1,ABS(NETWORKDAYS(Proc[[#This Row],[DateOpened]],Proc[[#This Row],[DateClosed]]))-1)</f>
        <v>2</v>
      </c>
      <c r="R1142" s="82" t="s">
        <v>972</v>
      </c>
      <c r="S1142" s="71"/>
    </row>
    <row r="1143" spans="1:19" hidden="1">
      <c r="A1143" s="74" t="s">
        <v>2801</v>
      </c>
      <c r="B1143" s="71" t="str">
        <f>IFERROR(VLOOKUP(Proc[[#This Row],[App]],Table2[],3,0),"open")</f>
        <v>ok</v>
      </c>
      <c r="C1143" s="74" t="s">
        <v>369</v>
      </c>
      <c r="D1143" t="s">
        <v>2808</v>
      </c>
      <c r="E1143" t="s">
        <v>2376</v>
      </c>
      <c r="F1143" s="105" t="s">
        <v>2376</v>
      </c>
      <c r="G1143" s="74" t="s">
        <v>400</v>
      </c>
      <c r="H1143" s="71" t="str">
        <f>IF(Proc[[#This Row],[type]]="LFF (MDG-F)",MID(Proc[[#This Row],[Obj]],13,10),"")</f>
        <v/>
      </c>
      <c r="J1143" s="71" t="b">
        <f>Proc[[#This Row],[Requested]]=Proc[[#This Row],[CurrentParent]]</f>
        <v>1</v>
      </c>
      <c r="K1143" s="71" t="str">
        <f>IF(Proc[[#This Row],[Author]]="Marcela Urrego",VLOOKUP(LEFT(Proc[[#This Row],[Requested]],1),Table3[#All],2,0),VLOOKUP(Proc[[#This Row],[Author]],Table4[],2,0))</f>
        <v>LS</v>
      </c>
      <c r="L1143" s="71" t="s">
        <v>2563</v>
      </c>
      <c r="M1143" s="81">
        <v>45768.444976851853</v>
      </c>
      <c r="N1143" s="81">
        <v>45770</v>
      </c>
      <c r="O1143" s="81">
        <v>45770</v>
      </c>
      <c r="P1143" s="82" t="str">
        <f ca="1">IF(Proc[[#This Row],[DaysAgeing]]&gt;5,"yep","on track")</f>
        <v>on track</v>
      </c>
      <c r="Q1143" s="3">
        <f ca="1">IF(Proc[[#This Row],[DateClosed]]="",ABS(NETWORKDAYS(Proc[[#This Row],[DateOpened]],TODAY()))-1,ABS(NETWORKDAYS(Proc[[#This Row],[DateOpened]],Proc[[#This Row],[DateClosed]]))-1)</f>
        <v>2</v>
      </c>
      <c r="R1143" s="82" t="s">
        <v>972</v>
      </c>
      <c r="S1143" s="71"/>
    </row>
    <row r="1144" spans="1:19" hidden="1">
      <c r="A1144" s="74" t="s">
        <v>2801</v>
      </c>
      <c r="B1144" s="71" t="str">
        <f>IFERROR(VLOOKUP(Proc[[#This Row],[App]],Table2[],3,0),"open")</f>
        <v>ok</v>
      </c>
      <c r="C1144" s="74" t="s">
        <v>369</v>
      </c>
      <c r="D1144" t="s">
        <v>2809</v>
      </c>
      <c r="E1144" t="s">
        <v>2376</v>
      </c>
      <c r="F1144" s="105" t="s">
        <v>2376</v>
      </c>
      <c r="G1144" s="74" t="s">
        <v>400</v>
      </c>
      <c r="H1144" s="71" t="str">
        <f>IF(Proc[[#This Row],[type]]="LFF (MDG-F)",MID(Proc[[#This Row],[Obj]],13,10),"")</f>
        <v/>
      </c>
      <c r="J1144" s="71" t="b">
        <f>Proc[[#This Row],[Requested]]=Proc[[#This Row],[CurrentParent]]</f>
        <v>1</v>
      </c>
      <c r="K1144" s="71" t="str">
        <f>IF(Proc[[#This Row],[Author]]="Marcela Urrego",VLOOKUP(LEFT(Proc[[#This Row],[Requested]],1),Table3[#All],2,0),VLOOKUP(Proc[[#This Row],[Author]],Table4[],2,0))</f>
        <v>LS</v>
      </c>
      <c r="L1144" s="71" t="s">
        <v>2563</v>
      </c>
      <c r="M1144" s="81">
        <v>45768.444976851853</v>
      </c>
      <c r="N1144" s="81">
        <v>45770</v>
      </c>
      <c r="O1144" s="81">
        <v>45770</v>
      </c>
      <c r="P1144" s="82" t="str">
        <f ca="1">IF(Proc[[#This Row],[DaysAgeing]]&gt;5,"yep","on track")</f>
        <v>on track</v>
      </c>
      <c r="Q1144" s="3">
        <f ca="1">IF(Proc[[#This Row],[DateClosed]]="",ABS(NETWORKDAYS(Proc[[#This Row],[DateOpened]],TODAY()))-1,ABS(NETWORKDAYS(Proc[[#This Row],[DateOpened]],Proc[[#This Row],[DateClosed]]))-1)</f>
        <v>2</v>
      </c>
      <c r="R1144" s="82" t="s">
        <v>972</v>
      </c>
      <c r="S1144" s="71"/>
    </row>
    <row r="1145" spans="1:19" hidden="1">
      <c r="A1145" s="74" t="s">
        <v>2801</v>
      </c>
      <c r="B1145" s="71" t="str">
        <f>IFERROR(VLOOKUP(Proc[[#This Row],[App]],Table2[],3,0),"open")</f>
        <v>ok</v>
      </c>
      <c r="C1145" s="74" t="s">
        <v>369</v>
      </c>
      <c r="D1145" t="s">
        <v>2810</v>
      </c>
      <c r="E1145" t="s">
        <v>2376</v>
      </c>
      <c r="F1145" s="105" t="s">
        <v>2376</v>
      </c>
      <c r="G1145" s="74" t="s">
        <v>400</v>
      </c>
      <c r="H1145" s="71" t="str">
        <f>IF(Proc[[#This Row],[type]]="LFF (MDG-F)",MID(Proc[[#This Row],[Obj]],13,10),"")</f>
        <v/>
      </c>
      <c r="J1145" s="71" t="b">
        <f>Proc[[#This Row],[Requested]]=Proc[[#This Row],[CurrentParent]]</f>
        <v>1</v>
      </c>
      <c r="K1145" s="71" t="str">
        <f>IF(Proc[[#This Row],[Author]]="Marcela Urrego",VLOOKUP(LEFT(Proc[[#This Row],[Requested]],1),Table3[#All],2,0),VLOOKUP(Proc[[#This Row],[Author]],Table4[],2,0))</f>
        <v>LS</v>
      </c>
      <c r="L1145" s="71" t="s">
        <v>2563</v>
      </c>
      <c r="M1145" s="81">
        <v>45768.444976851853</v>
      </c>
      <c r="N1145" s="81">
        <v>45770</v>
      </c>
      <c r="O1145" s="81">
        <v>45770</v>
      </c>
      <c r="P1145" s="82" t="str">
        <f ca="1">IF(Proc[[#This Row],[DaysAgeing]]&gt;5,"yep","on track")</f>
        <v>on track</v>
      </c>
      <c r="Q1145" s="3">
        <f ca="1">IF(Proc[[#This Row],[DateClosed]]="",ABS(NETWORKDAYS(Proc[[#This Row],[DateOpened]],TODAY()))-1,ABS(NETWORKDAYS(Proc[[#This Row],[DateOpened]],Proc[[#This Row],[DateClosed]]))-1)</f>
        <v>2</v>
      </c>
      <c r="R1145" s="82" t="s">
        <v>972</v>
      </c>
      <c r="S1145" s="71"/>
    </row>
    <row r="1146" spans="1:19" hidden="1">
      <c r="A1146" s="74" t="s">
        <v>2801</v>
      </c>
      <c r="B1146" s="71" t="str">
        <f>IFERROR(VLOOKUP(Proc[[#This Row],[App]],Table2[],3,0),"open")</f>
        <v>ok</v>
      </c>
      <c r="C1146" s="74" t="s">
        <v>369</v>
      </c>
      <c r="D1146" t="s">
        <v>2817</v>
      </c>
      <c r="E1146" t="s">
        <v>2815</v>
      </c>
      <c r="F1146" s="105" t="s">
        <v>2815</v>
      </c>
      <c r="G1146" s="74" t="s">
        <v>400</v>
      </c>
      <c r="H1146" s="71" t="str">
        <f>IF(Proc[[#This Row],[type]]="LFF (MDG-F)",MID(Proc[[#This Row],[Obj]],13,10),"")</f>
        <v/>
      </c>
      <c r="J1146" s="71" t="b">
        <f>Proc[[#This Row],[Requested]]=Proc[[#This Row],[CurrentParent]]</f>
        <v>1</v>
      </c>
      <c r="K1146" s="71" t="str">
        <f>IF(Proc[[#This Row],[Author]]="Marcela Urrego",VLOOKUP(LEFT(Proc[[#This Row],[Requested]],1),Table3[#All],2,0),VLOOKUP(Proc[[#This Row],[Author]],Table4[],2,0))</f>
        <v>LS</v>
      </c>
      <c r="L1146" s="71" t="s">
        <v>2563</v>
      </c>
      <c r="M1146" s="81">
        <v>45768.444976851853</v>
      </c>
      <c r="N1146" s="81">
        <v>45770</v>
      </c>
      <c r="O1146" s="81">
        <v>45770</v>
      </c>
      <c r="P1146" s="82" t="str">
        <f ca="1">IF(Proc[[#This Row],[DaysAgeing]]&gt;5,"yep","on track")</f>
        <v>on track</v>
      </c>
      <c r="Q1146" s="3">
        <f ca="1">IF(Proc[[#This Row],[DateClosed]]="",ABS(NETWORKDAYS(Proc[[#This Row],[DateOpened]],TODAY()))-1,ABS(NETWORKDAYS(Proc[[#This Row],[DateOpened]],Proc[[#This Row],[DateClosed]]))-1)</f>
        <v>2</v>
      </c>
      <c r="R1146" s="82" t="s">
        <v>972</v>
      </c>
      <c r="S1146" s="71"/>
    </row>
    <row r="1147" spans="1:19" hidden="1">
      <c r="A1147" t="s">
        <v>2820</v>
      </c>
      <c r="B1147" s="71" t="str">
        <f>IFERROR(VLOOKUP(Proc[[#This Row],[App]],Table2[],3,0),"open")</f>
        <v>ok</v>
      </c>
      <c r="C1147" s="74" t="s">
        <v>369</v>
      </c>
      <c r="D1147" t="s">
        <v>2819</v>
      </c>
      <c r="E1147" t="s">
        <v>413</v>
      </c>
      <c r="F1147" s="105" t="s">
        <v>413</v>
      </c>
      <c r="G1147" s="74" t="s">
        <v>400</v>
      </c>
      <c r="H1147" s="71" t="str">
        <f>IF(Proc[[#This Row],[type]]="LFF (MDG-F)",MID(Proc[[#This Row],[Obj]],13,10),"")</f>
        <v/>
      </c>
      <c r="J1147" s="71" t="b">
        <f>Proc[[#This Row],[Requested]]=Proc[[#This Row],[CurrentParent]]</f>
        <v>1</v>
      </c>
      <c r="K1147" s="71" t="str">
        <f>IF(Proc[[#This Row],[Author]]="Marcela Urrego",VLOOKUP(LEFT(Proc[[#This Row],[Requested]],1),Table3[#All],2,0),VLOOKUP(Proc[[#This Row],[Author]],Table4[],2,0))</f>
        <v>HC</v>
      </c>
      <c r="L1147" s="71" t="s">
        <v>2563</v>
      </c>
      <c r="M1147" s="81">
        <v>45769.308611111112</v>
      </c>
      <c r="N1147" s="81">
        <v>45770</v>
      </c>
      <c r="O1147" s="81">
        <v>45770</v>
      </c>
      <c r="P1147" s="82" t="str">
        <f ca="1">IF(Proc[[#This Row],[DaysAgeing]]&gt;5,"yep","on track")</f>
        <v>on track</v>
      </c>
      <c r="Q1147" s="3">
        <f ca="1">IF(Proc[[#This Row],[DateClosed]]="",ABS(NETWORKDAYS(Proc[[#This Row],[DateOpened]],TODAY()))-1,ABS(NETWORKDAYS(Proc[[#This Row],[DateOpened]],Proc[[#This Row],[DateClosed]]))-1)</f>
        <v>1</v>
      </c>
      <c r="R1147" s="82" t="s">
        <v>955</v>
      </c>
      <c r="S1147" s="71"/>
    </row>
    <row r="1148" spans="1:19" hidden="1">
      <c r="A1148" t="s">
        <v>2827</v>
      </c>
      <c r="B1148" s="71" t="str">
        <f>IFERROR(VLOOKUP(Proc[[#This Row],[App]],Table2[],3,0),"open")</f>
        <v>ok</v>
      </c>
      <c r="C1148" t="s">
        <v>369</v>
      </c>
      <c r="D1148" t="s">
        <v>2821</v>
      </c>
      <c r="E1148" t="s">
        <v>2825</v>
      </c>
      <c r="F1148" s="105" t="s">
        <v>2825</v>
      </c>
      <c r="G1148" t="s">
        <v>406</v>
      </c>
      <c r="H1148" s="71" t="str">
        <f>IF(Proc[[#This Row],[type]]="LFF (MDG-F)",MID(Proc[[#This Row],[Obj]],13,10),"")</f>
        <v>AE50R0GR11</v>
      </c>
      <c r="I1148" t="s">
        <v>2831</v>
      </c>
      <c r="J1148" s="71" t="b">
        <f>Proc[[#This Row],[Requested]]=Proc[[#This Row],[CurrentParent]]</f>
        <v>1</v>
      </c>
      <c r="K1148" s="71" t="str">
        <f>IF(Proc[[#This Row],[Author]]="Marcela Urrego",VLOOKUP(LEFT(Proc[[#This Row],[Requested]],1),Table3[#All],2,0),VLOOKUP(Proc[[#This Row],[Author]],Table4[],2,0))</f>
        <v>HC</v>
      </c>
      <c r="L1148" s="71" t="s">
        <v>2563</v>
      </c>
      <c r="M1148" s="81">
        <v>45770.381412037037</v>
      </c>
      <c r="N1148" s="81">
        <v>45772</v>
      </c>
      <c r="O1148" s="81">
        <v>45772</v>
      </c>
      <c r="P1148" s="82" t="str">
        <f ca="1">IF(Proc[[#This Row],[DaysAgeing]]&gt;5,"yep","on track")</f>
        <v>on track</v>
      </c>
      <c r="Q1148" s="3">
        <f ca="1">IF(Proc[[#This Row],[DateClosed]]="",ABS(NETWORKDAYS(Proc[[#This Row],[DateOpened]],TODAY()))-1,ABS(NETWORKDAYS(Proc[[#This Row],[DateOpened]],Proc[[#This Row],[DateClosed]]))-1)</f>
        <v>2</v>
      </c>
      <c r="R1148" s="82" t="s">
        <v>415</v>
      </c>
      <c r="S1148" s="71"/>
    </row>
    <row r="1149" spans="1:19" hidden="1">
      <c r="A1149" s="74" t="s">
        <v>2827</v>
      </c>
      <c r="B1149" s="71" t="str">
        <f>IFERROR(VLOOKUP(Proc[[#This Row],[App]],Table2[],3,0),"open")</f>
        <v>ok</v>
      </c>
      <c r="C1149" s="74" t="s">
        <v>369</v>
      </c>
      <c r="D1149" t="s">
        <v>2822</v>
      </c>
      <c r="E1149" t="s">
        <v>2826</v>
      </c>
      <c r="F1149" s="105" t="s">
        <v>2826</v>
      </c>
      <c r="G1149" s="74" t="s">
        <v>400</v>
      </c>
      <c r="H1149" s="71" t="str">
        <f>IF(Proc[[#This Row],[type]]="LFF (MDG-F)",MID(Proc[[#This Row],[Obj]],13,10),"")</f>
        <v/>
      </c>
      <c r="J1149" s="71" t="b">
        <f>Proc[[#This Row],[Requested]]=Proc[[#This Row],[CurrentParent]]</f>
        <v>1</v>
      </c>
      <c r="K1149" s="71" t="str">
        <f>IF(Proc[[#This Row],[Author]]="Marcela Urrego",VLOOKUP(LEFT(Proc[[#This Row],[Requested]],1),Table3[#All],2,0),VLOOKUP(Proc[[#This Row],[Author]],Table4[],2,0))</f>
        <v>HC</v>
      </c>
      <c r="L1149" s="71" t="s">
        <v>2563</v>
      </c>
      <c r="M1149" s="81">
        <v>45770.381412037037</v>
      </c>
      <c r="N1149" s="81">
        <v>45772</v>
      </c>
      <c r="O1149" s="81">
        <v>45772</v>
      </c>
      <c r="P1149" s="82" t="str">
        <f ca="1">IF(Proc[[#This Row],[DaysAgeing]]&gt;5,"yep","on track")</f>
        <v>on track</v>
      </c>
      <c r="Q1149" s="3">
        <f ca="1">IF(Proc[[#This Row],[DateClosed]]="",ABS(NETWORKDAYS(Proc[[#This Row],[DateOpened]],TODAY()))-1,ABS(NETWORKDAYS(Proc[[#This Row],[DateOpened]],Proc[[#This Row],[DateClosed]]))-1)</f>
        <v>2</v>
      </c>
      <c r="R1149" s="82" t="s">
        <v>415</v>
      </c>
      <c r="S1149" s="71"/>
    </row>
    <row r="1150" spans="1:19" hidden="1">
      <c r="A1150" s="74" t="s">
        <v>2827</v>
      </c>
      <c r="B1150" s="71" t="str">
        <f>IFERROR(VLOOKUP(Proc[[#This Row],[App]],Table2[],3,0),"open")</f>
        <v>ok</v>
      </c>
      <c r="C1150" s="74" t="s">
        <v>369</v>
      </c>
      <c r="D1150" t="s">
        <v>2823</v>
      </c>
      <c r="E1150" t="s">
        <v>2826</v>
      </c>
      <c r="F1150" s="105" t="s">
        <v>2826</v>
      </c>
      <c r="G1150" s="74" t="s">
        <v>400</v>
      </c>
      <c r="H1150" s="71" t="str">
        <f>IF(Proc[[#This Row],[type]]="LFF (MDG-F)",MID(Proc[[#This Row],[Obj]],13,10),"")</f>
        <v/>
      </c>
      <c r="J1150" s="71" t="b">
        <f>Proc[[#This Row],[Requested]]=Proc[[#This Row],[CurrentParent]]</f>
        <v>1</v>
      </c>
      <c r="K1150" s="71" t="str">
        <f>IF(Proc[[#This Row],[Author]]="Marcela Urrego",VLOOKUP(LEFT(Proc[[#This Row],[Requested]],1),Table3[#All],2,0),VLOOKUP(Proc[[#This Row],[Author]],Table4[],2,0))</f>
        <v>HC</v>
      </c>
      <c r="L1150" s="71" t="s">
        <v>2563</v>
      </c>
      <c r="M1150" s="81">
        <v>45770.381412037037</v>
      </c>
      <c r="N1150" s="81">
        <v>45772</v>
      </c>
      <c r="O1150" s="81">
        <v>45772</v>
      </c>
      <c r="P1150" s="82" t="str">
        <f ca="1">IF(Proc[[#This Row],[DaysAgeing]]&gt;5,"yep","on track")</f>
        <v>on track</v>
      </c>
      <c r="Q1150" s="3">
        <f ca="1">IF(Proc[[#This Row],[DateClosed]]="",ABS(NETWORKDAYS(Proc[[#This Row],[DateOpened]],TODAY()))-1,ABS(NETWORKDAYS(Proc[[#This Row],[DateOpened]],Proc[[#This Row],[DateClosed]]))-1)</f>
        <v>2</v>
      </c>
      <c r="R1150" s="82" t="s">
        <v>415</v>
      </c>
      <c r="S1150" s="71"/>
    </row>
    <row r="1151" spans="1:19" hidden="1">
      <c r="A1151" s="74" t="s">
        <v>2827</v>
      </c>
      <c r="B1151" s="71" t="str">
        <f>IFERROR(VLOOKUP(Proc[[#This Row],[App]],Table2[],3,0),"open")</f>
        <v>ok</v>
      </c>
      <c r="C1151" s="74" t="s">
        <v>369</v>
      </c>
      <c r="D1151" t="s">
        <v>2824</v>
      </c>
      <c r="E1151" t="s">
        <v>2826</v>
      </c>
      <c r="F1151" s="105" t="s">
        <v>2826</v>
      </c>
      <c r="G1151" s="74" t="s">
        <v>400</v>
      </c>
      <c r="H1151" s="71" t="str">
        <f>IF(Proc[[#This Row],[type]]="LFF (MDG-F)",MID(Proc[[#This Row],[Obj]],13,10),"")</f>
        <v/>
      </c>
      <c r="J1151" s="71" t="b">
        <f>Proc[[#This Row],[Requested]]=Proc[[#This Row],[CurrentParent]]</f>
        <v>1</v>
      </c>
      <c r="K1151" s="71" t="str">
        <f>IF(Proc[[#This Row],[Author]]="Marcela Urrego",VLOOKUP(LEFT(Proc[[#This Row],[Requested]],1),Table3[#All],2,0),VLOOKUP(Proc[[#This Row],[Author]],Table4[],2,0))</f>
        <v>HC</v>
      </c>
      <c r="L1151" s="71" t="s">
        <v>2563</v>
      </c>
      <c r="M1151" s="81">
        <v>45770.381412037037</v>
      </c>
      <c r="N1151" s="81">
        <v>45772</v>
      </c>
      <c r="O1151" s="81">
        <v>45772</v>
      </c>
      <c r="P1151" s="82" t="str">
        <f ca="1">IF(Proc[[#This Row],[DaysAgeing]]&gt;5,"yep","on track")</f>
        <v>on track</v>
      </c>
      <c r="Q1151" s="3">
        <f ca="1">IF(Proc[[#This Row],[DateClosed]]="",ABS(NETWORKDAYS(Proc[[#This Row],[DateOpened]],TODAY()))-1,ABS(NETWORKDAYS(Proc[[#This Row],[DateOpened]],Proc[[#This Row],[DateClosed]]))-1)</f>
        <v>2</v>
      </c>
      <c r="R1151" s="82" t="s">
        <v>415</v>
      </c>
      <c r="S1151" s="71"/>
    </row>
    <row r="1152" spans="1:19" hidden="1">
      <c r="A1152" t="s">
        <v>2830</v>
      </c>
      <c r="B1152" s="71" t="str">
        <f>IFERROR(VLOOKUP(Proc[[#This Row],[App]],Table2[],3,0),"open")</f>
        <v>ok</v>
      </c>
      <c r="C1152" s="74" t="s">
        <v>369</v>
      </c>
      <c r="D1152" t="s">
        <v>2799</v>
      </c>
      <c r="E1152" t="s">
        <v>473</v>
      </c>
      <c r="F1152" s="105" t="s">
        <v>473</v>
      </c>
      <c r="G1152" s="74" t="s">
        <v>400</v>
      </c>
      <c r="H1152" s="71" t="str">
        <f>IF(Proc[[#This Row],[type]]="LFF (MDG-F)",MID(Proc[[#This Row],[Obj]],13,10),"")</f>
        <v/>
      </c>
      <c r="I1152" t="s">
        <v>1198</v>
      </c>
      <c r="J1152" s="71" t="b">
        <f>Proc[[#This Row],[Requested]]=Proc[[#This Row],[CurrentParent]]</f>
        <v>1</v>
      </c>
      <c r="K1152" s="71" t="str">
        <f>IF(Proc[[#This Row],[Author]]="Marcela Urrego",VLOOKUP(LEFT(Proc[[#This Row],[Requested]],1),Table3[#All],2,0),VLOOKUP(Proc[[#This Row],[Author]],Table4[],2,0))</f>
        <v>MGF</v>
      </c>
      <c r="L1152" s="71" t="s">
        <v>2563</v>
      </c>
      <c r="M1152" s="81">
        <v>45769.638298611113</v>
      </c>
      <c r="N1152" s="81"/>
      <c r="O1152" s="81"/>
      <c r="P1152" s="82" t="str">
        <f ca="1">IF(Proc[[#This Row],[DaysAgeing]]&gt;5,"yep","on track")</f>
        <v>yep</v>
      </c>
      <c r="Q1152" s="3">
        <f ca="1">IF(Proc[[#This Row],[DateClosed]]="",ABS(NETWORKDAYS(Proc[[#This Row],[DateOpened]],TODAY()))-1,ABS(NETWORKDAYS(Proc[[#This Row],[DateOpened]],Proc[[#This Row],[DateClosed]]))-1)</f>
        <v>50</v>
      </c>
      <c r="R1152" s="82" t="s">
        <v>515</v>
      </c>
      <c r="S1152" s="71"/>
    </row>
    <row r="1153" spans="1:19" hidden="1">
      <c r="A1153" s="74" t="s">
        <v>2830</v>
      </c>
      <c r="B1153" s="71" t="str">
        <f>IFERROR(VLOOKUP(Proc[[#This Row],[App]],Table2[],3,0),"open")</f>
        <v>ok</v>
      </c>
      <c r="C1153" s="74" t="s">
        <v>369</v>
      </c>
      <c r="D1153" t="s">
        <v>2828</v>
      </c>
      <c r="E1153" t="s">
        <v>2505</v>
      </c>
      <c r="F1153" s="105" t="s">
        <v>2505</v>
      </c>
      <c r="G1153" s="74" t="s">
        <v>400</v>
      </c>
      <c r="H1153" s="71" t="str">
        <f>IF(Proc[[#This Row],[type]]="LFF (MDG-F)",MID(Proc[[#This Row],[Obj]],13,10),"")</f>
        <v/>
      </c>
      <c r="J1153" s="71" t="b">
        <f>Proc[[#This Row],[Requested]]=Proc[[#This Row],[CurrentParent]]</f>
        <v>1</v>
      </c>
      <c r="K1153" s="71" t="str">
        <f>IF(Proc[[#This Row],[Author]]="Marcela Urrego",VLOOKUP(LEFT(Proc[[#This Row],[Requested]],1),Table3[#All],2,0),VLOOKUP(Proc[[#This Row],[Author]],Table4[],2,0))</f>
        <v>MGF</v>
      </c>
      <c r="L1153" s="71" t="s">
        <v>2563</v>
      </c>
      <c r="M1153" s="81">
        <v>45769.638298611113</v>
      </c>
      <c r="N1153" s="81">
        <v>45772</v>
      </c>
      <c r="O1153" s="81">
        <v>45772</v>
      </c>
      <c r="P1153" s="82" t="str">
        <f ca="1">IF(Proc[[#This Row],[DaysAgeing]]&gt;5,"yep","on track")</f>
        <v>on track</v>
      </c>
      <c r="Q1153" s="3">
        <f ca="1">IF(Proc[[#This Row],[DateClosed]]="",ABS(NETWORKDAYS(Proc[[#This Row],[DateOpened]],TODAY()))-1,ABS(NETWORKDAYS(Proc[[#This Row],[DateOpened]],Proc[[#This Row],[DateClosed]]))-1)</f>
        <v>3</v>
      </c>
      <c r="R1153" s="82" t="s">
        <v>515</v>
      </c>
      <c r="S1153" s="71"/>
    </row>
    <row r="1154" spans="1:19" hidden="1">
      <c r="A1154" s="74" t="s">
        <v>2830</v>
      </c>
      <c r="B1154" s="71" t="str">
        <f>IFERROR(VLOOKUP(Proc[[#This Row],[App]],Table2[],3,0),"open")</f>
        <v>ok</v>
      </c>
      <c r="C1154" s="74" t="s">
        <v>369</v>
      </c>
      <c r="D1154" t="s">
        <v>2829</v>
      </c>
      <c r="E1154" t="s">
        <v>2607</v>
      </c>
      <c r="F1154" s="105" t="s">
        <v>2607</v>
      </c>
      <c r="G1154" s="74" t="s">
        <v>400</v>
      </c>
      <c r="H1154" s="71" t="str">
        <f>IF(Proc[[#This Row],[type]]="LFF (MDG-F)",MID(Proc[[#This Row],[Obj]],13,10),"")</f>
        <v/>
      </c>
      <c r="J1154" s="71" t="b">
        <f>Proc[[#This Row],[Requested]]=Proc[[#This Row],[CurrentParent]]</f>
        <v>1</v>
      </c>
      <c r="K1154" s="71" t="str">
        <f>IF(Proc[[#This Row],[Author]]="Marcela Urrego",VLOOKUP(LEFT(Proc[[#This Row],[Requested]],1),Table3[#All],2,0),VLOOKUP(Proc[[#This Row],[Author]],Table4[],2,0))</f>
        <v>MGF</v>
      </c>
      <c r="L1154" s="71" t="s">
        <v>2563</v>
      </c>
      <c r="M1154" s="81">
        <v>45769.638298611113</v>
      </c>
      <c r="N1154" s="81">
        <v>45772</v>
      </c>
      <c r="O1154" s="81">
        <v>45772</v>
      </c>
      <c r="P1154" s="82" t="str">
        <f ca="1">IF(Proc[[#This Row],[DaysAgeing]]&gt;5,"yep","on track")</f>
        <v>on track</v>
      </c>
      <c r="Q1154" s="3">
        <f ca="1">IF(Proc[[#This Row],[DateClosed]]="",ABS(NETWORKDAYS(Proc[[#This Row],[DateOpened]],TODAY()))-1,ABS(NETWORKDAYS(Proc[[#This Row],[DateOpened]],Proc[[#This Row],[DateClosed]]))-1)</f>
        <v>3</v>
      </c>
      <c r="R1154" s="82" t="s">
        <v>515</v>
      </c>
      <c r="S1154" s="71"/>
    </row>
    <row r="1155" spans="1:19" hidden="1">
      <c r="A1155" t="s">
        <v>2832</v>
      </c>
      <c r="B1155" s="71" t="str">
        <f>IFERROR(VLOOKUP(Proc[[#This Row],[App]],Table2[],3,0),"open")</f>
        <v>ok</v>
      </c>
      <c r="C1155" s="74" t="s">
        <v>369</v>
      </c>
      <c r="D1155" t="s">
        <v>2833</v>
      </c>
      <c r="E1155" t="s">
        <v>2840</v>
      </c>
      <c r="F1155" s="105" t="s">
        <v>2840</v>
      </c>
      <c r="G1155" s="74" t="s">
        <v>400</v>
      </c>
      <c r="H1155" s="71" t="str">
        <f>IF(Proc[[#This Row],[type]]="LFF (MDG-F)",MID(Proc[[#This Row],[Obj]],13,10),"")</f>
        <v/>
      </c>
      <c r="J1155" s="71" t="b">
        <f>Proc[[#This Row],[Requested]]=Proc[[#This Row],[CurrentParent]]</f>
        <v>1</v>
      </c>
      <c r="K1155" s="71" t="str">
        <f>IF(Proc[[#This Row],[Author]]="Marcela Urrego",VLOOKUP(LEFT(Proc[[#This Row],[Requested]],1),Table3[#All],2,0),VLOOKUP(Proc[[#This Row],[Author]],Table4[],2,0))</f>
        <v>LS</v>
      </c>
      <c r="L1155" s="71" t="s">
        <v>2563</v>
      </c>
      <c r="M1155" s="81">
        <v>45772.348194444443</v>
      </c>
      <c r="N1155" s="81">
        <v>45775</v>
      </c>
      <c r="O1155" s="81">
        <v>45775</v>
      </c>
      <c r="P1155" s="82" t="str">
        <f ca="1">IF(Proc[[#This Row],[DaysAgeing]]&gt;5,"yep","on track")</f>
        <v>on track</v>
      </c>
      <c r="Q1155" s="3">
        <f ca="1">IF(Proc[[#This Row],[DateClosed]]="",ABS(NETWORKDAYS(Proc[[#This Row],[DateOpened]],TODAY()))-1,ABS(NETWORKDAYS(Proc[[#This Row],[DateOpened]],Proc[[#This Row],[DateClosed]]))-1)</f>
        <v>1</v>
      </c>
      <c r="R1155" s="82" t="s">
        <v>489</v>
      </c>
      <c r="S1155" s="71"/>
    </row>
    <row r="1156" spans="1:19" hidden="1">
      <c r="A1156" s="74" t="s">
        <v>2832</v>
      </c>
      <c r="B1156" s="71" t="str">
        <f>IFERROR(VLOOKUP(Proc[[#This Row],[App]],Table2[],3,0),"open")</f>
        <v>ok</v>
      </c>
      <c r="C1156" s="74" t="s">
        <v>369</v>
      </c>
      <c r="D1156" t="s">
        <v>2834</v>
      </c>
      <c r="E1156" t="s">
        <v>2841</v>
      </c>
      <c r="F1156" s="105" t="s">
        <v>2841</v>
      </c>
      <c r="G1156" s="74" t="s">
        <v>400</v>
      </c>
      <c r="H1156" s="71" t="str">
        <f>IF(Proc[[#This Row],[type]]="LFF (MDG-F)",MID(Proc[[#This Row],[Obj]],13,10),"")</f>
        <v/>
      </c>
      <c r="J1156" s="71" t="b">
        <f>Proc[[#This Row],[Requested]]=Proc[[#This Row],[CurrentParent]]</f>
        <v>1</v>
      </c>
      <c r="K1156" s="71" t="str">
        <f>IF(Proc[[#This Row],[Author]]="Marcela Urrego",VLOOKUP(LEFT(Proc[[#This Row],[Requested]],1),Table3[#All],2,0),VLOOKUP(Proc[[#This Row],[Author]],Table4[],2,0))</f>
        <v>LS</v>
      </c>
      <c r="L1156" s="71" t="s">
        <v>2563</v>
      </c>
      <c r="M1156" s="81">
        <v>45772.348194444443</v>
      </c>
      <c r="N1156" s="81">
        <v>45775</v>
      </c>
      <c r="O1156" s="81">
        <v>45775</v>
      </c>
      <c r="P1156" s="82" t="str">
        <f ca="1">IF(Proc[[#This Row],[DaysAgeing]]&gt;5,"yep","on track")</f>
        <v>on track</v>
      </c>
      <c r="Q1156" s="3">
        <f ca="1">IF(Proc[[#This Row],[DateClosed]]="",ABS(NETWORKDAYS(Proc[[#This Row],[DateOpened]],TODAY()))-1,ABS(NETWORKDAYS(Proc[[#This Row],[DateOpened]],Proc[[#This Row],[DateClosed]]))-1)</f>
        <v>1</v>
      </c>
      <c r="R1156" s="82" t="s">
        <v>489</v>
      </c>
      <c r="S1156" s="71"/>
    </row>
    <row r="1157" spans="1:19" hidden="1">
      <c r="A1157" s="74" t="s">
        <v>2832</v>
      </c>
      <c r="B1157" s="71" t="str">
        <f>IFERROR(VLOOKUP(Proc[[#This Row],[App]],Table2[],3,0),"open")</f>
        <v>ok</v>
      </c>
      <c r="C1157" s="74" t="s">
        <v>369</v>
      </c>
      <c r="D1157" t="s">
        <v>2835</v>
      </c>
      <c r="E1157" t="s">
        <v>2842</v>
      </c>
      <c r="F1157" s="105" t="s">
        <v>2842</v>
      </c>
      <c r="G1157" s="74" t="s">
        <v>400</v>
      </c>
      <c r="H1157" s="71" t="str">
        <f>IF(Proc[[#This Row],[type]]="LFF (MDG-F)",MID(Proc[[#This Row],[Obj]],13,10),"")</f>
        <v/>
      </c>
      <c r="J1157" s="71" t="b">
        <f>Proc[[#This Row],[Requested]]=Proc[[#This Row],[CurrentParent]]</f>
        <v>1</v>
      </c>
      <c r="K1157" s="71" t="str">
        <f>IF(Proc[[#This Row],[Author]]="Marcela Urrego",VLOOKUP(LEFT(Proc[[#This Row],[Requested]],1),Table3[#All],2,0),VLOOKUP(Proc[[#This Row],[Author]],Table4[],2,0))</f>
        <v>LS</v>
      </c>
      <c r="L1157" s="71" t="s">
        <v>2563</v>
      </c>
      <c r="M1157" s="81">
        <v>45772.348194444443</v>
      </c>
      <c r="N1157" s="81">
        <v>45775</v>
      </c>
      <c r="O1157" s="81">
        <v>45775</v>
      </c>
      <c r="P1157" s="82" t="str">
        <f ca="1">IF(Proc[[#This Row],[DaysAgeing]]&gt;5,"yep","on track")</f>
        <v>on track</v>
      </c>
      <c r="Q1157" s="3">
        <f ca="1">IF(Proc[[#This Row],[DateClosed]]="",ABS(NETWORKDAYS(Proc[[#This Row],[DateOpened]],TODAY()))-1,ABS(NETWORKDAYS(Proc[[#This Row],[DateOpened]],Proc[[#This Row],[DateClosed]]))-1)</f>
        <v>1</v>
      </c>
      <c r="R1157" s="82" t="s">
        <v>489</v>
      </c>
      <c r="S1157" s="71"/>
    </row>
    <row r="1158" spans="1:19" hidden="1">
      <c r="A1158" s="74" t="s">
        <v>2832</v>
      </c>
      <c r="B1158" s="71" t="str">
        <f>IFERROR(VLOOKUP(Proc[[#This Row],[App]],Table2[],3,0),"open")</f>
        <v>ok</v>
      </c>
      <c r="C1158" s="74" t="s">
        <v>369</v>
      </c>
      <c r="D1158" t="s">
        <v>2836</v>
      </c>
      <c r="E1158" t="s">
        <v>2843</v>
      </c>
      <c r="F1158" s="105" t="s">
        <v>2843</v>
      </c>
      <c r="G1158" s="74" t="s">
        <v>400</v>
      </c>
      <c r="H1158" s="71" t="str">
        <f>IF(Proc[[#This Row],[type]]="LFF (MDG-F)",MID(Proc[[#This Row],[Obj]],13,10),"")</f>
        <v/>
      </c>
      <c r="J1158" s="71" t="b">
        <f>Proc[[#This Row],[Requested]]=Proc[[#This Row],[CurrentParent]]</f>
        <v>1</v>
      </c>
      <c r="K1158" s="71" t="str">
        <f>IF(Proc[[#This Row],[Author]]="Marcela Urrego",VLOOKUP(LEFT(Proc[[#This Row],[Requested]],1),Table3[#All],2,0),VLOOKUP(Proc[[#This Row],[Author]],Table4[],2,0))</f>
        <v>LS</v>
      </c>
      <c r="L1158" s="71" t="s">
        <v>2563</v>
      </c>
      <c r="M1158" s="81">
        <v>45772.348194444443</v>
      </c>
      <c r="N1158" s="81">
        <v>45775</v>
      </c>
      <c r="O1158" s="81">
        <v>45775</v>
      </c>
      <c r="P1158" s="82" t="str">
        <f ca="1">IF(Proc[[#This Row],[DaysAgeing]]&gt;5,"yep","on track")</f>
        <v>on track</v>
      </c>
      <c r="Q1158" s="3">
        <f ca="1">IF(Proc[[#This Row],[DateClosed]]="",ABS(NETWORKDAYS(Proc[[#This Row],[DateOpened]],TODAY()))-1,ABS(NETWORKDAYS(Proc[[#This Row],[DateOpened]],Proc[[#This Row],[DateClosed]]))-1)</f>
        <v>1</v>
      </c>
      <c r="R1158" s="82" t="s">
        <v>489</v>
      </c>
      <c r="S1158" s="71"/>
    </row>
    <row r="1159" spans="1:19" hidden="1">
      <c r="A1159" s="74" t="s">
        <v>2832</v>
      </c>
      <c r="B1159" s="71" t="str">
        <f>IFERROR(VLOOKUP(Proc[[#This Row],[App]],Table2[],3,0),"open")</f>
        <v>ok</v>
      </c>
      <c r="C1159" s="74" t="s">
        <v>369</v>
      </c>
      <c r="D1159" t="s">
        <v>2837</v>
      </c>
      <c r="E1159" t="s">
        <v>2841</v>
      </c>
      <c r="F1159" s="105" t="s">
        <v>2841</v>
      </c>
      <c r="G1159" s="74" t="s">
        <v>400</v>
      </c>
      <c r="H1159" s="71" t="str">
        <f>IF(Proc[[#This Row],[type]]="LFF (MDG-F)",MID(Proc[[#This Row],[Obj]],13,10),"")</f>
        <v/>
      </c>
      <c r="J1159" s="71" t="b">
        <f>Proc[[#This Row],[Requested]]=Proc[[#This Row],[CurrentParent]]</f>
        <v>1</v>
      </c>
      <c r="K1159" s="71" t="str">
        <f>IF(Proc[[#This Row],[Author]]="Marcela Urrego",VLOOKUP(LEFT(Proc[[#This Row],[Requested]],1),Table3[#All],2,0),VLOOKUP(Proc[[#This Row],[Author]],Table4[],2,0))</f>
        <v>LS</v>
      </c>
      <c r="L1159" s="71" t="s">
        <v>2563</v>
      </c>
      <c r="M1159" s="81">
        <v>45772.348194444443</v>
      </c>
      <c r="N1159" s="81">
        <v>45775</v>
      </c>
      <c r="O1159" s="81">
        <v>45775</v>
      </c>
      <c r="P1159" s="82" t="str">
        <f ca="1">IF(Proc[[#This Row],[DaysAgeing]]&gt;5,"yep","on track")</f>
        <v>on track</v>
      </c>
      <c r="Q1159" s="3">
        <f ca="1">IF(Proc[[#This Row],[DateClosed]]="",ABS(NETWORKDAYS(Proc[[#This Row],[DateOpened]],TODAY()))-1,ABS(NETWORKDAYS(Proc[[#This Row],[DateOpened]],Proc[[#This Row],[DateClosed]]))-1)</f>
        <v>1</v>
      </c>
      <c r="R1159" s="82" t="s">
        <v>489</v>
      </c>
      <c r="S1159" s="71"/>
    </row>
    <row r="1160" spans="1:19" hidden="1">
      <c r="A1160" s="74" t="s">
        <v>2832</v>
      </c>
      <c r="B1160" s="71" t="str">
        <f>IFERROR(VLOOKUP(Proc[[#This Row],[App]],Table2[],3,0),"open")</f>
        <v>ok</v>
      </c>
      <c r="C1160" s="74" t="s">
        <v>369</v>
      </c>
      <c r="D1160" t="s">
        <v>2838</v>
      </c>
      <c r="E1160" t="s">
        <v>2842</v>
      </c>
      <c r="F1160" s="105" t="s">
        <v>2842</v>
      </c>
      <c r="G1160" s="74" t="s">
        <v>400</v>
      </c>
      <c r="H1160" s="71" t="str">
        <f>IF(Proc[[#This Row],[type]]="LFF (MDG-F)",MID(Proc[[#This Row],[Obj]],13,10),"")</f>
        <v/>
      </c>
      <c r="J1160" s="71" t="b">
        <f>Proc[[#This Row],[Requested]]=Proc[[#This Row],[CurrentParent]]</f>
        <v>1</v>
      </c>
      <c r="K1160" s="71" t="str">
        <f>IF(Proc[[#This Row],[Author]]="Marcela Urrego",VLOOKUP(LEFT(Proc[[#This Row],[Requested]],1),Table3[#All],2,0),VLOOKUP(Proc[[#This Row],[Author]],Table4[],2,0))</f>
        <v>LS</v>
      </c>
      <c r="L1160" s="71" t="s">
        <v>2563</v>
      </c>
      <c r="M1160" s="81">
        <v>45772.348194444443</v>
      </c>
      <c r="N1160" s="81">
        <v>45775</v>
      </c>
      <c r="O1160" s="81">
        <v>45775</v>
      </c>
      <c r="P1160" s="82" t="str">
        <f ca="1">IF(Proc[[#This Row],[DaysAgeing]]&gt;5,"yep","on track")</f>
        <v>on track</v>
      </c>
      <c r="Q1160" s="3">
        <f ca="1">IF(Proc[[#This Row],[DateClosed]]="",ABS(NETWORKDAYS(Proc[[#This Row],[DateOpened]],TODAY()))-1,ABS(NETWORKDAYS(Proc[[#This Row],[DateOpened]],Proc[[#This Row],[DateClosed]]))-1)</f>
        <v>1</v>
      </c>
      <c r="R1160" s="82" t="s">
        <v>489</v>
      </c>
      <c r="S1160" s="71"/>
    </row>
    <row r="1161" spans="1:19" hidden="1">
      <c r="A1161" s="74" t="s">
        <v>2832</v>
      </c>
      <c r="B1161" s="71" t="str">
        <f>IFERROR(VLOOKUP(Proc[[#This Row],[App]],Table2[],3,0),"open")</f>
        <v>ok</v>
      </c>
      <c r="C1161" s="74" t="s">
        <v>369</v>
      </c>
      <c r="D1161" t="s">
        <v>2839</v>
      </c>
      <c r="E1161" t="s">
        <v>2843</v>
      </c>
      <c r="F1161" s="105" t="s">
        <v>2843</v>
      </c>
      <c r="G1161" s="74" t="s">
        <v>400</v>
      </c>
      <c r="H1161" s="71" t="str">
        <f>IF(Proc[[#This Row],[type]]="LFF (MDG-F)",MID(Proc[[#This Row],[Obj]],13,10),"")</f>
        <v/>
      </c>
      <c r="J1161" s="71" t="b">
        <f>Proc[[#This Row],[Requested]]=Proc[[#This Row],[CurrentParent]]</f>
        <v>1</v>
      </c>
      <c r="K1161" s="71" t="str">
        <f>IF(Proc[[#This Row],[Author]]="Marcela Urrego",VLOOKUP(LEFT(Proc[[#This Row],[Requested]],1),Table3[#All],2,0),VLOOKUP(Proc[[#This Row],[Author]],Table4[],2,0))</f>
        <v>LS</v>
      </c>
      <c r="L1161" s="71" t="s">
        <v>2563</v>
      </c>
      <c r="M1161" s="81">
        <v>45772.348194444443</v>
      </c>
      <c r="N1161" s="81">
        <v>45775</v>
      </c>
      <c r="O1161" s="81">
        <v>45775</v>
      </c>
      <c r="P1161" s="82" t="str">
        <f ca="1">IF(Proc[[#This Row],[DaysAgeing]]&gt;5,"yep","on track")</f>
        <v>on track</v>
      </c>
      <c r="Q1161" s="3">
        <f ca="1">IF(Proc[[#This Row],[DateClosed]]="",ABS(NETWORKDAYS(Proc[[#This Row],[DateOpened]],TODAY()))-1,ABS(NETWORKDAYS(Proc[[#This Row],[DateOpened]],Proc[[#This Row],[DateClosed]]))-1)</f>
        <v>1</v>
      </c>
      <c r="R1161" s="82" t="s">
        <v>489</v>
      </c>
      <c r="S1161" s="71"/>
    </row>
    <row r="1162" spans="1:19" hidden="1">
      <c r="A1162" t="s">
        <v>2844</v>
      </c>
      <c r="B1162" s="71" t="str">
        <f>IFERROR(VLOOKUP(Proc[[#This Row],[App]],Table2[],3,0),"open")</f>
        <v>ok</v>
      </c>
      <c r="C1162" s="74" t="s">
        <v>369</v>
      </c>
      <c r="D1162" t="s">
        <v>2845</v>
      </c>
      <c r="E1162" t="s">
        <v>2846</v>
      </c>
      <c r="F1162" s="105" t="s">
        <v>2846</v>
      </c>
      <c r="G1162" s="74" t="s">
        <v>400</v>
      </c>
      <c r="H1162" s="71" t="str">
        <f>IF(Proc[[#This Row],[type]]="LFF (MDG-F)",MID(Proc[[#This Row],[Obj]],13,10),"")</f>
        <v/>
      </c>
      <c r="J1162" s="71" t="b">
        <f>Proc[[#This Row],[Requested]]=Proc[[#This Row],[CurrentParent]]</f>
        <v>1</v>
      </c>
      <c r="K1162" s="71" t="str">
        <f>IF(Proc[[#This Row],[Author]]="Marcela Urrego",VLOOKUP(LEFT(Proc[[#This Row],[Requested]],1),Table3[#All],2,0),VLOOKUP(Proc[[#This Row],[Author]],Table4[],2,0))</f>
        <v>MGF</v>
      </c>
      <c r="L1162" s="71" t="s">
        <v>2563</v>
      </c>
      <c r="M1162" s="81">
        <v>45771.599537037036</v>
      </c>
      <c r="N1162" s="81">
        <v>45775</v>
      </c>
      <c r="O1162" s="81">
        <v>45775</v>
      </c>
      <c r="P1162" s="82" t="str">
        <f ca="1">IF(Proc[[#This Row],[DaysAgeing]]&gt;5,"yep","on track")</f>
        <v>on track</v>
      </c>
      <c r="Q1162" s="3">
        <f ca="1">IF(Proc[[#This Row],[DateClosed]]="",ABS(NETWORKDAYS(Proc[[#This Row],[DateOpened]],TODAY()))-1,ABS(NETWORKDAYS(Proc[[#This Row],[DateOpened]],Proc[[#This Row],[DateClosed]]))-1)</f>
        <v>2</v>
      </c>
      <c r="R1162" s="82" t="s">
        <v>515</v>
      </c>
      <c r="S1162" s="71"/>
    </row>
    <row r="1163" spans="1:19" hidden="1">
      <c r="A1163" t="s">
        <v>2847</v>
      </c>
      <c r="B1163" s="71" t="str">
        <f>IFERROR(VLOOKUP(Proc[[#This Row],[App]],Table2[],3,0),"open")</f>
        <v>ok</v>
      </c>
      <c r="C1163" s="74" t="s">
        <v>369</v>
      </c>
      <c r="D1163" t="s">
        <v>2848</v>
      </c>
      <c r="E1163" t="s">
        <v>2854</v>
      </c>
      <c r="F1163" s="105" t="s">
        <v>2854</v>
      </c>
      <c r="G1163" t="s">
        <v>406</v>
      </c>
      <c r="H1163" s="71" t="str">
        <f>IF(Proc[[#This Row],[type]]="LFF (MDG-F)",MID(Proc[[#This Row],[Obj]],13,10),"")</f>
        <v>CH65R00020</v>
      </c>
      <c r="I1163" t="s">
        <v>2855</v>
      </c>
      <c r="J1163" s="71" t="b">
        <f>Proc[[#This Row],[Requested]]=Proc[[#This Row],[CurrentParent]]</f>
        <v>1</v>
      </c>
      <c r="K1163" s="71" t="str">
        <f>IF(Proc[[#This Row],[Author]]="Marcela Urrego",VLOOKUP(LEFT(Proc[[#This Row],[Requested]],1),Table3[#All],2,0),VLOOKUP(Proc[[#This Row],[Author]],Table4[],2,0))</f>
        <v>HC</v>
      </c>
      <c r="L1163" s="71" t="s">
        <v>2563</v>
      </c>
      <c r="M1163" s="81">
        <v>45771.413831018515</v>
      </c>
      <c r="N1163" s="81">
        <v>45776</v>
      </c>
      <c r="O1163" s="81">
        <v>45776</v>
      </c>
      <c r="P1163" s="82" t="str">
        <f ca="1">IF(Proc[[#This Row],[DaysAgeing]]&gt;5,"yep","on track")</f>
        <v>on track</v>
      </c>
      <c r="Q1163" s="3">
        <f ca="1">IF(Proc[[#This Row],[DateClosed]]="",ABS(NETWORKDAYS(Proc[[#This Row],[DateOpened]],TODAY()))-1,ABS(NETWORKDAYS(Proc[[#This Row],[DateOpened]],Proc[[#This Row],[DateClosed]]))-1)</f>
        <v>3</v>
      </c>
      <c r="R1163" s="82" t="s">
        <v>415</v>
      </c>
      <c r="S1163" s="71"/>
    </row>
    <row r="1164" spans="1:19" hidden="1">
      <c r="A1164" s="74" t="s">
        <v>2847</v>
      </c>
      <c r="B1164" s="71" t="str">
        <f>IFERROR(VLOOKUP(Proc[[#This Row],[App]],Table2[],3,0),"open")</f>
        <v>ok</v>
      </c>
      <c r="C1164" s="74" t="s">
        <v>369</v>
      </c>
      <c r="D1164" t="s">
        <v>2849</v>
      </c>
      <c r="E1164" t="s">
        <v>2854</v>
      </c>
      <c r="F1164" s="105" t="s">
        <v>2854</v>
      </c>
      <c r="G1164" s="74" t="s">
        <v>406</v>
      </c>
      <c r="H1164" s="71" t="str">
        <f>IF(Proc[[#This Row],[type]]="LFF (MDG-F)",MID(Proc[[#This Row],[Obj]],13,10),"")</f>
        <v>CH65R00048</v>
      </c>
      <c r="I1164" s="74" t="s">
        <v>2855</v>
      </c>
      <c r="J1164" s="71" t="b">
        <f>Proc[[#This Row],[Requested]]=Proc[[#This Row],[CurrentParent]]</f>
        <v>1</v>
      </c>
      <c r="K1164" s="71" t="str">
        <f>IF(Proc[[#This Row],[Author]]="Marcela Urrego",VLOOKUP(LEFT(Proc[[#This Row],[Requested]],1),Table3[#All],2,0),VLOOKUP(Proc[[#This Row],[Author]],Table4[],2,0))</f>
        <v>HC</v>
      </c>
      <c r="L1164" s="71" t="s">
        <v>2563</v>
      </c>
      <c r="M1164" s="81">
        <v>45771.413831018515</v>
      </c>
      <c r="N1164" s="81">
        <v>45776</v>
      </c>
      <c r="O1164" s="81">
        <v>45776</v>
      </c>
      <c r="P1164" s="82" t="str">
        <f ca="1">IF(Proc[[#This Row],[DaysAgeing]]&gt;5,"yep","on track")</f>
        <v>on track</v>
      </c>
      <c r="Q1164" s="3">
        <f ca="1">IF(Proc[[#This Row],[DateClosed]]="",ABS(NETWORKDAYS(Proc[[#This Row],[DateOpened]],TODAY()))-1,ABS(NETWORKDAYS(Proc[[#This Row],[DateOpened]],Proc[[#This Row],[DateClosed]]))-1)</f>
        <v>3</v>
      </c>
      <c r="R1164" s="82" t="s">
        <v>415</v>
      </c>
      <c r="S1164" s="71"/>
    </row>
    <row r="1165" spans="1:19" hidden="1">
      <c r="A1165" s="74" t="s">
        <v>2847</v>
      </c>
      <c r="B1165" s="71" t="str">
        <f>IFERROR(VLOOKUP(Proc[[#This Row],[App]],Table2[],3,0),"open")</f>
        <v>ok</v>
      </c>
      <c r="C1165" s="74" t="s">
        <v>369</v>
      </c>
      <c r="D1165" t="s">
        <v>2850</v>
      </c>
      <c r="E1165" t="s">
        <v>2854</v>
      </c>
      <c r="F1165" s="105" t="s">
        <v>2854</v>
      </c>
      <c r="G1165" s="74" t="s">
        <v>406</v>
      </c>
      <c r="H1165" s="71" t="str">
        <f>IF(Proc[[#This Row],[type]]="LFF (MDG-F)",MID(Proc[[#This Row],[Obj]],13,10),"")</f>
        <v>CH65R00050</v>
      </c>
      <c r="I1165" s="74" t="s">
        <v>2855</v>
      </c>
      <c r="J1165" s="71" t="b">
        <f>Proc[[#This Row],[Requested]]=Proc[[#This Row],[CurrentParent]]</f>
        <v>1</v>
      </c>
      <c r="K1165" s="71" t="str">
        <f>IF(Proc[[#This Row],[Author]]="Marcela Urrego",VLOOKUP(LEFT(Proc[[#This Row],[Requested]],1),Table3[#All],2,0),VLOOKUP(Proc[[#This Row],[Author]],Table4[],2,0))</f>
        <v>HC</v>
      </c>
      <c r="L1165" s="71" t="s">
        <v>2563</v>
      </c>
      <c r="M1165" s="81">
        <v>45771.413831018515</v>
      </c>
      <c r="N1165" s="81">
        <v>45776</v>
      </c>
      <c r="O1165" s="81">
        <v>45776</v>
      </c>
      <c r="P1165" s="82" t="str">
        <f ca="1">IF(Proc[[#This Row],[DaysAgeing]]&gt;5,"yep","on track")</f>
        <v>on track</v>
      </c>
      <c r="Q1165" s="3">
        <f ca="1">IF(Proc[[#This Row],[DateClosed]]="",ABS(NETWORKDAYS(Proc[[#This Row],[DateOpened]],TODAY()))-1,ABS(NETWORKDAYS(Proc[[#This Row],[DateOpened]],Proc[[#This Row],[DateClosed]]))-1)</f>
        <v>3</v>
      </c>
      <c r="R1165" s="82" t="s">
        <v>415</v>
      </c>
      <c r="S1165" s="71"/>
    </row>
    <row r="1166" spans="1:19" hidden="1">
      <c r="A1166" s="74" t="s">
        <v>2847</v>
      </c>
      <c r="B1166" s="71" t="str">
        <f>IFERROR(VLOOKUP(Proc[[#This Row],[App]],Table2[],3,0),"open")</f>
        <v>ok</v>
      </c>
      <c r="C1166" s="74" t="s">
        <v>369</v>
      </c>
      <c r="D1166" t="s">
        <v>2851</v>
      </c>
      <c r="E1166" t="s">
        <v>2854</v>
      </c>
      <c r="F1166" s="105" t="s">
        <v>2854</v>
      </c>
      <c r="G1166" s="74" t="s">
        <v>406</v>
      </c>
      <c r="H1166" s="71" t="str">
        <f>IF(Proc[[#This Row],[type]]="LFF (MDG-F)",MID(Proc[[#This Row],[Obj]],13,10),"")</f>
        <v>CH65R00052</v>
      </c>
      <c r="I1166" s="74" t="s">
        <v>2855</v>
      </c>
      <c r="J1166" s="71" t="b">
        <f>Proc[[#This Row],[Requested]]=Proc[[#This Row],[CurrentParent]]</f>
        <v>1</v>
      </c>
      <c r="K1166" s="71" t="str">
        <f>IF(Proc[[#This Row],[Author]]="Marcela Urrego",VLOOKUP(LEFT(Proc[[#This Row],[Requested]],1),Table3[#All],2,0),VLOOKUP(Proc[[#This Row],[Author]],Table4[],2,0))</f>
        <v>HC</v>
      </c>
      <c r="L1166" s="71" t="s">
        <v>2563</v>
      </c>
      <c r="M1166" s="81">
        <v>45771.413831018515</v>
      </c>
      <c r="N1166" s="81">
        <v>45776</v>
      </c>
      <c r="O1166" s="81">
        <v>45776</v>
      </c>
      <c r="P1166" s="82" t="str">
        <f ca="1">IF(Proc[[#This Row],[DaysAgeing]]&gt;5,"yep","on track")</f>
        <v>on track</v>
      </c>
      <c r="Q1166" s="3">
        <f ca="1">IF(Proc[[#This Row],[DateClosed]]="",ABS(NETWORKDAYS(Proc[[#This Row],[DateOpened]],TODAY()))-1,ABS(NETWORKDAYS(Proc[[#This Row],[DateOpened]],Proc[[#This Row],[DateClosed]]))-1)</f>
        <v>3</v>
      </c>
      <c r="R1166" s="82" t="s">
        <v>415</v>
      </c>
      <c r="S1166" s="71"/>
    </row>
    <row r="1167" spans="1:19" hidden="1">
      <c r="A1167" t="s">
        <v>2852</v>
      </c>
      <c r="B1167" s="71" t="str">
        <f>IFERROR(VLOOKUP(Proc[[#This Row],[App]],Table2[],3,0),"open")</f>
        <v>ok</v>
      </c>
      <c r="C1167" s="74" t="s">
        <v>369</v>
      </c>
      <c r="D1167" t="s">
        <v>2853</v>
      </c>
      <c r="E1167" t="s">
        <v>473</v>
      </c>
      <c r="F1167" s="105" t="s">
        <v>473</v>
      </c>
      <c r="G1167" s="74" t="s">
        <v>400</v>
      </c>
      <c r="H1167" s="71" t="str">
        <f>IF(Proc[[#This Row],[type]]="LFF (MDG-F)",MID(Proc[[#This Row],[Obj]],13,10),"")</f>
        <v/>
      </c>
      <c r="J1167" s="71" t="b">
        <f>Proc[[#This Row],[Requested]]=Proc[[#This Row],[CurrentParent]]</f>
        <v>1</v>
      </c>
      <c r="K1167" s="71" t="str">
        <f>IF(Proc[[#This Row],[Author]]="Marcela Urrego",VLOOKUP(LEFT(Proc[[#This Row],[Requested]],1),Table3[#All],2,0),VLOOKUP(Proc[[#This Row],[Author]],Table4[],2,0))</f>
        <v>MGF</v>
      </c>
      <c r="L1167" s="71" t="s">
        <v>2563</v>
      </c>
      <c r="M1167" s="81">
        <v>45770.666944444441</v>
      </c>
      <c r="N1167" s="81">
        <v>45775</v>
      </c>
      <c r="O1167" s="81">
        <v>45775</v>
      </c>
      <c r="P1167" s="82" t="str">
        <f ca="1">IF(Proc[[#This Row],[DaysAgeing]]&gt;5,"yep","on track")</f>
        <v>on track</v>
      </c>
      <c r="Q1167" s="3">
        <f ca="1">IF(Proc[[#This Row],[DateClosed]]="",ABS(NETWORKDAYS(Proc[[#This Row],[DateOpened]],TODAY()))-1,ABS(NETWORKDAYS(Proc[[#This Row],[DateOpened]],Proc[[#This Row],[DateClosed]]))-1)</f>
        <v>3</v>
      </c>
      <c r="R1167" s="82" t="s">
        <v>515</v>
      </c>
      <c r="S1167" s="71"/>
    </row>
    <row r="1168" spans="1:19" hidden="1">
      <c r="A1168" t="s">
        <v>2856</v>
      </c>
      <c r="B1168" s="71" t="str">
        <f>IFERROR(VLOOKUP(Proc[[#This Row],[App]],Table2[],3,0),"open")</f>
        <v>ok</v>
      </c>
      <c r="C1168" t="s">
        <v>369</v>
      </c>
      <c r="D1168" t="s">
        <v>2857</v>
      </c>
      <c r="E1168" t="s">
        <v>2373</v>
      </c>
      <c r="F1168" s="105" t="s">
        <v>2373</v>
      </c>
      <c r="G1168" t="s">
        <v>400</v>
      </c>
      <c r="H1168" s="71" t="str">
        <f>IF(Proc[[#This Row],[type]]="LFF (MDG-F)",MID(Proc[[#This Row],[Obj]],13,10),"")</f>
        <v/>
      </c>
      <c r="J1168" s="71" t="b">
        <f>Proc[[#This Row],[Requested]]=Proc[[#This Row],[CurrentParent]]</f>
        <v>1</v>
      </c>
      <c r="K1168" s="71" t="str">
        <f>IF(Proc[[#This Row],[Author]]="Marcela Urrego",VLOOKUP(LEFT(Proc[[#This Row],[Requested]],1),Table3[#All],2,0),VLOOKUP(Proc[[#This Row],[Author]],Table4[],2,0))</f>
        <v>LS</v>
      </c>
      <c r="L1168" s="71" t="s">
        <v>2563</v>
      </c>
      <c r="M1168" s="81">
        <v>45775.693912037037</v>
      </c>
      <c r="N1168" s="81">
        <v>45777</v>
      </c>
      <c r="O1168" s="81">
        <v>45777</v>
      </c>
      <c r="P1168" s="82" t="str">
        <f ca="1">IF(Proc[[#This Row],[DaysAgeing]]&gt;5,"yep","on track")</f>
        <v>on track</v>
      </c>
      <c r="Q1168" s="3">
        <f ca="1">IF(Proc[[#This Row],[DateClosed]]="",ABS(NETWORKDAYS(Proc[[#This Row],[DateOpened]],TODAY()))-1,ABS(NETWORKDAYS(Proc[[#This Row],[DateOpened]],Proc[[#This Row],[DateClosed]]))-1)</f>
        <v>2</v>
      </c>
      <c r="R1168" s="82" t="s">
        <v>489</v>
      </c>
      <c r="S1168" s="71"/>
    </row>
    <row r="1169" spans="1:19" hidden="1">
      <c r="A1169" t="s">
        <v>2858</v>
      </c>
      <c r="B1169" s="71" t="str">
        <f>IFERROR(VLOOKUP(Proc[[#This Row],[App]],Table2[],3,0),"open")</f>
        <v>ok</v>
      </c>
      <c r="C1169" s="74" t="s">
        <v>369</v>
      </c>
      <c r="D1169" t="s">
        <v>2866</v>
      </c>
      <c r="E1169" t="s">
        <v>417</v>
      </c>
      <c r="F1169" s="105" t="s">
        <v>417</v>
      </c>
      <c r="G1169" s="74" t="s">
        <v>400</v>
      </c>
      <c r="H1169" s="71" t="str">
        <f>IF(Proc[[#This Row],[type]]="LFF (MDG-F)",MID(Proc[[#This Row],[Obj]],13,10),"")</f>
        <v/>
      </c>
      <c r="J1169" s="71" t="b">
        <f>Proc[[#This Row],[Requested]]=Proc[[#This Row],[CurrentParent]]</f>
        <v>1</v>
      </c>
      <c r="K1169" s="71" t="str">
        <f>IF(Proc[[#This Row],[Author]]="Marcela Urrego",VLOOKUP(LEFT(Proc[[#This Row],[Requested]],1),Table3[#All],2,0),VLOOKUP(Proc[[#This Row],[Author]],Table4[],2,0))</f>
        <v>LS</v>
      </c>
      <c r="L1169" s="71" t="s">
        <v>2563</v>
      </c>
      <c r="M1169" s="81">
        <v>45776.423101851855</v>
      </c>
      <c r="N1169" s="81">
        <v>45779</v>
      </c>
      <c r="O1169" s="81">
        <v>45779</v>
      </c>
      <c r="P1169" s="82" t="str">
        <f ca="1">IF(Proc[[#This Row],[DaysAgeing]]&gt;5,"yep","on track")</f>
        <v>on track</v>
      </c>
      <c r="Q1169" s="3">
        <f ca="1">IF(Proc[[#This Row],[DateClosed]]="",ABS(NETWORKDAYS(Proc[[#This Row],[DateOpened]],TODAY()))-1,ABS(NETWORKDAYS(Proc[[#This Row],[DateOpened]],Proc[[#This Row],[DateClosed]]))-1)</f>
        <v>3</v>
      </c>
      <c r="R1169" s="82" t="s">
        <v>972</v>
      </c>
      <c r="S1169" s="71"/>
    </row>
    <row r="1170" spans="1:19" hidden="1">
      <c r="A1170" s="74" t="s">
        <v>2858</v>
      </c>
      <c r="B1170" s="71" t="str">
        <f>IFERROR(VLOOKUP(Proc[[#This Row],[App]],Table2[],3,0),"open")</f>
        <v>ok</v>
      </c>
      <c r="C1170" s="74" t="s">
        <v>369</v>
      </c>
      <c r="D1170" t="s">
        <v>2859</v>
      </c>
      <c r="E1170" t="s">
        <v>2863</v>
      </c>
      <c r="F1170" s="105" t="s">
        <v>2863</v>
      </c>
      <c r="G1170" s="74" t="s">
        <v>400</v>
      </c>
      <c r="H1170" s="71" t="str">
        <f>IF(Proc[[#This Row],[type]]="LFF (MDG-F)",MID(Proc[[#This Row],[Obj]],13,10),"")</f>
        <v/>
      </c>
      <c r="J1170" s="71" t="b">
        <f>Proc[[#This Row],[Requested]]=Proc[[#This Row],[CurrentParent]]</f>
        <v>1</v>
      </c>
      <c r="K1170" s="71" t="str">
        <f>IF(Proc[[#This Row],[Author]]="Marcela Urrego",VLOOKUP(LEFT(Proc[[#This Row],[Requested]],1),Table3[#All],2,0),VLOOKUP(Proc[[#This Row],[Author]],Table4[],2,0))</f>
        <v>LS</v>
      </c>
      <c r="L1170" s="71" t="s">
        <v>2563</v>
      </c>
      <c r="M1170" s="81">
        <v>45776.423101851855</v>
      </c>
      <c r="N1170" s="81">
        <v>45779</v>
      </c>
      <c r="O1170" s="81">
        <v>45779</v>
      </c>
      <c r="P1170" s="82" t="str">
        <f ca="1">IF(Proc[[#This Row],[DaysAgeing]]&gt;5,"yep","on track")</f>
        <v>on track</v>
      </c>
      <c r="Q1170" s="3">
        <f ca="1">IF(Proc[[#This Row],[DateClosed]]="",ABS(NETWORKDAYS(Proc[[#This Row],[DateOpened]],TODAY()))-1,ABS(NETWORKDAYS(Proc[[#This Row],[DateOpened]],Proc[[#This Row],[DateClosed]]))-1)</f>
        <v>3</v>
      </c>
      <c r="R1170" s="82" t="s">
        <v>972</v>
      </c>
      <c r="S1170" s="71"/>
    </row>
    <row r="1171" spans="1:19" hidden="1">
      <c r="A1171" s="74" t="s">
        <v>2858</v>
      </c>
      <c r="B1171" s="71" t="str">
        <f>IFERROR(VLOOKUP(Proc[[#This Row],[App]],Table2[],3,0),"open")</f>
        <v>ok</v>
      </c>
      <c r="C1171" s="74" t="s">
        <v>369</v>
      </c>
      <c r="D1171" t="s">
        <v>2860</v>
      </c>
      <c r="E1171" t="s">
        <v>2864</v>
      </c>
      <c r="F1171" s="105" t="s">
        <v>2864</v>
      </c>
      <c r="G1171" s="74" t="s">
        <v>400</v>
      </c>
      <c r="H1171" s="71" t="str">
        <f>IF(Proc[[#This Row],[type]]="LFF (MDG-F)",MID(Proc[[#This Row],[Obj]],13,10),"")</f>
        <v/>
      </c>
      <c r="J1171" s="71" t="b">
        <f>Proc[[#This Row],[Requested]]=Proc[[#This Row],[CurrentParent]]</f>
        <v>1</v>
      </c>
      <c r="K1171" s="71" t="str">
        <f>IF(Proc[[#This Row],[Author]]="Marcela Urrego",VLOOKUP(LEFT(Proc[[#This Row],[Requested]],1),Table3[#All],2,0),VLOOKUP(Proc[[#This Row],[Author]],Table4[],2,0))</f>
        <v>LS</v>
      </c>
      <c r="L1171" s="71" t="s">
        <v>2563</v>
      </c>
      <c r="M1171" s="81">
        <v>45776.423101851855</v>
      </c>
      <c r="N1171" s="81">
        <v>45779</v>
      </c>
      <c r="O1171" s="81">
        <v>45779</v>
      </c>
      <c r="P1171" s="82" t="str">
        <f ca="1">IF(Proc[[#This Row],[DaysAgeing]]&gt;5,"yep","on track")</f>
        <v>on track</v>
      </c>
      <c r="Q1171" s="3">
        <f ca="1">IF(Proc[[#This Row],[DateClosed]]="",ABS(NETWORKDAYS(Proc[[#This Row],[DateOpened]],TODAY()))-1,ABS(NETWORKDAYS(Proc[[#This Row],[DateOpened]],Proc[[#This Row],[DateClosed]]))-1)</f>
        <v>3</v>
      </c>
      <c r="R1171" s="82" t="s">
        <v>972</v>
      </c>
      <c r="S1171" s="71"/>
    </row>
    <row r="1172" spans="1:19" hidden="1">
      <c r="A1172" s="74" t="s">
        <v>2858</v>
      </c>
      <c r="B1172" s="71" t="str">
        <f>IFERROR(VLOOKUP(Proc[[#This Row],[App]],Table2[],3,0),"open")</f>
        <v>ok</v>
      </c>
      <c r="C1172" s="74" t="s">
        <v>369</v>
      </c>
      <c r="D1172" t="s">
        <v>2861</v>
      </c>
      <c r="E1172" t="s">
        <v>2865</v>
      </c>
      <c r="F1172" s="105" t="s">
        <v>2865</v>
      </c>
      <c r="G1172" s="74" t="s">
        <v>400</v>
      </c>
      <c r="H1172" s="71" t="str">
        <f>IF(Proc[[#This Row],[type]]="LFF (MDG-F)",MID(Proc[[#This Row],[Obj]],13,10),"")</f>
        <v/>
      </c>
      <c r="J1172" s="71" t="b">
        <f>Proc[[#This Row],[Requested]]=Proc[[#This Row],[CurrentParent]]</f>
        <v>1</v>
      </c>
      <c r="K1172" s="71" t="str">
        <f>IF(Proc[[#This Row],[Author]]="Marcela Urrego",VLOOKUP(LEFT(Proc[[#This Row],[Requested]],1),Table3[#All],2,0),VLOOKUP(Proc[[#This Row],[Author]],Table4[],2,0))</f>
        <v>LS</v>
      </c>
      <c r="L1172" s="71" t="s">
        <v>2563</v>
      </c>
      <c r="M1172" s="81">
        <v>45776.423101851855</v>
      </c>
      <c r="N1172" s="81">
        <v>45779</v>
      </c>
      <c r="O1172" s="81">
        <v>45779</v>
      </c>
      <c r="P1172" s="82" t="str">
        <f ca="1">IF(Proc[[#This Row],[DaysAgeing]]&gt;5,"yep","on track")</f>
        <v>on track</v>
      </c>
      <c r="Q1172" s="3">
        <f ca="1">IF(Proc[[#This Row],[DateClosed]]="",ABS(NETWORKDAYS(Proc[[#This Row],[DateOpened]],TODAY()))-1,ABS(NETWORKDAYS(Proc[[#This Row],[DateOpened]],Proc[[#This Row],[DateClosed]]))-1)</f>
        <v>3</v>
      </c>
      <c r="R1172" s="82" t="s">
        <v>972</v>
      </c>
      <c r="S1172" s="71"/>
    </row>
    <row r="1173" spans="1:19" hidden="1">
      <c r="A1173" s="74" t="s">
        <v>2858</v>
      </c>
      <c r="B1173" s="71" t="str">
        <f>IFERROR(VLOOKUP(Proc[[#This Row],[App]],Table2[],3,0),"open")</f>
        <v>ok</v>
      </c>
      <c r="C1173" s="74" t="s">
        <v>369</v>
      </c>
      <c r="D1173" t="s">
        <v>2862</v>
      </c>
      <c r="E1173" t="s">
        <v>2865</v>
      </c>
      <c r="F1173" s="105" t="s">
        <v>2865</v>
      </c>
      <c r="G1173" s="74" t="s">
        <v>400</v>
      </c>
      <c r="H1173" s="71" t="str">
        <f>IF(Proc[[#This Row],[type]]="LFF (MDG-F)",MID(Proc[[#This Row],[Obj]],13,10),"")</f>
        <v/>
      </c>
      <c r="J1173" s="71" t="b">
        <f>Proc[[#This Row],[Requested]]=Proc[[#This Row],[CurrentParent]]</f>
        <v>1</v>
      </c>
      <c r="K1173" s="71" t="str">
        <f>IF(Proc[[#This Row],[Author]]="Marcela Urrego",VLOOKUP(LEFT(Proc[[#This Row],[Requested]],1),Table3[#All],2,0),VLOOKUP(Proc[[#This Row],[Author]],Table4[],2,0))</f>
        <v>LS</v>
      </c>
      <c r="L1173" s="71" t="s">
        <v>2563</v>
      </c>
      <c r="M1173" s="81">
        <v>45776.423101851855</v>
      </c>
      <c r="N1173" s="81">
        <v>45779</v>
      </c>
      <c r="O1173" s="81">
        <v>45779</v>
      </c>
      <c r="P1173" s="82" t="str">
        <f ca="1">IF(Proc[[#This Row],[DaysAgeing]]&gt;5,"yep","on track")</f>
        <v>on track</v>
      </c>
      <c r="Q1173" s="3">
        <f ca="1">IF(Proc[[#This Row],[DateClosed]]="",ABS(NETWORKDAYS(Proc[[#This Row],[DateOpened]],TODAY()))-1,ABS(NETWORKDAYS(Proc[[#This Row],[DateOpened]],Proc[[#This Row],[DateClosed]]))-1)</f>
        <v>3</v>
      </c>
      <c r="R1173" s="82" t="s">
        <v>972</v>
      </c>
      <c r="S1173" s="71"/>
    </row>
    <row r="1174" spans="1:19" hidden="1">
      <c r="A1174" t="s">
        <v>2867</v>
      </c>
      <c r="B1174" s="71" t="str">
        <f>IFERROR(VLOOKUP(Proc[[#This Row],[App]],Table2[],3,0),"open")</f>
        <v>ok</v>
      </c>
      <c r="C1174" s="74" t="s">
        <v>369</v>
      </c>
      <c r="D1174" t="s">
        <v>2295</v>
      </c>
      <c r="E1174" t="s">
        <v>2870</v>
      </c>
      <c r="F1174" s="105" t="s">
        <v>2870</v>
      </c>
      <c r="G1174" t="s">
        <v>406</v>
      </c>
      <c r="H1174" s="71" t="str">
        <f>IF(Proc[[#This Row],[type]]="LFF (MDG-F)",MID(Proc[[#This Row],[Obj]],13,10),"")</f>
        <v>DE20675106</v>
      </c>
      <c r="I1174" t="s">
        <v>2871</v>
      </c>
      <c r="J1174" s="71" t="b">
        <f>Proc[[#This Row],[Requested]]=Proc[[#This Row],[CurrentParent]]</f>
        <v>1</v>
      </c>
      <c r="K1174" s="71" t="str">
        <f>IF(Proc[[#This Row],[Author]]="Marcela Urrego",VLOOKUP(LEFT(Proc[[#This Row],[Requested]],1),Table3[#All],2,0),VLOOKUP(Proc[[#This Row],[Author]],Table4[],2,0))</f>
        <v>MGF</v>
      </c>
      <c r="L1174" s="71" t="s">
        <v>2563</v>
      </c>
      <c r="M1174" s="81">
        <v>45776.467129629629</v>
      </c>
      <c r="N1174" s="81">
        <v>45779</v>
      </c>
      <c r="O1174" s="81">
        <v>45779</v>
      </c>
      <c r="P1174" s="82" t="str">
        <f ca="1">IF(Proc[[#This Row],[DaysAgeing]]&gt;5,"yep","on track")</f>
        <v>on track</v>
      </c>
      <c r="Q1174" s="3">
        <f ca="1">IF(Proc[[#This Row],[DateClosed]]="",ABS(NETWORKDAYS(Proc[[#This Row],[DateOpened]],TODAY()))-1,ABS(NETWORKDAYS(Proc[[#This Row],[DateOpened]],Proc[[#This Row],[DateClosed]]))-1)</f>
        <v>3</v>
      </c>
      <c r="R1174" s="82" t="s">
        <v>549</v>
      </c>
      <c r="S1174" s="71"/>
    </row>
    <row r="1175" spans="1:19" hidden="1">
      <c r="A1175" s="83" t="s">
        <v>2869</v>
      </c>
      <c r="B1175" s="71" t="str">
        <f>IFERROR(VLOOKUP(Proc[[#This Row],[App]],Table2[],3,0),"open")</f>
        <v>ok</v>
      </c>
      <c r="C1175" s="74" t="s">
        <v>369</v>
      </c>
      <c r="D1175" t="s">
        <v>2868</v>
      </c>
      <c r="E1175" t="s">
        <v>2044</v>
      </c>
      <c r="F1175" s="105" t="s">
        <v>2044</v>
      </c>
      <c r="G1175" t="s">
        <v>400</v>
      </c>
      <c r="H1175" s="71" t="str">
        <f>IF(Proc[[#This Row],[type]]="LFF (MDG-F)",MID(Proc[[#This Row],[Obj]],13,10),"")</f>
        <v/>
      </c>
      <c r="J1175" s="71" t="b">
        <f>Proc[[#This Row],[Requested]]=Proc[[#This Row],[CurrentParent]]</f>
        <v>1</v>
      </c>
      <c r="K1175" s="71" t="str">
        <f>IF(Proc[[#This Row],[Author]]="Marcela Urrego",VLOOKUP(LEFT(Proc[[#This Row],[Requested]],1),Table3[#All],2,0),VLOOKUP(Proc[[#This Row],[Author]],Table4[],2,0))</f>
        <v>MGF</v>
      </c>
      <c r="L1175" s="71" t="s">
        <v>2563</v>
      </c>
      <c r="M1175" s="81">
        <v>45777.351076388892</v>
      </c>
      <c r="N1175" s="81">
        <v>45779</v>
      </c>
      <c r="O1175" s="81">
        <v>45779</v>
      </c>
      <c r="P1175" s="82" t="str">
        <f ca="1">IF(Proc[[#This Row],[DaysAgeing]]&gt;5,"yep","on track")</f>
        <v>on track</v>
      </c>
      <c r="Q1175" s="3">
        <f ca="1">IF(Proc[[#This Row],[DateClosed]]="",ABS(NETWORKDAYS(Proc[[#This Row],[DateOpened]],TODAY()))-1,ABS(NETWORKDAYS(Proc[[#This Row],[DateOpened]],Proc[[#This Row],[DateClosed]]))-1)</f>
        <v>2</v>
      </c>
      <c r="R1175" s="82" t="s">
        <v>1076</v>
      </c>
      <c r="S1175" s="71"/>
    </row>
    <row r="1176" spans="1:19" hidden="1">
      <c r="A1176" t="s">
        <v>2872</v>
      </c>
      <c r="B1176" s="71" t="str">
        <f>IFERROR(VLOOKUP(Proc[[#This Row],[App]],Table2[],3,0),"open")</f>
        <v>ok</v>
      </c>
      <c r="C1176" t="s">
        <v>369</v>
      </c>
      <c r="D1176" t="s">
        <v>2873</v>
      </c>
      <c r="E1176" t="s">
        <v>2874</v>
      </c>
      <c r="F1176" s="105" t="s">
        <v>2874</v>
      </c>
      <c r="G1176" t="s">
        <v>406</v>
      </c>
      <c r="H1176" s="71" t="str">
        <f>IF(Proc[[#This Row],[type]]="LFF (MDG-F)",MID(Proc[[#This Row],[Obj]],13,10),"")</f>
        <v>CN50R03152</v>
      </c>
      <c r="I1176" t="s">
        <v>2886</v>
      </c>
      <c r="J1176" s="71" t="b">
        <f>Proc[[#This Row],[Requested]]=Proc[[#This Row],[CurrentParent]]</f>
        <v>1</v>
      </c>
      <c r="K1176" s="71" t="str">
        <f>IF(Proc[[#This Row],[Author]]="Marcela Urrego",VLOOKUP(LEFT(Proc[[#This Row],[Requested]],1),Table3[#All],2,0),VLOOKUP(Proc[[#This Row],[Author]],Table4[],2,0))</f>
        <v>HC</v>
      </c>
      <c r="L1176" s="71" t="s">
        <v>2563</v>
      </c>
      <c r="M1176" s="81">
        <v>45779.37295138889</v>
      </c>
      <c r="N1176" s="81">
        <v>45784</v>
      </c>
      <c r="O1176" s="81">
        <v>45784</v>
      </c>
      <c r="P1176" s="82" t="str">
        <f ca="1">IF(Proc[[#This Row],[DaysAgeing]]&gt;5,"yep","on track")</f>
        <v>on track</v>
      </c>
      <c r="Q1176" s="3">
        <f ca="1">IF(Proc[[#This Row],[DateClosed]]="",ABS(NETWORKDAYS(Proc[[#This Row],[DateOpened]],TODAY()))-1,ABS(NETWORKDAYS(Proc[[#This Row],[DateOpened]],Proc[[#This Row],[DateClosed]]))-1)</f>
        <v>3</v>
      </c>
      <c r="R1176" s="82" t="s">
        <v>478</v>
      </c>
      <c r="S1176" s="71"/>
    </row>
    <row r="1177" spans="1:19" hidden="1">
      <c r="A1177" t="s">
        <v>2885</v>
      </c>
      <c r="B1177" s="71" t="str">
        <f>IFERROR(VLOOKUP(Proc[[#This Row],[App]],Table2[],3,0),"open")</f>
        <v>ok</v>
      </c>
      <c r="C1177" s="74" t="s">
        <v>398</v>
      </c>
      <c r="D1177" t="s">
        <v>2875</v>
      </c>
      <c r="E1177" t="s">
        <v>2117</v>
      </c>
      <c r="F1177" s="105" t="s">
        <v>2117</v>
      </c>
      <c r="G1177" t="s">
        <v>400</v>
      </c>
      <c r="H1177" s="71" t="str">
        <f>IF(Proc[[#This Row],[type]]="LFF (MDG-F)",MID(Proc[[#This Row],[Obj]],13,10),"")</f>
        <v/>
      </c>
      <c r="I1177" t="s">
        <v>2887</v>
      </c>
      <c r="J1177" s="71" t="b">
        <f>Proc[[#This Row],[Requested]]=Proc[[#This Row],[CurrentParent]]</f>
        <v>1</v>
      </c>
      <c r="K1177" s="71" t="str">
        <f>IF(Proc[[#This Row],[Author]]="Marcela Urrego",VLOOKUP(LEFT(Proc[[#This Row],[Requested]],1),Table3[#All],2,0),VLOOKUP(Proc[[#This Row],[Author]],Table4[],2,0))</f>
        <v>HC</v>
      </c>
      <c r="L1177" s="71" t="s">
        <v>2563</v>
      </c>
      <c r="M1177" s="81">
        <v>45779.37096064815</v>
      </c>
      <c r="N1177" s="81"/>
      <c r="O1177" s="81">
        <v>45784</v>
      </c>
      <c r="P1177" s="82" t="str">
        <f ca="1">IF(Proc[[#This Row],[DaysAgeing]]&gt;5,"yep","on track")</f>
        <v>on track</v>
      </c>
      <c r="Q1177" s="3">
        <f ca="1">IF(Proc[[#This Row],[DateClosed]]="",ABS(NETWORKDAYS(Proc[[#This Row],[DateOpened]],TODAY()))-1,ABS(NETWORKDAYS(Proc[[#This Row],[DateOpened]],Proc[[#This Row],[DateClosed]]))-1)</f>
        <v>3</v>
      </c>
      <c r="R1177" s="82" t="s">
        <v>478</v>
      </c>
      <c r="S1177" s="71"/>
    </row>
    <row r="1178" spans="1:19" hidden="1">
      <c r="A1178" s="74" t="s">
        <v>2885</v>
      </c>
      <c r="B1178" s="71" t="str">
        <f>IFERROR(VLOOKUP(Proc[[#This Row],[App]],Table2[],3,0),"open")</f>
        <v>ok</v>
      </c>
      <c r="C1178" s="74" t="s">
        <v>398</v>
      </c>
      <c r="D1178" t="s">
        <v>2876</v>
      </c>
      <c r="E1178" t="s">
        <v>2117</v>
      </c>
      <c r="F1178" s="105" t="s">
        <v>2117</v>
      </c>
      <c r="G1178" s="74" t="s">
        <v>400</v>
      </c>
      <c r="H1178" s="71" t="str">
        <f>IF(Proc[[#This Row],[type]]="LFF (MDG-F)",MID(Proc[[#This Row],[Obj]],13,10),"")</f>
        <v/>
      </c>
      <c r="I1178" s="74" t="s">
        <v>2887</v>
      </c>
      <c r="J1178" s="71" t="b">
        <f>Proc[[#This Row],[Requested]]=Proc[[#This Row],[CurrentParent]]</f>
        <v>1</v>
      </c>
      <c r="K1178" s="71" t="str">
        <f>IF(Proc[[#This Row],[Author]]="Marcela Urrego",VLOOKUP(LEFT(Proc[[#This Row],[Requested]],1),Table3[#All],2,0),VLOOKUP(Proc[[#This Row],[Author]],Table4[],2,0))</f>
        <v>HC</v>
      </c>
      <c r="L1178" s="71" t="s">
        <v>2563</v>
      </c>
      <c r="M1178" s="81">
        <v>45779.37096064815</v>
      </c>
      <c r="N1178" s="81"/>
      <c r="O1178" s="81">
        <v>45784</v>
      </c>
      <c r="P1178" s="82" t="str">
        <f ca="1">IF(Proc[[#This Row],[DaysAgeing]]&gt;5,"yep","on track")</f>
        <v>on track</v>
      </c>
      <c r="Q1178" s="3">
        <f ca="1">IF(Proc[[#This Row],[DateClosed]]="",ABS(NETWORKDAYS(Proc[[#This Row],[DateOpened]],TODAY()))-1,ABS(NETWORKDAYS(Proc[[#This Row],[DateOpened]],Proc[[#This Row],[DateClosed]]))-1)</f>
        <v>3</v>
      </c>
      <c r="R1178" s="82" t="s">
        <v>478</v>
      </c>
      <c r="S1178" s="71"/>
    </row>
    <row r="1179" spans="1:19" hidden="1">
      <c r="A1179" s="74" t="s">
        <v>2885</v>
      </c>
      <c r="B1179" s="71" t="str">
        <f>IFERROR(VLOOKUP(Proc[[#This Row],[App]],Table2[],3,0),"open")</f>
        <v>ok</v>
      </c>
      <c r="C1179" s="74" t="s">
        <v>398</v>
      </c>
      <c r="D1179" t="s">
        <v>2877</v>
      </c>
      <c r="E1179" t="s">
        <v>2117</v>
      </c>
      <c r="F1179" s="105" t="s">
        <v>2117</v>
      </c>
      <c r="G1179" s="74" t="s">
        <v>400</v>
      </c>
      <c r="H1179" s="71" t="str">
        <f>IF(Proc[[#This Row],[type]]="LFF (MDG-F)",MID(Proc[[#This Row],[Obj]],13,10),"")</f>
        <v/>
      </c>
      <c r="I1179" s="74" t="s">
        <v>2887</v>
      </c>
      <c r="J1179" s="71" t="b">
        <f>Proc[[#This Row],[Requested]]=Proc[[#This Row],[CurrentParent]]</f>
        <v>1</v>
      </c>
      <c r="K1179" s="71" t="str">
        <f>IF(Proc[[#This Row],[Author]]="Marcela Urrego",VLOOKUP(LEFT(Proc[[#This Row],[Requested]],1),Table3[#All],2,0),VLOOKUP(Proc[[#This Row],[Author]],Table4[],2,0))</f>
        <v>HC</v>
      </c>
      <c r="L1179" s="71" t="s">
        <v>2563</v>
      </c>
      <c r="M1179" s="81">
        <v>45779.37096064815</v>
      </c>
      <c r="N1179" s="81"/>
      <c r="O1179" s="81">
        <v>45784</v>
      </c>
      <c r="P1179" s="82" t="str">
        <f ca="1">IF(Proc[[#This Row],[DaysAgeing]]&gt;5,"yep","on track")</f>
        <v>on track</v>
      </c>
      <c r="Q1179" s="3">
        <f ca="1">IF(Proc[[#This Row],[DateClosed]]="",ABS(NETWORKDAYS(Proc[[#This Row],[DateOpened]],TODAY()))-1,ABS(NETWORKDAYS(Proc[[#This Row],[DateOpened]],Proc[[#This Row],[DateClosed]]))-1)</f>
        <v>3</v>
      </c>
      <c r="R1179" s="82" t="s">
        <v>478</v>
      </c>
      <c r="S1179" s="71"/>
    </row>
    <row r="1180" spans="1:19" hidden="1">
      <c r="A1180" s="74" t="s">
        <v>2885</v>
      </c>
      <c r="B1180" s="71" t="str">
        <f>IFERROR(VLOOKUP(Proc[[#This Row],[App]],Table2[],3,0),"open")</f>
        <v>ok</v>
      </c>
      <c r="C1180" s="74" t="s">
        <v>398</v>
      </c>
      <c r="D1180" t="s">
        <v>2878</v>
      </c>
      <c r="E1180" t="s">
        <v>2117</v>
      </c>
      <c r="F1180" s="105" t="s">
        <v>2117</v>
      </c>
      <c r="G1180" s="74" t="s">
        <v>400</v>
      </c>
      <c r="H1180" s="71" t="str">
        <f>IF(Proc[[#This Row],[type]]="LFF (MDG-F)",MID(Proc[[#This Row],[Obj]],13,10),"")</f>
        <v/>
      </c>
      <c r="I1180" s="74" t="s">
        <v>2887</v>
      </c>
      <c r="J1180" s="71" t="b">
        <f>Proc[[#This Row],[Requested]]=Proc[[#This Row],[CurrentParent]]</f>
        <v>1</v>
      </c>
      <c r="K1180" s="71" t="str">
        <f>IF(Proc[[#This Row],[Author]]="Marcela Urrego",VLOOKUP(LEFT(Proc[[#This Row],[Requested]],1),Table3[#All],2,0),VLOOKUP(Proc[[#This Row],[Author]],Table4[],2,0))</f>
        <v>HC</v>
      </c>
      <c r="L1180" s="71" t="s">
        <v>2563</v>
      </c>
      <c r="M1180" s="81">
        <v>45779.37096064815</v>
      </c>
      <c r="N1180" s="81"/>
      <c r="O1180" s="81">
        <v>45784</v>
      </c>
      <c r="P1180" s="82" t="str">
        <f ca="1">IF(Proc[[#This Row],[DaysAgeing]]&gt;5,"yep","on track")</f>
        <v>on track</v>
      </c>
      <c r="Q1180" s="3">
        <f ca="1">IF(Proc[[#This Row],[DateClosed]]="",ABS(NETWORKDAYS(Proc[[#This Row],[DateOpened]],TODAY()))-1,ABS(NETWORKDAYS(Proc[[#This Row],[DateOpened]],Proc[[#This Row],[DateClosed]]))-1)</f>
        <v>3</v>
      </c>
      <c r="R1180" s="82" t="s">
        <v>478</v>
      </c>
      <c r="S1180" s="71"/>
    </row>
    <row r="1181" spans="1:19" hidden="1">
      <c r="A1181" s="74" t="s">
        <v>2885</v>
      </c>
      <c r="B1181" s="71" t="str">
        <f>IFERROR(VLOOKUP(Proc[[#This Row],[App]],Table2[],3,0),"open")</f>
        <v>ok</v>
      </c>
      <c r="C1181" s="74" t="s">
        <v>398</v>
      </c>
      <c r="D1181" t="s">
        <v>2879</v>
      </c>
      <c r="E1181" t="s">
        <v>2883</v>
      </c>
      <c r="F1181" s="105" t="s">
        <v>2883</v>
      </c>
      <c r="G1181" s="74" t="s">
        <v>400</v>
      </c>
      <c r="H1181" s="71" t="str">
        <f>IF(Proc[[#This Row],[type]]="LFF (MDG-F)",MID(Proc[[#This Row],[Obj]],13,10),"")</f>
        <v/>
      </c>
      <c r="I1181" s="74" t="s">
        <v>2887</v>
      </c>
      <c r="J1181" s="71" t="b">
        <f>Proc[[#This Row],[Requested]]=Proc[[#This Row],[CurrentParent]]</f>
        <v>1</v>
      </c>
      <c r="K1181" s="71" t="str">
        <f>IF(Proc[[#This Row],[Author]]="Marcela Urrego",VLOOKUP(LEFT(Proc[[#This Row],[Requested]],1),Table3[#All],2,0),VLOOKUP(Proc[[#This Row],[Author]],Table4[],2,0))</f>
        <v>HC</v>
      </c>
      <c r="L1181" s="71" t="s">
        <v>2563</v>
      </c>
      <c r="M1181" s="81">
        <v>45779.37096064815</v>
      </c>
      <c r="N1181" s="81"/>
      <c r="O1181" s="81">
        <v>45784</v>
      </c>
      <c r="P1181" s="82" t="str">
        <f ca="1">IF(Proc[[#This Row],[DaysAgeing]]&gt;5,"yep","on track")</f>
        <v>on track</v>
      </c>
      <c r="Q1181" s="3">
        <f ca="1">IF(Proc[[#This Row],[DateClosed]]="",ABS(NETWORKDAYS(Proc[[#This Row],[DateOpened]],TODAY()))-1,ABS(NETWORKDAYS(Proc[[#This Row],[DateOpened]],Proc[[#This Row],[DateClosed]]))-1)</f>
        <v>3</v>
      </c>
      <c r="R1181" s="82" t="s">
        <v>478</v>
      </c>
      <c r="S1181" s="71"/>
    </row>
    <row r="1182" spans="1:19" hidden="1">
      <c r="A1182" s="74" t="s">
        <v>2885</v>
      </c>
      <c r="B1182" s="71" t="str">
        <f>IFERROR(VLOOKUP(Proc[[#This Row],[App]],Table2[],3,0),"open")</f>
        <v>ok</v>
      </c>
      <c r="C1182" s="74" t="s">
        <v>398</v>
      </c>
      <c r="D1182" t="s">
        <v>2880</v>
      </c>
      <c r="E1182" t="s">
        <v>2883</v>
      </c>
      <c r="F1182" s="105" t="s">
        <v>2883</v>
      </c>
      <c r="G1182" s="74" t="s">
        <v>400</v>
      </c>
      <c r="H1182" s="71" t="str">
        <f>IF(Proc[[#This Row],[type]]="LFF (MDG-F)",MID(Proc[[#This Row],[Obj]],13,10),"")</f>
        <v/>
      </c>
      <c r="I1182" s="74" t="s">
        <v>2887</v>
      </c>
      <c r="J1182" s="71" t="b">
        <f>Proc[[#This Row],[Requested]]=Proc[[#This Row],[CurrentParent]]</f>
        <v>1</v>
      </c>
      <c r="K1182" s="71" t="str">
        <f>IF(Proc[[#This Row],[Author]]="Marcela Urrego",VLOOKUP(LEFT(Proc[[#This Row],[Requested]],1),Table3[#All],2,0),VLOOKUP(Proc[[#This Row],[Author]],Table4[],2,0))</f>
        <v>HC</v>
      </c>
      <c r="L1182" s="71" t="s">
        <v>2563</v>
      </c>
      <c r="M1182" s="81">
        <v>45779.37096064815</v>
      </c>
      <c r="N1182" s="81"/>
      <c r="O1182" s="81">
        <v>45784</v>
      </c>
      <c r="P1182" s="82" t="str">
        <f ca="1">IF(Proc[[#This Row],[DaysAgeing]]&gt;5,"yep","on track")</f>
        <v>on track</v>
      </c>
      <c r="Q1182" s="3">
        <f ca="1">IF(Proc[[#This Row],[DateClosed]]="",ABS(NETWORKDAYS(Proc[[#This Row],[DateOpened]],TODAY()))-1,ABS(NETWORKDAYS(Proc[[#This Row],[DateOpened]],Proc[[#This Row],[DateClosed]]))-1)</f>
        <v>3</v>
      </c>
      <c r="R1182" s="82" t="s">
        <v>478</v>
      </c>
      <c r="S1182" s="71"/>
    </row>
    <row r="1183" spans="1:19" hidden="1">
      <c r="A1183" s="74" t="s">
        <v>2885</v>
      </c>
      <c r="B1183" s="71" t="str">
        <f>IFERROR(VLOOKUP(Proc[[#This Row],[App]],Table2[],3,0),"open")</f>
        <v>ok</v>
      </c>
      <c r="C1183" s="74" t="s">
        <v>398</v>
      </c>
      <c r="D1183" t="s">
        <v>2881</v>
      </c>
      <c r="E1183" t="s">
        <v>2884</v>
      </c>
      <c r="F1183" s="105" t="s">
        <v>2884</v>
      </c>
      <c r="G1183" s="74" t="s">
        <v>400</v>
      </c>
      <c r="H1183" s="71" t="str">
        <f>IF(Proc[[#This Row],[type]]="LFF (MDG-F)",MID(Proc[[#This Row],[Obj]],13,10),"")</f>
        <v/>
      </c>
      <c r="I1183" s="74" t="s">
        <v>2887</v>
      </c>
      <c r="J1183" s="71" t="b">
        <f>Proc[[#This Row],[Requested]]=Proc[[#This Row],[CurrentParent]]</f>
        <v>1</v>
      </c>
      <c r="K1183" s="71" t="str">
        <f>IF(Proc[[#This Row],[Author]]="Marcela Urrego",VLOOKUP(LEFT(Proc[[#This Row],[Requested]],1),Table3[#All],2,0),VLOOKUP(Proc[[#This Row],[Author]],Table4[],2,0))</f>
        <v>HC</v>
      </c>
      <c r="L1183" s="71" t="s">
        <v>2563</v>
      </c>
      <c r="M1183" s="81">
        <v>45779.37096064815</v>
      </c>
      <c r="N1183" s="81"/>
      <c r="O1183" s="81">
        <v>45784</v>
      </c>
      <c r="P1183" s="82" t="str">
        <f ca="1">IF(Proc[[#This Row],[DaysAgeing]]&gt;5,"yep","on track")</f>
        <v>on track</v>
      </c>
      <c r="Q1183" s="3">
        <f ca="1">IF(Proc[[#This Row],[DateClosed]]="",ABS(NETWORKDAYS(Proc[[#This Row],[DateOpened]],TODAY()))-1,ABS(NETWORKDAYS(Proc[[#This Row],[DateOpened]],Proc[[#This Row],[DateClosed]]))-1)</f>
        <v>3</v>
      </c>
      <c r="R1183" s="82" t="s">
        <v>478</v>
      </c>
      <c r="S1183" s="71"/>
    </row>
    <row r="1184" spans="1:19" hidden="1">
      <c r="A1184" s="74" t="s">
        <v>2885</v>
      </c>
      <c r="B1184" s="71" t="str">
        <f>IFERROR(VLOOKUP(Proc[[#This Row],[App]],Table2[],3,0),"open")</f>
        <v>ok</v>
      </c>
      <c r="C1184" s="74" t="s">
        <v>398</v>
      </c>
      <c r="D1184" t="s">
        <v>2882</v>
      </c>
      <c r="E1184" t="s">
        <v>2144</v>
      </c>
      <c r="F1184" s="105" t="s">
        <v>2144</v>
      </c>
      <c r="G1184" s="74" t="s">
        <v>400</v>
      </c>
      <c r="H1184" s="71" t="str">
        <f>IF(Proc[[#This Row],[type]]="LFF (MDG-F)",MID(Proc[[#This Row],[Obj]],13,10),"")</f>
        <v/>
      </c>
      <c r="I1184" s="74" t="s">
        <v>2887</v>
      </c>
      <c r="J1184" s="71" t="b">
        <f>Proc[[#This Row],[Requested]]=Proc[[#This Row],[CurrentParent]]</f>
        <v>1</v>
      </c>
      <c r="K1184" s="71" t="str">
        <f>IF(Proc[[#This Row],[Author]]="Marcela Urrego",VLOOKUP(LEFT(Proc[[#This Row],[Requested]],1),Table3[#All],2,0),VLOOKUP(Proc[[#This Row],[Author]],Table4[],2,0))</f>
        <v>HC</v>
      </c>
      <c r="L1184" s="71" t="s">
        <v>2563</v>
      </c>
      <c r="M1184" s="81">
        <v>45779.37096064815</v>
      </c>
      <c r="N1184" s="81"/>
      <c r="O1184" s="81">
        <v>45784</v>
      </c>
      <c r="P1184" s="82" t="str">
        <f ca="1">IF(Proc[[#This Row],[DaysAgeing]]&gt;5,"yep","on track")</f>
        <v>on track</v>
      </c>
      <c r="Q1184" s="3">
        <f ca="1">IF(Proc[[#This Row],[DateClosed]]="",ABS(NETWORKDAYS(Proc[[#This Row],[DateOpened]],TODAY()))-1,ABS(NETWORKDAYS(Proc[[#This Row],[DateOpened]],Proc[[#This Row],[DateClosed]]))-1)</f>
        <v>3</v>
      </c>
      <c r="R1184" s="82" t="s">
        <v>478</v>
      </c>
      <c r="S1184" s="71"/>
    </row>
    <row r="1185" spans="1:19" hidden="1">
      <c r="A1185" t="s">
        <v>2888</v>
      </c>
      <c r="B1185" s="71" t="str">
        <f>IFERROR(VLOOKUP(Proc[[#This Row],[App]],Table2[],3,0),"open")</f>
        <v>ok</v>
      </c>
      <c r="C1185" t="s">
        <v>369</v>
      </c>
      <c r="D1185" t="s">
        <v>2889</v>
      </c>
      <c r="E1185" t="s">
        <v>2890</v>
      </c>
      <c r="F1185" s="105" t="s">
        <v>2890</v>
      </c>
      <c r="G1185" t="s">
        <v>400</v>
      </c>
      <c r="H1185" s="71" t="str">
        <f>IF(Proc[[#This Row],[type]]="LFF (MDG-F)",MID(Proc[[#This Row],[Obj]],13,10),"")</f>
        <v/>
      </c>
      <c r="J1185" s="71" t="b">
        <f>Proc[[#This Row],[Requested]]=Proc[[#This Row],[CurrentParent]]</f>
        <v>1</v>
      </c>
      <c r="K1185" s="71" t="str">
        <f>IF(Proc[[#This Row],[Author]]="Marcela Urrego",VLOOKUP(LEFT(Proc[[#This Row],[Requested]],1),Table3[#All],2,0),VLOOKUP(Proc[[#This Row],[Author]],Table4[],2,0))</f>
        <v>LS</v>
      </c>
      <c r="L1185" s="71" t="s">
        <v>2563</v>
      </c>
      <c r="M1185" s="81">
        <v>45779.507777777777</v>
      </c>
      <c r="N1185" s="81">
        <v>45790</v>
      </c>
      <c r="O1185" s="81">
        <v>45790</v>
      </c>
      <c r="P1185" s="82" t="str">
        <f ca="1">IF(Proc[[#This Row],[DaysAgeing]]&gt;5,"yep","on track")</f>
        <v>yep</v>
      </c>
      <c r="Q1185" s="3">
        <f ca="1">IF(Proc[[#This Row],[DateClosed]]="",ABS(NETWORKDAYS(Proc[[#This Row],[DateOpened]],TODAY()))-1,ABS(NETWORKDAYS(Proc[[#This Row],[DateOpened]],Proc[[#This Row],[DateClosed]]))-1)</f>
        <v>7</v>
      </c>
      <c r="R1185" s="82" t="s">
        <v>2891</v>
      </c>
      <c r="S1185" s="71"/>
    </row>
    <row r="1186" spans="1:19" hidden="1">
      <c r="A1186" t="s">
        <v>2896</v>
      </c>
      <c r="B1186" s="71" t="str">
        <f>IFERROR(VLOOKUP(Proc[[#This Row],[App]],Table2[],3,0),"open")</f>
        <v>ok</v>
      </c>
      <c r="C1186" s="74" t="s">
        <v>369</v>
      </c>
      <c r="D1186" t="s">
        <v>2892</v>
      </c>
      <c r="E1186" t="s">
        <v>2616</v>
      </c>
      <c r="F1186" s="105" t="s">
        <v>2616</v>
      </c>
      <c r="G1186" t="s">
        <v>400</v>
      </c>
      <c r="H1186" s="71" t="str">
        <f>IF(Proc[[#This Row],[type]]="LFF (MDG-F)",MID(Proc[[#This Row],[Obj]],13,10),"")</f>
        <v/>
      </c>
      <c r="J1186" s="71" t="b">
        <f>Proc[[#This Row],[Requested]]=Proc[[#This Row],[CurrentParent]]</f>
        <v>1</v>
      </c>
      <c r="K1186" s="71" t="str">
        <f>IF(Proc[[#This Row],[Author]]="Marcela Urrego",VLOOKUP(LEFT(Proc[[#This Row],[Requested]],1),Table3[#All],2,0),VLOOKUP(Proc[[#This Row],[Author]],Table4[],2,0))</f>
        <v>MGF</v>
      </c>
      <c r="L1186" s="71" t="s">
        <v>2563</v>
      </c>
      <c r="M1186" s="81">
        <v>45782.435740740744</v>
      </c>
      <c r="N1186" s="81">
        <v>45790</v>
      </c>
      <c r="O1186" s="81">
        <v>45790</v>
      </c>
      <c r="P1186" s="82" t="str">
        <f ca="1">IF(Proc[[#This Row],[DaysAgeing]]&gt;5,"yep","on track")</f>
        <v>yep</v>
      </c>
      <c r="Q1186" s="3">
        <f ca="1">IF(Proc[[#This Row],[DateClosed]]="",ABS(NETWORKDAYS(Proc[[#This Row],[DateOpened]],TODAY()))-1,ABS(NETWORKDAYS(Proc[[#This Row],[DateOpened]],Proc[[#This Row],[DateClosed]]))-1)</f>
        <v>6</v>
      </c>
      <c r="R1186" s="82" t="s">
        <v>1459</v>
      </c>
      <c r="S1186" s="71"/>
    </row>
    <row r="1187" spans="1:19" hidden="1">
      <c r="A1187" s="74" t="s">
        <v>2896</v>
      </c>
      <c r="B1187" s="71" t="str">
        <f>IFERROR(VLOOKUP(Proc[[#This Row],[App]],Table2[],3,0),"open")</f>
        <v>ok</v>
      </c>
      <c r="C1187" s="74" t="s">
        <v>369</v>
      </c>
      <c r="D1187" t="s">
        <v>2893</v>
      </c>
      <c r="E1187" t="s">
        <v>2616</v>
      </c>
      <c r="F1187" s="105" t="s">
        <v>2616</v>
      </c>
      <c r="G1187" t="s">
        <v>406</v>
      </c>
      <c r="H1187" s="71" t="str">
        <f>IF(Proc[[#This Row],[type]]="LFF (MDG-F)",MID(Proc[[#This Row],[Obj]],13,10),"")</f>
        <v>2123GIT02F</v>
      </c>
      <c r="I1187" t="s">
        <v>3015</v>
      </c>
      <c r="J1187" s="71" t="b">
        <f>Proc[[#This Row],[Requested]]=Proc[[#This Row],[CurrentParent]]</f>
        <v>1</v>
      </c>
      <c r="K1187" s="71" t="str">
        <f>IF(Proc[[#This Row],[Author]]="Marcela Urrego",VLOOKUP(LEFT(Proc[[#This Row],[Requested]],1),Table3[#All],2,0),VLOOKUP(Proc[[#This Row],[Author]],Table4[],2,0))</f>
        <v>MGF</v>
      </c>
      <c r="L1187" s="71" t="s">
        <v>2563</v>
      </c>
      <c r="M1187" s="81">
        <v>45782.435740740744</v>
      </c>
      <c r="N1187" s="81">
        <v>45790</v>
      </c>
      <c r="O1187" s="81">
        <v>45790</v>
      </c>
      <c r="P1187" s="82" t="str">
        <f ca="1">IF(Proc[[#This Row],[DaysAgeing]]&gt;5,"yep","on track")</f>
        <v>yep</v>
      </c>
      <c r="Q1187" s="3">
        <f ca="1">IF(Proc[[#This Row],[DateClosed]]="",ABS(NETWORKDAYS(Proc[[#This Row],[DateOpened]],TODAY()))-1,ABS(NETWORKDAYS(Proc[[#This Row],[DateOpened]],Proc[[#This Row],[DateClosed]]))-1)</f>
        <v>6</v>
      </c>
      <c r="R1187" s="82" t="s">
        <v>1459</v>
      </c>
      <c r="S1187" s="71"/>
    </row>
    <row r="1188" spans="1:19" hidden="1">
      <c r="A1188" s="74" t="s">
        <v>2896</v>
      </c>
      <c r="B1188" s="71" t="str">
        <f>IFERROR(VLOOKUP(Proc[[#This Row],[App]],Table2[],3,0),"open")</f>
        <v>ok</v>
      </c>
      <c r="C1188" s="74" t="s">
        <v>369</v>
      </c>
      <c r="D1188" t="s">
        <v>2894</v>
      </c>
      <c r="E1188" t="s">
        <v>2616</v>
      </c>
      <c r="F1188" s="105" t="s">
        <v>2616</v>
      </c>
      <c r="G1188" s="74" t="s">
        <v>406</v>
      </c>
      <c r="H1188" s="71" t="str">
        <f>IF(Proc[[#This Row],[type]]="LFF (MDG-F)",MID(Proc[[#This Row],[Obj]],13,10),"")</f>
        <v>2123GIT01F</v>
      </c>
      <c r="I1188" s="74" t="s">
        <v>3015</v>
      </c>
      <c r="J1188" s="71" t="b">
        <f>Proc[[#This Row],[Requested]]=Proc[[#This Row],[CurrentParent]]</f>
        <v>1</v>
      </c>
      <c r="K1188" s="71" t="str">
        <f>IF(Proc[[#This Row],[Author]]="Marcela Urrego",VLOOKUP(LEFT(Proc[[#This Row],[Requested]],1),Table3[#All],2,0),VLOOKUP(Proc[[#This Row],[Author]],Table4[],2,0))</f>
        <v>MGF</v>
      </c>
      <c r="L1188" s="71" t="s">
        <v>2563</v>
      </c>
      <c r="M1188" s="81">
        <v>45782.435740740744</v>
      </c>
      <c r="N1188" s="81">
        <v>45790</v>
      </c>
      <c r="O1188" s="81">
        <v>45790</v>
      </c>
      <c r="P1188" s="82" t="str">
        <f ca="1">IF(Proc[[#This Row],[DaysAgeing]]&gt;5,"yep","on track")</f>
        <v>yep</v>
      </c>
      <c r="Q1188" s="3">
        <f ca="1">IF(Proc[[#This Row],[DateClosed]]="",ABS(NETWORKDAYS(Proc[[#This Row],[DateOpened]],TODAY()))-1,ABS(NETWORKDAYS(Proc[[#This Row],[DateOpened]],Proc[[#This Row],[DateClosed]]))-1)</f>
        <v>6</v>
      </c>
      <c r="R1188" s="82" t="s">
        <v>1459</v>
      </c>
      <c r="S1188" s="71"/>
    </row>
    <row r="1189" spans="1:19" hidden="1">
      <c r="A1189" s="74" t="s">
        <v>2896</v>
      </c>
      <c r="B1189" s="71" t="str">
        <f>IFERROR(VLOOKUP(Proc[[#This Row],[App]],Table2[],3,0),"open")</f>
        <v>ok</v>
      </c>
      <c r="C1189" s="74" t="s">
        <v>369</v>
      </c>
      <c r="D1189" t="s">
        <v>2895</v>
      </c>
      <c r="E1189" t="s">
        <v>2616</v>
      </c>
      <c r="F1189" s="105" t="s">
        <v>2616</v>
      </c>
      <c r="G1189" s="74" t="s">
        <v>406</v>
      </c>
      <c r="H1189" s="71" t="str">
        <f>IF(Proc[[#This Row],[type]]="LFF (MDG-F)",MID(Proc[[#This Row],[Obj]],13,10),"")</f>
        <v>US10GIT01F</v>
      </c>
      <c r="I1189" s="74" t="s">
        <v>3015</v>
      </c>
      <c r="J1189" s="71" t="b">
        <f>Proc[[#This Row],[Requested]]=Proc[[#This Row],[CurrentParent]]</f>
        <v>1</v>
      </c>
      <c r="K1189" s="71" t="str">
        <f>IF(Proc[[#This Row],[Author]]="Marcela Urrego",VLOOKUP(LEFT(Proc[[#This Row],[Requested]],1),Table3[#All],2,0),VLOOKUP(Proc[[#This Row],[Author]],Table4[],2,0))</f>
        <v>MGF</v>
      </c>
      <c r="L1189" s="71" t="s">
        <v>2563</v>
      </c>
      <c r="M1189" s="81">
        <v>45782.435740740744</v>
      </c>
      <c r="N1189" s="81">
        <v>45790</v>
      </c>
      <c r="O1189" s="81">
        <v>45790</v>
      </c>
      <c r="P1189" s="82" t="str">
        <f ca="1">IF(Proc[[#This Row],[DaysAgeing]]&gt;5,"yep","on track")</f>
        <v>yep</v>
      </c>
      <c r="Q1189" s="3">
        <f ca="1">IF(Proc[[#This Row],[DateClosed]]="",ABS(NETWORKDAYS(Proc[[#This Row],[DateOpened]],TODAY()))-1,ABS(NETWORKDAYS(Proc[[#This Row],[DateOpened]],Proc[[#This Row],[DateClosed]]))-1)</f>
        <v>6</v>
      </c>
      <c r="R1189" s="82" t="s">
        <v>1459</v>
      </c>
      <c r="S1189" s="71"/>
    </row>
    <row r="1190" spans="1:19" hidden="1">
      <c r="A1190" t="s">
        <v>2897</v>
      </c>
      <c r="B1190" s="71" t="str">
        <f>IFERROR(VLOOKUP(Proc[[#This Row],[App]],Table2[],3,0),"open")</f>
        <v>ok</v>
      </c>
      <c r="C1190" s="74" t="s">
        <v>369</v>
      </c>
      <c r="D1190" t="s">
        <v>1410</v>
      </c>
      <c r="E1190" t="s">
        <v>2898</v>
      </c>
      <c r="F1190" s="105" t="s">
        <v>2898</v>
      </c>
      <c r="G1190" t="s">
        <v>400</v>
      </c>
      <c r="H1190" s="71" t="str">
        <f>IF(Proc[[#This Row],[type]]="LFF (MDG-F)",MID(Proc[[#This Row],[Obj]],13,10),"")</f>
        <v/>
      </c>
      <c r="J1190" s="71" t="b">
        <f>Proc[[#This Row],[Requested]]=Proc[[#This Row],[CurrentParent]]</f>
        <v>1</v>
      </c>
      <c r="K1190" s="71" t="str">
        <f>IF(Proc[[#This Row],[Author]]="Marcela Urrego",VLOOKUP(LEFT(Proc[[#This Row],[Requested]],1),Table3[#All],2,0),VLOOKUP(Proc[[#This Row],[Author]],Table4[],2,0))</f>
        <v>LS</v>
      </c>
      <c r="L1190" s="71" t="s">
        <v>2563</v>
      </c>
      <c r="M1190" s="81">
        <v>45782.437094907407</v>
      </c>
      <c r="N1190" s="81">
        <v>45790</v>
      </c>
      <c r="O1190" s="81">
        <v>45790</v>
      </c>
      <c r="P1190" s="82" t="str">
        <f ca="1">IF(Proc[[#This Row],[DaysAgeing]]&gt;5,"yep","on track")</f>
        <v>yep</v>
      </c>
      <c r="Q1190" s="3">
        <f ca="1">IF(Proc[[#This Row],[DateClosed]]="",ABS(NETWORKDAYS(Proc[[#This Row],[DateOpened]],TODAY()))-1,ABS(NETWORKDAYS(Proc[[#This Row],[DateOpened]],Proc[[#This Row],[DateClosed]]))-1)</f>
        <v>6</v>
      </c>
      <c r="R1190" s="82" t="s">
        <v>489</v>
      </c>
      <c r="S1190" s="71"/>
    </row>
    <row r="1191" spans="1:19" hidden="1">
      <c r="A1191" t="s">
        <v>2897</v>
      </c>
      <c r="B1191" s="71" t="str">
        <f>IFERROR(VLOOKUP(Proc[[#This Row],[App]],Table2[],3,0),"open")</f>
        <v>ok</v>
      </c>
      <c r="C1191" s="74" t="s">
        <v>369</v>
      </c>
      <c r="D1191" t="s">
        <v>1412</v>
      </c>
      <c r="E1191" t="s">
        <v>2898</v>
      </c>
      <c r="F1191" s="105" t="s">
        <v>2898</v>
      </c>
      <c r="G1191" s="74" t="s">
        <v>400</v>
      </c>
      <c r="H1191" s="71" t="str">
        <f>IF(Proc[[#This Row],[type]]="LFF (MDG-F)",MID(Proc[[#This Row],[Obj]],13,10),"")</f>
        <v/>
      </c>
      <c r="J1191" s="71" t="b">
        <f>Proc[[#This Row],[Requested]]=Proc[[#This Row],[CurrentParent]]</f>
        <v>1</v>
      </c>
      <c r="K1191" s="71" t="str">
        <f>IF(Proc[[#This Row],[Author]]="Marcela Urrego",VLOOKUP(LEFT(Proc[[#This Row],[Requested]],1),Table3[#All],2,0),VLOOKUP(Proc[[#This Row],[Author]],Table4[],2,0))</f>
        <v>LS</v>
      </c>
      <c r="L1191" s="71" t="s">
        <v>2563</v>
      </c>
      <c r="M1191" s="81">
        <v>45782.437094907407</v>
      </c>
      <c r="N1191" s="81">
        <v>45790</v>
      </c>
      <c r="O1191" s="81">
        <v>45790</v>
      </c>
      <c r="P1191" s="82" t="str">
        <f ca="1">IF(Proc[[#This Row],[DaysAgeing]]&gt;5,"yep","on track")</f>
        <v>yep</v>
      </c>
      <c r="Q1191" s="3">
        <f ca="1">IF(Proc[[#This Row],[DateClosed]]="",ABS(NETWORKDAYS(Proc[[#This Row],[DateOpened]],TODAY()))-1,ABS(NETWORKDAYS(Proc[[#This Row],[DateOpened]],Proc[[#This Row],[DateClosed]]))-1)</f>
        <v>6</v>
      </c>
      <c r="R1191" s="82" t="s">
        <v>489</v>
      </c>
      <c r="S1191" s="71"/>
    </row>
    <row r="1192" spans="1:19" hidden="1">
      <c r="A1192" t="s">
        <v>2899</v>
      </c>
      <c r="B1192" s="71" t="str">
        <f>IFERROR(VLOOKUP(Proc[[#This Row],[App]],Table2[],3,0),"open")</f>
        <v>ok</v>
      </c>
      <c r="C1192" s="74" t="s">
        <v>369</v>
      </c>
      <c r="D1192" t="s">
        <v>2833</v>
      </c>
      <c r="E1192" t="s">
        <v>2900</v>
      </c>
      <c r="F1192" s="105" t="s">
        <v>2900</v>
      </c>
      <c r="G1192" t="s">
        <v>400</v>
      </c>
      <c r="H1192" s="71" t="str">
        <f>IF(Proc[[#This Row],[type]]="LFF (MDG-F)",MID(Proc[[#This Row],[Obj]],13,10),"")</f>
        <v/>
      </c>
      <c r="J1192" s="71" t="b">
        <f>Proc[[#This Row],[Requested]]=Proc[[#This Row],[CurrentParent]]</f>
        <v>1</v>
      </c>
      <c r="K1192" s="71" t="str">
        <f>IF(Proc[[#This Row],[Author]]="Marcela Urrego",VLOOKUP(LEFT(Proc[[#This Row],[Requested]],1),Table3[#All],2,0),VLOOKUP(Proc[[#This Row],[Author]],Table4[],2,0))</f>
        <v>LS</v>
      </c>
      <c r="L1192" s="71" t="s">
        <v>2563</v>
      </c>
      <c r="M1192" s="81">
        <v>45782.455694444441</v>
      </c>
      <c r="N1192" s="81">
        <v>45790</v>
      </c>
      <c r="O1192" s="81">
        <v>45790</v>
      </c>
      <c r="P1192" s="82" t="str">
        <f ca="1">IF(Proc[[#This Row],[DaysAgeing]]&gt;5,"yep","on track")</f>
        <v>yep</v>
      </c>
      <c r="Q1192" s="3">
        <f ca="1">IF(Proc[[#This Row],[DateClosed]]="",ABS(NETWORKDAYS(Proc[[#This Row],[DateOpened]],TODAY()))-1,ABS(NETWORKDAYS(Proc[[#This Row],[DateOpened]],Proc[[#This Row],[DateClosed]]))-1)</f>
        <v>6</v>
      </c>
      <c r="R1192" s="82" t="s">
        <v>489</v>
      </c>
      <c r="S1192" s="71"/>
    </row>
    <row r="1193" spans="1:19" hidden="1">
      <c r="A1193" t="s">
        <v>2901</v>
      </c>
      <c r="B1193" s="71" t="str">
        <f>IFERROR(VLOOKUP(Proc[[#This Row],[App]],Table2[],3,0),"open")</f>
        <v>ok</v>
      </c>
      <c r="C1193" s="74" t="s">
        <v>369</v>
      </c>
      <c r="D1193" t="s">
        <v>2902</v>
      </c>
      <c r="E1193" t="s">
        <v>3003</v>
      </c>
      <c r="F1193" s="105" t="s">
        <v>3003</v>
      </c>
      <c r="G1193" s="74" t="s">
        <v>400</v>
      </c>
      <c r="H1193" s="71" t="str">
        <f>IF(Proc[[#This Row],[type]]="LFF (MDG-F)",MID(Proc[[#This Row],[Obj]],13,10),"")</f>
        <v/>
      </c>
      <c r="J1193" s="71" t="b">
        <f>Proc[[#This Row],[Requested]]=Proc[[#This Row],[CurrentParent]]</f>
        <v>1</v>
      </c>
      <c r="K1193" s="71" t="str">
        <f>IF(Proc[[#This Row],[Author]]="Marcela Urrego",VLOOKUP(LEFT(Proc[[#This Row],[Requested]],1),Table3[#All],2,0),VLOOKUP(Proc[[#This Row],[Author]],Table4[],2,0))</f>
        <v>HC</v>
      </c>
      <c r="L1193" s="71" t="s">
        <v>2563</v>
      </c>
      <c r="M1193" s="81">
        <v>45782.702824074076</v>
      </c>
      <c r="N1193" s="81">
        <v>45790</v>
      </c>
      <c r="O1193" s="81">
        <v>45790</v>
      </c>
      <c r="P1193" s="82" t="str">
        <f ca="1">IF(Proc[[#This Row],[DaysAgeing]]&gt;5,"yep","on track")</f>
        <v>yep</v>
      </c>
      <c r="Q1193" s="3">
        <f ca="1">IF(Proc[[#This Row],[DateClosed]]="",ABS(NETWORKDAYS(Proc[[#This Row],[DateOpened]],TODAY()))-1,ABS(NETWORKDAYS(Proc[[#This Row],[DateOpened]],Proc[[#This Row],[DateClosed]]))-1)</f>
        <v>6</v>
      </c>
      <c r="R1193" s="82" t="s">
        <v>410</v>
      </c>
      <c r="S1193" s="71"/>
    </row>
    <row r="1194" spans="1:19" hidden="1">
      <c r="A1194" s="74" t="s">
        <v>2901</v>
      </c>
      <c r="B1194" s="71" t="str">
        <f>IFERROR(VLOOKUP(Proc[[#This Row],[App]],Table2[],3,0),"open")</f>
        <v>ok</v>
      </c>
      <c r="C1194" s="74" t="s">
        <v>369</v>
      </c>
      <c r="D1194" t="s">
        <v>2903</v>
      </c>
      <c r="E1194" t="s">
        <v>3003</v>
      </c>
      <c r="F1194" s="105" t="s">
        <v>3003</v>
      </c>
      <c r="G1194" s="74" t="s">
        <v>400</v>
      </c>
      <c r="H1194" s="71" t="str">
        <f>IF(Proc[[#This Row],[type]]="LFF (MDG-F)",MID(Proc[[#This Row],[Obj]],13,10),"")</f>
        <v/>
      </c>
      <c r="J1194" s="71" t="b">
        <f>Proc[[#This Row],[Requested]]=Proc[[#This Row],[CurrentParent]]</f>
        <v>1</v>
      </c>
      <c r="K1194" s="71" t="str">
        <f>IF(Proc[[#This Row],[Author]]="Marcela Urrego",VLOOKUP(LEFT(Proc[[#This Row],[Requested]],1),Table3[#All],2,0),VLOOKUP(Proc[[#This Row],[Author]],Table4[],2,0))</f>
        <v>HC</v>
      </c>
      <c r="L1194" s="71" t="s">
        <v>2563</v>
      </c>
      <c r="M1194" s="81">
        <v>45782.702824074076</v>
      </c>
      <c r="N1194" s="81">
        <v>45790</v>
      </c>
      <c r="O1194" s="81">
        <v>45790</v>
      </c>
      <c r="P1194" s="82" t="str">
        <f ca="1">IF(Proc[[#This Row],[DaysAgeing]]&gt;5,"yep","on track")</f>
        <v>yep</v>
      </c>
      <c r="Q1194" s="3">
        <f ca="1">IF(Proc[[#This Row],[DateClosed]]="",ABS(NETWORKDAYS(Proc[[#This Row],[DateOpened]],TODAY()))-1,ABS(NETWORKDAYS(Proc[[#This Row],[DateOpened]],Proc[[#This Row],[DateClosed]]))-1)</f>
        <v>6</v>
      </c>
      <c r="R1194" s="82" t="s">
        <v>410</v>
      </c>
      <c r="S1194" s="71"/>
    </row>
    <row r="1195" spans="1:19" hidden="1">
      <c r="A1195" s="74" t="s">
        <v>2901</v>
      </c>
      <c r="B1195" s="71" t="str">
        <f>IFERROR(VLOOKUP(Proc[[#This Row],[App]],Table2[],3,0),"open")</f>
        <v>ok</v>
      </c>
      <c r="C1195" s="74" t="s">
        <v>369</v>
      </c>
      <c r="D1195" t="s">
        <v>2904</v>
      </c>
      <c r="E1195" t="s">
        <v>3003</v>
      </c>
      <c r="F1195" s="105" t="s">
        <v>3003</v>
      </c>
      <c r="G1195" s="74" t="s">
        <v>400</v>
      </c>
      <c r="H1195" s="71" t="str">
        <f>IF(Proc[[#This Row],[type]]="LFF (MDG-F)",MID(Proc[[#This Row],[Obj]],13,10),"")</f>
        <v/>
      </c>
      <c r="J1195" s="71" t="b">
        <f>Proc[[#This Row],[Requested]]=Proc[[#This Row],[CurrentParent]]</f>
        <v>1</v>
      </c>
      <c r="K1195" s="71" t="str">
        <f>IF(Proc[[#This Row],[Author]]="Marcela Urrego",VLOOKUP(LEFT(Proc[[#This Row],[Requested]],1),Table3[#All],2,0),VLOOKUP(Proc[[#This Row],[Author]],Table4[],2,0))</f>
        <v>HC</v>
      </c>
      <c r="L1195" s="71" t="s">
        <v>2563</v>
      </c>
      <c r="M1195" s="81">
        <v>45782.702824074076</v>
      </c>
      <c r="N1195" s="81">
        <v>45790</v>
      </c>
      <c r="O1195" s="81">
        <v>45790</v>
      </c>
      <c r="P1195" s="82" t="str">
        <f ca="1">IF(Proc[[#This Row],[DaysAgeing]]&gt;5,"yep","on track")</f>
        <v>yep</v>
      </c>
      <c r="Q1195" s="3">
        <f ca="1">IF(Proc[[#This Row],[DateClosed]]="",ABS(NETWORKDAYS(Proc[[#This Row],[DateOpened]],TODAY()))-1,ABS(NETWORKDAYS(Proc[[#This Row],[DateOpened]],Proc[[#This Row],[DateClosed]]))-1)</f>
        <v>6</v>
      </c>
      <c r="R1195" s="82" t="s">
        <v>410</v>
      </c>
      <c r="S1195" s="71"/>
    </row>
    <row r="1196" spans="1:19" hidden="1">
      <c r="A1196" s="74" t="s">
        <v>2901</v>
      </c>
      <c r="B1196" s="71" t="str">
        <f>IFERROR(VLOOKUP(Proc[[#This Row],[App]],Table2[],3,0),"open")</f>
        <v>ok</v>
      </c>
      <c r="C1196" s="74" t="s">
        <v>369</v>
      </c>
      <c r="D1196" t="s">
        <v>2905</v>
      </c>
      <c r="E1196" t="s">
        <v>3003</v>
      </c>
      <c r="F1196" s="105" t="s">
        <v>3003</v>
      </c>
      <c r="G1196" s="74" t="s">
        <v>400</v>
      </c>
      <c r="H1196" s="71" t="str">
        <f>IF(Proc[[#This Row],[type]]="LFF (MDG-F)",MID(Proc[[#This Row],[Obj]],13,10),"")</f>
        <v/>
      </c>
      <c r="J1196" s="71" t="b">
        <f>Proc[[#This Row],[Requested]]=Proc[[#This Row],[CurrentParent]]</f>
        <v>1</v>
      </c>
      <c r="K1196" s="71" t="str">
        <f>IF(Proc[[#This Row],[Author]]="Marcela Urrego",VLOOKUP(LEFT(Proc[[#This Row],[Requested]],1),Table3[#All],2,0),VLOOKUP(Proc[[#This Row],[Author]],Table4[],2,0))</f>
        <v>HC</v>
      </c>
      <c r="L1196" s="71" t="s">
        <v>2563</v>
      </c>
      <c r="M1196" s="81">
        <v>45782.702824074076</v>
      </c>
      <c r="N1196" s="81">
        <v>45790</v>
      </c>
      <c r="O1196" s="81">
        <v>45790</v>
      </c>
      <c r="P1196" s="82" t="str">
        <f ca="1">IF(Proc[[#This Row],[DaysAgeing]]&gt;5,"yep","on track")</f>
        <v>yep</v>
      </c>
      <c r="Q1196" s="3">
        <f ca="1">IF(Proc[[#This Row],[DateClosed]]="",ABS(NETWORKDAYS(Proc[[#This Row],[DateOpened]],TODAY()))-1,ABS(NETWORKDAYS(Proc[[#This Row],[DateOpened]],Proc[[#This Row],[DateClosed]]))-1)</f>
        <v>6</v>
      </c>
      <c r="R1196" s="82" t="s">
        <v>410</v>
      </c>
      <c r="S1196" s="71"/>
    </row>
    <row r="1197" spans="1:19" hidden="1">
      <c r="A1197" s="74" t="s">
        <v>2901</v>
      </c>
      <c r="B1197" s="71" t="str">
        <f>IFERROR(VLOOKUP(Proc[[#This Row],[App]],Table2[],3,0),"open")</f>
        <v>ok</v>
      </c>
      <c r="C1197" s="74" t="s">
        <v>369</v>
      </c>
      <c r="D1197" t="s">
        <v>2906</v>
      </c>
      <c r="E1197" t="s">
        <v>3003</v>
      </c>
      <c r="F1197" s="105" t="s">
        <v>3003</v>
      </c>
      <c r="G1197" s="74" t="s">
        <v>400</v>
      </c>
      <c r="H1197" s="71" t="str">
        <f>IF(Proc[[#This Row],[type]]="LFF (MDG-F)",MID(Proc[[#This Row],[Obj]],13,10),"")</f>
        <v/>
      </c>
      <c r="J1197" s="71" t="b">
        <f>Proc[[#This Row],[Requested]]=Proc[[#This Row],[CurrentParent]]</f>
        <v>1</v>
      </c>
      <c r="K1197" s="71" t="str">
        <f>IF(Proc[[#This Row],[Author]]="Marcela Urrego",VLOOKUP(LEFT(Proc[[#This Row],[Requested]],1),Table3[#All],2,0),VLOOKUP(Proc[[#This Row],[Author]],Table4[],2,0))</f>
        <v>HC</v>
      </c>
      <c r="L1197" s="71" t="s">
        <v>2563</v>
      </c>
      <c r="M1197" s="81">
        <v>45782.702824074076</v>
      </c>
      <c r="N1197" s="81">
        <v>45790</v>
      </c>
      <c r="O1197" s="81">
        <v>45790</v>
      </c>
      <c r="P1197" s="82" t="str">
        <f ca="1">IF(Proc[[#This Row],[DaysAgeing]]&gt;5,"yep","on track")</f>
        <v>yep</v>
      </c>
      <c r="Q1197" s="3">
        <f ca="1">IF(Proc[[#This Row],[DateClosed]]="",ABS(NETWORKDAYS(Proc[[#This Row],[DateOpened]],TODAY()))-1,ABS(NETWORKDAYS(Proc[[#This Row],[DateOpened]],Proc[[#This Row],[DateClosed]]))-1)</f>
        <v>6</v>
      </c>
      <c r="R1197" s="82" t="s">
        <v>410</v>
      </c>
      <c r="S1197" s="71"/>
    </row>
    <row r="1198" spans="1:19" hidden="1">
      <c r="A1198" s="74" t="s">
        <v>2901</v>
      </c>
      <c r="B1198" s="71" t="str">
        <f>IFERROR(VLOOKUP(Proc[[#This Row],[App]],Table2[],3,0),"open")</f>
        <v>ok</v>
      </c>
      <c r="C1198" s="74" t="s">
        <v>369</v>
      </c>
      <c r="D1198" t="s">
        <v>2907</v>
      </c>
      <c r="E1198" t="s">
        <v>3003</v>
      </c>
      <c r="F1198" s="105" t="s">
        <v>3003</v>
      </c>
      <c r="G1198" s="74" t="s">
        <v>400</v>
      </c>
      <c r="H1198" s="71" t="str">
        <f>IF(Proc[[#This Row],[type]]="LFF (MDG-F)",MID(Proc[[#This Row],[Obj]],13,10),"")</f>
        <v/>
      </c>
      <c r="J1198" s="71" t="b">
        <f>Proc[[#This Row],[Requested]]=Proc[[#This Row],[CurrentParent]]</f>
        <v>1</v>
      </c>
      <c r="K1198" s="71" t="str">
        <f>IF(Proc[[#This Row],[Author]]="Marcela Urrego",VLOOKUP(LEFT(Proc[[#This Row],[Requested]],1),Table3[#All],2,0),VLOOKUP(Proc[[#This Row],[Author]],Table4[],2,0))</f>
        <v>HC</v>
      </c>
      <c r="L1198" s="71" t="s">
        <v>2563</v>
      </c>
      <c r="M1198" s="81">
        <v>45782.702824074076</v>
      </c>
      <c r="N1198" s="81">
        <v>45790</v>
      </c>
      <c r="O1198" s="81">
        <v>45790</v>
      </c>
      <c r="P1198" s="82" t="str">
        <f ca="1">IF(Proc[[#This Row],[DaysAgeing]]&gt;5,"yep","on track")</f>
        <v>yep</v>
      </c>
      <c r="Q1198" s="3">
        <f ca="1">IF(Proc[[#This Row],[DateClosed]]="",ABS(NETWORKDAYS(Proc[[#This Row],[DateOpened]],TODAY()))-1,ABS(NETWORKDAYS(Proc[[#This Row],[DateOpened]],Proc[[#This Row],[DateClosed]]))-1)</f>
        <v>6</v>
      </c>
      <c r="R1198" s="82" t="s">
        <v>410</v>
      </c>
      <c r="S1198" s="71"/>
    </row>
    <row r="1199" spans="1:19" hidden="1">
      <c r="A1199" s="74" t="s">
        <v>2901</v>
      </c>
      <c r="B1199" s="71" t="str">
        <f>IFERROR(VLOOKUP(Proc[[#This Row],[App]],Table2[],3,0),"open")</f>
        <v>ok</v>
      </c>
      <c r="C1199" s="74" t="s">
        <v>369</v>
      </c>
      <c r="D1199" t="s">
        <v>2908</v>
      </c>
      <c r="E1199" t="s">
        <v>3003</v>
      </c>
      <c r="F1199" s="105" t="s">
        <v>3003</v>
      </c>
      <c r="G1199" s="74" t="s">
        <v>400</v>
      </c>
      <c r="H1199" s="71" t="str">
        <f>IF(Proc[[#This Row],[type]]="LFF (MDG-F)",MID(Proc[[#This Row],[Obj]],13,10),"")</f>
        <v/>
      </c>
      <c r="J1199" s="71" t="b">
        <f>Proc[[#This Row],[Requested]]=Proc[[#This Row],[CurrentParent]]</f>
        <v>1</v>
      </c>
      <c r="K1199" s="71" t="str">
        <f>IF(Proc[[#This Row],[Author]]="Marcela Urrego",VLOOKUP(LEFT(Proc[[#This Row],[Requested]],1),Table3[#All],2,0),VLOOKUP(Proc[[#This Row],[Author]],Table4[],2,0))</f>
        <v>HC</v>
      </c>
      <c r="L1199" s="71" t="s">
        <v>2563</v>
      </c>
      <c r="M1199" s="81">
        <v>45782.702824074076</v>
      </c>
      <c r="N1199" s="81">
        <v>45790</v>
      </c>
      <c r="O1199" s="81">
        <v>45790</v>
      </c>
      <c r="P1199" s="82" t="str">
        <f ca="1">IF(Proc[[#This Row],[DaysAgeing]]&gt;5,"yep","on track")</f>
        <v>yep</v>
      </c>
      <c r="Q1199" s="3">
        <f ca="1">IF(Proc[[#This Row],[DateClosed]]="",ABS(NETWORKDAYS(Proc[[#This Row],[DateOpened]],TODAY()))-1,ABS(NETWORKDAYS(Proc[[#This Row],[DateOpened]],Proc[[#This Row],[DateClosed]]))-1)</f>
        <v>6</v>
      </c>
      <c r="R1199" s="82" t="s">
        <v>410</v>
      </c>
      <c r="S1199" s="71"/>
    </row>
    <row r="1200" spans="1:19" hidden="1">
      <c r="A1200" s="74" t="s">
        <v>2901</v>
      </c>
      <c r="B1200" s="71" t="str">
        <f>IFERROR(VLOOKUP(Proc[[#This Row],[App]],Table2[],3,0),"open")</f>
        <v>ok</v>
      </c>
      <c r="C1200" s="74" t="s">
        <v>369</v>
      </c>
      <c r="D1200" t="s">
        <v>2909</v>
      </c>
      <c r="E1200" t="s">
        <v>3003</v>
      </c>
      <c r="F1200" s="105" t="s">
        <v>3003</v>
      </c>
      <c r="G1200" s="74" t="s">
        <v>400</v>
      </c>
      <c r="H1200" s="71" t="str">
        <f>IF(Proc[[#This Row],[type]]="LFF (MDG-F)",MID(Proc[[#This Row],[Obj]],13,10),"")</f>
        <v/>
      </c>
      <c r="J1200" s="71" t="b">
        <f>Proc[[#This Row],[Requested]]=Proc[[#This Row],[CurrentParent]]</f>
        <v>1</v>
      </c>
      <c r="K1200" s="71" t="str">
        <f>IF(Proc[[#This Row],[Author]]="Marcela Urrego",VLOOKUP(LEFT(Proc[[#This Row],[Requested]],1),Table3[#All],2,0),VLOOKUP(Proc[[#This Row],[Author]],Table4[],2,0))</f>
        <v>HC</v>
      </c>
      <c r="L1200" s="71" t="s">
        <v>2563</v>
      </c>
      <c r="M1200" s="81">
        <v>45782.702824074076</v>
      </c>
      <c r="N1200" s="81">
        <v>45790</v>
      </c>
      <c r="O1200" s="81">
        <v>45790</v>
      </c>
      <c r="P1200" s="82" t="str">
        <f ca="1">IF(Proc[[#This Row],[DaysAgeing]]&gt;5,"yep","on track")</f>
        <v>yep</v>
      </c>
      <c r="Q1200" s="3">
        <f ca="1">IF(Proc[[#This Row],[DateClosed]]="",ABS(NETWORKDAYS(Proc[[#This Row],[DateOpened]],TODAY()))-1,ABS(NETWORKDAYS(Proc[[#This Row],[DateOpened]],Proc[[#This Row],[DateClosed]]))-1)</f>
        <v>6</v>
      </c>
      <c r="R1200" s="82" t="s">
        <v>410</v>
      </c>
      <c r="S1200" s="71"/>
    </row>
    <row r="1201" spans="1:19" hidden="1">
      <c r="A1201" s="74" t="s">
        <v>2901</v>
      </c>
      <c r="B1201" s="71" t="str">
        <f>IFERROR(VLOOKUP(Proc[[#This Row],[App]],Table2[],3,0),"open")</f>
        <v>ok</v>
      </c>
      <c r="C1201" s="74" t="s">
        <v>369</v>
      </c>
      <c r="D1201" t="s">
        <v>2910</v>
      </c>
      <c r="E1201" t="s">
        <v>3003</v>
      </c>
      <c r="F1201" s="105" t="s">
        <v>3003</v>
      </c>
      <c r="G1201" s="74" t="s">
        <v>400</v>
      </c>
      <c r="H1201" s="71" t="str">
        <f>IF(Proc[[#This Row],[type]]="LFF (MDG-F)",MID(Proc[[#This Row],[Obj]],13,10),"")</f>
        <v/>
      </c>
      <c r="J1201" s="71" t="b">
        <f>Proc[[#This Row],[Requested]]=Proc[[#This Row],[CurrentParent]]</f>
        <v>1</v>
      </c>
      <c r="K1201" s="71" t="str">
        <f>IF(Proc[[#This Row],[Author]]="Marcela Urrego",VLOOKUP(LEFT(Proc[[#This Row],[Requested]],1),Table3[#All],2,0),VLOOKUP(Proc[[#This Row],[Author]],Table4[],2,0))</f>
        <v>HC</v>
      </c>
      <c r="L1201" s="71" t="s">
        <v>2563</v>
      </c>
      <c r="M1201" s="81">
        <v>45782.702824074076</v>
      </c>
      <c r="N1201" s="81">
        <v>45790</v>
      </c>
      <c r="O1201" s="81">
        <v>45790</v>
      </c>
      <c r="P1201" s="82" t="str">
        <f ca="1">IF(Proc[[#This Row],[DaysAgeing]]&gt;5,"yep","on track")</f>
        <v>yep</v>
      </c>
      <c r="Q1201" s="3">
        <f ca="1">IF(Proc[[#This Row],[DateClosed]]="",ABS(NETWORKDAYS(Proc[[#This Row],[DateOpened]],TODAY()))-1,ABS(NETWORKDAYS(Proc[[#This Row],[DateOpened]],Proc[[#This Row],[DateClosed]]))-1)</f>
        <v>6</v>
      </c>
      <c r="R1201" s="82" t="s">
        <v>410</v>
      </c>
      <c r="S1201" s="71"/>
    </row>
    <row r="1202" spans="1:19" hidden="1">
      <c r="A1202" s="74" t="s">
        <v>2901</v>
      </c>
      <c r="B1202" s="71" t="str">
        <f>IFERROR(VLOOKUP(Proc[[#This Row],[App]],Table2[],3,0),"open")</f>
        <v>ok</v>
      </c>
      <c r="C1202" s="74" t="s">
        <v>369</v>
      </c>
      <c r="D1202" t="s">
        <v>2911</v>
      </c>
      <c r="E1202" t="s">
        <v>3004</v>
      </c>
      <c r="F1202" s="105" t="s">
        <v>3004</v>
      </c>
      <c r="G1202" s="74" t="s">
        <v>400</v>
      </c>
      <c r="H1202" s="71" t="str">
        <f>IF(Proc[[#This Row],[type]]="LFF (MDG-F)",MID(Proc[[#This Row],[Obj]],13,10),"")</f>
        <v/>
      </c>
      <c r="J1202" s="71" t="b">
        <f>Proc[[#This Row],[Requested]]=Proc[[#This Row],[CurrentParent]]</f>
        <v>1</v>
      </c>
      <c r="K1202" s="71" t="str">
        <f>IF(Proc[[#This Row],[Author]]="Marcela Urrego",VLOOKUP(LEFT(Proc[[#This Row],[Requested]],1),Table3[#All],2,0),VLOOKUP(Proc[[#This Row],[Author]],Table4[],2,0))</f>
        <v>HC</v>
      </c>
      <c r="L1202" s="71" t="s">
        <v>2563</v>
      </c>
      <c r="M1202" s="81">
        <v>45782.702824074076</v>
      </c>
      <c r="N1202" s="81">
        <v>45790</v>
      </c>
      <c r="O1202" s="81">
        <v>45790</v>
      </c>
      <c r="P1202" s="82" t="str">
        <f ca="1">IF(Proc[[#This Row],[DaysAgeing]]&gt;5,"yep","on track")</f>
        <v>yep</v>
      </c>
      <c r="Q1202" s="3">
        <f ca="1">IF(Proc[[#This Row],[DateClosed]]="",ABS(NETWORKDAYS(Proc[[#This Row],[DateOpened]],TODAY()))-1,ABS(NETWORKDAYS(Proc[[#This Row],[DateOpened]],Proc[[#This Row],[DateClosed]]))-1)</f>
        <v>6</v>
      </c>
      <c r="R1202" s="82" t="s">
        <v>410</v>
      </c>
      <c r="S1202" s="71"/>
    </row>
    <row r="1203" spans="1:19" hidden="1">
      <c r="A1203" s="74" t="s">
        <v>2901</v>
      </c>
      <c r="B1203" s="71" t="str">
        <f>IFERROR(VLOOKUP(Proc[[#This Row],[App]],Table2[],3,0),"open")</f>
        <v>ok</v>
      </c>
      <c r="C1203" s="74" t="s">
        <v>369</v>
      </c>
      <c r="D1203" t="s">
        <v>2912</v>
      </c>
      <c r="E1203" t="s">
        <v>3004</v>
      </c>
      <c r="F1203" s="105" t="s">
        <v>3004</v>
      </c>
      <c r="G1203" s="74" t="s">
        <v>400</v>
      </c>
      <c r="H1203" s="71" t="str">
        <f>IF(Proc[[#This Row],[type]]="LFF (MDG-F)",MID(Proc[[#This Row],[Obj]],13,10),"")</f>
        <v/>
      </c>
      <c r="J1203" s="71" t="b">
        <f>Proc[[#This Row],[Requested]]=Proc[[#This Row],[CurrentParent]]</f>
        <v>1</v>
      </c>
      <c r="K1203" s="71" t="str">
        <f>IF(Proc[[#This Row],[Author]]="Marcela Urrego",VLOOKUP(LEFT(Proc[[#This Row],[Requested]],1),Table3[#All],2,0),VLOOKUP(Proc[[#This Row],[Author]],Table4[],2,0))</f>
        <v>HC</v>
      </c>
      <c r="L1203" s="71" t="s">
        <v>2563</v>
      </c>
      <c r="M1203" s="81">
        <v>45782.702824074076</v>
      </c>
      <c r="N1203" s="81">
        <v>45790</v>
      </c>
      <c r="O1203" s="81">
        <v>45790</v>
      </c>
      <c r="P1203" s="82" t="str">
        <f ca="1">IF(Proc[[#This Row],[DaysAgeing]]&gt;5,"yep","on track")</f>
        <v>yep</v>
      </c>
      <c r="Q1203" s="3">
        <f ca="1">IF(Proc[[#This Row],[DateClosed]]="",ABS(NETWORKDAYS(Proc[[#This Row],[DateOpened]],TODAY()))-1,ABS(NETWORKDAYS(Proc[[#This Row],[DateOpened]],Proc[[#This Row],[DateClosed]]))-1)</f>
        <v>6</v>
      </c>
      <c r="R1203" s="82" t="s">
        <v>410</v>
      </c>
      <c r="S1203" s="71"/>
    </row>
    <row r="1204" spans="1:19" hidden="1">
      <c r="A1204" s="74" t="s">
        <v>2901</v>
      </c>
      <c r="B1204" s="71" t="str">
        <f>IFERROR(VLOOKUP(Proc[[#This Row],[App]],Table2[],3,0),"open")</f>
        <v>ok</v>
      </c>
      <c r="C1204" s="74" t="s">
        <v>369</v>
      </c>
      <c r="D1204" t="s">
        <v>2913</v>
      </c>
      <c r="E1204" t="s">
        <v>3004</v>
      </c>
      <c r="F1204" s="105" t="s">
        <v>3004</v>
      </c>
      <c r="G1204" s="74" t="s">
        <v>400</v>
      </c>
      <c r="H1204" s="71" t="str">
        <f>IF(Proc[[#This Row],[type]]="LFF (MDG-F)",MID(Proc[[#This Row],[Obj]],13,10),"")</f>
        <v/>
      </c>
      <c r="J1204" s="71" t="b">
        <f>Proc[[#This Row],[Requested]]=Proc[[#This Row],[CurrentParent]]</f>
        <v>1</v>
      </c>
      <c r="K1204" s="71" t="str">
        <f>IF(Proc[[#This Row],[Author]]="Marcela Urrego",VLOOKUP(LEFT(Proc[[#This Row],[Requested]],1),Table3[#All],2,0),VLOOKUP(Proc[[#This Row],[Author]],Table4[],2,0))</f>
        <v>HC</v>
      </c>
      <c r="L1204" s="71" t="s">
        <v>2563</v>
      </c>
      <c r="M1204" s="81">
        <v>45782.702824074076</v>
      </c>
      <c r="N1204" s="81">
        <v>45790</v>
      </c>
      <c r="O1204" s="81">
        <v>45790</v>
      </c>
      <c r="P1204" s="82" t="str">
        <f ca="1">IF(Proc[[#This Row],[DaysAgeing]]&gt;5,"yep","on track")</f>
        <v>yep</v>
      </c>
      <c r="Q1204" s="3">
        <f ca="1">IF(Proc[[#This Row],[DateClosed]]="",ABS(NETWORKDAYS(Proc[[#This Row],[DateOpened]],TODAY()))-1,ABS(NETWORKDAYS(Proc[[#This Row],[DateOpened]],Proc[[#This Row],[DateClosed]]))-1)</f>
        <v>6</v>
      </c>
      <c r="R1204" s="82" t="s">
        <v>410</v>
      </c>
      <c r="S1204" s="71"/>
    </row>
    <row r="1205" spans="1:19" hidden="1">
      <c r="A1205" s="74" t="s">
        <v>2901</v>
      </c>
      <c r="B1205" s="71" t="str">
        <f>IFERROR(VLOOKUP(Proc[[#This Row],[App]],Table2[],3,0),"open")</f>
        <v>ok</v>
      </c>
      <c r="C1205" s="74" t="s">
        <v>369</v>
      </c>
      <c r="D1205" t="s">
        <v>2914</v>
      </c>
      <c r="E1205" t="s">
        <v>3004</v>
      </c>
      <c r="F1205" s="105" t="s">
        <v>3004</v>
      </c>
      <c r="G1205" s="74" t="s">
        <v>400</v>
      </c>
      <c r="H1205" s="71" t="str">
        <f>IF(Proc[[#This Row],[type]]="LFF (MDG-F)",MID(Proc[[#This Row],[Obj]],13,10),"")</f>
        <v/>
      </c>
      <c r="J1205" s="71" t="b">
        <f>Proc[[#This Row],[Requested]]=Proc[[#This Row],[CurrentParent]]</f>
        <v>1</v>
      </c>
      <c r="K1205" s="71" t="str">
        <f>IF(Proc[[#This Row],[Author]]="Marcela Urrego",VLOOKUP(LEFT(Proc[[#This Row],[Requested]],1),Table3[#All],2,0),VLOOKUP(Proc[[#This Row],[Author]],Table4[],2,0))</f>
        <v>HC</v>
      </c>
      <c r="L1205" s="71" t="s">
        <v>2563</v>
      </c>
      <c r="M1205" s="81">
        <v>45782.702824074076</v>
      </c>
      <c r="N1205" s="81">
        <v>45790</v>
      </c>
      <c r="O1205" s="81">
        <v>45790</v>
      </c>
      <c r="P1205" s="82" t="str">
        <f ca="1">IF(Proc[[#This Row],[DaysAgeing]]&gt;5,"yep","on track")</f>
        <v>yep</v>
      </c>
      <c r="Q1205" s="3">
        <f ca="1">IF(Proc[[#This Row],[DateClosed]]="",ABS(NETWORKDAYS(Proc[[#This Row],[DateOpened]],TODAY()))-1,ABS(NETWORKDAYS(Proc[[#This Row],[DateOpened]],Proc[[#This Row],[DateClosed]]))-1)</f>
        <v>6</v>
      </c>
      <c r="R1205" s="82" t="s">
        <v>410</v>
      </c>
      <c r="S1205" s="71"/>
    </row>
    <row r="1206" spans="1:19" hidden="1">
      <c r="A1206" s="74" t="s">
        <v>2901</v>
      </c>
      <c r="B1206" s="71" t="str">
        <f>IFERROR(VLOOKUP(Proc[[#This Row],[App]],Table2[],3,0),"open")</f>
        <v>ok</v>
      </c>
      <c r="C1206" s="74" t="s">
        <v>369</v>
      </c>
      <c r="D1206" t="s">
        <v>2915</v>
      </c>
      <c r="E1206" t="s">
        <v>3004</v>
      </c>
      <c r="F1206" s="105" t="s">
        <v>3004</v>
      </c>
      <c r="G1206" s="74" t="s">
        <v>400</v>
      </c>
      <c r="H1206" s="71" t="str">
        <f>IF(Proc[[#This Row],[type]]="LFF (MDG-F)",MID(Proc[[#This Row],[Obj]],13,10),"")</f>
        <v/>
      </c>
      <c r="J1206" s="71" t="b">
        <f>Proc[[#This Row],[Requested]]=Proc[[#This Row],[CurrentParent]]</f>
        <v>1</v>
      </c>
      <c r="K1206" s="71" t="str">
        <f>IF(Proc[[#This Row],[Author]]="Marcela Urrego",VLOOKUP(LEFT(Proc[[#This Row],[Requested]],1),Table3[#All],2,0),VLOOKUP(Proc[[#This Row],[Author]],Table4[],2,0))</f>
        <v>HC</v>
      </c>
      <c r="L1206" s="71" t="s">
        <v>2563</v>
      </c>
      <c r="M1206" s="81">
        <v>45782.702824074076</v>
      </c>
      <c r="N1206" s="81">
        <v>45790</v>
      </c>
      <c r="O1206" s="81">
        <v>45790</v>
      </c>
      <c r="P1206" s="82" t="str">
        <f ca="1">IF(Proc[[#This Row],[DaysAgeing]]&gt;5,"yep","on track")</f>
        <v>yep</v>
      </c>
      <c r="Q1206" s="3">
        <f ca="1">IF(Proc[[#This Row],[DateClosed]]="",ABS(NETWORKDAYS(Proc[[#This Row],[DateOpened]],TODAY()))-1,ABS(NETWORKDAYS(Proc[[#This Row],[DateOpened]],Proc[[#This Row],[DateClosed]]))-1)</f>
        <v>6</v>
      </c>
      <c r="R1206" s="82" t="s">
        <v>410</v>
      </c>
      <c r="S1206" s="71"/>
    </row>
    <row r="1207" spans="1:19" hidden="1">
      <c r="A1207" s="74" t="s">
        <v>2901</v>
      </c>
      <c r="B1207" s="71" t="str">
        <f>IFERROR(VLOOKUP(Proc[[#This Row],[App]],Table2[],3,0),"open")</f>
        <v>ok</v>
      </c>
      <c r="C1207" s="74" t="s">
        <v>369</v>
      </c>
      <c r="D1207" t="s">
        <v>2916</v>
      </c>
      <c r="E1207" t="s">
        <v>3004</v>
      </c>
      <c r="F1207" s="105" t="s">
        <v>3004</v>
      </c>
      <c r="G1207" s="74" t="s">
        <v>400</v>
      </c>
      <c r="H1207" s="71" t="str">
        <f>IF(Proc[[#This Row],[type]]="LFF (MDG-F)",MID(Proc[[#This Row],[Obj]],13,10),"")</f>
        <v/>
      </c>
      <c r="J1207" s="71" t="b">
        <f>Proc[[#This Row],[Requested]]=Proc[[#This Row],[CurrentParent]]</f>
        <v>1</v>
      </c>
      <c r="K1207" s="71" t="str">
        <f>IF(Proc[[#This Row],[Author]]="Marcela Urrego",VLOOKUP(LEFT(Proc[[#This Row],[Requested]],1),Table3[#All],2,0),VLOOKUP(Proc[[#This Row],[Author]],Table4[],2,0))</f>
        <v>HC</v>
      </c>
      <c r="L1207" s="71" t="s">
        <v>2563</v>
      </c>
      <c r="M1207" s="81">
        <v>45782.702824074076</v>
      </c>
      <c r="N1207" s="81">
        <v>45790</v>
      </c>
      <c r="O1207" s="81">
        <v>45790</v>
      </c>
      <c r="P1207" s="82" t="str">
        <f ca="1">IF(Proc[[#This Row],[DaysAgeing]]&gt;5,"yep","on track")</f>
        <v>yep</v>
      </c>
      <c r="Q1207" s="3">
        <f ca="1">IF(Proc[[#This Row],[DateClosed]]="",ABS(NETWORKDAYS(Proc[[#This Row],[DateOpened]],TODAY()))-1,ABS(NETWORKDAYS(Proc[[#This Row],[DateOpened]],Proc[[#This Row],[DateClosed]]))-1)</f>
        <v>6</v>
      </c>
      <c r="R1207" s="82" t="s">
        <v>410</v>
      </c>
      <c r="S1207" s="71"/>
    </row>
    <row r="1208" spans="1:19" hidden="1">
      <c r="A1208" s="74" t="s">
        <v>2901</v>
      </c>
      <c r="B1208" s="71" t="str">
        <f>IFERROR(VLOOKUP(Proc[[#This Row],[App]],Table2[],3,0),"open")</f>
        <v>ok</v>
      </c>
      <c r="C1208" s="74" t="s">
        <v>369</v>
      </c>
      <c r="D1208" t="s">
        <v>2917</v>
      </c>
      <c r="E1208" t="s">
        <v>3004</v>
      </c>
      <c r="F1208" s="105" t="s">
        <v>3004</v>
      </c>
      <c r="G1208" s="74" t="s">
        <v>400</v>
      </c>
      <c r="H1208" s="71" t="str">
        <f>IF(Proc[[#This Row],[type]]="LFF (MDG-F)",MID(Proc[[#This Row],[Obj]],13,10),"")</f>
        <v/>
      </c>
      <c r="J1208" s="71" t="b">
        <f>Proc[[#This Row],[Requested]]=Proc[[#This Row],[CurrentParent]]</f>
        <v>1</v>
      </c>
      <c r="K1208" s="71" t="str">
        <f>IF(Proc[[#This Row],[Author]]="Marcela Urrego",VLOOKUP(LEFT(Proc[[#This Row],[Requested]],1),Table3[#All],2,0),VLOOKUP(Proc[[#This Row],[Author]],Table4[],2,0))</f>
        <v>HC</v>
      </c>
      <c r="L1208" s="71" t="s">
        <v>2563</v>
      </c>
      <c r="M1208" s="81">
        <v>45782.702824074076</v>
      </c>
      <c r="N1208" s="81">
        <v>45790</v>
      </c>
      <c r="O1208" s="81">
        <v>45790</v>
      </c>
      <c r="P1208" s="82" t="str">
        <f ca="1">IF(Proc[[#This Row],[DaysAgeing]]&gt;5,"yep","on track")</f>
        <v>yep</v>
      </c>
      <c r="Q1208" s="3">
        <f ca="1">IF(Proc[[#This Row],[DateClosed]]="",ABS(NETWORKDAYS(Proc[[#This Row],[DateOpened]],TODAY()))-1,ABS(NETWORKDAYS(Proc[[#This Row],[DateOpened]],Proc[[#This Row],[DateClosed]]))-1)</f>
        <v>6</v>
      </c>
      <c r="R1208" s="82" t="s">
        <v>410</v>
      </c>
      <c r="S1208" s="71"/>
    </row>
    <row r="1209" spans="1:19" hidden="1">
      <c r="A1209" s="74" t="s">
        <v>2901</v>
      </c>
      <c r="B1209" s="71" t="str">
        <f>IFERROR(VLOOKUP(Proc[[#This Row],[App]],Table2[],3,0),"open")</f>
        <v>ok</v>
      </c>
      <c r="C1209" s="74" t="s">
        <v>369</v>
      </c>
      <c r="D1209" t="s">
        <v>2918</v>
      </c>
      <c r="E1209" t="s">
        <v>3004</v>
      </c>
      <c r="F1209" s="105" t="s">
        <v>3004</v>
      </c>
      <c r="G1209" s="74" t="s">
        <v>400</v>
      </c>
      <c r="H1209" s="71" t="str">
        <f>IF(Proc[[#This Row],[type]]="LFF (MDG-F)",MID(Proc[[#This Row],[Obj]],13,10),"")</f>
        <v/>
      </c>
      <c r="J1209" s="71" t="b">
        <f>Proc[[#This Row],[Requested]]=Proc[[#This Row],[CurrentParent]]</f>
        <v>1</v>
      </c>
      <c r="K1209" s="71" t="str">
        <f>IF(Proc[[#This Row],[Author]]="Marcela Urrego",VLOOKUP(LEFT(Proc[[#This Row],[Requested]],1),Table3[#All],2,0),VLOOKUP(Proc[[#This Row],[Author]],Table4[],2,0))</f>
        <v>HC</v>
      </c>
      <c r="L1209" s="71" t="s">
        <v>2563</v>
      </c>
      <c r="M1209" s="81">
        <v>45782.702824074076</v>
      </c>
      <c r="N1209" s="81">
        <v>45790</v>
      </c>
      <c r="O1209" s="81">
        <v>45790</v>
      </c>
      <c r="P1209" s="82" t="str">
        <f ca="1">IF(Proc[[#This Row],[DaysAgeing]]&gt;5,"yep","on track")</f>
        <v>yep</v>
      </c>
      <c r="Q1209" s="3">
        <f ca="1">IF(Proc[[#This Row],[DateClosed]]="",ABS(NETWORKDAYS(Proc[[#This Row],[DateOpened]],TODAY()))-1,ABS(NETWORKDAYS(Proc[[#This Row],[DateOpened]],Proc[[#This Row],[DateClosed]]))-1)</f>
        <v>6</v>
      </c>
      <c r="R1209" s="82" t="s">
        <v>410</v>
      </c>
      <c r="S1209" s="71"/>
    </row>
    <row r="1210" spans="1:19" hidden="1">
      <c r="A1210" s="74" t="s">
        <v>2901</v>
      </c>
      <c r="B1210" s="71" t="str">
        <f>IFERROR(VLOOKUP(Proc[[#This Row],[App]],Table2[],3,0),"open")</f>
        <v>ok</v>
      </c>
      <c r="C1210" s="74" t="s">
        <v>369</v>
      </c>
      <c r="D1210" t="s">
        <v>2919</v>
      </c>
      <c r="E1210" t="s">
        <v>3004</v>
      </c>
      <c r="F1210" s="105" t="s">
        <v>3004</v>
      </c>
      <c r="G1210" s="74" t="s">
        <v>400</v>
      </c>
      <c r="H1210" s="71" t="str">
        <f>IF(Proc[[#This Row],[type]]="LFF (MDG-F)",MID(Proc[[#This Row],[Obj]],13,10),"")</f>
        <v/>
      </c>
      <c r="J1210" s="71" t="b">
        <f>Proc[[#This Row],[Requested]]=Proc[[#This Row],[CurrentParent]]</f>
        <v>1</v>
      </c>
      <c r="K1210" s="71" t="str">
        <f>IF(Proc[[#This Row],[Author]]="Marcela Urrego",VLOOKUP(LEFT(Proc[[#This Row],[Requested]],1),Table3[#All],2,0),VLOOKUP(Proc[[#This Row],[Author]],Table4[],2,0))</f>
        <v>HC</v>
      </c>
      <c r="L1210" s="71" t="s">
        <v>2563</v>
      </c>
      <c r="M1210" s="81">
        <v>45782.702824074076</v>
      </c>
      <c r="N1210" s="81">
        <v>45790</v>
      </c>
      <c r="O1210" s="81">
        <v>45790</v>
      </c>
      <c r="P1210" s="82" t="str">
        <f ca="1">IF(Proc[[#This Row],[DaysAgeing]]&gt;5,"yep","on track")</f>
        <v>yep</v>
      </c>
      <c r="Q1210" s="3">
        <f ca="1">IF(Proc[[#This Row],[DateClosed]]="",ABS(NETWORKDAYS(Proc[[#This Row],[DateOpened]],TODAY()))-1,ABS(NETWORKDAYS(Proc[[#This Row],[DateOpened]],Proc[[#This Row],[DateClosed]]))-1)</f>
        <v>6</v>
      </c>
      <c r="R1210" s="82" t="s">
        <v>410</v>
      </c>
      <c r="S1210" s="71"/>
    </row>
    <row r="1211" spans="1:19" hidden="1">
      <c r="A1211" s="74" t="s">
        <v>2901</v>
      </c>
      <c r="B1211" s="71" t="str">
        <f>IFERROR(VLOOKUP(Proc[[#This Row],[App]],Table2[],3,0),"open")</f>
        <v>ok</v>
      </c>
      <c r="C1211" s="74" t="s">
        <v>369</v>
      </c>
      <c r="D1211" t="s">
        <v>2920</v>
      </c>
      <c r="E1211" t="s">
        <v>3004</v>
      </c>
      <c r="F1211" s="105" t="s">
        <v>3004</v>
      </c>
      <c r="G1211" s="74" t="s">
        <v>400</v>
      </c>
      <c r="H1211" s="71" t="str">
        <f>IF(Proc[[#This Row],[type]]="LFF (MDG-F)",MID(Proc[[#This Row],[Obj]],13,10),"")</f>
        <v/>
      </c>
      <c r="J1211" s="71" t="b">
        <f>Proc[[#This Row],[Requested]]=Proc[[#This Row],[CurrentParent]]</f>
        <v>1</v>
      </c>
      <c r="K1211" s="71" t="str">
        <f>IF(Proc[[#This Row],[Author]]="Marcela Urrego",VLOOKUP(LEFT(Proc[[#This Row],[Requested]],1),Table3[#All],2,0),VLOOKUP(Proc[[#This Row],[Author]],Table4[],2,0))</f>
        <v>HC</v>
      </c>
      <c r="L1211" s="71" t="s">
        <v>2563</v>
      </c>
      <c r="M1211" s="81">
        <v>45782.702824074076</v>
      </c>
      <c r="N1211" s="81">
        <v>45790</v>
      </c>
      <c r="O1211" s="81">
        <v>45790</v>
      </c>
      <c r="P1211" s="82" t="str">
        <f ca="1">IF(Proc[[#This Row],[DaysAgeing]]&gt;5,"yep","on track")</f>
        <v>yep</v>
      </c>
      <c r="Q1211" s="3">
        <f ca="1">IF(Proc[[#This Row],[DateClosed]]="",ABS(NETWORKDAYS(Proc[[#This Row],[DateOpened]],TODAY()))-1,ABS(NETWORKDAYS(Proc[[#This Row],[DateOpened]],Proc[[#This Row],[DateClosed]]))-1)</f>
        <v>6</v>
      </c>
      <c r="R1211" s="82" t="s">
        <v>410</v>
      </c>
      <c r="S1211" s="71"/>
    </row>
    <row r="1212" spans="1:19" hidden="1">
      <c r="A1212" s="74" t="s">
        <v>2901</v>
      </c>
      <c r="B1212" s="71" t="str">
        <f>IFERROR(VLOOKUP(Proc[[#This Row],[App]],Table2[],3,0),"open")</f>
        <v>ok</v>
      </c>
      <c r="C1212" s="74" t="s">
        <v>369</v>
      </c>
      <c r="D1212" t="s">
        <v>2921</v>
      </c>
      <c r="E1212" t="s">
        <v>3004</v>
      </c>
      <c r="F1212" s="105" t="s">
        <v>3004</v>
      </c>
      <c r="G1212" s="74" t="s">
        <v>400</v>
      </c>
      <c r="H1212" s="71" t="str">
        <f>IF(Proc[[#This Row],[type]]="LFF (MDG-F)",MID(Proc[[#This Row],[Obj]],13,10),"")</f>
        <v/>
      </c>
      <c r="J1212" s="71" t="b">
        <f>Proc[[#This Row],[Requested]]=Proc[[#This Row],[CurrentParent]]</f>
        <v>1</v>
      </c>
      <c r="K1212" s="71" t="str">
        <f>IF(Proc[[#This Row],[Author]]="Marcela Urrego",VLOOKUP(LEFT(Proc[[#This Row],[Requested]],1),Table3[#All],2,0),VLOOKUP(Proc[[#This Row],[Author]],Table4[],2,0))</f>
        <v>HC</v>
      </c>
      <c r="L1212" s="71" t="s">
        <v>2563</v>
      </c>
      <c r="M1212" s="81">
        <v>45782.702824074076</v>
      </c>
      <c r="N1212" s="81">
        <v>45790</v>
      </c>
      <c r="O1212" s="81">
        <v>45790</v>
      </c>
      <c r="P1212" s="82" t="str">
        <f ca="1">IF(Proc[[#This Row],[DaysAgeing]]&gt;5,"yep","on track")</f>
        <v>yep</v>
      </c>
      <c r="Q1212" s="3">
        <f ca="1">IF(Proc[[#This Row],[DateClosed]]="",ABS(NETWORKDAYS(Proc[[#This Row],[DateOpened]],TODAY()))-1,ABS(NETWORKDAYS(Proc[[#This Row],[DateOpened]],Proc[[#This Row],[DateClosed]]))-1)</f>
        <v>6</v>
      </c>
      <c r="R1212" s="82" t="s">
        <v>410</v>
      </c>
      <c r="S1212" s="71"/>
    </row>
    <row r="1213" spans="1:19" hidden="1">
      <c r="A1213" s="74" t="s">
        <v>2901</v>
      </c>
      <c r="B1213" s="71" t="str">
        <f>IFERROR(VLOOKUP(Proc[[#This Row],[App]],Table2[],3,0),"open")</f>
        <v>ok</v>
      </c>
      <c r="C1213" s="74" t="s">
        <v>369</v>
      </c>
      <c r="D1213" t="s">
        <v>2922</v>
      </c>
      <c r="E1213" t="s">
        <v>3004</v>
      </c>
      <c r="F1213" s="105" t="s">
        <v>3004</v>
      </c>
      <c r="G1213" s="74" t="s">
        <v>400</v>
      </c>
      <c r="H1213" s="71" t="str">
        <f>IF(Proc[[#This Row],[type]]="LFF (MDG-F)",MID(Proc[[#This Row],[Obj]],13,10),"")</f>
        <v/>
      </c>
      <c r="J1213" s="71" t="b">
        <f>Proc[[#This Row],[Requested]]=Proc[[#This Row],[CurrentParent]]</f>
        <v>1</v>
      </c>
      <c r="K1213" s="71" t="str">
        <f>IF(Proc[[#This Row],[Author]]="Marcela Urrego",VLOOKUP(LEFT(Proc[[#This Row],[Requested]],1),Table3[#All],2,0),VLOOKUP(Proc[[#This Row],[Author]],Table4[],2,0))</f>
        <v>HC</v>
      </c>
      <c r="L1213" s="71" t="s">
        <v>2563</v>
      </c>
      <c r="M1213" s="81">
        <v>45782.702824074076</v>
      </c>
      <c r="N1213" s="81">
        <v>45790</v>
      </c>
      <c r="O1213" s="81">
        <v>45790</v>
      </c>
      <c r="P1213" s="82" t="str">
        <f ca="1">IF(Proc[[#This Row],[DaysAgeing]]&gt;5,"yep","on track")</f>
        <v>yep</v>
      </c>
      <c r="Q1213" s="3">
        <f ca="1">IF(Proc[[#This Row],[DateClosed]]="",ABS(NETWORKDAYS(Proc[[#This Row],[DateOpened]],TODAY()))-1,ABS(NETWORKDAYS(Proc[[#This Row],[DateOpened]],Proc[[#This Row],[DateClosed]]))-1)</f>
        <v>6</v>
      </c>
      <c r="R1213" s="82" t="s">
        <v>410</v>
      </c>
      <c r="S1213" s="71"/>
    </row>
    <row r="1214" spans="1:19" hidden="1">
      <c r="A1214" s="74" t="s">
        <v>2901</v>
      </c>
      <c r="B1214" s="71" t="str">
        <f>IFERROR(VLOOKUP(Proc[[#This Row],[App]],Table2[],3,0),"open")</f>
        <v>ok</v>
      </c>
      <c r="C1214" s="74" t="s">
        <v>369</v>
      </c>
      <c r="D1214" t="s">
        <v>2923</v>
      </c>
      <c r="E1214" t="s">
        <v>3004</v>
      </c>
      <c r="F1214" s="105" t="s">
        <v>3004</v>
      </c>
      <c r="G1214" s="74" t="s">
        <v>400</v>
      </c>
      <c r="H1214" s="71" t="str">
        <f>IF(Proc[[#This Row],[type]]="LFF (MDG-F)",MID(Proc[[#This Row],[Obj]],13,10),"")</f>
        <v/>
      </c>
      <c r="J1214" s="71" t="b">
        <f>Proc[[#This Row],[Requested]]=Proc[[#This Row],[CurrentParent]]</f>
        <v>1</v>
      </c>
      <c r="K1214" s="71" t="str">
        <f>IF(Proc[[#This Row],[Author]]="Marcela Urrego",VLOOKUP(LEFT(Proc[[#This Row],[Requested]],1),Table3[#All],2,0),VLOOKUP(Proc[[#This Row],[Author]],Table4[],2,0))</f>
        <v>HC</v>
      </c>
      <c r="L1214" s="71" t="s">
        <v>2563</v>
      </c>
      <c r="M1214" s="81">
        <v>45782.702824074076</v>
      </c>
      <c r="N1214" s="81">
        <v>45790</v>
      </c>
      <c r="O1214" s="81">
        <v>45790</v>
      </c>
      <c r="P1214" s="82" t="str">
        <f ca="1">IF(Proc[[#This Row],[DaysAgeing]]&gt;5,"yep","on track")</f>
        <v>yep</v>
      </c>
      <c r="Q1214" s="3">
        <f ca="1">IF(Proc[[#This Row],[DateClosed]]="",ABS(NETWORKDAYS(Proc[[#This Row],[DateOpened]],TODAY()))-1,ABS(NETWORKDAYS(Proc[[#This Row],[DateOpened]],Proc[[#This Row],[DateClosed]]))-1)</f>
        <v>6</v>
      </c>
      <c r="R1214" s="82" t="s">
        <v>410</v>
      </c>
      <c r="S1214" s="71"/>
    </row>
    <row r="1215" spans="1:19" hidden="1">
      <c r="A1215" s="74" t="s">
        <v>2901</v>
      </c>
      <c r="B1215" s="71" t="str">
        <f>IFERROR(VLOOKUP(Proc[[#This Row],[App]],Table2[],3,0),"open")</f>
        <v>ok</v>
      </c>
      <c r="C1215" s="74" t="s">
        <v>369</v>
      </c>
      <c r="D1215" t="s">
        <v>2924</v>
      </c>
      <c r="E1215" t="s">
        <v>3005</v>
      </c>
      <c r="F1215" s="105" t="s">
        <v>3005</v>
      </c>
      <c r="G1215" s="74" t="s">
        <v>400</v>
      </c>
      <c r="H1215" s="71" t="str">
        <f>IF(Proc[[#This Row],[type]]="LFF (MDG-F)",MID(Proc[[#This Row],[Obj]],13,10),"")</f>
        <v/>
      </c>
      <c r="J1215" s="71" t="b">
        <f>Proc[[#This Row],[Requested]]=Proc[[#This Row],[CurrentParent]]</f>
        <v>1</v>
      </c>
      <c r="K1215" s="71" t="str">
        <f>IF(Proc[[#This Row],[Author]]="Marcela Urrego",VLOOKUP(LEFT(Proc[[#This Row],[Requested]],1),Table3[#All],2,0),VLOOKUP(Proc[[#This Row],[Author]],Table4[],2,0))</f>
        <v>HC</v>
      </c>
      <c r="L1215" s="71" t="s">
        <v>2563</v>
      </c>
      <c r="M1215" s="81">
        <v>45782.702824074076</v>
      </c>
      <c r="N1215" s="81">
        <v>45790</v>
      </c>
      <c r="O1215" s="81">
        <v>45790</v>
      </c>
      <c r="P1215" s="82" t="str">
        <f ca="1">IF(Proc[[#This Row],[DaysAgeing]]&gt;5,"yep","on track")</f>
        <v>yep</v>
      </c>
      <c r="Q1215" s="3">
        <f ca="1">IF(Proc[[#This Row],[DateClosed]]="",ABS(NETWORKDAYS(Proc[[#This Row],[DateOpened]],TODAY()))-1,ABS(NETWORKDAYS(Proc[[#This Row],[DateOpened]],Proc[[#This Row],[DateClosed]]))-1)</f>
        <v>6</v>
      </c>
      <c r="R1215" s="82" t="s">
        <v>410</v>
      </c>
      <c r="S1215" s="71"/>
    </row>
    <row r="1216" spans="1:19" hidden="1">
      <c r="A1216" s="74" t="s">
        <v>2901</v>
      </c>
      <c r="B1216" s="71" t="str">
        <f>IFERROR(VLOOKUP(Proc[[#This Row],[App]],Table2[],3,0),"open")</f>
        <v>ok</v>
      </c>
      <c r="C1216" s="74" t="s">
        <v>369</v>
      </c>
      <c r="D1216" t="s">
        <v>2925</v>
      </c>
      <c r="E1216" t="s">
        <v>3005</v>
      </c>
      <c r="F1216" s="105" t="s">
        <v>3005</v>
      </c>
      <c r="G1216" s="74" t="s">
        <v>400</v>
      </c>
      <c r="H1216" s="71" t="str">
        <f>IF(Proc[[#This Row],[type]]="LFF (MDG-F)",MID(Proc[[#This Row],[Obj]],13,10),"")</f>
        <v/>
      </c>
      <c r="J1216" s="71" t="b">
        <f>Proc[[#This Row],[Requested]]=Proc[[#This Row],[CurrentParent]]</f>
        <v>1</v>
      </c>
      <c r="K1216" s="71" t="str">
        <f>IF(Proc[[#This Row],[Author]]="Marcela Urrego",VLOOKUP(LEFT(Proc[[#This Row],[Requested]],1),Table3[#All],2,0),VLOOKUP(Proc[[#This Row],[Author]],Table4[],2,0))</f>
        <v>HC</v>
      </c>
      <c r="L1216" s="71" t="s">
        <v>2563</v>
      </c>
      <c r="M1216" s="81">
        <v>45782.702824074076</v>
      </c>
      <c r="N1216" s="81">
        <v>45790</v>
      </c>
      <c r="O1216" s="81">
        <v>45790</v>
      </c>
      <c r="P1216" s="82" t="str">
        <f ca="1">IF(Proc[[#This Row],[DaysAgeing]]&gt;5,"yep","on track")</f>
        <v>yep</v>
      </c>
      <c r="Q1216" s="3">
        <f ca="1">IF(Proc[[#This Row],[DateClosed]]="",ABS(NETWORKDAYS(Proc[[#This Row],[DateOpened]],TODAY()))-1,ABS(NETWORKDAYS(Proc[[#This Row],[DateOpened]],Proc[[#This Row],[DateClosed]]))-1)</f>
        <v>6</v>
      </c>
      <c r="R1216" s="82" t="s">
        <v>410</v>
      </c>
      <c r="S1216" s="71"/>
    </row>
    <row r="1217" spans="1:19" hidden="1">
      <c r="A1217" s="74" t="s">
        <v>2901</v>
      </c>
      <c r="B1217" s="71" t="str">
        <f>IFERROR(VLOOKUP(Proc[[#This Row],[App]],Table2[],3,0),"open")</f>
        <v>ok</v>
      </c>
      <c r="C1217" s="74" t="s">
        <v>369</v>
      </c>
      <c r="D1217" t="s">
        <v>2926</v>
      </c>
      <c r="E1217" t="s">
        <v>3005</v>
      </c>
      <c r="F1217" s="105" t="s">
        <v>3005</v>
      </c>
      <c r="G1217" s="74" t="s">
        <v>400</v>
      </c>
      <c r="H1217" s="71" t="str">
        <f>IF(Proc[[#This Row],[type]]="LFF (MDG-F)",MID(Proc[[#This Row],[Obj]],13,10),"")</f>
        <v/>
      </c>
      <c r="J1217" s="71" t="b">
        <f>Proc[[#This Row],[Requested]]=Proc[[#This Row],[CurrentParent]]</f>
        <v>1</v>
      </c>
      <c r="K1217" s="71" t="str">
        <f>IF(Proc[[#This Row],[Author]]="Marcela Urrego",VLOOKUP(LEFT(Proc[[#This Row],[Requested]],1),Table3[#All],2,0),VLOOKUP(Proc[[#This Row],[Author]],Table4[],2,0))</f>
        <v>HC</v>
      </c>
      <c r="L1217" s="71" t="s">
        <v>2563</v>
      </c>
      <c r="M1217" s="81">
        <v>45782.702824074076</v>
      </c>
      <c r="N1217" s="81">
        <v>45790</v>
      </c>
      <c r="O1217" s="81">
        <v>45790</v>
      </c>
      <c r="P1217" s="82" t="str">
        <f ca="1">IF(Proc[[#This Row],[DaysAgeing]]&gt;5,"yep","on track")</f>
        <v>yep</v>
      </c>
      <c r="Q1217" s="3">
        <f ca="1">IF(Proc[[#This Row],[DateClosed]]="",ABS(NETWORKDAYS(Proc[[#This Row],[DateOpened]],TODAY()))-1,ABS(NETWORKDAYS(Proc[[#This Row],[DateOpened]],Proc[[#This Row],[DateClosed]]))-1)</f>
        <v>6</v>
      </c>
      <c r="R1217" s="82" t="s">
        <v>410</v>
      </c>
      <c r="S1217" s="71"/>
    </row>
    <row r="1218" spans="1:19" hidden="1">
      <c r="A1218" s="74" t="s">
        <v>2901</v>
      </c>
      <c r="B1218" s="71" t="str">
        <f>IFERROR(VLOOKUP(Proc[[#This Row],[App]],Table2[],3,0),"open")</f>
        <v>ok</v>
      </c>
      <c r="C1218" s="74" t="s">
        <v>369</v>
      </c>
      <c r="D1218" t="s">
        <v>2927</v>
      </c>
      <c r="E1218" t="s">
        <v>3005</v>
      </c>
      <c r="F1218" s="105" t="s">
        <v>3005</v>
      </c>
      <c r="G1218" s="74" t="s">
        <v>400</v>
      </c>
      <c r="H1218" s="71" t="str">
        <f>IF(Proc[[#This Row],[type]]="LFF (MDG-F)",MID(Proc[[#This Row],[Obj]],13,10),"")</f>
        <v/>
      </c>
      <c r="J1218" s="71" t="b">
        <f>Proc[[#This Row],[Requested]]=Proc[[#This Row],[CurrentParent]]</f>
        <v>1</v>
      </c>
      <c r="K1218" s="71" t="str">
        <f>IF(Proc[[#This Row],[Author]]="Marcela Urrego",VLOOKUP(LEFT(Proc[[#This Row],[Requested]],1),Table3[#All],2,0),VLOOKUP(Proc[[#This Row],[Author]],Table4[],2,0))</f>
        <v>HC</v>
      </c>
      <c r="L1218" s="71" t="s">
        <v>2563</v>
      </c>
      <c r="M1218" s="81">
        <v>45782.702824074076</v>
      </c>
      <c r="N1218" s="81">
        <v>45790</v>
      </c>
      <c r="O1218" s="81">
        <v>45790</v>
      </c>
      <c r="P1218" s="82" t="str">
        <f ca="1">IF(Proc[[#This Row],[DaysAgeing]]&gt;5,"yep","on track")</f>
        <v>yep</v>
      </c>
      <c r="Q1218" s="3">
        <f ca="1">IF(Proc[[#This Row],[DateClosed]]="",ABS(NETWORKDAYS(Proc[[#This Row],[DateOpened]],TODAY()))-1,ABS(NETWORKDAYS(Proc[[#This Row],[DateOpened]],Proc[[#This Row],[DateClosed]]))-1)</f>
        <v>6</v>
      </c>
      <c r="R1218" s="82" t="s">
        <v>410</v>
      </c>
      <c r="S1218" s="71"/>
    </row>
    <row r="1219" spans="1:19" hidden="1">
      <c r="A1219" s="74" t="s">
        <v>2901</v>
      </c>
      <c r="B1219" s="71" t="str">
        <f>IFERROR(VLOOKUP(Proc[[#This Row],[App]],Table2[],3,0),"open")</f>
        <v>ok</v>
      </c>
      <c r="C1219" s="74" t="s">
        <v>369</v>
      </c>
      <c r="D1219" t="s">
        <v>2928</v>
      </c>
      <c r="E1219" t="s">
        <v>3005</v>
      </c>
      <c r="F1219" s="105" t="s">
        <v>3005</v>
      </c>
      <c r="G1219" s="74" t="s">
        <v>400</v>
      </c>
      <c r="H1219" s="71" t="str">
        <f>IF(Proc[[#This Row],[type]]="LFF (MDG-F)",MID(Proc[[#This Row],[Obj]],13,10),"")</f>
        <v/>
      </c>
      <c r="J1219" s="71" t="b">
        <f>Proc[[#This Row],[Requested]]=Proc[[#This Row],[CurrentParent]]</f>
        <v>1</v>
      </c>
      <c r="K1219" s="71" t="str">
        <f>IF(Proc[[#This Row],[Author]]="Marcela Urrego",VLOOKUP(LEFT(Proc[[#This Row],[Requested]],1),Table3[#All],2,0),VLOOKUP(Proc[[#This Row],[Author]],Table4[],2,0))</f>
        <v>HC</v>
      </c>
      <c r="L1219" s="71" t="s">
        <v>2563</v>
      </c>
      <c r="M1219" s="81">
        <v>45782.702824074076</v>
      </c>
      <c r="N1219" s="81">
        <v>45790</v>
      </c>
      <c r="O1219" s="81">
        <v>45790</v>
      </c>
      <c r="P1219" s="82" t="str">
        <f ca="1">IF(Proc[[#This Row],[DaysAgeing]]&gt;5,"yep","on track")</f>
        <v>yep</v>
      </c>
      <c r="Q1219" s="3">
        <f ca="1">IF(Proc[[#This Row],[DateClosed]]="",ABS(NETWORKDAYS(Proc[[#This Row],[DateOpened]],TODAY()))-1,ABS(NETWORKDAYS(Proc[[#This Row],[DateOpened]],Proc[[#This Row],[DateClosed]]))-1)</f>
        <v>6</v>
      </c>
      <c r="R1219" s="82" t="s">
        <v>410</v>
      </c>
      <c r="S1219" s="71"/>
    </row>
    <row r="1220" spans="1:19" hidden="1">
      <c r="A1220" s="74" t="s">
        <v>2901</v>
      </c>
      <c r="B1220" s="71" t="str">
        <f>IFERROR(VLOOKUP(Proc[[#This Row],[App]],Table2[],3,0),"open")</f>
        <v>ok</v>
      </c>
      <c r="C1220" s="74" t="s">
        <v>369</v>
      </c>
      <c r="D1220" t="s">
        <v>2929</v>
      </c>
      <c r="E1220" t="s">
        <v>3006</v>
      </c>
      <c r="F1220" s="105" t="s">
        <v>3006</v>
      </c>
      <c r="G1220" s="74" t="s">
        <v>400</v>
      </c>
      <c r="H1220" s="71" t="str">
        <f>IF(Proc[[#This Row],[type]]="LFF (MDG-F)",MID(Proc[[#This Row],[Obj]],13,10),"")</f>
        <v/>
      </c>
      <c r="J1220" s="71" t="b">
        <f>Proc[[#This Row],[Requested]]=Proc[[#This Row],[CurrentParent]]</f>
        <v>1</v>
      </c>
      <c r="K1220" s="71" t="str">
        <f>IF(Proc[[#This Row],[Author]]="Marcela Urrego",VLOOKUP(LEFT(Proc[[#This Row],[Requested]],1),Table3[#All],2,0),VLOOKUP(Proc[[#This Row],[Author]],Table4[],2,0))</f>
        <v>HC</v>
      </c>
      <c r="L1220" s="71" t="s">
        <v>2563</v>
      </c>
      <c r="M1220" s="81">
        <v>45782.702824074076</v>
      </c>
      <c r="N1220" s="81">
        <v>45790</v>
      </c>
      <c r="O1220" s="81">
        <v>45790</v>
      </c>
      <c r="P1220" s="82" t="str">
        <f ca="1">IF(Proc[[#This Row],[DaysAgeing]]&gt;5,"yep","on track")</f>
        <v>yep</v>
      </c>
      <c r="Q1220" s="3">
        <f ca="1">IF(Proc[[#This Row],[DateClosed]]="",ABS(NETWORKDAYS(Proc[[#This Row],[DateOpened]],TODAY()))-1,ABS(NETWORKDAYS(Proc[[#This Row],[DateOpened]],Proc[[#This Row],[DateClosed]]))-1)</f>
        <v>6</v>
      </c>
      <c r="R1220" s="82" t="s">
        <v>410</v>
      </c>
      <c r="S1220" s="71"/>
    </row>
    <row r="1221" spans="1:19" hidden="1">
      <c r="A1221" s="74" t="s">
        <v>2901</v>
      </c>
      <c r="B1221" s="71" t="str">
        <f>IFERROR(VLOOKUP(Proc[[#This Row],[App]],Table2[],3,0),"open")</f>
        <v>ok</v>
      </c>
      <c r="C1221" s="74" t="s">
        <v>369</v>
      </c>
      <c r="D1221" t="s">
        <v>2930</v>
      </c>
      <c r="E1221" t="s">
        <v>3006</v>
      </c>
      <c r="F1221" s="105" t="s">
        <v>3006</v>
      </c>
      <c r="G1221" s="74" t="s">
        <v>400</v>
      </c>
      <c r="H1221" s="71" t="str">
        <f>IF(Proc[[#This Row],[type]]="LFF (MDG-F)",MID(Proc[[#This Row],[Obj]],13,10),"")</f>
        <v/>
      </c>
      <c r="J1221" s="71" t="b">
        <f>Proc[[#This Row],[Requested]]=Proc[[#This Row],[CurrentParent]]</f>
        <v>1</v>
      </c>
      <c r="K1221" s="71" t="str">
        <f>IF(Proc[[#This Row],[Author]]="Marcela Urrego",VLOOKUP(LEFT(Proc[[#This Row],[Requested]],1),Table3[#All],2,0),VLOOKUP(Proc[[#This Row],[Author]],Table4[],2,0))</f>
        <v>HC</v>
      </c>
      <c r="L1221" s="71" t="s">
        <v>2563</v>
      </c>
      <c r="M1221" s="81">
        <v>45782.702824074076</v>
      </c>
      <c r="N1221" s="81">
        <v>45790</v>
      </c>
      <c r="O1221" s="81">
        <v>45790</v>
      </c>
      <c r="P1221" s="82" t="str">
        <f ca="1">IF(Proc[[#This Row],[DaysAgeing]]&gt;5,"yep","on track")</f>
        <v>yep</v>
      </c>
      <c r="Q1221" s="3">
        <f ca="1">IF(Proc[[#This Row],[DateClosed]]="",ABS(NETWORKDAYS(Proc[[#This Row],[DateOpened]],TODAY()))-1,ABS(NETWORKDAYS(Proc[[#This Row],[DateOpened]],Proc[[#This Row],[DateClosed]]))-1)</f>
        <v>6</v>
      </c>
      <c r="R1221" s="82" t="s">
        <v>410</v>
      </c>
      <c r="S1221" s="71"/>
    </row>
    <row r="1222" spans="1:19" hidden="1">
      <c r="A1222" s="74" t="s">
        <v>2901</v>
      </c>
      <c r="B1222" s="71" t="str">
        <f>IFERROR(VLOOKUP(Proc[[#This Row],[App]],Table2[],3,0),"open")</f>
        <v>ok</v>
      </c>
      <c r="C1222" s="74" t="s">
        <v>369</v>
      </c>
      <c r="D1222" t="s">
        <v>2931</v>
      </c>
      <c r="E1222" t="s">
        <v>3006</v>
      </c>
      <c r="F1222" s="105" t="s">
        <v>3006</v>
      </c>
      <c r="G1222" s="74" t="s">
        <v>400</v>
      </c>
      <c r="H1222" s="71" t="str">
        <f>IF(Proc[[#This Row],[type]]="LFF (MDG-F)",MID(Proc[[#This Row],[Obj]],13,10),"")</f>
        <v/>
      </c>
      <c r="J1222" s="71" t="b">
        <f>Proc[[#This Row],[Requested]]=Proc[[#This Row],[CurrentParent]]</f>
        <v>1</v>
      </c>
      <c r="K1222" s="71" t="str">
        <f>IF(Proc[[#This Row],[Author]]="Marcela Urrego",VLOOKUP(LEFT(Proc[[#This Row],[Requested]],1),Table3[#All],2,0),VLOOKUP(Proc[[#This Row],[Author]],Table4[],2,0))</f>
        <v>HC</v>
      </c>
      <c r="L1222" s="71" t="s">
        <v>2563</v>
      </c>
      <c r="M1222" s="81">
        <v>45782.702824074076</v>
      </c>
      <c r="N1222" s="81">
        <v>45790</v>
      </c>
      <c r="O1222" s="81">
        <v>45790</v>
      </c>
      <c r="P1222" s="82" t="str">
        <f ca="1">IF(Proc[[#This Row],[DaysAgeing]]&gt;5,"yep","on track")</f>
        <v>yep</v>
      </c>
      <c r="Q1222" s="3">
        <f ca="1">IF(Proc[[#This Row],[DateClosed]]="",ABS(NETWORKDAYS(Proc[[#This Row],[DateOpened]],TODAY()))-1,ABS(NETWORKDAYS(Proc[[#This Row],[DateOpened]],Proc[[#This Row],[DateClosed]]))-1)</f>
        <v>6</v>
      </c>
      <c r="R1222" s="82" t="s">
        <v>410</v>
      </c>
      <c r="S1222" s="71"/>
    </row>
    <row r="1223" spans="1:19" hidden="1">
      <c r="A1223" s="74" t="s">
        <v>2901</v>
      </c>
      <c r="B1223" s="71" t="str">
        <f>IFERROR(VLOOKUP(Proc[[#This Row],[App]],Table2[],3,0),"open")</f>
        <v>ok</v>
      </c>
      <c r="C1223" s="74" t="s">
        <v>369</v>
      </c>
      <c r="D1223" t="s">
        <v>2932</v>
      </c>
      <c r="E1223" t="s">
        <v>3006</v>
      </c>
      <c r="F1223" s="105" t="s">
        <v>3006</v>
      </c>
      <c r="G1223" s="74" t="s">
        <v>400</v>
      </c>
      <c r="H1223" s="71" t="str">
        <f>IF(Proc[[#This Row],[type]]="LFF (MDG-F)",MID(Proc[[#This Row],[Obj]],13,10),"")</f>
        <v/>
      </c>
      <c r="J1223" s="71" t="b">
        <f>Proc[[#This Row],[Requested]]=Proc[[#This Row],[CurrentParent]]</f>
        <v>1</v>
      </c>
      <c r="K1223" s="71" t="str">
        <f>IF(Proc[[#This Row],[Author]]="Marcela Urrego",VLOOKUP(LEFT(Proc[[#This Row],[Requested]],1),Table3[#All],2,0),VLOOKUP(Proc[[#This Row],[Author]],Table4[],2,0))</f>
        <v>HC</v>
      </c>
      <c r="L1223" s="71" t="s">
        <v>2563</v>
      </c>
      <c r="M1223" s="81">
        <v>45782.702824074076</v>
      </c>
      <c r="N1223" s="81">
        <v>45790</v>
      </c>
      <c r="O1223" s="81">
        <v>45790</v>
      </c>
      <c r="P1223" s="82" t="str">
        <f ca="1">IF(Proc[[#This Row],[DaysAgeing]]&gt;5,"yep","on track")</f>
        <v>yep</v>
      </c>
      <c r="Q1223" s="3">
        <f ca="1">IF(Proc[[#This Row],[DateClosed]]="",ABS(NETWORKDAYS(Proc[[#This Row],[DateOpened]],TODAY()))-1,ABS(NETWORKDAYS(Proc[[#This Row],[DateOpened]],Proc[[#This Row],[DateClosed]]))-1)</f>
        <v>6</v>
      </c>
      <c r="R1223" s="82" t="s">
        <v>410</v>
      </c>
      <c r="S1223" s="71"/>
    </row>
    <row r="1224" spans="1:19" hidden="1">
      <c r="A1224" s="74" t="s">
        <v>2901</v>
      </c>
      <c r="B1224" s="71" t="str">
        <f>IFERROR(VLOOKUP(Proc[[#This Row],[App]],Table2[],3,0),"open")</f>
        <v>ok</v>
      </c>
      <c r="C1224" s="74" t="s">
        <v>369</v>
      </c>
      <c r="D1224" t="s">
        <v>2933</v>
      </c>
      <c r="E1224" t="s">
        <v>3006</v>
      </c>
      <c r="F1224" s="105" t="s">
        <v>3006</v>
      </c>
      <c r="G1224" s="74" t="s">
        <v>400</v>
      </c>
      <c r="H1224" s="71" t="str">
        <f>IF(Proc[[#This Row],[type]]="LFF (MDG-F)",MID(Proc[[#This Row],[Obj]],13,10),"")</f>
        <v/>
      </c>
      <c r="J1224" s="71" t="b">
        <f>Proc[[#This Row],[Requested]]=Proc[[#This Row],[CurrentParent]]</f>
        <v>1</v>
      </c>
      <c r="K1224" s="71" t="str">
        <f>IF(Proc[[#This Row],[Author]]="Marcela Urrego",VLOOKUP(LEFT(Proc[[#This Row],[Requested]],1),Table3[#All],2,0),VLOOKUP(Proc[[#This Row],[Author]],Table4[],2,0))</f>
        <v>HC</v>
      </c>
      <c r="L1224" s="71" t="s">
        <v>2563</v>
      </c>
      <c r="M1224" s="81">
        <v>45782.702824074076</v>
      </c>
      <c r="N1224" s="81">
        <v>45790</v>
      </c>
      <c r="O1224" s="81">
        <v>45790</v>
      </c>
      <c r="P1224" s="82" t="str">
        <f ca="1">IF(Proc[[#This Row],[DaysAgeing]]&gt;5,"yep","on track")</f>
        <v>yep</v>
      </c>
      <c r="Q1224" s="3">
        <f ca="1">IF(Proc[[#This Row],[DateClosed]]="",ABS(NETWORKDAYS(Proc[[#This Row],[DateOpened]],TODAY()))-1,ABS(NETWORKDAYS(Proc[[#This Row],[DateOpened]],Proc[[#This Row],[DateClosed]]))-1)</f>
        <v>6</v>
      </c>
      <c r="R1224" s="82" t="s">
        <v>410</v>
      </c>
      <c r="S1224" s="71"/>
    </row>
    <row r="1225" spans="1:19" hidden="1">
      <c r="A1225" s="74" t="s">
        <v>2901</v>
      </c>
      <c r="B1225" s="71" t="str">
        <f>IFERROR(VLOOKUP(Proc[[#This Row],[App]],Table2[],3,0),"open")</f>
        <v>ok</v>
      </c>
      <c r="C1225" s="74" t="s">
        <v>369</v>
      </c>
      <c r="D1225" t="s">
        <v>2934</v>
      </c>
      <c r="E1225" t="s">
        <v>3006</v>
      </c>
      <c r="F1225" s="105" t="s">
        <v>3006</v>
      </c>
      <c r="G1225" s="74" t="s">
        <v>400</v>
      </c>
      <c r="H1225" s="71" t="str">
        <f>IF(Proc[[#This Row],[type]]="LFF (MDG-F)",MID(Proc[[#This Row],[Obj]],13,10),"")</f>
        <v/>
      </c>
      <c r="J1225" s="71" t="b">
        <f>Proc[[#This Row],[Requested]]=Proc[[#This Row],[CurrentParent]]</f>
        <v>1</v>
      </c>
      <c r="K1225" s="71" t="str">
        <f>IF(Proc[[#This Row],[Author]]="Marcela Urrego",VLOOKUP(LEFT(Proc[[#This Row],[Requested]],1),Table3[#All],2,0),VLOOKUP(Proc[[#This Row],[Author]],Table4[],2,0))</f>
        <v>HC</v>
      </c>
      <c r="L1225" s="71" t="s">
        <v>2563</v>
      </c>
      <c r="M1225" s="81">
        <v>45782.702824074076</v>
      </c>
      <c r="N1225" s="81">
        <v>45790</v>
      </c>
      <c r="O1225" s="81">
        <v>45790</v>
      </c>
      <c r="P1225" s="82" t="str">
        <f ca="1">IF(Proc[[#This Row],[DaysAgeing]]&gt;5,"yep","on track")</f>
        <v>yep</v>
      </c>
      <c r="Q1225" s="3">
        <f ca="1">IF(Proc[[#This Row],[DateClosed]]="",ABS(NETWORKDAYS(Proc[[#This Row],[DateOpened]],TODAY()))-1,ABS(NETWORKDAYS(Proc[[#This Row],[DateOpened]],Proc[[#This Row],[DateClosed]]))-1)</f>
        <v>6</v>
      </c>
      <c r="R1225" s="82" t="s">
        <v>410</v>
      </c>
      <c r="S1225" s="71"/>
    </row>
    <row r="1226" spans="1:19" hidden="1">
      <c r="A1226" s="74" t="s">
        <v>2901</v>
      </c>
      <c r="B1226" s="71" t="str">
        <f>IFERROR(VLOOKUP(Proc[[#This Row],[App]],Table2[],3,0),"open")</f>
        <v>ok</v>
      </c>
      <c r="C1226" s="74" t="s">
        <v>369</v>
      </c>
      <c r="D1226" t="s">
        <v>2935</v>
      </c>
      <c r="E1226" t="s">
        <v>3006</v>
      </c>
      <c r="F1226" s="105" t="s">
        <v>3006</v>
      </c>
      <c r="G1226" s="74" t="s">
        <v>400</v>
      </c>
      <c r="H1226" s="71" t="str">
        <f>IF(Proc[[#This Row],[type]]="LFF (MDG-F)",MID(Proc[[#This Row],[Obj]],13,10),"")</f>
        <v/>
      </c>
      <c r="J1226" s="71" t="b">
        <f>Proc[[#This Row],[Requested]]=Proc[[#This Row],[CurrentParent]]</f>
        <v>1</v>
      </c>
      <c r="K1226" s="71" t="str">
        <f>IF(Proc[[#This Row],[Author]]="Marcela Urrego",VLOOKUP(LEFT(Proc[[#This Row],[Requested]],1),Table3[#All],2,0),VLOOKUP(Proc[[#This Row],[Author]],Table4[],2,0))</f>
        <v>HC</v>
      </c>
      <c r="L1226" s="71" t="s">
        <v>2563</v>
      </c>
      <c r="M1226" s="81">
        <v>45782.702824074076</v>
      </c>
      <c r="N1226" s="81">
        <v>45790</v>
      </c>
      <c r="O1226" s="81">
        <v>45790</v>
      </c>
      <c r="P1226" s="82" t="str">
        <f ca="1">IF(Proc[[#This Row],[DaysAgeing]]&gt;5,"yep","on track")</f>
        <v>yep</v>
      </c>
      <c r="Q1226" s="3">
        <f ca="1">IF(Proc[[#This Row],[DateClosed]]="",ABS(NETWORKDAYS(Proc[[#This Row],[DateOpened]],TODAY()))-1,ABS(NETWORKDAYS(Proc[[#This Row],[DateOpened]],Proc[[#This Row],[DateClosed]]))-1)</f>
        <v>6</v>
      </c>
      <c r="R1226" s="82" t="s">
        <v>410</v>
      </c>
      <c r="S1226" s="71"/>
    </row>
    <row r="1227" spans="1:19" hidden="1">
      <c r="A1227" s="74" t="s">
        <v>2901</v>
      </c>
      <c r="B1227" s="71" t="str">
        <f>IFERROR(VLOOKUP(Proc[[#This Row],[App]],Table2[],3,0),"open")</f>
        <v>ok</v>
      </c>
      <c r="C1227" s="74" t="s">
        <v>369</v>
      </c>
      <c r="D1227" t="s">
        <v>2936</v>
      </c>
      <c r="E1227" t="s">
        <v>3006</v>
      </c>
      <c r="F1227" s="105" t="s">
        <v>3006</v>
      </c>
      <c r="G1227" s="74" t="s">
        <v>400</v>
      </c>
      <c r="H1227" s="71" t="str">
        <f>IF(Proc[[#This Row],[type]]="LFF (MDG-F)",MID(Proc[[#This Row],[Obj]],13,10),"")</f>
        <v/>
      </c>
      <c r="J1227" s="71" t="b">
        <f>Proc[[#This Row],[Requested]]=Proc[[#This Row],[CurrentParent]]</f>
        <v>1</v>
      </c>
      <c r="K1227" s="71" t="str">
        <f>IF(Proc[[#This Row],[Author]]="Marcela Urrego",VLOOKUP(LEFT(Proc[[#This Row],[Requested]],1),Table3[#All],2,0),VLOOKUP(Proc[[#This Row],[Author]],Table4[],2,0))</f>
        <v>HC</v>
      </c>
      <c r="L1227" s="71" t="s">
        <v>2563</v>
      </c>
      <c r="M1227" s="81">
        <v>45782.702824074076</v>
      </c>
      <c r="N1227" s="81">
        <v>45790</v>
      </c>
      <c r="O1227" s="81">
        <v>45790</v>
      </c>
      <c r="P1227" s="82" t="str">
        <f ca="1">IF(Proc[[#This Row],[DaysAgeing]]&gt;5,"yep","on track")</f>
        <v>yep</v>
      </c>
      <c r="Q1227" s="3">
        <f ca="1">IF(Proc[[#This Row],[DateClosed]]="",ABS(NETWORKDAYS(Proc[[#This Row],[DateOpened]],TODAY()))-1,ABS(NETWORKDAYS(Proc[[#This Row],[DateOpened]],Proc[[#This Row],[DateClosed]]))-1)</f>
        <v>6</v>
      </c>
      <c r="R1227" s="82" t="s">
        <v>410</v>
      </c>
      <c r="S1227" s="71"/>
    </row>
    <row r="1228" spans="1:19" hidden="1">
      <c r="A1228" s="74" t="s">
        <v>2901</v>
      </c>
      <c r="B1228" s="71" t="str">
        <f>IFERROR(VLOOKUP(Proc[[#This Row],[App]],Table2[],3,0),"open")</f>
        <v>ok</v>
      </c>
      <c r="C1228" s="74" t="s">
        <v>369</v>
      </c>
      <c r="D1228" t="s">
        <v>2937</v>
      </c>
      <c r="E1228" t="s">
        <v>3007</v>
      </c>
      <c r="F1228" s="105" t="s">
        <v>3007</v>
      </c>
      <c r="G1228" s="74" t="s">
        <v>400</v>
      </c>
      <c r="H1228" s="71" t="str">
        <f>IF(Proc[[#This Row],[type]]="LFF (MDG-F)",MID(Proc[[#This Row],[Obj]],13,10),"")</f>
        <v/>
      </c>
      <c r="J1228" s="71" t="b">
        <f>Proc[[#This Row],[Requested]]=Proc[[#This Row],[CurrentParent]]</f>
        <v>1</v>
      </c>
      <c r="K1228" s="71" t="str">
        <f>IF(Proc[[#This Row],[Author]]="Marcela Urrego",VLOOKUP(LEFT(Proc[[#This Row],[Requested]],1),Table3[#All],2,0),VLOOKUP(Proc[[#This Row],[Author]],Table4[],2,0))</f>
        <v>HC</v>
      </c>
      <c r="L1228" s="71" t="s">
        <v>2563</v>
      </c>
      <c r="M1228" s="81">
        <v>45782.702824074076</v>
      </c>
      <c r="N1228" s="81">
        <v>45790</v>
      </c>
      <c r="O1228" s="81">
        <v>45790</v>
      </c>
      <c r="P1228" s="82" t="str">
        <f ca="1">IF(Proc[[#This Row],[DaysAgeing]]&gt;5,"yep","on track")</f>
        <v>yep</v>
      </c>
      <c r="Q1228" s="3">
        <f ca="1">IF(Proc[[#This Row],[DateClosed]]="",ABS(NETWORKDAYS(Proc[[#This Row],[DateOpened]],TODAY()))-1,ABS(NETWORKDAYS(Proc[[#This Row],[DateOpened]],Proc[[#This Row],[DateClosed]]))-1)</f>
        <v>6</v>
      </c>
      <c r="R1228" s="82" t="s">
        <v>410</v>
      </c>
      <c r="S1228" s="71"/>
    </row>
    <row r="1229" spans="1:19" hidden="1">
      <c r="A1229" s="74" t="s">
        <v>2901</v>
      </c>
      <c r="B1229" s="71" t="str">
        <f>IFERROR(VLOOKUP(Proc[[#This Row],[App]],Table2[],3,0),"open")</f>
        <v>ok</v>
      </c>
      <c r="C1229" s="74" t="s">
        <v>369</v>
      </c>
      <c r="D1229" t="s">
        <v>2938</v>
      </c>
      <c r="E1229" t="s">
        <v>3007</v>
      </c>
      <c r="F1229" s="105" t="s">
        <v>3007</v>
      </c>
      <c r="G1229" s="74" t="s">
        <v>400</v>
      </c>
      <c r="H1229" s="71" t="str">
        <f>IF(Proc[[#This Row],[type]]="LFF (MDG-F)",MID(Proc[[#This Row],[Obj]],13,10),"")</f>
        <v/>
      </c>
      <c r="J1229" s="71" t="b">
        <f>Proc[[#This Row],[Requested]]=Proc[[#This Row],[CurrentParent]]</f>
        <v>1</v>
      </c>
      <c r="K1229" s="71" t="str">
        <f>IF(Proc[[#This Row],[Author]]="Marcela Urrego",VLOOKUP(LEFT(Proc[[#This Row],[Requested]],1),Table3[#All],2,0),VLOOKUP(Proc[[#This Row],[Author]],Table4[],2,0))</f>
        <v>HC</v>
      </c>
      <c r="L1229" s="71" t="s">
        <v>2563</v>
      </c>
      <c r="M1229" s="81">
        <v>45782.702824074076</v>
      </c>
      <c r="N1229" s="81">
        <v>45790</v>
      </c>
      <c r="O1229" s="81">
        <v>45790</v>
      </c>
      <c r="P1229" s="82" t="str">
        <f ca="1">IF(Proc[[#This Row],[DaysAgeing]]&gt;5,"yep","on track")</f>
        <v>yep</v>
      </c>
      <c r="Q1229" s="3">
        <f ca="1">IF(Proc[[#This Row],[DateClosed]]="",ABS(NETWORKDAYS(Proc[[#This Row],[DateOpened]],TODAY()))-1,ABS(NETWORKDAYS(Proc[[#This Row],[DateOpened]],Proc[[#This Row],[DateClosed]]))-1)</f>
        <v>6</v>
      </c>
      <c r="R1229" s="82" t="s">
        <v>410</v>
      </c>
      <c r="S1229" s="71"/>
    </row>
    <row r="1230" spans="1:19" hidden="1">
      <c r="A1230" s="74" t="s">
        <v>2901</v>
      </c>
      <c r="B1230" s="71" t="str">
        <f>IFERROR(VLOOKUP(Proc[[#This Row],[App]],Table2[],3,0),"open")</f>
        <v>ok</v>
      </c>
      <c r="C1230" s="74" t="s">
        <v>369</v>
      </c>
      <c r="D1230" t="s">
        <v>2939</v>
      </c>
      <c r="E1230" t="s">
        <v>3007</v>
      </c>
      <c r="F1230" s="105" t="s">
        <v>3007</v>
      </c>
      <c r="G1230" s="74" t="s">
        <v>400</v>
      </c>
      <c r="H1230" s="71" t="str">
        <f>IF(Proc[[#This Row],[type]]="LFF (MDG-F)",MID(Proc[[#This Row],[Obj]],13,10),"")</f>
        <v/>
      </c>
      <c r="J1230" s="71" t="b">
        <f>Proc[[#This Row],[Requested]]=Proc[[#This Row],[CurrentParent]]</f>
        <v>1</v>
      </c>
      <c r="K1230" s="71" t="str">
        <f>IF(Proc[[#This Row],[Author]]="Marcela Urrego",VLOOKUP(LEFT(Proc[[#This Row],[Requested]],1),Table3[#All],2,0),VLOOKUP(Proc[[#This Row],[Author]],Table4[],2,0))</f>
        <v>HC</v>
      </c>
      <c r="L1230" s="71" t="s">
        <v>2563</v>
      </c>
      <c r="M1230" s="81">
        <v>45782.702824074076</v>
      </c>
      <c r="N1230" s="81">
        <v>45790</v>
      </c>
      <c r="O1230" s="81">
        <v>45790</v>
      </c>
      <c r="P1230" s="82" t="str">
        <f ca="1">IF(Proc[[#This Row],[DaysAgeing]]&gt;5,"yep","on track")</f>
        <v>yep</v>
      </c>
      <c r="Q1230" s="3">
        <f ca="1">IF(Proc[[#This Row],[DateClosed]]="",ABS(NETWORKDAYS(Proc[[#This Row],[DateOpened]],TODAY()))-1,ABS(NETWORKDAYS(Proc[[#This Row],[DateOpened]],Proc[[#This Row],[DateClosed]]))-1)</f>
        <v>6</v>
      </c>
      <c r="R1230" s="82" t="s">
        <v>410</v>
      </c>
      <c r="S1230" s="71"/>
    </row>
    <row r="1231" spans="1:19" hidden="1">
      <c r="A1231" s="74" t="s">
        <v>2901</v>
      </c>
      <c r="B1231" s="71" t="str">
        <f>IFERROR(VLOOKUP(Proc[[#This Row],[App]],Table2[],3,0),"open")</f>
        <v>ok</v>
      </c>
      <c r="C1231" s="74" t="s">
        <v>369</v>
      </c>
      <c r="D1231" t="s">
        <v>2940</v>
      </c>
      <c r="E1231" t="s">
        <v>3007</v>
      </c>
      <c r="F1231" s="105" t="s">
        <v>3007</v>
      </c>
      <c r="G1231" s="74" t="s">
        <v>400</v>
      </c>
      <c r="H1231" s="71" t="str">
        <f>IF(Proc[[#This Row],[type]]="LFF (MDG-F)",MID(Proc[[#This Row],[Obj]],13,10),"")</f>
        <v/>
      </c>
      <c r="J1231" s="71" t="b">
        <f>Proc[[#This Row],[Requested]]=Proc[[#This Row],[CurrentParent]]</f>
        <v>1</v>
      </c>
      <c r="K1231" s="71" t="str">
        <f>IF(Proc[[#This Row],[Author]]="Marcela Urrego",VLOOKUP(LEFT(Proc[[#This Row],[Requested]],1),Table3[#All],2,0),VLOOKUP(Proc[[#This Row],[Author]],Table4[],2,0))</f>
        <v>HC</v>
      </c>
      <c r="L1231" s="71" t="s">
        <v>2563</v>
      </c>
      <c r="M1231" s="81">
        <v>45782.702824074076</v>
      </c>
      <c r="N1231" s="81">
        <v>45790</v>
      </c>
      <c r="O1231" s="81">
        <v>45790</v>
      </c>
      <c r="P1231" s="82" t="str">
        <f ca="1">IF(Proc[[#This Row],[DaysAgeing]]&gt;5,"yep","on track")</f>
        <v>yep</v>
      </c>
      <c r="Q1231" s="3">
        <f ca="1">IF(Proc[[#This Row],[DateClosed]]="",ABS(NETWORKDAYS(Proc[[#This Row],[DateOpened]],TODAY()))-1,ABS(NETWORKDAYS(Proc[[#This Row],[DateOpened]],Proc[[#This Row],[DateClosed]]))-1)</f>
        <v>6</v>
      </c>
      <c r="R1231" s="82" t="s">
        <v>410</v>
      </c>
      <c r="S1231" s="71"/>
    </row>
    <row r="1232" spans="1:19" hidden="1">
      <c r="A1232" s="74" t="s">
        <v>2901</v>
      </c>
      <c r="B1232" s="71" t="str">
        <f>IFERROR(VLOOKUP(Proc[[#This Row],[App]],Table2[],3,0),"open")</f>
        <v>ok</v>
      </c>
      <c r="C1232" s="74" t="s">
        <v>369</v>
      </c>
      <c r="D1232" t="s">
        <v>2941</v>
      </c>
      <c r="E1232" t="s">
        <v>3007</v>
      </c>
      <c r="F1232" s="105" t="s">
        <v>3007</v>
      </c>
      <c r="G1232" s="74" t="s">
        <v>400</v>
      </c>
      <c r="H1232" s="71" t="str">
        <f>IF(Proc[[#This Row],[type]]="LFF (MDG-F)",MID(Proc[[#This Row],[Obj]],13,10),"")</f>
        <v/>
      </c>
      <c r="J1232" s="71" t="b">
        <f>Proc[[#This Row],[Requested]]=Proc[[#This Row],[CurrentParent]]</f>
        <v>1</v>
      </c>
      <c r="K1232" s="71" t="str">
        <f>IF(Proc[[#This Row],[Author]]="Marcela Urrego",VLOOKUP(LEFT(Proc[[#This Row],[Requested]],1),Table3[#All],2,0),VLOOKUP(Proc[[#This Row],[Author]],Table4[],2,0))</f>
        <v>HC</v>
      </c>
      <c r="L1232" s="71" t="s">
        <v>2563</v>
      </c>
      <c r="M1232" s="81">
        <v>45782.702824074076</v>
      </c>
      <c r="N1232" s="81">
        <v>45790</v>
      </c>
      <c r="O1232" s="81">
        <v>45790</v>
      </c>
      <c r="P1232" s="82" t="str">
        <f ca="1">IF(Proc[[#This Row],[DaysAgeing]]&gt;5,"yep","on track")</f>
        <v>yep</v>
      </c>
      <c r="Q1232" s="3">
        <f ca="1">IF(Proc[[#This Row],[DateClosed]]="",ABS(NETWORKDAYS(Proc[[#This Row],[DateOpened]],TODAY()))-1,ABS(NETWORKDAYS(Proc[[#This Row],[DateOpened]],Proc[[#This Row],[DateClosed]]))-1)</f>
        <v>6</v>
      </c>
      <c r="R1232" s="82" t="s">
        <v>410</v>
      </c>
      <c r="S1232" s="71"/>
    </row>
    <row r="1233" spans="1:19" hidden="1">
      <c r="A1233" s="74" t="s">
        <v>2901</v>
      </c>
      <c r="B1233" s="71" t="str">
        <f>IFERROR(VLOOKUP(Proc[[#This Row],[App]],Table2[],3,0),"open")</f>
        <v>ok</v>
      </c>
      <c r="C1233" s="74" t="s">
        <v>369</v>
      </c>
      <c r="D1233" t="s">
        <v>2942</v>
      </c>
      <c r="E1233" t="s">
        <v>3008</v>
      </c>
      <c r="F1233" s="105" t="s">
        <v>3008</v>
      </c>
      <c r="G1233" s="74" t="s">
        <v>400</v>
      </c>
      <c r="H1233" s="71" t="str">
        <f>IF(Proc[[#This Row],[type]]="LFF (MDG-F)",MID(Proc[[#This Row],[Obj]],13,10),"")</f>
        <v/>
      </c>
      <c r="J1233" s="71" t="b">
        <f>Proc[[#This Row],[Requested]]=Proc[[#This Row],[CurrentParent]]</f>
        <v>1</v>
      </c>
      <c r="K1233" s="71" t="str">
        <f>IF(Proc[[#This Row],[Author]]="Marcela Urrego",VLOOKUP(LEFT(Proc[[#This Row],[Requested]],1),Table3[#All],2,0),VLOOKUP(Proc[[#This Row],[Author]],Table4[],2,0))</f>
        <v>HC</v>
      </c>
      <c r="L1233" s="71" t="s">
        <v>2563</v>
      </c>
      <c r="M1233" s="81">
        <v>45782.702824074076</v>
      </c>
      <c r="N1233" s="81">
        <v>45790</v>
      </c>
      <c r="O1233" s="81">
        <v>45790</v>
      </c>
      <c r="P1233" s="82" t="str">
        <f ca="1">IF(Proc[[#This Row],[DaysAgeing]]&gt;5,"yep","on track")</f>
        <v>yep</v>
      </c>
      <c r="Q1233" s="3">
        <f ca="1">IF(Proc[[#This Row],[DateClosed]]="",ABS(NETWORKDAYS(Proc[[#This Row],[DateOpened]],TODAY()))-1,ABS(NETWORKDAYS(Proc[[#This Row],[DateOpened]],Proc[[#This Row],[DateClosed]]))-1)</f>
        <v>6</v>
      </c>
      <c r="R1233" s="82" t="s">
        <v>410</v>
      </c>
      <c r="S1233" s="71"/>
    </row>
    <row r="1234" spans="1:19" hidden="1">
      <c r="A1234" s="74" t="s">
        <v>2901</v>
      </c>
      <c r="B1234" s="71" t="str">
        <f>IFERROR(VLOOKUP(Proc[[#This Row],[App]],Table2[],3,0),"open")</f>
        <v>ok</v>
      </c>
      <c r="C1234" s="74" t="s">
        <v>369</v>
      </c>
      <c r="D1234" t="s">
        <v>2943</v>
      </c>
      <c r="E1234" t="s">
        <v>3008</v>
      </c>
      <c r="F1234" s="105" t="s">
        <v>3008</v>
      </c>
      <c r="G1234" s="74" t="s">
        <v>400</v>
      </c>
      <c r="H1234" s="71" t="str">
        <f>IF(Proc[[#This Row],[type]]="LFF (MDG-F)",MID(Proc[[#This Row],[Obj]],13,10),"")</f>
        <v/>
      </c>
      <c r="J1234" s="71" t="b">
        <f>Proc[[#This Row],[Requested]]=Proc[[#This Row],[CurrentParent]]</f>
        <v>1</v>
      </c>
      <c r="K1234" s="71" t="str">
        <f>IF(Proc[[#This Row],[Author]]="Marcela Urrego",VLOOKUP(LEFT(Proc[[#This Row],[Requested]],1),Table3[#All],2,0),VLOOKUP(Proc[[#This Row],[Author]],Table4[],2,0))</f>
        <v>HC</v>
      </c>
      <c r="L1234" s="71" t="s">
        <v>2563</v>
      </c>
      <c r="M1234" s="81">
        <v>45782.702824074076</v>
      </c>
      <c r="N1234" s="81">
        <v>45790</v>
      </c>
      <c r="O1234" s="81">
        <v>45790</v>
      </c>
      <c r="P1234" s="82" t="str">
        <f ca="1">IF(Proc[[#This Row],[DaysAgeing]]&gt;5,"yep","on track")</f>
        <v>yep</v>
      </c>
      <c r="Q1234" s="3">
        <f ca="1">IF(Proc[[#This Row],[DateClosed]]="",ABS(NETWORKDAYS(Proc[[#This Row],[DateOpened]],TODAY()))-1,ABS(NETWORKDAYS(Proc[[#This Row],[DateOpened]],Proc[[#This Row],[DateClosed]]))-1)</f>
        <v>6</v>
      </c>
      <c r="R1234" s="82" t="s">
        <v>410</v>
      </c>
      <c r="S1234" s="71"/>
    </row>
    <row r="1235" spans="1:19" hidden="1">
      <c r="A1235" s="74" t="s">
        <v>2901</v>
      </c>
      <c r="B1235" s="71" t="str">
        <f>IFERROR(VLOOKUP(Proc[[#This Row],[App]],Table2[],3,0),"open")</f>
        <v>ok</v>
      </c>
      <c r="C1235" s="74" t="s">
        <v>369</v>
      </c>
      <c r="D1235" t="s">
        <v>2944</v>
      </c>
      <c r="E1235" t="s">
        <v>3009</v>
      </c>
      <c r="F1235" s="105" t="s">
        <v>3009</v>
      </c>
      <c r="G1235" s="74" t="s">
        <v>400</v>
      </c>
      <c r="H1235" s="71" t="str">
        <f>IF(Proc[[#This Row],[type]]="LFF (MDG-F)",MID(Proc[[#This Row],[Obj]],13,10),"")</f>
        <v/>
      </c>
      <c r="J1235" s="71" t="b">
        <f>Proc[[#This Row],[Requested]]=Proc[[#This Row],[CurrentParent]]</f>
        <v>1</v>
      </c>
      <c r="K1235" s="71" t="str">
        <f>IF(Proc[[#This Row],[Author]]="Marcela Urrego",VLOOKUP(LEFT(Proc[[#This Row],[Requested]],1),Table3[#All],2,0),VLOOKUP(Proc[[#This Row],[Author]],Table4[],2,0))</f>
        <v>HC</v>
      </c>
      <c r="L1235" s="71" t="s">
        <v>2563</v>
      </c>
      <c r="M1235" s="81">
        <v>45782.702824074076</v>
      </c>
      <c r="N1235" s="81">
        <v>45790</v>
      </c>
      <c r="O1235" s="81">
        <v>45790</v>
      </c>
      <c r="P1235" s="82" t="str">
        <f ca="1">IF(Proc[[#This Row],[DaysAgeing]]&gt;5,"yep","on track")</f>
        <v>yep</v>
      </c>
      <c r="Q1235" s="3">
        <f ca="1">IF(Proc[[#This Row],[DateClosed]]="",ABS(NETWORKDAYS(Proc[[#This Row],[DateOpened]],TODAY()))-1,ABS(NETWORKDAYS(Proc[[#This Row],[DateOpened]],Proc[[#This Row],[DateClosed]]))-1)</f>
        <v>6</v>
      </c>
      <c r="R1235" s="82" t="s">
        <v>410</v>
      </c>
      <c r="S1235" s="71"/>
    </row>
    <row r="1236" spans="1:19" hidden="1">
      <c r="A1236" s="74" t="s">
        <v>2901</v>
      </c>
      <c r="B1236" s="71" t="str">
        <f>IFERROR(VLOOKUP(Proc[[#This Row],[App]],Table2[],3,0),"open")</f>
        <v>ok</v>
      </c>
      <c r="C1236" s="74" t="s">
        <v>369</v>
      </c>
      <c r="D1236" t="s">
        <v>2945</v>
      </c>
      <c r="E1236" t="s">
        <v>3009</v>
      </c>
      <c r="F1236" s="105" t="s">
        <v>3009</v>
      </c>
      <c r="G1236" s="74" t="s">
        <v>400</v>
      </c>
      <c r="H1236" s="71" t="str">
        <f>IF(Proc[[#This Row],[type]]="LFF (MDG-F)",MID(Proc[[#This Row],[Obj]],13,10),"")</f>
        <v/>
      </c>
      <c r="J1236" s="71" t="b">
        <f>Proc[[#This Row],[Requested]]=Proc[[#This Row],[CurrentParent]]</f>
        <v>1</v>
      </c>
      <c r="K1236" s="71" t="str">
        <f>IF(Proc[[#This Row],[Author]]="Marcela Urrego",VLOOKUP(LEFT(Proc[[#This Row],[Requested]],1),Table3[#All],2,0),VLOOKUP(Proc[[#This Row],[Author]],Table4[],2,0))</f>
        <v>HC</v>
      </c>
      <c r="L1236" s="71" t="s">
        <v>2563</v>
      </c>
      <c r="M1236" s="81">
        <v>45782.702824074076</v>
      </c>
      <c r="N1236" s="81">
        <v>45790</v>
      </c>
      <c r="O1236" s="81">
        <v>45790</v>
      </c>
      <c r="P1236" s="82" t="str">
        <f ca="1">IF(Proc[[#This Row],[DaysAgeing]]&gt;5,"yep","on track")</f>
        <v>yep</v>
      </c>
      <c r="Q1236" s="3">
        <f ca="1">IF(Proc[[#This Row],[DateClosed]]="",ABS(NETWORKDAYS(Proc[[#This Row],[DateOpened]],TODAY()))-1,ABS(NETWORKDAYS(Proc[[#This Row],[DateOpened]],Proc[[#This Row],[DateClosed]]))-1)</f>
        <v>6</v>
      </c>
      <c r="R1236" s="82" t="s">
        <v>410</v>
      </c>
      <c r="S1236" s="71"/>
    </row>
    <row r="1237" spans="1:19" hidden="1">
      <c r="A1237" s="74" t="s">
        <v>2901</v>
      </c>
      <c r="B1237" s="71" t="str">
        <f>IFERROR(VLOOKUP(Proc[[#This Row],[App]],Table2[],3,0),"open")</f>
        <v>ok</v>
      </c>
      <c r="C1237" s="74" t="s">
        <v>369</v>
      </c>
      <c r="D1237" t="s">
        <v>2946</v>
      </c>
      <c r="E1237" t="s">
        <v>3009</v>
      </c>
      <c r="F1237" s="105" t="s">
        <v>3009</v>
      </c>
      <c r="G1237" s="74" t="s">
        <v>400</v>
      </c>
      <c r="H1237" s="71" t="str">
        <f>IF(Proc[[#This Row],[type]]="LFF (MDG-F)",MID(Proc[[#This Row],[Obj]],13,10),"")</f>
        <v/>
      </c>
      <c r="J1237" s="71" t="b">
        <f>Proc[[#This Row],[Requested]]=Proc[[#This Row],[CurrentParent]]</f>
        <v>1</v>
      </c>
      <c r="K1237" s="71" t="str">
        <f>IF(Proc[[#This Row],[Author]]="Marcela Urrego",VLOOKUP(LEFT(Proc[[#This Row],[Requested]],1),Table3[#All],2,0),VLOOKUP(Proc[[#This Row],[Author]],Table4[],2,0))</f>
        <v>HC</v>
      </c>
      <c r="L1237" s="71" t="s">
        <v>2563</v>
      </c>
      <c r="M1237" s="81">
        <v>45782.702824074076</v>
      </c>
      <c r="N1237" s="81">
        <v>45790</v>
      </c>
      <c r="O1237" s="81">
        <v>45790</v>
      </c>
      <c r="P1237" s="82" t="str">
        <f ca="1">IF(Proc[[#This Row],[DaysAgeing]]&gt;5,"yep","on track")</f>
        <v>yep</v>
      </c>
      <c r="Q1237" s="3">
        <f ca="1">IF(Proc[[#This Row],[DateClosed]]="",ABS(NETWORKDAYS(Proc[[#This Row],[DateOpened]],TODAY()))-1,ABS(NETWORKDAYS(Proc[[#This Row],[DateOpened]],Proc[[#This Row],[DateClosed]]))-1)</f>
        <v>6</v>
      </c>
      <c r="R1237" s="82" t="s">
        <v>410</v>
      </c>
      <c r="S1237" s="71"/>
    </row>
    <row r="1238" spans="1:19" hidden="1">
      <c r="A1238" s="74" t="s">
        <v>2901</v>
      </c>
      <c r="B1238" s="71" t="str">
        <f>IFERROR(VLOOKUP(Proc[[#This Row],[App]],Table2[],3,0),"open")</f>
        <v>ok</v>
      </c>
      <c r="C1238" s="74" t="s">
        <v>369</v>
      </c>
      <c r="D1238" t="s">
        <v>2947</v>
      </c>
      <c r="E1238" t="s">
        <v>3009</v>
      </c>
      <c r="F1238" s="105" t="s">
        <v>3009</v>
      </c>
      <c r="G1238" s="74" t="s">
        <v>400</v>
      </c>
      <c r="H1238" s="71" t="str">
        <f>IF(Proc[[#This Row],[type]]="LFF (MDG-F)",MID(Proc[[#This Row],[Obj]],13,10),"")</f>
        <v/>
      </c>
      <c r="J1238" s="71" t="b">
        <f>Proc[[#This Row],[Requested]]=Proc[[#This Row],[CurrentParent]]</f>
        <v>1</v>
      </c>
      <c r="K1238" s="71" t="str">
        <f>IF(Proc[[#This Row],[Author]]="Marcela Urrego",VLOOKUP(LEFT(Proc[[#This Row],[Requested]],1),Table3[#All],2,0),VLOOKUP(Proc[[#This Row],[Author]],Table4[],2,0))</f>
        <v>HC</v>
      </c>
      <c r="L1238" s="71" t="s">
        <v>2563</v>
      </c>
      <c r="M1238" s="81">
        <v>45782.702824074076</v>
      </c>
      <c r="N1238" s="81">
        <v>45790</v>
      </c>
      <c r="O1238" s="81">
        <v>45790</v>
      </c>
      <c r="P1238" s="82" t="str">
        <f ca="1">IF(Proc[[#This Row],[DaysAgeing]]&gt;5,"yep","on track")</f>
        <v>yep</v>
      </c>
      <c r="Q1238" s="3">
        <f ca="1">IF(Proc[[#This Row],[DateClosed]]="",ABS(NETWORKDAYS(Proc[[#This Row],[DateOpened]],TODAY()))-1,ABS(NETWORKDAYS(Proc[[#This Row],[DateOpened]],Proc[[#This Row],[DateClosed]]))-1)</f>
        <v>6</v>
      </c>
      <c r="R1238" s="82" t="s">
        <v>410</v>
      </c>
      <c r="S1238" s="71"/>
    </row>
    <row r="1239" spans="1:19" hidden="1">
      <c r="A1239" s="74" t="s">
        <v>2901</v>
      </c>
      <c r="B1239" s="71" t="str">
        <f>IFERROR(VLOOKUP(Proc[[#This Row],[App]],Table2[],3,0),"open")</f>
        <v>ok</v>
      </c>
      <c r="C1239" s="74" t="s">
        <v>369</v>
      </c>
      <c r="D1239" t="s">
        <v>2948</v>
      </c>
      <c r="E1239" t="s">
        <v>3010</v>
      </c>
      <c r="F1239" s="105" t="s">
        <v>3010</v>
      </c>
      <c r="G1239" s="74" t="s">
        <v>400</v>
      </c>
      <c r="H1239" s="71" t="str">
        <f>IF(Proc[[#This Row],[type]]="LFF (MDG-F)",MID(Proc[[#This Row],[Obj]],13,10),"")</f>
        <v/>
      </c>
      <c r="J1239" s="71" t="b">
        <f>Proc[[#This Row],[Requested]]=Proc[[#This Row],[CurrentParent]]</f>
        <v>1</v>
      </c>
      <c r="K1239" s="71" t="str">
        <f>IF(Proc[[#This Row],[Author]]="Marcela Urrego",VLOOKUP(LEFT(Proc[[#This Row],[Requested]],1),Table3[#All],2,0),VLOOKUP(Proc[[#This Row],[Author]],Table4[],2,0))</f>
        <v>HC</v>
      </c>
      <c r="L1239" s="71" t="s">
        <v>2563</v>
      </c>
      <c r="M1239" s="81">
        <v>45782.702824074076</v>
      </c>
      <c r="N1239" s="81">
        <v>45790</v>
      </c>
      <c r="O1239" s="81">
        <v>45790</v>
      </c>
      <c r="P1239" s="82" t="str">
        <f ca="1">IF(Proc[[#This Row],[DaysAgeing]]&gt;5,"yep","on track")</f>
        <v>yep</v>
      </c>
      <c r="Q1239" s="3">
        <f ca="1">IF(Proc[[#This Row],[DateClosed]]="",ABS(NETWORKDAYS(Proc[[#This Row],[DateOpened]],TODAY()))-1,ABS(NETWORKDAYS(Proc[[#This Row],[DateOpened]],Proc[[#This Row],[DateClosed]]))-1)</f>
        <v>6</v>
      </c>
      <c r="R1239" s="82" t="s">
        <v>410</v>
      </c>
      <c r="S1239" s="71"/>
    </row>
    <row r="1240" spans="1:19" hidden="1">
      <c r="A1240" s="74" t="s">
        <v>2901</v>
      </c>
      <c r="B1240" s="71" t="str">
        <f>IFERROR(VLOOKUP(Proc[[#This Row],[App]],Table2[],3,0),"open")</f>
        <v>ok</v>
      </c>
      <c r="C1240" s="74" t="s">
        <v>369</v>
      </c>
      <c r="D1240" t="s">
        <v>2949</v>
      </c>
      <c r="E1240" t="s">
        <v>3010</v>
      </c>
      <c r="F1240" s="105" t="s">
        <v>3010</v>
      </c>
      <c r="G1240" s="74" t="s">
        <v>400</v>
      </c>
      <c r="H1240" s="71" t="str">
        <f>IF(Proc[[#This Row],[type]]="LFF (MDG-F)",MID(Proc[[#This Row],[Obj]],13,10),"")</f>
        <v/>
      </c>
      <c r="J1240" s="71" t="b">
        <f>Proc[[#This Row],[Requested]]=Proc[[#This Row],[CurrentParent]]</f>
        <v>1</v>
      </c>
      <c r="K1240" s="71" t="str">
        <f>IF(Proc[[#This Row],[Author]]="Marcela Urrego",VLOOKUP(LEFT(Proc[[#This Row],[Requested]],1),Table3[#All],2,0),VLOOKUP(Proc[[#This Row],[Author]],Table4[],2,0))</f>
        <v>HC</v>
      </c>
      <c r="L1240" s="71" t="s">
        <v>2563</v>
      </c>
      <c r="M1240" s="81">
        <v>45782.702824074076</v>
      </c>
      <c r="N1240" s="81">
        <v>45790</v>
      </c>
      <c r="O1240" s="81">
        <v>45790</v>
      </c>
      <c r="P1240" s="82" t="str">
        <f ca="1">IF(Proc[[#This Row],[DaysAgeing]]&gt;5,"yep","on track")</f>
        <v>yep</v>
      </c>
      <c r="Q1240" s="3">
        <f ca="1">IF(Proc[[#This Row],[DateClosed]]="",ABS(NETWORKDAYS(Proc[[#This Row],[DateOpened]],TODAY()))-1,ABS(NETWORKDAYS(Proc[[#This Row],[DateOpened]],Proc[[#This Row],[DateClosed]]))-1)</f>
        <v>6</v>
      </c>
      <c r="R1240" s="82" t="s">
        <v>410</v>
      </c>
      <c r="S1240" s="71"/>
    </row>
    <row r="1241" spans="1:19" hidden="1">
      <c r="A1241" s="74" t="s">
        <v>2901</v>
      </c>
      <c r="B1241" s="71" t="str">
        <f>IFERROR(VLOOKUP(Proc[[#This Row],[App]],Table2[],3,0),"open")</f>
        <v>ok</v>
      </c>
      <c r="C1241" s="74" t="s">
        <v>369</v>
      </c>
      <c r="D1241" t="s">
        <v>2950</v>
      </c>
      <c r="E1241" t="s">
        <v>3010</v>
      </c>
      <c r="F1241" s="105" t="s">
        <v>3010</v>
      </c>
      <c r="G1241" s="74" t="s">
        <v>400</v>
      </c>
      <c r="H1241" s="71" t="str">
        <f>IF(Proc[[#This Row],[type]]="LFF (MDG-F)",MID(Proc[[#This Row],[Obj]],13,10),"")</f>
        <v/>
      </c>
      <c r="J1241" s="71" t="b">
        <f>Proc[[#This Row],[Requested]]=Proc[[#This Row],[CurrentParent]]</f>
        <v>1</v>
      </c>
      <c r="K1241" s="71" t="str">
        <f>IF(Proc[[#This Row],[Author]]="Marcela Urrego",VLOOKUP(LEFT(Proc[[#This Row],[Requested]],1),Table3[#All],2,0),VLOOKUP(Proc[[#This Row],[Author]],Table4[],2,0))</f>
        <v>HC</v>
      </c>
      <c r="L1241" s="71" t="s">
        <v>2563</v>
      </c>
      <c r="M1241" s="81">
        <v>45782.702824074076</v>
      </c>
      <c r="N1241" s="81">
        <v>45790</v>
      </c>
      <c r="O1241" s="81">
        <v>45790</v>
      </c>
      <c r="P1241" s="82" t="str">
        <f ca="1">IF(Proc[[#This Row],[DaysAgeing]]&gt;5,"yep","on track")</f>
        <v>yep</v>
      </c>
      <c r="Q1241" s="3">
        <f ca="1">IF(Proc[[#This Row],[DateClosed]]="",ABS(NETWORKDAYS(Proc[[#This Row],[DateOpened]],TODAY()))-1,ABS(NETWORKDAYS(Proc[[#This Row],[DateOpened]],Proc[[#This Row],[DateClosed]]))-1)</f>
        <v>6</v>
      </c>
      <c r="R1241" s="82" t="s">
        <v>410</v>
      </c>
      <c r="S1241" s="71"/>
    </row>
    <row r="1242" spans="1:19" hidden="1">
      <c r="A1242" s="74" t="s">
        <v>2901</v>
      </c>
      <c r="B1242" s="71" t="str">
        <f>IFERROR(VLOOKUP(Proc[[#This Row],[App]],Table2[],3,0),"open")</f>
        <v>ok</v>
      </c>
      <c r="C1242" s="74" t="s">
        <v>369</v>
      </c>
      <c r="D1242" t="s">
        <v>2951</v>
      </c>
      <c r="E1242" t="s">
        <v>3010</v>
      </c>
      <c r="F1242" s="105" t="s">
        <v>3010</v>
      </c>
      <c r="G1242" s="74" t="s">
        <v>400</v>
      </c>
      <c r="H1242" s="71" t="str">
        <f>IF(Proc[[#This Row],[type]]="LFF (MDG-F)",MID(Proc[[#This Row],[Obj]],13,10),"")</f>
        <v/>
      </c>
      <c r="J1242" s="71" t="b">
        <f>Proc[[#This Row],[Requested]]=Proc[[#This Row],[CurrentParent]]</f>
        <v>1</v>
      </c>
      <c r="K1242" s="71" t="str">
        <f>IF(Proc[[#This Row],[Author]]="Marcela Urrego",VLOOKUP(LEFT(Proc[[#This Row],[Requested]],1),Table3[#All],2,0),VLOOKUP(Proc[[#This Row],[Author]],Table4[],2,0))</f>
        <v>HC</v>
      </c>
      <c r="L1242" s="71" t="s">
        <v>2563</v>
      </c>
      <c r="M1242" s="81">
        <v>45782.702824074076</v>
      </c>
      <c r="N1242" s="81">
        <v>45790</v>
      </c>
      <c r="O1242" s="81">
        <v>45790</v>
      </c>
      <c r="P1242" s="82" t="str">
        <f ca="1">IF(Proc[[#This Row],[DaysAgeing]]&gt;5,"yep","on track")</f>
        <v>yep</v>
      </c>
      <c r="Q1242" s="3">
        <f ca="1">IF(Proc[[#This Row],[DateClosed]]="",ABS(NETWORKDAYS(Proc[[#This Row],[DateOpened]],TODAY()))-1,ABS(NETWORKDAYS(Proc[[#This Row],[DateOpened]],Proc[[#This Row],[DateClosed]]))-1)</f>
        <v>6</v>
      </c>
      <c r="R1242" s="82" t="s">
        <v>410</v>
      </c>
      <c r="S1242" s="71"/>
    </row>
    <row r="1243" spans="1:19" hidden="1">
      <c r="A1243" s="74" t="s">
        <v>2901</v>
      </c>
      <c r="B1243" s="71" t="str">
        <f>IFERROR(VLOOKUP(Proc[[#This Row],[App]],Table2[],3,0),"open")</f>
        <v>ok</v>
      </c>
      <c r="C1243" s="74" t="s">
        <v>369</v>
      </c>
      <c r="D1243" t="s">
        <v>2952</v>
      </c>
      <c r="E1243" t="s">
        <v>3010</v>
      </c>
      <c r="F1243" s="105" t="s">
        <v>3010</v>
      </c>
      <c r="G1243" s="74" t="s">
        <v>400</v>
      </c>
      <c r="H1243" s="71" t="str">
        <f>IF(Proc[[#This Row],[type]]="LFF (MDG-F)",MID(Proc[[#This Row],[Obj]],13,10),"")</f>
        <v/>
      </c>
      <c r="J1243" s="71" t="b">
        <f>Proc[[#This Row],[Requested]]=Proc[[#This Row],[CurrentParent]]</f>
        <v>1</v>
      </c>
      <c r="K1243" s="71" t="str">
        <f>IF(Proc[[#This Row],[Author]]="Marcela Urrego",VLOOKUP(LEFT(Proc[[#This Row],[Requested]],1),Table3[#All],2,0),VLOOKUP(Proc[[#This Row],[Author]],Table4[],2,0))</f>
        <v>HC</v>
      </c>
      <c r="L1243" s="71" t="s">
        <v>2563</v>
      </c>
      <c r="M1243" s="81">
        <v>45782.702824074076</v>
      </c>
      <c r="N1243" s="81">
        <v>45790</v>
      </c>
      <c r="O1243" s="81">
        <v>45790</v>
      </c>
      <c r="P1243" s="82" t="str">
        <f ca="1">IF(Proc[[#This Row],[DaysAgeing]]&gt;5,"yep","on track")</f>
        <v>yep</v>
      </c>
      <c r="Q1243" s="3">
        <f ca="1">IF(Proc[[#This Row],[DateClosed]]="",ABS(NETWORKDAYS(Proc[[#This Row],[DateOpened]],TODAY()))-1,ABS(NETWORKDAYS(Proc[[#This Row],[DateOpened]],Proc[[#This Row],[DateClosed]]))-1)</f>
        <v>6</v>
      </c>
      <c r="R1243" s="82" t="s">
        <v>410</v>
      </c>
      <c r="S1243" s="71"/>
    </row>
    <row r="1244" spans="1:19" hidden="1">
      <c r="A1244" s="74" t="s">
        <v>2901</v>
      </c>
      <c r="B1244" s="71" t="str">
        <f>IFERROR(VLOOKUP(Proc[[#This Row],[App]],Table2[],3,0),"open")</f>
        <v>ok</v>
      </c>
      <c r="C1244" s="74" t="s">
        <v>369</v>
      </c>
      <c r="D1244" t="s">
        <v>2953</v>
      </c>
      <c r="E1244" t="s">
        <v>3010</v>
      </c>
      <c r="F1244" s="105" t="s">
        <v>3010</v>
      </c>
      <c r="G1244" s="74" t="s">
        <v>400</v>
      </c>
      <c r="H1244" s="71" t="str">
        <f>IF(Proc[[#This Row],[type]]="LFF (MDG-F)",MID(Proc[[#This Row],[Obj]],13,10),"")</f>
        <v/>
      </c>
      <c r="J1244" s="71" t="b">
        <f>Proc[[#This Row],[Requested]]=Proc[[#This Row],[CurrentParent]]</f>
        <v>1</v>
      </c>
      <c r="K1244" s="71" t="str">
        <f>IF(Proc[[#This Row],[Author]]="Marcela Urrego",VLOOKUP(LEFT(Proc[[#This Row],[Requested]],1),Table3[#All],2,0),VLOOKUP(Proc[[#This Row],[Author]],Table4[],2,0))</f>
        <v>HC</v>
      </c>
      <c r="L1244" s="71" t="s">
        <v>2563</v>
      </c>
      <c r="M1244" s="81">
        <v>45782.702824074076</v>
      </c>
      <c r="N1244" s="81">
        <v>45790</v>
      </c>
      <c r="O1244" s="81">
        <v>45790</v>
      </c>
      <c r="P1244" s="82" t="str">
        <f ca="1">IF(Proc[[#This Row],[DaysAgeing]]&gt;5,"yep","on track")</f>
        <v>yep</v>
      </c>
      <c r="Q1244" s="3">
        <f ca="1">IF(Proc[[#This Row],[DateClosed]]="",ABS(NETWORKDAYS(Proc[[#This Row],[DateOpened]],TODAY()))-1,ABS(NETWORKDAYS(Proc[[#This Row],[DateOpened]],Proc[[#This Row],[DateClosed]]))-1)</f>
        <v>6</v>
      </c>
      <c r="R1244" s="82" t="s">
        <v>410</v>
      </c>
      <c r="S1244" s="71"/>
    </row>
    <row r="1245" spans="1:19" hidden="1">
      <c r="A1245" s="74" t="s">
        <v>2901</v>
      </c>
      <c r="B1245" s="71" t="str">
        <f>IFERROR(VLOOKUP(Proc[[#This Row],[App]],Table2[],3,0),"open")</f>
        <v>ok</v>
      </c>
      <c r="C1245" s="74" t="s">
        <v>369</v>
      </c>
      <c r="D1245" t="s">
        <v>2954</v>
      </c>
      <c r="E1245" t="s">
        <v>3010</v>
      </c>
      <c r="F1245" s="105" t="s">
        <v>3010</v>
      </c>
      <c r="G1245" s="74" t="s">
        <v>400</v>
      </c>
      <c r="H1245" s="71" t="str">
        <f>IF(Proc[[#This Row],[type]]="LFF (MDG-F)",MID(Proc[[#This Row],[Obj]],13,10),"")</f>
        <v/>
      </c>
      <c r="J1245" s="71" t="b">
        <f>Proc[[#This Row],[Requested]]=Proc[[#This Row],[CurrentParent]]</f>
        <v>1</v>
      </c>
      <c r="K1245" s="71" t="str">
        <f>IF(Proc[[#This Row],[Author]]="Marcela Urrego",VLOOKUP(LEFT(Proc[[#This Row],[Requested]],1),Table3[#All],2,0),VLOOKUP(Proc[[#This Row],[Author]],Table4[],2,0))</f>
        <v>HC</v>
      </c>
      <c r="L1245" s="71" t="s">
        <v>2563</v>
      </c>
      <c r="M1245" s="81">
        <v>45782.702824074076</v>
      </c>
      <c r="N1245" s="81">
        <v>45790</v>
      </c>
      <c r="O1245" s="81">
        <v>45790</v>
      </c>
      <c r="P1245" s="82" t="str">
        <f ca="1">IF(Proc[[#This Row],[DaysAgeing]]&gt;5,"yep","on track")</f>
        <v>yep</v>
      </c>
      <c r="Q1245" s="3">
        <f ca="1">IF(Proc[[#This Row],[DateClosed]]="",ABS(NETWORKDAYS(Proc[[#This Row],[DateOpened]],TODAY()))-1,ABS(NETWORKDAYS(Proc[[#This Row],[DateOpened]],Proc[[#This Row],[DateClosed]]))-1)</f>
        <v>6</v>
      </c>
      <c r="R1245" s="82" t="s">
        <v>410</v>
      </c>
      <c r="S1245" s="71"/>
    </row>
    <row r="1246" spans="1:19" hidden="1">
      <c r="A1246" s="74" t="s">
        <v>2901</v>
      </c>
      <c r="B1246" s="71" t="str">
        <f>IFERROR(VLOOKUP(Proc[[#This Row],[App]],Table2[],3,0),"open")</f>
        <v>ok</v>
      </c>
      <c r="C1246" s="74" t="s">
        <v>369</v>
      </c>
      <c r="D1246" t="s">
        <v>2955</v>
      </c>
      <c r="E1246" t="s">
        <v>3010</v>
      </c>
      <c r="F1246" s="105" t="s">
        <v>3010</v>
      </c>
      <c r="G1246" s="74" t="s">
        <v>400</v>
      </c>
      <c r="H1246" s="71" t="str">
        <f>IF(Proc[[#This Row],[type]]="LFF (MDG-F)",MID(Proc[[#This Row],[Obj]],13,10),"")</f>
        <v/>
      </c>
      <c r="J1246" s="71" t="b">
        <f>Proc[[#This Row],[Requested]]=Proc[[#This Row],[CurrentParent]]</f>
        <v>1</v>
      </c>
      <c r="K1246" s="71" t="str">
        <f>IF(Proc[[#This Row],[Author]]="Marcela Urrego",VLOOKUP(LEFT(Proc[[#This Row],[Requested]],1),Table3[#All],2,0),VLOOKUP(Proc[[#This Row],[Author]],Table4[],2,0))</f>
        <v>HC</v>
      </c>
      <c r="L1246" s="71" t="s">
        <v>2563</v>
      </c>
      <c r="M1246" s="81">
        <v>45782.702824074076</v>
      </c>
      <c r="N1246" s="81">
        <v>45790</v>
      </c>
      <c r="O1246" s="81">
        <v>45790</v>
      </c>
      <c r="P1246" s="82" t="str">
        <f ca="1">IF(Proc[[#This Row],[DaysAgeing]]&gt;5,"yep","on track")</f>
        <v>yep</v>
      </c>
      <c r="Q1246" s="3">
        <f ca="1">IF(Proc[[#This Row],[DateClosed]]="",ABS(NETWORKDAYS(Proc[[#This Row],[DateOpened]],TODAY()))-1,ABS(NETWORKDAYS(Proc[[#This Row],[DateOpened]],Proc[[#This Row],[DateClosed]]))-1)</f>
        <v>6</v>
      </c>
      <c r="R1246" s="82" t="s">
        <v>410</v>
      </c>
      <c r="S1246" s="71"/>
    </row>
    <row r="1247" spans="1:19" hidden="1">
      <c r="A1247" s="74" t="s">
        <v>2901</v>
      </c>
      <c r="B1247" s="71" t="str">
        <f>IFERROR(VLOOKUP(Proc[[#This Row],[App]],Table2[],3,0),"open")</f>
        <v>ok</v>
      </c>
      <c r="C1247" s="74" t="s">
        <v>369</v>
      </c>
      <c r="D1247" t="s">
        <v>2956</v>
      </c>
      <c r="E1247" t="s">
        <v>3010</v>
      </c>
      <c r="F1247" s="105" t="s">
        <v>3010</v>
      </c>
      <c r="G1247" s="74" t="s">
        <v>400</v>
      </c>
      <c r="H1247" s="71" t="str">
        <f>IF(Proc[[#This Row],[type]]="LFF (MDG-F)",MID(Proc[[#This Row],[Obj]],13,10),"")</f>
        <v/>
      </c>
      <c r="J1247" s="71" t="b">
        <f>Proc[[#This Row],[Requested]]=Proc[[#This Row],[CurrentParent]]</f>
        <v>1</v>
      </c>
      <c r="K1247" s="71" t="str">
        <f>IF(Proc[[#This Row],[Author]]="Marcela Urrego",VLOOKUP(LEFT(Proc[[#This Row],[Requested]],1),Table3[#All],2,0),VLOOKUP(Proc[[#This Row],[Author]],Table4[],2,0))</f>
        <v>HC</v>
      </c>
      <c r="L1247" s="71" t="s">
        <v>2563</v>
      </c>
      <c r="M1247" s="81">
        <v>45782.702824074076</v>
      </c>
      <c r="N1247" s="81">
        <v>45790</v>
      </c>
      <c r="O1247" s="81">
        <v>45790</v>
      </c>
      <c r="P1247" s="82" t="str">
        <f ca="1">IF(Proc[[#This Row],[DaysAgeing]]&gt;5,"yep","on track")</f>
        <v>yep</v>
      </c>
      <c r="Q1247" s="3">
        <f ca="1">IF(Proc[[#This Row],[DateClosed]]="",ABS(NETWORKDAYS(Proc[[#This Row],[DateOpened]],TODAY()))-1,ABS(NETWORKDAYS(Proc[[#This Row],[DateOpened]],Proc[[#This Row],[DateClosed]]))-1)</f>
        <v>6</v>
      </c>
      <c r="R1247" s="82" t="s">
        <v>410</v>
      </c>
      <c r="S1247" s="71"/>
    </row>
    <row r="1248" spans="1:19" hidden="1">
      <c r="A1248" s="74" t="s">
        <v>2901</v>
      </c>
      <c r="B1248" s="71" t="str">
        <f>IFERROR(VLOOKUP(Proc[[#This Row],[App]],Table2[],3,0),"open")</f>
        <v>ok</v>
      </c>
      <c r="C1248" s="74" t="s">
        <v>369</v>
      </c>
      <c r="D1248" t="s">
        <v>2957</v>
      </c>
      <c r="E1248" t="s">
        <v>3010</v>
      </c>
      <c r="F1248" s="105" t="s">
        <v>3010</v>
      </c>
      <c r="G1248" s="74" t="s">
        <v>400</v>
      </c>
      <c r="H1248" s="71" t="str">
        <f>IF(Proc[[#This Row],[type]]="LFF (MDG-F)",MID(Proc[[#This Row],[Obj]],13,10),"")</f>
        <v/>
      </c>
      <c r="J1248" s="71" t="b">
        <f>Proc[[#This Row],[Requested]]=Proc[[#This Row],[CurrentParent]]</f>
        <v>1</v>
      </c>
      <c r="K1248" s="71" t="str">
        <f>IF(Proc[[#This Row],[Author]]="Marcela Urrego",VLOOKUP(LEFT(Proc[[#This Row],[Requested]],1),Table3[#All],2,0),VLOOKUP(Proc[[#This Row],[Author]],Table4[],2,0))</f>
        <v>HC</v>
      </c>
      <c r="L1248" s="71" t="s">
        <v>2563</v>
      </c>
      <c r="M1248" s="81">
        <v>45782.702824074076</v>
      </c>
      <c r="N1248" s="81">
        <v>45790</v>
      </c>
      <c r="O1248" s="81">
        <v>45790</v>
      </c>
      <c r="P1248" s="82" t="str">
        <f ca="1">IF(Proc[[#This Row],[DaysAgeing]]&gt;5,"yep","on track")</f>
        <v>yep</v>
      </c>
      <c r="Q1248" s="3">
        <f ca="1">IF(Proc[[#This Row],[DateClosed]]="",ABS(NETWORKDAYS(Proc[[#This Row],[DateOpened]],TODAY()))-1,ABS(NETWORKDAYS(Proc[[#This Row],[DateOpened]],Proc[[#This Row],[DateClosed]]))-1)</f>
        <v>6</v>
      </c>
      <c r="R1248" s="82" t="s">
        <v>410</v>
      </c>
      <c r="S1248" s="71"/>
    </row>
    <row r="1249" spans="1:19" hidden="1">
      <c r="A1249" s="74" t="s">
        <v>2901</v>
      </c>
      <c r="B1249" s="71" t="str">
        <f>IFERROR(VLOOKUP(Proc[[#This Row],[App]],Table2[],3,0),"open")</f>
        <v>ok</v>
      </c>
      <c r="C1249" s="74" t="s">
        <v>369</v>
      </c>
      <c r="D1249" t="s">
        <v>2958</v>
      </c>
      <c r="E1249" t="s">
        <v>3010</v>
      </c>
      <c r="F1249" s="105" t="s">
        <v>3010</v>
      </c>
      <c r="G1249" s="74" t="s">
        <v>400</v>
      </c>
      <c r="H1249" s="71" t="str">
        <f>IF(Proc[[#This Row],[type]]="LFF (MDG-F)",MID(Proc[[#This Row],[Obj]],13,10),"")</f>
        <v/>
      </c>
      <c r="J1249" s="71" t="b">
        <f>Proc[[#This Row],[Requested]]=Proc[[#This Row],[CurrentParent]]</f>
        <v>1</v>
      </c>
      <c r="K1249" s="71" t="str">
        <f>IF(Proc[[#This Row],[Author]]="Marcela Urrego",VLOOKUP(LEFT(Proc[[#This Row],[Requested]],1),Table3[#All],2,0),VLOOKUP(Proc[[#This Row],[Author]],Table4[],2,0))</f>
        <v>HC</v>
      </c>
      <c r="L1249" s="71" t="s">
        <v>2563</v>
      </c>
      <c r="M1249" s="81">
        <v>45782.702824074076</v>
      </c>
      <c r="N1249" s="81">
        <v>45790</v>
      </c>
      <c r="O1249" s="81">
        <v>45790</v>
      </c>
      <c r="P1249" s="82" t="str">
        <f ca="1">IF(Proc[[#This Row],[DaysAgeing]]&gt;5,"yep","on track")</f>
        <v>yep</v>
      </c>
      <c r="Q1249" s="3">
        <f ca="1">IF(Proc[[#This Row],[DateClosed]]="",ABS(NETWORKDAYS(Proc[[#This Row],[DateOpened]],TODAY()))-1,ABS(NETWORKDAYS(Proc[[#This Row],[DateOpened]],Proc[[#This Row],[DateClosed]]))-1)</f>
        <v>6</v>
      </c>
      <c r="R1249" s="82" t="s">
        <v>410</v>
      </c>
      <c r="S1249" s="71"/>
    </row>
    <row r="1250" spans="1:19" hidden="1">
      <c r="A1250" s="74" t="s">
        <v>2901</v>
      </c>
      <c r="B1250" s="71" t="str">
        <f>IFERROR(VLOOKUP(Proc[[#This Row],[App]],Table2[],3,0),"open")</f>
        <v>ok</v>
      </c>
      <c r="C1250" s="74" t="s">
        <v>369</v>
      </c>
      <c r="D1250" t="s">
        <v>2959</v>
      </c>
      <c r="E1250" t="s">
        <v>3010</v>
      </c>
      <c r="F1250" s="105" t="s">
        <v>3010</v>
      </c>
      <c r="G1250" s="74" t="s">
        <v>400</v>
      </c>
      <c r="H1250" s="71" t="str">
        <f>IF(Proc[[#This Row],[type]]="LFF (MDG-F)",MID(Proc[[#This Row],[Obj]],13,10),"")</f>
        <v/>
      </c>
      <c r="J1250" s="71" t="b">
        <f>Proc[[#This Row],[Requested]]=Proc[[#This Row],[CurrentParent]]</f>
        <v>1</v>
      </c>
      <c r="K1250" s="71" t="str">
        <f>IF(Proc[[#This Row],[Author]]="Marcela Urrego",VLOOKUP(LEFT(Proc[[#This Row],[Requested]],1),Table3[#All],2,0),VLOOKUP(Proc[[#This Row],[Author]],Table4[],2,0))</f>
        <v>HC</v>
      </c>
      <c r="L1250" s="71" t="s">
        <v>2563</v>
      </c>
      <c r="M1250" s="81">
        <v>45782.702824074076</v>
      </c>
      <c r="N1250" s="81">
        <v>45790</v>
      </c>
      <c r="O1250" s="81">
        <v>45790</v>
      </c>
      <c r="P1250" s="82" t="str">
        <f ca="1">IF(Proc[[#This Row],[DaysAgeing]]&gt;5,"yep","on track")</f>
        <v>yep</v>
      </c>
      <c r="Q1250" s="3">
        <f ca="1">IF(Proc[[#This Row],[DateClosed]]="",ABS(NETWORKDAYS(Proc[[#This Row],[DateOpened]],TODAY()))-1,ABS(NETWORKDAYS(Proc[[#This Row],[DateOpened]],Proc[[#This Row],[DateClosed]]))-1)</f>
        <v>6</v>
      </c>
      <c r="R1250" s="82" t="s">
        <v>410</v>
      </c>
      <c r="S1250" s="71"/>
    </row>
    <row r="1251" spans="1:19" hidden="1">
      <c r="A1251" s="74" t="s">
        <v>2901</v>
      </c>
      <c r="B1251" s="71" t="str">
        <f>IFERROR(VLOOKUP(Proc[[#This Row],[App]],Table2[],3,0),"open")</f>
        <v>ok</v>
      </c>
      <c r="C1251" s="74" t="s">
        <v>369</v>
      </c>
      <c r="D1251" t="s">
        <v>2960</v>
      </c>
      <c r="E1251" t="s">
        <v>3010</v>
      </c>
      <c r="F1251" s="105" t="s">
        <v>3010</v>
      </c>
      <c r="G1251" s="74" t="s">
        <v>400</v>
      </c>
      <c r="H1251" s="71" t="str">
        <f>IF(Proc[[#This Row],[type]]="LFF (MDG-F)",MID(Proc[[#This Row],[Obj]],13,10),"")</f>
        <v/>
      </c>
      <c r="J1251" s="71" t="b">
        <f>Proc[[#This Row],[Requested]]=Proc[[#This Row],[CurrentParent]]</f>
        <v>1</v>
      </c>
      <c r="K1251" s="71" t="str">
        <f>IF(Proc[[#This Row],[Author]]="Marcela Urrego",VLOOKUP(LEFT(Proc[[#This Row],[Requested]],1),Table3[#All],2,0),VLOOKUP(Proc[[#This Row],[Author]],Table4[],2,0))</f>
        <v>HC</v>
      </c>
      <c r="L1251" s="71" t="s">
        <v>2563</v>
      </c>
      <c r="M1251" s="81">
        <v>45782.702824074076</v>
      </c>
      <c r="N1251" s="81">
        <v>45790</v>
      </c>
      <c r="O1251" s="81">
        <v>45790</v>
      </c>
      <c r="P1251" s="82" t="str">
        <f ca="1">IF(Proc[[#This Row],[DaysAgeing]]&gt;5,"yep","on track")</f>
        <v>yep</v>
      </c>
      <c r="Q1251" s="3">
        <f ca="1">IF(Proc[[#This Row],[DateClosed]]="",ABS(NETWORKDAYS(Proc[[#This Row],[DateOpened]],TODAY()))-1,ABS(NETWORKDAYS(Proc[[#This Row],[DateOpened]],Proc[[#This Row],[DateClosed]]))-1)</f>
        <v>6</v>
      </c>
      <c r="R1251" s="82" t="s">
        <v>410</v>
      </c>
      <c r="S1251" s="71"/>
    </row>
    <row r="1252" spans="1:19" hidden="1">
      <c r="A1252" s="74" t="s">
        <v>2901</v>
      </c>
      <c r="B1252" s="71" t="str">
        <f>IFERROR(VLOOKUP(Proc[[#This Row],[App]],Table2[],3,0),"open")</f>
        <v>ok</v>
      </c>
      <c r="C1252" s="74" t="s">
        <v>369</v>
      </c>
      <c r="D1252" t="s">
        <v>2961</v>
      </c>
      <c r="E1252" t="s">
        <v>3010</v>
      </c>
      <c r="F1252" s="105" t="s">
        <v>3010</v>
      </c>
      <c r="G1252" s="74" t="s">
        <v>400</v>
      </c>
      <c r="H1252" s="71" t="str">
        <f>IF(Proc[[#This Row],[type]]="LFF (MDG-F)",MID(Proc[[#This Row],[Obj]],13,10),"")</f>
        <v/>
      </c>
      <c r="J1252" s="71" t="b">
        <f>Proc[[#This Row],[Requested]]=Proc[[#This Row],[CurrentParent]]</f>
        <v>1</v>
      </c>
      <c r="K1252" s="71" t="str">
        <f>IF(Proc[[#This Row],[Author]]="Marcela Urrego",VLOOKUP(LEFT(Proc[[#This Row],[Requested]],1),Table3[#All],2,0),VLOOKUP(Proc[[#This Row],[Author]],Table4[],2,0))</f>
        <v>HC</v>
      </c>
      <c r="L1252" s="71" t="s">
        <v>2563</v>
      </c>
      <c r="M1252" s="81">
        <v>45782.702824074076</v>
      </c>
      <c r="N1252" s="81">
        <v>45790</v>
      </c>
      <c r="O1252" s="81">
        <v>45790</v>
      </c>
      <c r="P1252" s="82" t="str">
        <f ca="1">IF(Proc[[#This Row],[DaysAgeing]]&gt;5,"yep","on track")</f>
        <v>yep</v>
      </c>
      <c r="Q1252" s="3">
        <f ca="1">IF(Proc[[#This Row],[DateClosed]]="",ABS(NETWORKDAYS(Proc[[#This Row],[DateOpened]],TODAY()))-1,ABS(NETWORKDAYS(Proc[[#This Row],[DateOpened]],Proc[[#This Row],[DateClosed]]))-1)</f>
        <v>6</v>
      </c>
      <c r="R1252" s="82" t="s">
        <v>410</v>
      </c>
      <c r="S1252" s="71"/>
    </row>
    <row r="1253" spans="1:19" hidden="1">
      <c r="A1253" s="74" t="s">
        <v>2901</v>
      </c>
      <c r="B1253" s="71" t="str">
        <f>IFERROR(VLOOKUP(Proc[[#This Row],[App]],Table2[],3,0),"open")</f>
        <v>ok</v>
      </c>
      <c r="C1253" s="74" t="s">
        <v>369</v>
      </c>
      <c r="D1253" t="s">
        <v>2962</v>
      </c>
      <c r="E1253" t="s">
        <v>3010</v>
      </c>
      <c r="F1253" s="105" t="s">
        <v>3010</v>
      </c>
      <c r="G1253" s="74" t="s">
        <v>400</v>
      </c>
      <c r="H1253" s="71" t="str">
        <f>IF(Proc[[#This Row],[type]]="LFF (MDG-F)",MID(Proc[[#This Row],[Obj]],13,10),"")</f>
        <v/>
      </c>
      <c r="J1253" s="71" t="b">
        <f>Proc[[#This Row],[Requested]]=Proc[[#This Row],[CurrentParent]]</f>
        <v>1</v>
      </c>
      <c r="K1253" s="71" t="str">
        <f>IF(Proc[[#This Row],[Author]]="Marcela Urrego",VLOOKUP(LEFT(Proc[[#This Row],[Requested]],1),Table3[#All],2,0),VLOOKUP(Proc[[#This Row],[Author]],Table4[],2,0))</f>
        <v>HC</v>
      </c>
      <c r="L1253" s="71" t="s">
        <v>2563</v>
      </c>
      <c r="M1253" s="81">
        <v>45782.702824074076</v>
      </c>
      <c r="N1253" s="81">
        <v>45790</v>
      </c>
      <c r="O1253" s="81">
        <v>45790</v>
      </c>
      <c r="P1253" s="82" t="str">
        <f ca="1">IF(Proc[[#This Row],[DaysAgeing]]&gt;5,"yep","on track")</f>
        <v>yep</v>
      </c>
      <c r="Q1253" s="3">
        <f ca="1">IF(Proc[[#This Row],[DateClosed]]="",ABS(NETWORKDAYS(Proc[[#This Row],[DateOpened]],TODAY()))-1,ABS(NETWORKDAYS(Proc[[#This Row],[DateOpened]],Proc[[#This Row],[DateClosed]]))-1)</f>
        <v>6</v>
      </c>
      <c r="R1253" s="82" t="s">
        <v>410</v>
      </c>
      <c r="S1253" s="71"/>
    </row>
    <row r="1254" spans="1:19" hidden="1">
      <c r="A1254" s="74" t="s">
        <v>2901</v>
      </c>
      <c r="B1254" s="71" t="str">
        <f>IFERROR(VLOOKUP(Proc[[#This Row],[App]],Table2[],3,0),"open")</f>
        <v>ok</v>
      </c>
      <c r="C1254" s="74" t="s">
        <v>369</v>
      </c>
      <c r="D1254" t="s">
        <v>2963</v>
      </c>
      <c r="E1254" t="s">
        <v>3010</v>
      </c>
      <c r="F1254" s="105" t="s">
        <v>3010</v>
      </c>
      <c r="G1254" s="74" t="s">
        <v>400</v>
      </c>
      <c r="H1254" s="71" t="str">
        <f>IF(Proc[[#This Row],[type]]="LFF (MDG-F)",MID(Proc[[#This Row],[Obj]],13,10),"")</f>
        <v/>
      </c>
      <c r="J1254" s="71" t="b">
        <f>Proc[[#This Row],[Requested]]=Proc[[#This Row],[CurrentParent]]</f>
        <v>1</v>
      </c>
      <c r="K1254" s="71" t="str">
        <f>IF(Proc[[#This Row],[Author]]="Marcela Urrego",VLOOKUP(LEFT(Proc[[#This Row],[Requested]],1),Table3[#All],2,0),VLOOKUP(Proc[[#This Row],[Author]],Table4[],2,0))</f>
        <v>HC</v>
      </c>
      <c r="L1254" s="71" t="s">
        <v>2563</v>
      </c>
      <c r="M1254" s="81">
        <v>45782.702824074076</v>
      </c>
      <c r="N1254" s="81">
        <v>45790</v>
      </c>
      <c r="O1254" s="81">
        <v>45790</v>
      </c>
      <c r="P1254" s="82" t="str">
        <f ca="1">IF(Proc[[#This Row],[DaysAgeing]]&gt;5,"yep","on track")</f>
        <v>yep</v>
      </c>
      <c r="Q1254" s="3">
        <f ca="1">IF(Proc[[#This Row],[DateClosed]]="",ABS(NETWORKDAYS(Proc[[#This Row],[DateOpened]],TODAY()))-1,ABS(NETWORKDAYS(Proc[[#This Row],[DateOpened]],Proc[[#This Row],[DateClosed]]))-1)</f>
        <v>6</v>
      </c>
      <c r="R1254" s="82" t="s">
        <v>410</v>
      </c>
      <c r="S1254" s="71"/>
    </row>
    <row r="1255" spans="1:19" hidden="1">
      <c r="A1255" s="74" t="s">
        <v>2901</v>
      </c>
      <c r="B1255" s="71" t="str">
        <f>IFERROR(VLOOKUP(Proc[[#This Row],[App]],Table2[],3,0),"open")</f>
        <v>ok</v>
      </c>
      <c r="C1255" s="74" t="s">
        <v>369</v>
      </c>
      <c r="D1255" t="s">
        <v>2964</v>
      </c>
      <c r="E1255" t="s">
        <v>3010</v>
      </c>
      <c r="F1255" s="105" t="s">
        <v>3010</v>
      </c>
      <c r="G1255" s="74" t="s">
        <v>400</v>
      </c>
      <c r="H1255" s="71" t="str">
        <f>IF(Proc[[#This Row],[type]]="LFF (MDG-F)",MID(Proc[[#This Row],[Obj]],13,10),"")</f>
        <v/>
      </c>
      <c r="J1255" s="71" t="b">
        <f>Proc[[#This Row],[Requested]]=Proc[[#This Row],[CurrentParent]]</f>
        <v>1</v>
      </c>
      <c r="K1255" s="71" t="str">
        <f>IF(Proc[[#This Row],[Author]]="Marcela Urrego",VLOOKUP(LEFT(Proc[[#This Row],[Requested]],1),Table3[#All],2,0),VLOOKUP(Proc[[#This Row],[Author]],Table4[],2,0))</f>
        <v>HC</v>
      </c>
      <c r="L1255" s="71" t="s">
        <v>2563</v>
      </c>
      <c r="M1255" s="81">
        <v>45782.702824074076</v>
      </c>
      <c r="N1255" s="81">
        <v>45790</v>
      </c>
      <c r="O1255" s="81">
        <v>45790</v>
      </c>
      <c r="P1255" s="82" t="str">
        <f ca="1">IF(Proc[[#This Row],[DaysAgeing]]&gt;5,"yep","on track")</f>
        <v>yep</v>
      </c>
      <c r="Q1255" s="3">
        <f ca="1">IF(Proc[[#This Row],[DateClosed]]="",ABS(NETWORKDAYS(Proc[[#This Row],[DateOpened]],TODAY()))-1,ABS(NETWORKDAYS(Proc[[#This Row],[DateOpened]],Proc[[#This Row],[DateClosed]]))-1)</f>
        <v>6</v>
      </c>
      <c r="R1255" s="82" t="s">
        <v>410</v>
      </c>
      <c r="S1255" s="71"/>
    </row>
    <row r="1256" spans="1:19" hidden="1">
      <c r="A1256" s="74" t="s">
        <v>2901</v>
      </c>
      <c r="B1256" s="71" t="str">
        <f>IFERROR(VLOOKUP(Proc[[#This Row],[App]],Table2[],3,0),"open")</f>
        <v>ok</v>
      </c>
      <c r="C1256" s="74" t="s">
        <v>369</v>
      </c>
      <c r="D1256" t="s">
        <v>2965</v>
      </c>
      <c r="E1256" t="s">
        <v>3010</v>
      </c>
      <c r="F1256" s="105" t="s">
        <v>3010</v>
      </c>
      <c r="G1256" s="74" t="s">
        <v>400</v>
      </c>
      <c r="H1256" s="71" t="str">
        <f>IF(Proc[[#This Row],[type]]="LFF (MDG-F)",MID(Proc[[#This Row],[Obj]],13,10),"")</f>
        <v/>
      </c>
      <c r="J1256" s="71" t="b">
        <f>Proc[[#This Row],[Requested]]=Proc[[#This Row],[CurrentParent]]</f>
        <v>1</v>
      </c>
      <c r="K1256" s="71" t="str">
        <f>IF(Proc[[#This Row],[Author]]="Marcela Urrego",VLOOKUP(LEFT(Proc[[#This Row],[Requested]],1),Table3[#All],2,0),VLOOKUP(Proc[[#This Row],[Author]],Table4[],2,0))</f>
        <v>HC</v>
      </c>
      <c r="L1256" s="71" t="s">
        <v>2563</v>
      </c>
      <c r="M1256" s="81">
        <v>45782.702824074076</v>
      </c>
      <c r="N1256" s="81">
        <v>45790</v>
      </c>
      <c r="O1256" s="81">
        <v>45790</v>
      </c>
      <c r="P1256" s="82" t="str">
        <f ca="1">IF(Proc[[#This Row],[DaysAgeing]]&gt;5,"yep","on track")</f>
        <v>yep</v>
      </c>
      <c r="Q1256" s="3">
        <f ca="1">IF(Proc[[#This Row],[DateClosed]]="",ABS(NETWORKDAYS(Proc[[#This Row],[DateOpened]],TODAY()))-1,ABS(NETWORKDAYS(Proc[[#This Row],[DateOpened]],Proc[[#This Row],[DateClosed]]))-1)</f>
        <v>6</v>
      </c>
      <c r="R1256" s="82" t="s">
        <v>410</v>
      </c>
      <c r="S1256" s="71"/>
    </row>
    <row r="1257" spans="1:19" hidden="1">
      <c r="A1257" s="74" t="s">
        <v>2901</v>
      </c>
      <c r="B1257" s="71" t="str">
        <f>IFERROR(VLOOKUP(Proc[[#This Row],[App]],Table2[],3,0),"open")</f>
        <v>ok</v>
      </c>
      <c r="C1257" s="74" t="s">
        <v>369</v>
      </c>
      <c r="D1257" t="s">
        <v>2966</v>
      </c>
      <c r="E1257" t="s">
        <v>3010</v>
      </c>
      <c r="F1257" s="105" t="s">
        <v>3010</v>
      </c>
      <c r="G1257" s="74" t="s">
        <v>400</v>
      </c>
      <c r="H1257" s="71" t="str">
        <f>IF(Proc[[#This Row],[type]]="LFF (MDG-F)",MID(Proc[[#This Row],[Obj]],13,10),"")</f>
        <v/>
      </c>
      <c r="J1257" s="71" t="b">
        <f>Proc[[#This Row],[Requested]]=Proc[[#This Row],[CurrentParent]]</f>
        <v>1</v>
      </c>
      <c r="K1257" s="71" t="str">
        <f>IF(Proc[[#This Row],[Author]]="Marcela Urrego",VLOOKUP(LEFT(Proc[[#This Row],[Requested]],1),Table3[#All],2,0),VLOOKUP(Proc[[#This Row],[Author]],Table4[],2,0))</f>
        <v>HC</v>
      </c>
      <c r="L1257" s="71" t="s">
        <v>2563</v>
      </c>
      <c r="M1257" s="81">
        <v>45782.702824074076</v>
      </c>
      <c r="N1257" s="81">
        <v>45790</v>
      </c>
      <c r="O1257" s="81">
        <v>45790</v>
      </c>
      <c r="P1257" s="82" t="str">
        <f ca="1">IF(Proc[[#This Row],[DaysAgeing]]&gt;5,"yep","on track")</f>
        <v>yep</v>
      </c>
      <c r="Q1257" s="3">
        <f ca="1">IF(Proc[[#This Row],[DateClosed]]="",ABS(NETWORKDAYS(Proc[[#This Row],[DateOpened]],TODAY()))-1,ABS(NETWORKDAYS(Proc[[#This Row],[DateOpened]],Proc[[#This Row],[DateClosed]]))-1)</f>
        <v>6</v>
      </c>
      <c r="R1257" s="82" t="s">
        <v>410</v>
      </c>
      <c r="S1257" s="71"/>
    </row>
    <row r="1258" spans="1:19" hidden="1">
      <c r="A1258" s="74" t="s">
        <v>2901</v>
      </c>
      <c r="B1258" s="71" t="str">
        <f>IFERROR(VLOOKUP(Proc[[#This Row],[App]],Table2[],3,0),"open")</f>
        <v>ok</v>
      </c>
      <c r="C1258" s="74" t="s">
        <v>369</v>
      </c>
      <c r="D1258" t="s">
        <v>2967</v>
      </c>
      <c r="E1258" t="s">
        <v>3011</v>
      </c>
      <c r="F1258" s="105" t="s">
        <v>3011</v>
      </c>
      <c r="G1258" s="74" t="s">
        <v>400</v>
      </c>
      <c r="H1258" s="71" t="str">
        <f>IF(Proc[[#This Row],[type]]="LFF (MDG-F)",MID(Proc[[#This Row],[Obj]],13,10),"")</f>
        <v/>
      </c>
      <c r="J1258" s="71" t="b">
        <f>Proc[[#This Row],[Requested]]=Proc[[#This Row],[CurrentParent]]</f>
        <v>1</v>
      </c>
      <c r="K1258" s="71" t="str">
        <f>IF(Proc[[#This Row],[Author]]="Marcela Urrego",VLOOKUP(LEFT(Proc[[#This Row],[Requested]],1),Table3[#All],2,0),VLOOKUP(Proc[[#This Row],[Author]],Table4[],2,0))</f>
        <v>HC</v>
      </c>
      <c r="L1258" s="71" t="s">
        <v>2563</v>
      </c>
      <c r="M1258" s="81">
        <v>45782.702824074076</v>
      </c>
      <c r="N1258" s="81">
        <v>45790</v>
      </c>
      <c r="O1258" s="81">
        <v>45790</v>
      </c>
      <c r="P1258" s="82" t="str">
        <f ca="1">IF(Proc[[#This Row],[DaysAgeing]]&gt;5,"yep","on track")</f>
        <v>yep</v>
      </c>
      <c r="Q1258" s="3">
        <f ca="1">IF(Proc[[#This Row],[DateClosed]]="",ABS(NETWORKDAYS(Proc[[#This Row],[DateOpened]],TODAY()))-1,ABS(NETWORKDAYS(Proc[[#This Row],[DateOpened]],Proc[[#This Row],[DateClosed]]))-1)</f>
        <v>6</v>
      </c>
      <c r="R1258" s="82" t="s">
        <v>410</v>
      </c>
      <c r="S1258" s="71"/>
    </row>
    <row r="1259" spans="1:19" hidden="1">
      <c r="A1259" s="74" t="s">
        <v>2901</v>
      </c>
      <c r="B1259" s="71" t="str">
        <f>IFERROR(VLOOKUP(Proc[[#This Row],[App]],Table2[],3,0),"open")</f>
        <v>ok</v>
      </c>
      <c r="C1259" s="74" t="s">
        <v>369</v>
      </c>
      <c r="D1259" t="s">
        <v>2968</v>
      </c>
      <c r="E1259" t="s">
        <v>3011</v>
      </c>
      <c r="F1259" s="105" t="s">
        <v>3011</v>
      </c>
      <c r="G1259" s="74" t="s">
        <v>400</v>
      </c>
      <c r="H1259" s="71" t="str">
        <f>IF(Proc[[#This Row],[type]]="LFF (MDG-F)",MID(Proc[[#This Row],[Obj]],13,10),"")</f>
        <v/>
      </c>
      <c r="J1259" s="71" t="b">
        <f>Proc[[#This Row],[Requested]]=Proc[[#This Row],[CurrentParent]]</f>
        <v>1</v>
      </c>
      <c r="K1259" s="71" t="str">
        <f>IF(Proc[[#This Row],[Author]]="Marcela Urrego",VLOOKUP(LEFT(Proc[[#This Row],[Requested]],1),Table3[#All],2,0),VLOOKUP(Proc[[#This Row],[Author]],Table4[],2,0))</f>
        <v>HC</v>
      </c>
      <c r="L1259" s="71" t="s">
        <v>2563</v>
      </c>
      <c r="M1259" s="81">
        <v>45782.702824074076</v>
      </c>
      <c r="N1259" s="81">
        <v>45790</v>
      </c>
      <c r="O1259" s="81">
        <v>45790</v>
      </c>
      <c r="P1259" s="82" t="str">
        <f ca="1">IF(Proc[[#This Row],[DaysAgeing]]&gt;5,"yep","on track")</f>
        <v>yep</v>
      </c>
      <c r="Q1259" s="3">
        <f ca="1">IF(Proc[[#This Row],[DateClosed]]="",ABS(NETWORKDAYS(Proc[[#This Row],[DateOpened]],TODAY()))-1,ABS(NETWORKDAYS(Proc[[#This Row],[DateOpened]],Proc[[#This Row],[DateClosed]]))-1)</f>
        <v>6</v>
      </c>
      <c r="R1259" s="82" t="s">
        <v>410</v>
      </c>
      <c r="S1259" s="71"/>
    </row>
    <row r="1260" spans="1:19" hidden="1">
      <c r="A1260" s="74" t="s">
        <v>2901</v>
      </c>
      <c r="B1260" s="71" t="str">
        <f>IFERROR(VLOOKUP(Proc[[#This Row],[App]],Table2[],3,0),"open")</f>
        <v>ok</v>
      </c>
      <c r="C1260" s="74" t="s">
        <v>369</v>
      </c>
      <c r="D1260" t="s">
        <v>2969</v>
      </c>
      <c r="E1260" t="s">
        <v>3011</v>
      </c>
      <c r="F1260" s="105" t="s">
        <v>3011</v>
      </c>
      <c r="G1260" s="74" t="s">
        <v>400</v>
      </c>
      <c r="H1260" s="71" t="str">
        <f>IF(Proc[[#This Row],[type]]="LFF (MDG-F)",MID(Proc[[#This Row],[Obj]],13,10),"")</f>
        <v/>
      </c>
      <c r="J1260" s="71" t="b">
        <f>Proc[[#This Row],[Requested]]=Proc[[#This Row],[CurrentParent]]</f>
        <v>1</v>
      </c>
      <c r="K1260" s="71" t="str">
        <f>IF(Proc[[#This Row],[Author]]="Marcela Urrego",VLOOKUP(LEFT(Proc[[#This Row],[Requested]],1),Table3[#All],2,0),VLOOKUP(Proc[[#This Row],[Author]],Table4[],2,0))</f>
        <v>HC</v>
      </c>
      <c r="L1260" s="71" t="s">
        <v>2563</v>
      </c>
      <c r="M1260" s="81">
        <v>45782.702824074076</v>
      </c>
      <c r="N1260" s="81">
        <v>45790</v>
      </c>
      <c r="O1260" s="81">
        <v>45790</v>
      </c>
      <c r="P1260" s="82" t="str">
        <f ca="1">IF(Proc[[#This Row],[DaysAgeing]]&gt;5,"yep","on track")</f>
        <v>yep</v>
      </c>
      <c r="Q1260" s="3">
        <f ca="1">IF(Proc[[#This Row],[DateClosed]]="",ABS(NETWORKDAYS(Proc[[#This Row],[DateOpened]],TODAY()))-1,ABS(NETWORKDAYS(Proc[[#This Row],[DateOpened]],Proc[[#This Row],[DateClosed]]))-1)</f>
        <v>6</v>
      </c>
      <c r="R1260" s="82" t="s">
        <v>410</v>
      </c>
      <c r="S1260" s="71"/>
    </row>
    <row r="1261" spans="1:19" hidden="1">
      <c r="A1261" s="74" t="s">
        <v>2901</v>
      </c>
      <c r="B1261" s="71" t="str">
        <f>IFERROR(VLOOKUP(Proc[[#This Row],[App]],Table2[],3,0),"open")</f>
        <v>ok</v>
      </c>
      <c r="C1261" s="74" t="s">
        <v>369</v>
      </c>
      <c r="D1261" t="s">
        <v>2970</v>
      </c>
      <c r="E1261" t="s">
        <v>3011</v>
      </c>
      <c r="F1261" s="105" t="s">
        <v>3011</v>
      </c>
      <c r="G1261" s="74" t="s">
        <v>400</v>
      </c>
      <c r="H1261" s="71" t="str">
        <f>IF(Proc[[#This Row],[type]]="LFF (MDG-F)",MID(Proc[[#This Row],[Obj]],13,10),"")</f>
        <v/>
      </c>
      <c r="J1261" s="71" t="b">
        <f>Proc[[#This Row],[Requested]]=Proc[[#This Row],[CurrentParent]]</f>
        <v>1</v>
      </c>
      <c r="K1261" s="71" t="str">
        <f>IF(Proc[[#This Row],[Author]]="Marcela Urrego",VLOOKUP(LEFT(Proc[[#This Row],[Requested]],1),Table3[#All],2,0),VLOOKUP(Proc[[#This Row],[Author]],Table4[],2,0))</f>
        <v>HC</v>
      </c>
      <c r="L1261" s="71" t="s">
        <v>2563</v>
      </c>
      <c r="M1261" s="81">
        <v>45782.702824074076</v>
      </c>
      <c r="N1261" s="81">
        <v>45790</v>
      </c>
      <c r="O1261" s="81">
        <v>45790</v>
      </c>
      <c r="P1261" s="82" t="str">
        <f ca="1">IF(Proc[[#This Row],[DaysAgeing]]&gt;5,"yep","on track")</f>
        <v>yep</v>
      </c>
      <c r="Q1261" s="3">
        <f ca="1">IF(Proc[[#This Row],[DateClosed]]="",ABS(NETWORKDAYS(Proc[[#This Row],[DateOpened]],TODAY()))-1,ABS(NETWORKDAYS(Proc[[#This Row],[DateOpened]],Proc[[#This Row],[DateClosed]]))-1)</f>
        <v>6</v>
      </c>
      <c r="R1261" s="82" t="s">
        <v>410</v>
      </c>
      <c r="S1261" s="71"/>
    </row>
    <row r="1262" spans="1:19" hidden="1">
      <c r="A1262" s="74" t="s">
        <v>2901</v>
      </c>
      <c r="B1262" s="71" t="str">
        <f>IFERROR(VLOOKUP(Proc[[#This Row],[App]],Table2[],3,0),"open")</f>
        <v>ok</v>
      </c>
      <c r="C1262" s="74" t="s">
        <v>369</v>
      </c>
      <c r="D1262" t="s">
        <v>2971</v>
      </c>
      <c r="E1262" t="s">
        <v>3011</v>
      </c>
      <c r="F1262" s="105" t="s">
        <v>3011</v>
      </c>
      <c r="G1262" s="74" t="s">
        <v>400</v>
      </c>
      <c r="H1262" s="71" t="str">
        <f>IF(Proc[[#This Row],[type]]="LFF (MDG-F)",MID(Proc[[#This Row],[Obj]],13,10),"")</f>
        <v/>
      </c>
      <c r="J1262" s="71" t="b">
        <f>Proc[[#This Row],[Requested]]=Proc[[#This Row],[CurrentParent]]</f>
        <v>1</v>
      </c>
      <c r="K1262" s="71" t="str">
        <f>IF(Proc[[#This Row],[Author]]="Marcela Urrego",VLOOKUP(LEFT(Proc[[#This Row],[Requested]],1),Table3[#All],2,0),VLOOKUP(Proc[[#This Row],[Author]],Table4[],2,0))</f>
        <v>HC</v>
      </c>
      <c r="L1262" s="71" t="s">
        <v>2563</v>
      </c>
      <c r="M1262" s="81">
        <v>45782.702824074076</v>
      </c>
      <c r="N1262" s="81">
        <v>45790</v>
      </c>
      <c r="O1262" s="81">
        <v>45790</v>
      </c>
      <c r="P1262" s="82" t="str">
        <f ca="1">IF(Proc[[#This Row],[DaysAgeing]]&gt;5,"yep","on track")</f>
        <v>yep</v>
      </c>
      <c r="Q1262" s="3">
        <f ca="1">IF(Proc[[#This Row],[DateClosed]]="",ABS(NETWORKDAYS(Proc[[#This Row],[DateOpened]],TODAY()))-1,ABS(NETWORKDAYS(Proc[[#This Row],[DateOpened]],Proc[[#This Row],[DateClosed]]))-1)</f>
        <v>6</v>
      </c>
      <c r="R1262" s="82" t="s">
        <v>410</v>
      </c>
      <c r="S1262" s="71"/>
    </row>
    <row r="1263" spans="1:19" hidden="1">
      <c r="A1263" s="74" t="s">
        <v>2901</v>
      </c>
      <c r="B1263" s="71" t="str">
        <f>IFERROR(VLOOKUP(Proc[[#This Row],[App]],Table2[],3,0),"open")</f>
        <v>ok</v>
      </c>
      <c r="C1263" s="74" t="s">
        <v>369</v>
      </c>
      <c r="D1263" t="s">
        <v>2972</v>
      </c>
      <c r="E1263" t="s">
        <v>3011</v>
      </c>
      <c r="F1263" s="105" t="s">
        <v>3011</v>
      </c>
      <c r="G1263" s="74" t="s">
        <v>400</v>
      </c>
      <c r="H1263" s="71" t="str">
        <f>IF(Proc[[#This Row],[type]]="LFF (MDG-F)",MID(Proc[[#This Row],[Obj]],13,10),"")</f>
        <v/>
      </c>
      <c r="J1263" s="71" t="b">
        <f>Proc[[#This Row],[Requested]]=Proc[[#This Row],[CurrentParent]]</f>
        <v>1</v>
      </c>
      <c r="K1263" s="71" t="str">
        <f>IF(Proc[[#This Row],[Author]]="Marcela Urrego",VLOOKUP(LEFT(Proc[[#This Row],[Requested]],1),Table3[#All],2,0),VLOOKUP(Proc[[#This Row],[Author]],Table4[],2,0))</f>
        <v>HC</v>
      </c>
      <c r="L1263" s="71" t="s">
        <v>2563</v>
      </c>
      <c r="M1263" s="81">
        <v>45782.702824074076</v>
      </c>
      <c r="N1263" s="81">
        <v>45790</v>
      </c>
      <c r="O1263" s="81">
        <v>45790</v>
      </c>
      <c r="P1263" s="82" t="str">
        <f ca="1">IF(Proc[[#This Row],[DaysAgeing]]&gt;5,"yep","on track")</f>
        <v>yep</v>
      </c>
      <c r="Q1263" s="3">
        <f ca="1">IF(Proc[[#This Row],[DateClosed]]="",ABS(NETWORKDAYS(Proc[[#This Row],[DateOpened]],TODAY()))-1,ABS(NETWORKDAYS(Proc[[#This Row],[DateOpened]],Proc[[#This Row],[DateClosed]]))-1)</f>
        <v>6</v>
      </c>
      <c r="R1263" s="82" t="s">
        <v>410</v>
      </c>
      <c r="S1263" s="71"/>
    </row>
    <row r="1264" spans="1:19" hidden="1">
      <c r="A1264" s="74" t="s">
        <v>2901</v>
      </c>
      <c r="B1264" s="71" t="str">
        <f>IFERROR(VLOOKUP(Proc[[#This Row],[App]],Table2[],3,0),"open")</f>
        <v>ok</v>
      </c>
      <c r="C1264" s="74" t="s">
        <v>369</v>
      </c>
      <c r="D1264" t="s">
        <v>2973</v>
      </c>
      <c r="E1264" t="s">
        <v>3011</v>
      </c>
      <c r="F1264" s="105" t="s">
        <v>3011</v>
      </c>
      <c r="G1264" s="74" t="s">
        <v>400</v>
      </c>
      <c r="H1264" s="71" t="str">
        <f>IF(Proc[[#This Row],[type]]="LFF (MDG-F)",MID(Proc[[#This Row],[Obj]],13,10),"")</f>
        <v/>
      </c>
      <c r="J1264" s="71" t="b">
        <f>Proc[[#This Row],[Requested]]=Proc[[#This Row],[CurrentParent]]</f>
        <v>1</v>
      </c>
      <c r="K1264" s="71" t="str">
        <f>IF(Proc[[#This Row],[Author]]="Marcela Urrego",VLOOKUP(LEFT(Proc[[#This Row],[Requested]],1),Table3[#All],2,0),VLOOKUP(Proc[[#This Row],[Author]],Table4[],2,0))</f>
        <v>HC</v>
      </c>
      <c r="L1264" s="71" t="s">
        <v>2563</v>
      </c>
      <c r="M1264" s="81">
        <v>45782.702824074076</v>
      </c>
      <c r="N1264" s="81">
        <v>45790</v>
      </c>
      <c r="O1264" s="81">
        <v>45790</v>
      </c>
      <c r="P1264" s="82" t="str">
        <f ca="1">IF(Proc[[#This Row],[DaysAgeing]]&gt;5,"yep","on track")</f>
        <v>yep</v>
      </c>
      <c r="Q1264" s="3">
        <f ca="1">IF(Proc[[#This Row],[DateClosed]]="",ABS(NETWORKDAYS(Proc[[#This Row],[DateOpened]],TODAY()))-1,ABS(NETWORKDAYS(Proc[[#This Row],[DateOpened]],Proc[[#This Row],[DateClosed]]))-1)</f>
        <v>6</v>
      </c>
      <c r="R1264" s="82" t="s">
        <v>410</v>
      </c>
      <c r="S1264" s="71"/>
    </row>
    <row r="1265" spans="1:19" hidden="1">
      <c r="A1265" s="74" t="s">
        <v>2901</v>
      </c>
      <c r="B1265" s="71" t="str">
        <f>IFERROR(VLOOKUP(Proc[[#This Row],[App]],Table2[],3,0),"open")</f>
        <v>ok</v>
      </c>
      <c r="C1265" s="74" t="s">
        <v>369</v>
      </c>
      <c r="D1265" t="s">
        <v>2974</v>
      </c>
      <c r="E1265" t="s">
        <v>3011</v>
      </c>
      <c r="F1265" s="105" t="s">
        <v>3011</v>
      </c>
      <c r="G1265" s="74" t="s">
        <v>400</v>
      </c>
      <c r="H1265" s="71" t="str">
        <f>IF(Proc[[#This Row],[type]]="LFF (MDG-F)",MID(Proc[[#This Row],[Obj]],13,10),"")</f>
        <v/>
      </c>
      <c r="J1265" s="71" t="b">
        <f>Proc[[#This Row],[Requested]]=Proc[[#This Row],[CurrentParent]]</f>
        <v>1</v>
      </c>
      <c r="K1265" s="71" t="str">
        <f>IF(Proc[[#This Row],[Author]]="Marcela Urrego",VLOOKUP(LEFT(Proc[[#This Row],[Requested]],1),Table3[#All],2,0),VLOOKUP(Proc[[#This Row],[Author]],Table4[],2,0))</f>
        <v>HC</v>
      </c>
      <c r="L1265" s="71" t="s">
        <v>2563</v>
      </c>
      <c r="M1265" s="81">
        <v>45782.702824074076</v>
      </c>
      <c r="N1265" s="81">
        <v>45790</v>
      </c>
      <c r="O1265" s="81">
        <v>45790</v>
      </c>
      <c r="P1265" s="82" t="str">
        <f ca="1">IF(Proc[[#This Row],[DaysAgeing]]&gt;5,"yep","on track")</f>
        <v>yep</v>
      </c>
      <c r="Q1265" s="3">
        <f ca="1">IF(Proc[[#This Row],[DateClosed]]="",ABS(NETWORKDAYS(Proc[[#This Row],[DateOpened]],TODAY()))-1,ABS(NETWORKDAYS(Proc[[#This Row],[DateOpened]],Proc[[#This Row],[DateClosed]]))-1)</f>
        <v>6</v>
      </c>
      <c r="R1265" s="82" t="s">
        <v>410</v>
      </c>
      <c r="S1265" s="71"/>
    </row>
    <row r="1266" spans="1:19" hidden="1">
      <c r="A1266" s="74" t="s">
        <v>2901</v>
      </c>
      <c r="B1266" s="71" t="str">
        <f>IFERROR(VLOOKUP(Proc[[#This Row],[App]],Table2[],3,0),"open")</f>
        <v>ok</v>
      </c>
      <c r="C1266" s="74" t="s">
        <v>369</v>
      </c>
      <c r="D1266" t="s">
        <v>2975</v>
      </c>
      <c r="E1266" t="s">
        <v>3011</v>
      </c>
      <c r="F1266" s="105" t="s">
        <v>3011</v>
      </c>
      <c r="G1266" s="74" t="s">
        <v>400</v>
      </c>
      <c r="H1266" s="71" t="str">
        <f>IF(Proc[[#This Row],[type]]="LFF (MDG-F)",MID(Proc[[#This Row],[Obj]],13,10),"")</f>
        <v/>
      </c>
      <c r="J1266" s="71" t="b">
        <f>Proc[[#This Row],[Requested]]=Proc[[#This Row],[CurrentParent]]</f>
        <v>1</v>
      </c>
      <c r="K1266" s="71" t="str">
        <f>IF(Proc[[#This Row],[Author]]="Marcela Urrego",VLOOKUP(LEFT(Proc[[#This Row],[Requested]],1),Table3[#All],2,0),VLOOKUP(Proc[[#This Row],[Author]],Table4[],2,0))</f>
        <v>HC</v>
      </c>
      <c r="L1266" s="71" t="s">
        <v>2563</v>
      </c>
      <c r="M1266" s="81">
        <v>45782.702824074076</v>
      </c>
      <c r="N1266" s="81">
        <v>45790</v>
      </c>
      <c r="O1266" s="81">
        <v>45790</v>
      </c>
      <c r="P1266" s="82" t="str">
        <f ca="1">IF(Proc[[#This Row],[DaysAgeing]]&gt;5,"yep","on track")</f>
        <v>yep</v>
      </c>
      <c r="Q1266" s="3">
        <f ca="1">IF(Proc[[#This Row],[DateClosed]]="",ABS(NETWORKDAYS(Proc[[#This Row],[DateOpened]],TODAY()))-1,ABS(NETWORKDAYS(Proc[[#This Row],[DateOpened]],Proc[[#This Row],[DateClosed]]))-1)</f>
        <v>6</v>
      </c>
      <c r="R1266" s="82" t="s">
        <v>410</v>
      </c>
      <c r="S1266" s="71"/>
    </row>
    <row r="1267" spans="1:19" hidden="1">
      <c r="A1267" s="74" t="s">
        <v>2901</v>
      </c>
      <c r="B1267" s="71" t="str">
        <f>IFERROR(VLOOKUP(Proc[[#This Row],[App]],Table2[],3,0),"open")</f>
        <v>ok</v>
      </c>
      <c r="C1267" s="74" t="s">
        <v>369</v>
      </c>
      <c r="D1267" t="s">
        <v>2976</v>
      </c>
      <c r="E1267" t="s">
        <v>3011</v>
      </c>
      <c r="F1267" s="105" t="s">
        <v>3011</v>
      </c>
      <c r="G1267" s="74" t="s">
        <v>400</v>
      </c>
      <c r="H1267" s="71" t="str">
        <f>IF(Proc[[#This Row],[type]]="LFF (MDG-F)",MID(Proc[[#This Row],[Obj]],13,10),"")</f>
        <v/>
      </c>
      <c r="J1267" s="71" t="b">
        <f>Proc[[#This Row],[Requested]]=Proc[[#This Row],[CurrentParent]]</f>
        <v>1</v>
      </c>
      <c r="K1267" s="71" t="str">
        <f>IF(Proc[[#This Row],[Author]]="Marcela Urrego",VLOOKUP(LEFT(Proc[[#This Row],[Requested]],1),Table3[#All],2,0),VLOOKUP(Proc[[#This Row],[Author]],Table4[],2,0))</f>
        <v>HC</v>
      </c>
      <c r="L1267" s="71" t="s">
        <v>2563</v>
      </c>
      <c r="M1267" s="81">
        <v>45782.702824074076</v>
      </c>
      <c r="N1267" s="81">
        <v>45790</v>
      </c>
      <c r="O1267" s="81">
        <v>45790</v>
      </c>
      <c r="P1267" s="82" t="str">
        <f ca="1">IF(Proc[[#This Row],[DaysAgeing]]&gt;5,"yep","on track")</f>
        <v>yep</v>
      </c>
      <c r="Q1267" s="3">
        <f ca="1">IF(Proc[[#This Row],[DateClosed]]="",ABS(NETWORKDAYS(Proc[[#This Row],[DateOpened]],TODAY()))-1,ABS(NETWORKDAYS(Proc[[#This Row],[DateOpened]],Proc[[#This Row],[DateClosed]]))-1)</f>
        <v>6</v>
      </c>
      <c r="R1267" s="82" t="s">
        <v>410</v>
      </c>
      <c r="S1267" s="71"/>
    </row>
    <row r="1268" spans="1:19" hidden="1">
      <c r="A1268" s="74" t="s">
        <v>2901</v>
      </c>
      <c r="B1268" s="71" t="str">
        <f>IFERROR(VLOOKUP(Proc[[#This Row],[App]],Table2[],3,0),"open")</f>
        <v>ok</v>
      </c>
      <c r="C1268" s="74" t="s">
        <v>369</v>
      </c>
      <c r="D1268" t="s">
        <v>2977</v>
      </c>
      <c r="E1268" t="s">
        <v>3011</v>
      </c>
      <c r="F1268" s="105" t="s">
        <v>3011</v>
      </c>
      <c r="G1268" s="74" t="s">
        <v>400</v>
      </c>
      <c r="H1268" s="71" t="str">
        <f>IF(Proc[[#This Row],[type]]="LFF (MDG-F)",MID(Proc[[#This Row],[Obj]],13,10),"")</f>
        <v/>
      </c>
      <c r="J1268" s="71" t="b">
        <f>Proc[[#This Row],[Requested]]=Proc[[#This Row],[CurrentParent]]</f>
        <v>1</v>
      </c>
      <c r="K1268" s="71" t="str">
        <f>IF(Proc[[#This Row],[Author]]="Marcela Urrego",VLOOKUP(LEFT(Proc[[#This Row],[Requested]],1),Table3[#All],2,0),VLOOKUP(Proc[[#This Row],[Author]],Table4[],2,0))</f>
        <v>HC</v>
      </c>
      <c r="L1268" s="71" t="s">
        <v>2563</v>
      </c>
      <c r="M1268" s="81">
        <v>45782.702824074076</v>
      </c>
      <c r="N1268" s="81">
        <v>45790</v>
      </c>
      <c r="O1268" s="81">
        <v>45790</v>
      </c>
      <c r="P1268" s="82" t="str">
        <f ca="1">IF(Proc[[#This Row],[DaysAgeing]]&gt;5,"yep","on track")</f>
        <v>yep</v>
      </c>
      <c r="Q1268" s="3">
        <f ca="1">IF(Proc[[#This Row],[DateClosed]]="",ABS(NETWORKDAYS(Proc[[#This Row],[DateOpened]],TODAY()))-1,ABS(NETWORKDAYS(Proc[[#This Row],[DateOpened]],Proc[[#This Row],[DateClosed]]))-1)</f>
        <v>6</v>
      </c>
      <c r="R1268" s="82" t="s">
        <v>410</v>
      </c>
      <c r="S1268" s="71"/>
    </row>
    <row r="1269" spans="1:19" hidden="1">
      <c r="A1269" s="74" t="s">
        <v>2901</v>
      </c>
      <c r="B1269" s="71" t="str">
        <f>IFERROR(VLOOKUP(Proc[[#This Row],[App]],Table2[],3,0),"open")</f>
        <v>ok</v>
      </c>
      <c r="C1269" s="74" t="s">
        <v>369</v>
      </c>
      <c r="D1269" t="s">
        <v>2978</v>
      </c>
      <c r="E1269" t="s">
        <v>3011</v>
      </c>
      <c r="F1269" s="105" t="s">
        <v>3011</v>
      </c>
      <c r="G1269" s="74" t="s">
        <v>400</v>
      </c>
      <c r="H1269" s="71" t="str">
        <f>IF(Proc[[#This Row],[type]]="LFF (MDG-F)",MID(Proc[[#This Row],[Obj]],13,10),"")</f>
        <v/>
      </c>
      <c r="J1269" s="71" t="b">
        <f>Proc[[#This Row],[Requested]]=Proc[[#This Row],[CurrentParent]]</f>
        <v>1</v>
      </c>
      <c r="K1269" s="71" t="str">
        <f>IF(Proc[[#This Row],[Author]]="Marcela Urrego",VLOOKUP(LEFT(Proc[[#This Row],[Requested]],1),Table3[#All],2,0),VLOOKUP(Proc[[#This Row],[Author]],Table4[],2,0))</f>
        <v>HC</v>
      </c>
      <c r="L1269" s="71" t="s">
        <v>2563</v>
      </c>
      <c r="M1269" s="81">
        <v>45782.702824074076</v>
      </c>
      <c r="N1269" s="81">
        <v>45790</v>
      </c>
      <c r="O1269" s="81">
        <v>45790</v>
      </c>
      <c r="P1269" s="82" t="str">
        <f ca="1">IF(Proc[[#This Row],[DaysAgeing]]&gt;5,"yep","on track")</f>
        <v>yep</v>
      </c>
      <c r="Q1269" s="3">
        <f ca="1">IF(Proc[[#This Row],[DateClosed]]="",ABS(NETWORKDAYS(Proc[[#This Row],[DateOpened]],TODAY()))-1,ABS(NETWORKDAYS(Proc[[#This Row],[DateOpened]],Proc[[#This Row],[DateClosed]]))-1)</f>
        <v>6</v>
      </c>
      <c r="R1269" s="82" t="s">
        <v>410</v>
      </c>
      <c r="S1269" s="71"/>
    </row>
    <row r="1270" spans="1:19" hidden="1">
      <c r="A1270" s="74" t="s">
        <v>2901</v>
      </c>
      <c r="B1270" s="71" t="str">
        <f>IFERROR(VLOOKUP(Proc[[#This Row],[App]],Table2[],3,0),"open")</f>
        <v>ok</v>
      </c>
      <c r="C1270" s="74" t="s">
        <v>369</v>
      </c>
      <c r="D1270" t="s">
        <v>2979</v>
      </c>
      <c r="E1270" t="s">
        <v>3011</v>
      </c>
      <c r="F1270" s="105" t="s">
        <v>3011</v>
      </c>
      <c r="G1270" s="74" t="s">
        <v>400</v>
      </c>
      <c r="H1270" s="71" t="str">
        <f>IF(Proc[[#This Row],[type]]="LFF (MDG-F)",MID(Proc[[#This Row],[Obj]],13,10),"")</f>
        <v/>
      </c>
      <c r="J1270" s="71" t="b">
        <f>Proc[[#This Row],[Requested]]=Proc[[#This Row],[CurrentParent]]</f>
        <v>1</v>
      </c>
      <c r="K1270" s="71" t="str">
        <f>IF(Proc[[#This Row],[Author]]="Marcela Urrego",VLOOKUP(LEFT(Proc[[#This Row],[Requested]],1),Table3[#All],2,0),VLOOKUP(Proc[[#This Row],[Author]],Table4[],2,0))</f>
        <v>HC</v>
      </c>
      <c r="L1270" s="71" t="s">
        <v>2563</v>
      </c>
      <c r="M1270" s="81">
        <v>45782.702824074076</v>
      </c>
      <c r="N1270" s="81">
        <v>45790</v>
      </c>
      <c r="O1270" s="81">
        <v>45790</v>
      </c>
      <c r="P1270" s="82" t="str">
        <f ca="1">IF(Proc[[#This Row],[DaysAgeing]]&gt;5,"yep","on track")</f>
        <v>yep</v>
      </c>
      <c r="Q1270" s="3">
        <f ca="1">IF(Proc[[#This Row],[DateClosed]]="",ABS(NETWORKDAYS(Proc[[#This Row],[DateOpened]],TODAY()))-1,ABS(NETWORKDAYS(Proc[[#This Row],[DateOpened]],Proc[[#This Row],[DateClosed]]))-1)</f>
        <v>6</v>
      </c>
      <c r="R1270" s="82" t="s">
        <v>410</v>
      </c>
      <c r="S1270" s="71"/>
    </row>
    <row r="1271" spans="1:19" hidden="1">
      <c r="A1271" s="74" t="s">
        <v>2901</v>
      </c>
      <c r="B1271" s="71" t="str">
        <f>IFERROR(VLOOKUP(Proc[[#This Row],[App]],Table2[],3,0),"open")</f>
        <v>ok</v>
      </c>
      <c r="C1271" s="74" t="s">
        <v>369</v>
      </c>
      <c r="D1271" t="s">
        <v>2980</v>
      </c>
      <c r="E1271" t="s">
        <v>3011</v>
      </c>
      <c r="F1271" s="105" t="s">
        <v>3011</v>
      </c>
      <c r="G1271" s="74" t="s">
        <v>400</v>
      </c>
      <c r="H1271" s="71" t="str">
        <f>IF(Proc[[#This Row],[type]]="LFF (MDG-F)",MID(Proc[[#This Row],[Obj]],13,10),"")</f>
        <v/>
      </c>
      <c r="J1271" s="71" t="b">
        <f>Proc[[#This Row],[Requested]]=Proc[[#This Row],[CurrentParent]]</f>
        <v>1</v>
      </c>
      <c r="K1271" s="71" t="str">
        <f>IF(Proc[[#This Row],[Author]]="Marcela Urrego",VLOOKUP(LEFT(Proc[[#This Row],[Requested]],1),Table3[#All],2,0),VLOOKUP(Proc[[#This Row],[Author]],Table4[],2,0))</f>
        <v>HC</v>
      </c>
      <c r="L1271" s="71" t="s">
        <v>2563</v>
      </c>
      <c r="M1271" s="81">
        <v>45782.702824074076</v>
      </c>
      <c r="N1271" s="81">
        <v>45790</v>
      </c>
      <c r="O1271" s="81">
        <v>45790</v>
      </c>
      <c r="P1271" s="82" t="str">
        <f ca="1">IF(Proc[[#This Row],[DaysAgeing]]&gt;5,"yep","on track")</f>
        <v>yep</v>
      </c>
      <c r="Q1271" s="3">
        <f ca="1">IF(Proc[[#This Row],[DateClosed]]="",ABS(NETWORKDAYS(Proc[[#This Row],[DateOpened]],TODAY()))-1,ABS(NETWORKDAYS(Proc[[#This Row],[DateOpened]],Proc[[#This Row],[DateClosed]]))-1)</f>
        <v>6</v>
      </c>
      <c r="R1271" s="82" t="s">
        <v>410</v>
      </c>
      <c r="S1271" s="71"/>
    </row>
    <row r="1272" spans="1:19" hidden="1">
      <c r="A1272" s="74" t="s">
        <v>2901</v>
      </c>
      <c r="B1272" s="71" t="str">
        <f>IFERROR(VLOOKUP(Proc[[#This Row],[App]],Table2[],3,0),"open")</f>
        <v>ok</v>
      </c>
      <c r="C1272" s="74" t="s">
        <v>369</v>
      </c>
      <c r="D1272" t="s">
        <v>2981</v>
      </c>
      <c r="E1272" t="s">
        <v>3011</v>
      </c>
      <c r="F1272" s="105" t="s">
        <v>3011</v>
      </c>
      <c r="G1272" s="74" t="s">
        <v>400</v>
      </c>
      <c r="H1272" s="71" t="str">
        <f>IF(Proc[[#This Row],[type]]="LFF (MDG-F)",MID(Proc[[#This Row],[Obj]],13,10),"")</f>
        <v/>
      </c>
      <c r="J1272" s="71" t="b">
        <f>Proc[[#This Row],[Requested]]=Proc[[#This Row],[CurrentParent]]</f>
        <v>1</v>
      </c>
      <c r="K1272" s="71" t="str">
        <f>IF(Proc[[#This Row],[Author]]="Marcela Urrego",VLOOKUP(LEFT(Proc[[#This Row],[Requested]],1),Table3[#All],2,0),VLOOKUP(Proc[[#This Row],[Author]],Table4[],2,0))</f>
        <v>HC</v>
      </c>
      <c r="L1272" s="71" t="s">
        <v>2563</v>
      </c>
      <c r="M1272" s="81">
        <v>45782.702824074076</v>
      </c>
      <c r="N1272" s="81">
        <v>45790</v>
      </c>
      <c r="O1272" s="81">
        <v>45790</v>
      </c>
      <c r="P1272" s="82" t="str">
        <f ca="1">IF(Proc[[#This Row],[DaysAgeing]]&gt;5,"yep","on track")</f>
        <v>yep</v>
      </c>
      <c r="Q1272" s="3">
        <f ca="1">IF(Proc[[#This Row],[DateClosed]]="",ABS(NETWORKDAYS(Proc[[#This Row],[DateOpened]],TODAY()))-1,ABS(NETWORKDAYS(Proc[[#This Row],[DateOpened]],Proc[[#This Row],[DateClosed]]))-1)</f>
        <v>6</v>
      </c>
      <c r="R1272" s="82" t="s">
        <v>410</v>
      </c>
      <c r="S1272" s="71"/>
    </row>
    <row r="1273" spans="1:19" hidden="1">
      <c r="A1273" s="74" t="s">
        <v>2901</v>
      </c>
      <c r="B1273" s="71" t="str">
        <f>IFERROR(VLOOKUP(Proc[[#This Row],[App]],Table2[],3,0),"open")</f>
        <v>ok</v>
      </c>
      <c r="C1273" s="74" t="s">
        <v>369</v>
      </c>
      <c r="D1273" t="s">
        <v>2982</v>
      </c>
      <c r="E1273" t="s">
        <v>3011</v>
      </c>
      <c r="F1273" s="105" t="s">
        <v>3011</v>
      </c>
      <c r="G1273" s="74" t="s">
        <v>400</v>
      </c>
      <c r="H1273" s="71" t="str">
        <f>IF(Proc[[#This Row],[type]]="LFF (MDG-F)",MID(Proc[[#This Row],[Obj]],13,10),"")</f>
        <v/>
      </c>
      <c r="J1273" s="71" t="b">
        <f>Proc[[#This Row],[Requested]]=Proc[[#This Row],[CurrentParent]]</f>
        <v>1</v>
      </c>
      <c r="K1273" s="71" t="str">
        <f>IF(Proc[[#This Row],[Author]]="Marcela Urrego",VLOOKUP(LEFT(Proc[[#This Row],[Requested]],1),Table3[#All],2,0),VLOOKUP(Proc[[#This Row],[Author]],Table4[],2,0))</f>
        <v>HC</v>
      </c>
      <c r="L1273" s="71" t="s">
        <v>2563</v>
      </c>
      <c r="M1273" s="81">
        <v>45782.702824074076</v>
      </c>
      <c r="N1273" s="81">
        <v>45790</v>
      </c>
      <c r="O1273" s="81">
        <v>45790</v>
      </c>
      <c r="P1273" s="82" t="str">
        <f ca="1">IF(Proc[[#This Row],[DaysAgeing]]&gt;5,"yep","on track")</f>
        <v>yep</v>
      </c>
      <c r="Q1273" s="3">
        <f ca="1">IF(Proc[[#This Row],[DateClosed]]="",ABS(NETWORKDAYS(Proc[[#This Row],[DateOpened]],TODAY()))-1,ABS(NETWORKDAYS(Proc[[#This Row],[DateOpened]],Proc[[#This Row],[DateClosed]]))-1)</f>
        <v>6</v>
      </c>
      <c r="R1273" s="82" t="s">
        <v>410</v>
      </c>
      <c r="S1273" s="71"/>
    </row>
    <row r="1274" spans="1:19" hidden="1">
      <c r="A1274" s="74" t="s">
        <v>2901</v>
      </c>
      <c r="B1274" s="71" t="str">
        <f>IFERROR(VLOOKUP(Proc[[#This Row],[App]],Table2[],3,0),"open")</f>
        <v>ok</v>
      </c>
      <c r="C1274" s="74" t="s">
        <v>369</v>
      </c>
      <c r="D1274" t="s">
        <v>2983</v>
      </c>
      <c r="E1274" t="s">
        <v>3011</v>
      </c>
      <c r="F1274" s="105" t="s">
        <v>3011</v>
      </c>
      <c r="G1274" s="74" t="s">
        <v>400</v>
      </c>
      <c r="H1274" s="71" t="str">
        <f>IF(Proc[[#This Row],[type]]="LFF (MDG-F)",MID(Proc[[#This Row],[Obj]],13,10),"")</f>
        <v/>
      </c>
      <c r="J1274" s="71" t="b">
        <f>Proc[[#This Row],[Requested]]=Proc[[#This Row],[CurrentParent]]</f>
        <v>1</v>
      </c>
      <c r="K1274" s="71" t="str">
        <f>IF(Proc[[#This Row],[Author]]="Marcela Urrego",VLOOKUP(LEFT(Proc[[#This Row],[Requested]],1),Table3[#All],2,0),VLOOKUP(Proc[[#This Row],[Author]],Table4[],2,0))</f>
        <v>HC</v>
      </c>
      <c r="L1274" s="71" t="s">
        <v>2563</v>
      </c>
      <c r="M1274" s="81">
        <v>45782.702824074076</v>
      </c>
      <c r="N1274" s="81">
        <v>45790</v>
      </c>
      <c r="O1274" s="81">
        <v>45790</v>
      </c>
      <c r="P1274" s="82" t="str">
        <f ca="1">IF(Proc[[#This Row],[DaysAgeing]]&gt;5,"yep","on track")</f>
        <v>yep</v>
      </c>
      <c r="Q1274" s="3">
        <f ca="1">IF(Proc[[#This Row],[DateClosed]]="",ABS(NETWORKDAYS(Proc[[#This Row],[DateOpened]],TODAY()))-1,ABS(NETWORKDAYS(Proc[[#This Row],[DateOpened]],Proc[[#This Row],[DateClosed]]))-1)</f>
        <v>6</v>
      </c>
      <c r="R1274" s="82" t="s">
        <v>410</v>
      </c>
      <c r="S1274" s="71"/>
    </row>
    <row r="1275" spans="1:19" hidden="1">
      <c r="A1275" s="74" t="s">
        <v>2901</v>
      </c>
      <c r="B1275" s="71" t="str">
        <f>IFERROR(VLOOKUP(Proc[[#This Row],[App]],Table2[],3,0),"open")</f>
        <v>ok</v>
      </c>
      <c r="C1275" s="74" t="s">
        <v>369</v>
      </c>
      <c r="D1275" t="s">
        <v>2984</v>
      </c>
      <c r="E1275" t="s">
        <v>3011</v>
      </c>
      <c r="F1275" s="105" t="s">
        <v>3011</v>
      </c>
      <c r="G1275" s="74" t="s">
        <v>400</v>
      </c>
      <c r="H1275" s="71" t="str">
        <f>IF(Proc[[#This Row],[type]]="LFF (MDG-F)",MID(Proc[[#This Row],[Obj]],13,10),"")</f>
        <v/>
      </c>
      <c r="J1275" s="71" t="b">
        <f>Proc[[#This Row],[Requested]]=Proc[[#This Row],[CurrentParent]]</f>
        <v>1</v>
      </c>
      <c r="K1275" s="71" t="str">
        <f>IF(Proc[[#This Row],[Author]]="Marcela Urrego",VLOOKUP(LEFT(Proc[[#This Row],[Requested]],1),Table3[#All],2,0),VLOOKUP(Proc[[#This Row],[Author]],Table4[],2,0))</f>
        <v>HC</v>
      </c>
      <c r="L1275" s="71" t="s">
        <v>2563</v>
      </c>
      <c r="M1275" s="81">
        <v>45782.702824074076</v>
      </c>
      <c r="N1275" s="81">
        <v>45790</v>
      </c>
      <c r="O1275" s="81">
        <v>45790</v>
      </c>
      <c r="P1275" s="82" t="str">
        <f ca="1">IF(Proc[[#This Row],[DaysAgeing]]&gt;5,"yep","on track")</f>
        <v>yep</v>
      </c>
      <c r="Q1275" s="3">
        <f ca="1">IF(Proc[[#This Row],[DateClosed]]="",ABS(NETWORKDAYS(Proc[[#This Row],[DateOpened]],TODAY()))-1,ABS(NETWORKDAYS(Proc[[#This Row],[DateOpened]],Proc[[#This Row],[DateClosed]]))-1)</f>
        <v>6</v>
      </c>
      <c r="R1275" s="82" t="s">
        <v>410</v>
      </c>
      <c r="S1275" s="71"/>
    </row>
    <row r="1276" spans="1:19" hidden="1">
      <c r="A1276" s="74" t="s">
        <v>2901</v>
      </c>
      <c r="B1276" s="71" t="str">
        <f>IFERROR(VLOOKUP(Proc[[#This Row],[App]],Table2[],3,0),"open")</f>
        <v>ok</v>
      </c>
      <c r="C1276" s="74" t="s">
        <v>369</v>
      </c>
      <c r="D1276" t="s">
        <v>2985</v>
      </c>
      <c r="E1276" t="s">
        <v>3011</v>
      </c>
      <c r="F1276" s="105" t="s">
        <v>3011</v>
      </c>
      <c r="G1276" s="74" t="s">
        <v>400</v>
      </c>
      <c r="H1276" s="71" t="str">
        <f>IF(Proc[[#This Row],[type]]="LFF (MDG-F)",MID(Proc[[#This Row],[Obj]],13,10),"")</f>
        <v/>
      </c>
      <c r="J1276" s="71" t="b">
        <f>Proc[[#This Row],[Requested]]=Proc[[#This Row],[CurrentParent]]</f>
        <v>1</v>
      </c>
      <c r="K1276" s="71" t="str">
        <f>IF(Proc[[#This Row],[Author]]="Marcela Urrego",VLOOKUP(LEFT(Proc[[#This Row],[Requested]],1),Table3[#All],2,0),VLOOKUP(Proc[[#This Row],[Author]],Table4[],2,0))</f>
        <v>HC</v>
      </c>
      <c r="L1276" s="71" t="s">
        <v>2563</v>
      </c>
      <c r="M1276" s="81">
        <v>45782.702824074076</v>
      </c>
      <c r="N1276" s="81">
        <v>45790</v>
      </c>
      <c r="O1276" s="81">
        <v>45790</v>
      </c>
      <c r="P1276" s="82" t="str">
        <f ca="1">IF(Proc[[#This Row],[DaysAgeing]]&gt;5,"yep","on track")</f>
        <v>yep</v>
      </c>
      <c r="Q1276" s="3">
        <f ca="1">IF(Proc[[#This Row],[DateClosed]]="",ABS(NETWORKDAYS(Proc[[#This Row],[DateOpened]],TODAY()))-1,ABS(NETWORKDAYS(Proc[[#This Row],[DateOpened]],Proc[[#This Row],[DateClosed]]))-1)</f>
        <v>6</v>
      </c>
      <c r="R1276" s="82" t="s">
        <v>410</v>
      </c>
      <c r="S1276" s="71"/>
    </row>
    <row r="1277" spans="1:19" hidden="1">
      <c r="A1277" s="74" t="s">
        <v>2901</v>
      </c>
      <c r="B1277" s="71" t="str">
        <f>IFERROR(VLOOKUP(Proc[[#This Row],[App]],Table2[],3,0),"open")</f>
        <v>ok</v>
      </c>
      <c r="C1277" s="74" t="s">
        <v>369</v>
      </c>
      <c r="D1277" t="s">
        <v>2986</v>
      </c>
      <c r="E1277" t="s">
        <v>3011</v>
      </c>
      <c r="F1277" s="105" t="s">
        <v>3011</v>
      </c>
      <c r="G1277" s="74" t="s">
        <v>400</v>
      </c>
      <c r="H1277" s="71" t="str">
        <f>IF(Proc[[#This Row],[type]]="LFF (MDG-F)",MID(Proc[[#This Row],[Obj]],13,10),"")</f>
        <v/>
      </c>
      <c r="J1277" s="71" t="b">
        <f>Proc[[#This Row],[Requested]]=Proc[[#This Row],[CurrentParent]]</f>
        <v>1</v>
      </c>
      <c r="K1277" s="71" t="str">
        <f>IF(Proc[[#This Row],[Author]]="Marcela Urrego",VLOOKUP(LEFT(Proc[[#This Row],[Requested]],1),Table3[#All],2,0),VLOOKUP(Proc[[#This Row],[Author]],Table4[],2,0))</f>
        <v>HC</v>
      </c>
      <c r="L1277" s="71" t="s">
        <v>2563</v>
      </c>
      <c r="M1277" s="81">
        <v>45782.702824074076</v>
      </c>
      <c r="N1277" s="81">
        <v>45790</v>
      </c>
      <c r="O1277" s="81">
        <v>45790</v>
      </c>
      <c r="P1277" s="82" t="str">
        <f ca="1">IF(Proc[[#This Row],[DaysAgeing]]&gt;5,"yep","on track")</f>
        <v>yep</v>
      </c>
      <c r="Q1277" s="3">
        <f ca="1">IF(Proc[[#This Row],[DateClosed]]="",ABS(NETWORKDAYS(Proc[[#This Row],[DateOpened]],TODAY()))-1,ABS(NETWORKDAYS(Proc[[#This Row],[DateOpened]],Proc[[#This Row],[DateClosed]]))-1)</f>
        <v>6</v>
      </c>
      <c r="R1277" s="82" t="s">
        <v>410</v>
      </c>
      <c r="S1277" s="71"/>
    </row>
    <row r="1278" spans="1:19" hidden="1">
      <c r="A1278" s="74" t="s">
        <v>2901</v>
      </c>
      <c r="B1278" s="71" t="str">
        <f>IFERROR(VLOOKUP(Proc[[#This Row],[App]],Table2[],3,0),"open")</f>
        <v>ok</v>
      </c>
      <c r="C1278" s="74" t="s">
        <v>369</v>
      </c>
      <c r="D1278" t="s">
        <v>2987</v>
      </c>
      <c r="E1278" t="s">
        <v>3011</v>
      </c>
      <c r="F1278" s="105" t="s">
        <v>3011</v>
      </c>
      <c r="G1278" s="74" t="s">
        <v>400</v>
      </c>
      <c r="H1278" s="71" t="str">
        <f>IF(Proc[[#This Row],[type]]="LFF (MDG-F)",MID(Proc[[#This Row],[Obj]],13,10),"")</f>
        <v/>
      </c>
      <c r="J1278" s="71" t="b">
        <f>Proc[[#This Row],[Requested]]=Proc[[#This Row],[CurrentParent]]</f>
        <v>1</v>
      </c>
      <c r="K1278" s="71" t="str">
        <f>IF(Proc[[#This Row],[Author]]="Marcela Urrego",VLOOKUP(LEFT(Proc[[#This Row],[Requested]],1),Table3[#All],2,0),VLOOKUP(Proc[[#This Row],[Author]],Table4[],2,0))</f>
        <v>HC</v>
      </c>
      <c r="L1278" s="71" t="s">
        <v>2563</v>
      </c>
      <c r="M1278" s="81">
        <v>45782.702824074076</v>
      </c>
      <c r="N1278" s="81">
        <v>45790</v>
      </c>
      <c r="O1278" s="81">
        <v>45790</v>
      </c>
      <c r="P1278" s="82" t="str">
        <f ca="1">IF(Proc[[#This Row],[DaysAgeing]]&gt;5,"yep","on track")</f>
        <v>yep</v>
      </c>
      <c r="Q1278" s="3">
        <f ca="1">IF(Proc[[#This Row],[DateClosed]]="",ABS(NETWORKDAYS(Proc[[#This Row],[DateOpened]],TODAY()))-1,ABS(NETWORKDAYS(Proc[[#This Row],[DateOpened]],Proc[[#This Row],[DateClosed]]))-1)</f>
        <v>6</v>
      </c>
      <c r="R1278" s="82" t="s">
        <v>410</v>
      </c>
      <c r="S1278" s="71"/>
    </row>
    <row r="1279" spans="1:19" hidden="1">
      <c r="A1279" s="74" t="s">
        <v>2901</v>
      </c>
      <c r="B1279" s="71" t="str">
        <f>IFERROR(VLOOKUP(Proc[[#This Row],[App]],Table2[],3,0),"open")</f>
        <v>ok</v>
      </c>
      <c r="C1279" s="74" t="s">
        <v>369</v>
      </c>
      <c r="D1279" t="s">
        <v>2988</v>
      </c>
      <c r="E1279" t="s">
        <v>3011</v>
      </c>
      <c r="F1279" s="105" t="s">
        <v>3011</v>
      </c>
      <c r="G1279" s="74" t="s">
        <v>400</v>
      </c>
      <c r="H1279" s="71" t="str">
        <f>IF(Proc[[#This Row],[type]]="LFF (MDG-F)",MID(Proc[[#This Row],[Obj]],13,10),"")</f>
        <v/>
      </c>
      <c r="J1279" s="71" t="b">
        <f>Proc[[#This Row],[Requested]]=Proc[[#This Row],[CurrentParent]]</f>
        <v>1</v>
      </c>
      <c r="K1279" s="71" t="str">
        <f>IF(Proc[[#This Row],[Author]]="Marcela Urrego",VLOOKUP(LEFT(Proc[[#This Row],[Requested]],1),Table3[#All],2,0),VLOOKUP(Proc[[#This Row],[Author]],Table4[],2,0))</f>
        <v>HC</v>
      </c>
      <c r="L1279" s="71" t="s">
        <v>2563</v>
      </c>
      <c r="M1279" s="81">
        <v>45782.702824074076</v>
      </c>
      <c r="N1279" s="81">
        <v>45790</v>
      </c>
      <c r="O1279" s="81">
        <v>45790</v>
      </c>
      <c r="P1279" s="82" t="str">
        <f ca="1">IF(Proc[[#This Row],[DaysAgeing]]&gt;5,"yep","on track")</f>
        <v>yep</v>
      </c>
      <c r="Q1279" s="3">
        <f ca="1">IF(Proc[[#This Row],[DateClosed]]="",ABS(NETWORKDAYS(Proc[[#This Row],[DateOpened]],TODAY()))-1,ABS(NETWORKDAYS(Proc[[#This Row],[DateOpened]],Proc[[#This Row],[DateClosed]]))-1)</f>
        <v>6</v>
      </c>
      <c r="R1279" s="82" t="s">
        <v>410</v>
      </c>
      <c r="S1279" s="71"/>
    </row>
    <row r="1280" spans="1:19" hidden="1">
      <c r="A1280" s="74" t="s">
        <v>2901</v>
      </c>
      <c r="B1280" s="71" t="str">
        <f>IFERROR(VLOOKUP(Proc[[#This Row],[App]],Table2[],3,0),"open")</f>
        <v>ok</v>
      </c>
      <c r="C1280" s="74" t="s">
        <v>369</v>
      </c>
      <c r="D1280" t="s">
        <v>2989</v>
      </c>
      <c r="E1280" t="s">
        <v>3011</v>
      </c>
      <c r="F1280" s="105" t="s">
        <v>3011</v>
      </c>
      <c r="G1280" s="74" t="s">
        <v>400</v>
      </c>
      <c r="H1280" s="71" t="str">
        <f>IF(Proc[[#This Row],[type]]="LFF (MDG-F)",MID(Proc[[#This Row],[Obj]],13,10),"")</f>
        <v/>
      </c>
      <c r="J1280" s="71" t="b">
        <f>Proc[[#This Row],[Requested]]=Proc[[#This Row],[CurrentParent]]</f>
        <v>1</v>
      </c>
      <c r="K1280" s="71" t="str">
        <f>IF(Proc[[#This Row],[Author]]="Marcela Urrego",VLOOKUP(LEFT(Proc[[#This Row],[Requested]],1),Table3[#All],2,0),VLOOKUP(Proc[[#This Row],[Author]],Table4[],2,0))</f>
        <v>HC</v>
      </c>
      <c r="L1280" s="71" t="s">
        <v>2563</v>
      </c>
      <c r="M1280" s="81">
        <v>45782.702824074076</v>
      </c>
      <c r="N1280" s="81">
        <v>45790</v>
      </c>
      <c r="O1280" s="81">
        <v>45790</v>
      </c>
      <c r="P1280" s="82" t="str">
        <f ca="1">IF(Proc[[#This Row],[DaysAgeing]]&gt;5,"yep","on track")</f>
        <v>yep</v>
      </c>
      <c r="Q1280" s="3">
        <f ca="1">IF(Proc[[#This Row],[DateClosed]]="",ABS(NETWORKDAYS(Proc[[#This Row],[DateOpened]],TODAY()))-1,ABS(NETWORKDAYS(Proc[[#This Row],[DateOpened]],Proc[[#This Row],[DateClosed]]))-1)</f>
        <v>6</v>
      </c>
      <c r="R1280" s="82" t="s">
        <v>410</v>
      </c>
      <c r="S1280" s="71"/>
    </row>
    <row r="1281" spans="1:19" hidden="1">
      <c r="A1281" s="74" t="s">
        <v>2901</v>
      </c>
      <c r="B1281" s="71" t="str">
        <f>IFERROR(VLOOKUP(Proc[[#This Row],[App]],Table2[],3,0),"open")</f>
        <v>ok</v>
      </c>
      <c r="C1281" s="74" t="s">
        <v>369</v>
      </c>
      <c r="D1281" t="s">
        <v>2990</v>
      </c>
      <c r="E1281" t="s">
        <v>3011</v>
      </c>
      <c r="F1281" s="105" t="s">
        <v>3011</v>
      </c>
      <c r="G1281" s="74" t="s">
        <v>400</v>
      </c>
      <c r="H1281" s="71" t="str">
        <f>IF(Proc[[#This Row],[type]]="LFF (MDG-F)",MID(Proc[[#This Row],[Obj]],13,10),"")</f>
        <v/>
      </c>
      <c r="J1281" s="71" t="b">
        <f>Proc[[#This Row],[Requested]]=Proc[[#This Row],[CurrentParent]]</f>
        <v>1</v>
      </c>
      <c r="K1281" s="71" t="str">
        <f>IF(Proc[[#This Row],[Author]]="Marcela Urrego",VLOOKUP(LEFT(Proc[[#This Row],[Requested]],1),Table3[#All],2,0),VLOOKUP(Proc[[#This Row],[Author]],Table4[],2,0))</f>
        <v>HC</v>
      </c>
      <c r="L1281" s="71" t="s">
        <v>2563</v>
      </c>
      <c r="M1281" s="81">
        <v>45782.702824074076</v>
      </c>
      <c r="N1281" s="81">
        <v>45790</v>
      </c>
      <c r="O1281" s="81">
        <v>45790</v>
      </c>
      <c r="P1281" s="82" t="str">
        <f ca="1">IF(Proc[[#This Row],[DaysAgeing]]&gt;5,"yep","on track")</f>
        <v>yep</v>
      </c>
      <c r="Q1281" s="3">
        <f ca="1">IF(Proc[[#This Row],[DateClosed]]="",ABS(NETWORKDAYS(Proc[[#This Row],[DateOpened]],TODAY()))-1,ABS(NETWORKDAYS(Proc[[#This Row],[DateOpened]],Proc[[#This Row],[DateClosed]]))-1)</f>
        <v>6</v>
      </c>
      <c r="R1281" s="82" t="s">
        <v>410</v>
      </c>
      <c r="S1281" s="71"/>
    </row>
    <row r="1282" spans="1:19" hidden="1">
      <c r="A1282" s="74" t="s">
        <v>2901</v>
      </c>
      <c r="B1282" s="71" t="str">
        <f>IFERROR(VLOOKUP(Proc[[#This Row],[App]],Table2[],3,0),"open")</f>
        <v>ok</v>
      </c>
      <c r="C1282" s="74" t="s">
        <v>369</v>
      </c>
      <c r="D1282" t="s">
        <v>2991</v>
      </c>
      <c r="E1282" t="s">
        <v>3011</v>
      </c>
      <c r="F1282" s="105" t="s">
        <v>3011</v>
      </c>
      <c r="G1282" s="74" t="s">
        <v>400</v>
      </c>
      <c r="H1282" s="71" t="str">
        <f>IF(Proc[[#This Row],[type]]="LFF (MDG-F)",MID(Proc[[#This Row],[Obj]],13,10),"")</f>
        <v/>
      </c>
      <c r="J1282" s="71" t="b">
        <f>Proc[[#This Row],[Requested]]=Proc[[#This Row],[CurrentParent]]</f>
        <v>1</v>
      </c>
      <c r="K1282" s="71" t="str">
        <f>IF(Proc[[#This Row],[Author]]="Marcela Urrego",VLOOKUP(LEFT(Proc[[#This Row],[Requested]],1),Table3[#All],2,0),VLOOKUP(Proc[[#This Row],[Author]],Table4[],2,0))</f>
        <v>HC</v>
      </c>
      <c r="L1282" s="71" t="s">
        <v>2563</v>
      </c>
      <c r="M1282" s="81">
        <v>45782.702824074076</v>
      </c>
      <c r="N1282" s="81">
        <v>45790</v>
      </c>
      <c r="O1282" s="81">
        <v>45790</v>
      </c>
      <c r="P1282" s="82" t="str">
        <f ca="1">IF(Proc[[#This Row],[DaysAgeing]]&gt;5,"yep","on track")</f>
        <v>yep</v>
      </c>
      <c r="Q1282" s="3">
        <f ca="1">IF(Proc[[#This Row],[DateClosed]]="",ABS(NETWORKDAYS(Proc[[#This Row],[DateOpened]],TODAY()))-1,ABS(NETWORKDAYS(Proc[[#This Row],[DateOpened]],Proc[[#This Row],[DateClosed]]))-1)</f>
        <v>6</v>
      </c>
      <c r="R1282" s="82" t="s">
        <v>410</v>
      </c>
      <c r="S1282" s="71"/>
    </row>
    <row r="1283" spans="1:19" hidden="1">
      <c r="A1283" s="74" t="s">
        <v>2901</v>
      </c>
      <c r="B1283" s="71" t="str">
        <f>IFERROR(VLOOKUP(Proc[[#This Row],[App]],Table2[],3,0),"open")</f>
        <v>ok</v>
      </c>
      <c r="C1283" s="74" t="s">
        <v>369</v>
      </c>
      <c r="D1283" t="s">
        <v>2992</v>
      </c>
      <c r="E1283" t="s">
        <v>3011</v>
      </c>
      <c r="F1283" s="105" t="s">
        <v>3011</v>
      </c>
      <c r="G1283" s="74" t="s">
        <v>400</v>
      </c>
      <c r="H1283" s="71" t="str">
        <f>IF(Proc[[#This Row],[type]]="LFF (MDG-F)",MID(Proc[[#This Row],[Obj]],13,10),"")</f>
        <v/>
      </c>
      <c r="J1283" s="71" t="b">
        <f>Proc[[#This Row],[Requested]]=Proc[[#This Row],[CurrentParent]]</f>
        <v>1</v>
      </c>
      <c r="K1283" s="71" t="str">
        <f>IF(Proc[[#This Row],[Author]]="Marcela Urrego",VLOOKUP(LEFT(Proc[[#This Row],[Requested]],1),Table3[#All],2,0),VLOOKUP(Proc[[#This Row],[Author]],Table4[],2,0))</f>
        <v>HC</v>
      </c>
      <c r="L1283" s="71" t="s">
        <v>2563</v>
      </c>
      <c r="M1283" s="81">
        <v>45782.702824074076</v>
      </c>
      <c r="N1283" s="81">
        <v>45790</v>
      </c>
      <c r="O1283" s="81">
        <v>45790</v>
      </c>
      <c r="P1283" s="82" t="str">
        <f ca="1">IF(Proc[[#This Row],[DaysAgeing]]&gt;5,"yep","on track")</f>
        <v>yep</v>
      </c>
      <c r="Q1283" s="3">
        <f ca="1">IF(Proc[[#This Row],[DateClosed]]="",ABS(NETWORKDAYS(Proc[[#This Row],[DateOpened]],TODAY()))-1,ABS(NETWORKDAYS(Proc[[#This Row],[DateOpened]],Proc[[#This Row],[DateClosed]]))-1)</f>
        <v>6</v>
      </c>
      <c r="R1283" s="82" t="s">
        <v>410</v>
      </c>
      <c r="S1283" s="71"/>
    </row>
    <row r="1284" spans="1:19" hidden="1">
      <c r="A1284" s="74" t="s">
        <v>2901</v>
      </c>
      <c r="B1284" s="71" t="str">
        <f>IFERROR(VLOOKUP(Proc[[#This Row],[App]],Table2[],3,0),"open")</f>
        <v>ok</v>
      </c>
      <c r="C1284" s="74" t="s">
        <v>369</v>
      </c>
      <c r="D1284" t="s">
        <v>2993</v>
      </c>
      <c r="E1284" t="s">
        <v>3011</v>
      </c>
      <c r="F1284" s="105" t="s">
        <v>3011</v>
      </c>
      <c r="G1284" s="74" t="s">
        <v>400</v>
      </c>
      <c r="H1284" s="71" t="str">
        <f>IF(Proc[[#This Row],[type]]="LFF (MDG-F)",MID(Proc[[#This Row],[Obj]],13,10),"")</f>
        <v/>
      </c>
      <c r="J1284" s="71" t="b">
        <f>Proc[[#This Row],[Requested]]=Proc[[#This Row],[CurrentParent]]</f>
        <v>1</v>
      </c>
      <c r="K1284" s="71" t="str">
        <f>IF(Proc[[#This Row],[Author]]="Marcela Urrego",VLOOKUP(LEFT(Proc[[#This Row],[Requested]],1),Table3[#All],2,0),VLOOKUP(Proc[[#This Row],[Author]],Table4[],2,0))</f>
        <v>HC</v>
      </c>
      <c r="L1284" s="71" t="s">
        <v>2563</v>
      </c>
      <c r="M1284" s="81">
        <v>45782.702824074076</v>
      </c>
      <c r="N1284" s="81">
        <v>45790</v>
      </c>
      <c r="O1284" s="81">
        <v>45790</v>
      </c>
      <c r="P1284" s="82" t="str">
        <f ca="1">IF(Proc[[#This Row],[DaysAgeing]]&gt;5,"yep","on track")</f>
        <v>yep</v>
      </c>
      <c r="Q1284" s="3">
        <f ca="1">IF(Proc[[#This Row],[DateClosed]]="",ABS(NETWORKDAYS(Proc[[#This Row],[DateOpened]],TODAY()))-1,ABS(NETWORKDAYS(Proc[[#This Row],[DateOpened]],Proc[[#This Row],[DateClosed]]))-1)</f>
        <v>6</v>
      </c>
      <c r="R1284" s="82" t="s">
        <v>410</v>
      </c>
      <c r="S1284" s="71"/>
    </row>
    <row r="1285" spans="1:19" hidden="1">
      <c r="A1285" s="74" t="s">
        <v>2901</v>
      </c>
      <c r="B1285" s="71" t="str">
        <f>IFERROR(VLOOKUP(Proc[[#This Row],[App]],Table2[],3,0),"open")</f>
        <v>ok</v>
      </c>
      <c r="C1285" s="74" t="s">
        <v>369</v>
      </c>
      <c r="D1285" t="s">
        <v>2994</v>
      </c>
      <c r="E1285" t="s">
        <v>3011</v>
      </c>
      <c r="F1285" s="105" t="s">
        <v>3011</v>
      </c>
      <c r="G1285" s="74" t="s">
        <v>400</v>
      </c>
      <c r="H1285" s="71" t="str">
        <f>IF(Proc[[#This Row],[type]]="LFF (MDG-F)",MID(Proc[[#This Row],[Obj]],13,10),"")</f>
        <v/>
      </c>
      <c r="J1285" s="71" t="b">
        <f>Proc[[#This Row],[Requested]]=Proc[[#This Row],[CurrentParent]]</f>
        <v>1</v>
      </c>
      <c r="K1285" s="71" t="str">
        <f>IF(Proc[[#This Row],[Author]]="Marcela Urrego",VLOOKUP(LEFT(Proc[[#This Row],[Requested]],1),Table3[#All],2,0),VLOOKUP(Proc[[#This Row],[Author]],Table4[],2,0))</f>
        <v>HC</v>
      </c>
      <c r="L1285" s="71" t="s">
        <v>2563</v>
      </c>
      <c r="M1285" s="81">
        <v>45782.702824074076</v>
      </c>
      <c r="N1285" s="81">
        <v>45790</v>
      </c>
      <c r="O1285" s="81">
        <v>45790</v>
      </c>
      <c r="P1285" s="82" t="str">
        <f ca="1">IF(Proc[[#This Row],[DaysAgeing]]&gt;5,"yep","on track")</f>
        <v>yep</v>
      </c>
      <c r="Q1285" s="3">
        <f ca="1">IF(Proc[[#This Row],[DateClosed]]="",ABS(NETWORKDAYS(Proc[[#This Row],[DateOpened]],TODAY()))-1,ABS(NETWORKDAYS(Proc[[#This Row],[DateOpened]],Proc[[#This Row],[DateClosed]]))-1)</f>
        <v>6</v>
      </c>
      <c r="R1285" s="82" t="s">
        <v>410</v>
      </c>
      <c r="S1285" s="71"/>
    </row>
    <row r="1286" spans="1:19" hidden="1">
      <c r="A1286" s="74" t="s">
        <v>2901</v>
      </c>
      <c r="B1286" s="71" t="str">
        <f>IFERROR(VLOOKUP(Proc[[#This Row],[App]],Table2[],3,0),"open")</f>
        <v>ok</v>
      </c>
      <c r="C1286" s="74" t="s">
        <v>369</v>
      </c>
      <c r="D1286" t="s">
        <v>2995</v>
      </c>
      <c r="E1286" t="s">
        <v>3011</v>
      </c>
      <c r="F1286" s="105" t="s">
        <v>3011</v>
      </c>
      <c r="G1286" s="74" t="s">
        <v>400</v>
      </c>
      <c r="H1286" s="71" t="str">
        <f>IF(Proc[[#This Row],[type]]="LFF (MDG-F)",MID(Proc[[#This Row],[Obj]],13,10),"")</f>
        <v/>
      </c>
      <c r="J1286" s="71" t="b">
        <f>Proc[[#This Row],[Requested]]=Proc[[#This Row],[CurrentParent]]</f>
        <v>1</v>
      </c>
      <c r="K1286" s="71" t="str">
        <f>IF(Proc[[#This Row],[Author]]="Marcela Urrego",VLOOKUP(LEFT(Proc[[#This Row],[Requested]],1),Table3[#All],2,0),VLOOKUP(Proc[[#This Row],[Author]],Table4[],2,0))</f>
        <v>HC</v>
      </c>
      <c r="L1286" s="71" t="s">
        <v>2563</v>
      </c>
      <c r="M1286" s="81">
        <v>45782.702824074076</v>
      </c>
      <c r="N1286" s="81">
        <v>45790</v>
      </c>
      <c r="O1286" s="81">
        <v>45790</v>
      </c>
      <c r="P1286" s="82" t="str">
        <f ca="1">IF(Proc[[#This Row],[DaysAgeing]]&gt;5,"yep","on track")</f>
        <v>yep</v>
      </c>
      <c r="Q1286" s="3">
        <f ca="1">IF(Proc[[#This Row],[DateClosed]]="",ABS(NETWORKDAYS(Proc[[#This Row],[DateOpened]],TODAY()))-1,ABS(NETWORKDAYS(Proc[[#This Row],[DateOpened]],Proc[[#This Row],[DateClosed]]))-1)</f>
        <v>6</v>
      </c>
      <c r="R1286" s="82" t="s">
        <v>410</v>
      </c>
      <c r="S1286" s="71"/>
    </row>
    <row r="1287" spans="1:19" hidden="1">
      <c r="A1287" s="74" t="s">
        <v>2901</v>
      </c>
      <c r="B1287" s="71" t="str">
        <f>IFERROR(VLOOKUP(Proc[[#This Row],[App]],Table2[],3,0),"open")</f>
        <v>ok</v>
      </c>
      <c r="C1287" s="74" t="s">
        <v>369</v>
      </c>
      <c r="D1287" t="s">
        <v>2996</v>
      </c>
      <c r="E1287" t="s">
        <v>3011</v>
      </c>
      <c r="F1287" s="105" t="s">
        <v>3011</v>
      </c>
      <c r="G1287" s="74" t="s">
        <v>400</v>
      </c>
      <c r="H1287" s="71" t="str">
        <f>IF(Proc[[#This Row],[type]]="LFF (MDG-F)",MID(Proc[[#This Row],[Obj]],13,10),"")</f>
        <v/>
      </c>
      <c r="J1287" s="71" t="b">
        <f>Proc[[#This Row],[Requested]]=Proc[[#This Row],[CurrentParent]]</f>
        <v>1</v>
      </c>
      <c r="K1287" s="71" t="str">
        <f>IF(Proc[[#This Row],[Author]]="Marcela Urrego",VLOOKUP(LEFT(Proc[[#This Row],[Requested]],1),Table3[#All],2,0),VLOOKUP(Proc[[#This Row],[Author]],Table4[],2,0))</f>
        <v>HC</v>
      </c>
      <c r="L1287" s="71" t="s">
        <v>2563</v>
      </c>
      <c r="M1287" s="81">
        <v>45782.702824074076</v>
      </c>
      <c r="N1287" s="81">
        <v>45790</v>
      </c>
      <c r="O1287" s="81">
        <v>45790</v>
      </c>
      <c r="P1287" s="82" t="str">
        <f ca="1">IF(Proc[[#This Row],[DaysAgeing]]&gt;5,"yep","on track")</f>
        <v>yep</v>
      </c>
      <c r="Q1287" s="3">
        <f ca="1">IF(Proc[[#This Row],[DateClosed]]="",ABS(NETWORKDAYS(Proc[[#This Row],[DateOpened]],TODAY()))-1,ABS(NETWORKDAYS(Proc[[#This Row],[DateOpened]],Proc[[#This Row],[DateClosed]]))-1)</f>
        <v>6</v>
      </c>
      <c r="R1287" s="82" t="s">
        <v>410</v>
      </c>
      <c r="S1287" s="71"/>
    </row>
    <row r="1288" spans="1:19" hidden="1">
      <c r="A1288" s="74" t="s">
        <v>2901</v>
      </c>
      <c r="B1288" s="71" t="str">
        <f>IFERROR(VLOOKUP(Proc[[#This Row],[App]],Table2[],3,0),"open")</f>
        <v>ok</v>
      </c>
      <c r="C1288" s="74" t="s">
        <v>369</v>
      </c>
      <c r="D1288" t="s">
        <v>2997</v>
      </c>
      <c r="E1288" t="s">
        <v>3011</v>
      </c>
      <c r="F1288" s="105" t="s">
        <v>3011</v>
      </c>
      <c r="G1288" s="74" t="s">
        <v>400</v>
      </c>
      <c r="H1288" s="71" t="str">
        <f>IF(Proc[[#This Row],[type]]="LFF (MDG-F)",MID(Proc[[#This Row],[Obj]],13,10),"")</f>
        <v/>
      </c>
      <c r="J1288" s="71" t="b">
        <f>Proc[[#This Row],[Requested]]=Proc[[#This Row],[CurrentParent]]</f>
        <v>1</v>
      </c>
      <c r="K1288" s="71" t="str">
        <f>IF(Proc[[#This Row],[Author]]="Marcela Urrego",VLOOKUP(LEFT(Proc[[#This Row],[Requested]],1),Table3[#All],2,0),VLOOKUP(Proc[[#This Row],[Author]],Table4[],2,0))</f>
        <v>HC</v>
      </c>
      <c r="L1288" s="71" t="s">
        <v>2563</v>
      </c>
      <c r="M1288" s="81">
        <v>45782.702824074076</v>
      </c>
      <c r="N1288" s="81">
        <v>45790</v>
      </c>
      <c r="O1288" s="81">
        <v>45790</v>
      </c>
      <c r="P1288" s="82" t="str">
        <f ca="1">IF(Proc[[#This Row],[DaysAgeing]]&gt;5,"yep","on track")</f>
        <v>yep</v>
      </c>
      <c r="Q1288" s="3">
        <f ca="1">IF(Proc[[#This Row],[DateClosed]]="",ABS(NETWORKDAYS(Proc[[#This Row],[DateOpened]],TODAY()))-1,ABS(NETWORKDAYS(Proc[[#This Row],[DateOpened]],Proc[[#This Row],[DateClosed]]))-1)</f>
        <v>6</v>
      </c>
      <c r="R1288" s="82" t="s">
        <v>410</v>
      </c>
      <c r="S1288" s="71"/>
    </row>
    <row r="1289" spans="1:19" hidden="1">
      <c r="A1289" s="74" t="s">
        <v>2901</v>
      </c>
      <c r="B1289" s="71" t="str">
        <f>IFERROR(VLOOKUP(Proc[[#This Row],[App]],Table2[],3,0),"open")</f>
        <v>ok</v>
      </c>
      <c r="C1289" s="74" t="s">
        <v>369</v>
      </c>
      <c r="D1289" t="s">
        <v>2998</v>
      </c>
      <c r="E1289" t="s">
        <v>3011</v>
      </c>
      <c r="F1289" s="105" t="s">
        <v>3011</v>
      </c>
      <c r="G1289" s="74" t="s">
        <v>400</v>
      </c>
      <c r="H1289" s="71" t="str">
        <f>IF(Proc[[#This Row],[type]]="LFF (MDG-F)",MID(Proc[[#This Row],[Obj]],13,10),"")</f>
        <v/>
      </c>
      <c r="J1289" s="71" t="b">
        <f>Proc[[#This Row],[Requested]]=Proc[[#This Row],[CurrentParent]]</f>
        <v>1</v>
      </c>
      <c r="K1289" s="71" t="str">
        <f>IF(Proc[[#This Row],[Author]]="Marcela Urrego",VLOOKUP(LEFT(Proc[[#This Row],[Requested]],1),Table3[#All],2,0),VLOOKUP(Proc[[#This Row],[Author]],Table4[],2,0))</f>
        <v>HC</v>
      </c>
      <c r="L1289" s="71" t="s">
        <v>2563</v>
      </c>
      <c r="M1289" s="81">
        <v>45782.702824074076</v>
      </c>
      <c r="N1289" s="81">
        <v>45790</v>
      </c>
      <c r="O1289" s="81">
        <v>45790</v>
      </c>
      <c r="P1289" s="82" t="str">
        <f ca="1">IF(Proc[[#This Row],[DaysAgeing]]&gt;5,"yep","on track")</f>
        <v>yep</v>
      </c>
      <c r="Q1289" s="3">
        <f ca="1">IF(Proc[[#This Row],[DateClosed]]="",ABS(NETWORKDAYS(Proc[[#This Row],[DateOpened]],TODAY()))-1,ABS(NETWORKDAYS(Proc[[#This Row],[DateOpened]],Proc[[#This Row],[DateClosed]]))-1)</f>
        <v>6</v>
      </c>
      <c r="R1289" s="82" t="s">
        <v>410</v>
      </c>
      <c r="S1289" s="71"/>
    </row>
    <row r="1290" spans="1:19" hidden="1">
      <c r="A1290" s="74" t="s">
        <v>2901</v>
      </c>
      <c r="B1290" s="71" t="str">
        <f>IFERROR(VLOOKUP(Proc[[#This Row],[App]],Table2[],3,0),"open")</f>
        <v>ok</v>
      </c>
      <c r="C1290" s="74" t="s">
        <v>369</v>
      </c>
      <c r="D1290" t="s">
        <v>2999</v>
      </c>
      <c r="E1290" t="s">
        <v>3011</v>
      </c>
      <c r="F1290" s="105" t="s">
        <v>3011</v>
      </c>
      <c r="G1290" s="74" t="s">
        <v>400</v>
      </c>
      <c r="H1290" s="71" t="str">
        <f>IF(Proc[[#This Row],[type]]="LFF (MDG-F)",MID(Proc[[#This Row],[Obj]],13,10),"")</f>
        <v/>
      </c>
      <c r="J1290" s="71" t="b">
        <f>Proc[[#This Row],[Requested]]=Proc[[#This Row],[CurrentParent]]</f>
        <v>1</v>
      </c>
      <c r="K1290" s="71" t="str">
        <f>IF(Proc[[#This Row],[Author]]="Marcela Urrego",VLOOKUP(LEFT(Proc[[#This Row],[Requested]],1),Table3[#All],2,0),VLOOKUP(Proc[[#This Row],[Author]],Table4[],2,0))</f>
        <v>HC</v>
      </c>
      <c r="L1290" s="71" t="s">
        <v>2563</v>
      </c>
      <c r="M1290" s="81">
        <v>45782.702824074076</v>
      </c>
      <c r="N1290" s="81">
        <v>45790</v>
      </c>
      <c r="O1290" s="81">
        <v>45790</v>
      </c>
      <c r="P1290" s="82" t="str">
        <f ca="1">IF(Proc[[#This Row],[DaysAgeing]]&gt;5,"yep","on track")</f>
        <v>yep</v>
      </c>
      <c r="Q1290" s="3">
        <f ca="1">IF(Proc[[#This Row],[DateClosed]]="",ABS(NETWORKDAYS(Proc[[#This Row],[DateOpened]],TODAY()))-1,ABS(NETWORKDAYS(Proc[[#This Row],[DateOpened]],Proc[[#This Row],[DateClosed]]))-1)</f>
        <v>6</v>
      </c>
      <c r="R1290" s="82" t="s">
        <v>410</v>
      </c>
      <c r="S1290" s="71"/>
    </row>
    <row r="1291" spans="1:19" hidden="1">
      <c r="A1291" s="74" t="s">
        <v>2901</v>
      </c>
      <c r="B1291" s="71" t="str">
        <f>IFERROR(VLOOKUP(Proc[[#This Row],[App]],Table2[],3,0),"open")</f>
        <v>ok</v>
      </c>
      <c r="C1291" s="74" t="s">
        <v>369</v>
      </c>
      <c r="D1291" t="s">
        <v>3000</v>
      </c>
      <c r="E1291" t="s">
        <v>3011</v>
      </c>
      <c r="F1291" s="105" t="s">
        <v>3011</v>
      </c>
      <c r="G1291" s="74" t="s">
        <v>400</v>
      </c>
      <c r="H1291" s="71" t="str">
        <f>IF(Proc[[#This Row],[type]]="LFF (MDG-F)",MID(Proc[[#This Row],[Obj]],13,10),"")</f>
        <v/>
      </c>
      <c r="J1291" s="71" t="b">
        <f>Proc[[#This Row],[Requested]]=Proc[[#This Row],[CurrentParent]]</f>
        <v>1</v>
      </c>
      <c r="K1291" s="71" t="str">
        <f>IF(Proc[[#This Row],[Author]]="Marcela Urrego",VLOOKUP(LEFT(Proc[[#This Row],[Requested]],1),Table3[#All],2,0),VLOOKUP(Proc[[#This Row],[Author]],Table4[],2,0))</f>
        <v>HC</v>
      </c>
      <c r="L1291" s="71" t="s">
        <v>2563</v>
      </c>
      <c r="M1291" s="81">
        <v>45782.702824074076</v>
      </c>
      <c r="N1291" s="81">
        <v>45790</v>
      </c>
      <c r="O1291" s="81">
        <v>45790</v>
      </c>
      <c r="P1291" s="82" t="str">
        <f ca="1">IF(Proc[[#This Row],[DaysAgeing]]&gt;5,"yep","on track")</f>
        <v>yep</v>
      </c>
      <c r="Q1291" s="3">
        <f ca="1">IF(Proc[[#This Row],[DateClosed]]="",ABS(NETWORKDAYS(Proc[[#This Row],[DateOpened]],TODAY()))-1,ABS(NETWORKDAYS(Proc[[#This Row],[DateOpened]],Proc[[#This Row],[DateClosed]]))-1)</f>
        <v>6</v>
      </c>
      <c r="R1291" s="82" t="s">
        <v>410</v>
      </c>
      <c r="S1291" s="71"/>
    </row>
    <row r="1292" spans="1:19" hidden="1">
      <c r="A1292" s="74" t="s">
        <v>2901</v>
      </c>
      <c r="B1292" s="71" t="str">
        <f>IFERROR(VLOOKUP(Proc[[#This Row],[App]],Table2[],3,0),"open")</f>
        <v>ok</v>
      </c>
      <c r="C1292" s="74" t="s">
        <v>369</v>
      </c>
      <c r="D1292" t="s">
        <v>3001</v>
      </c>
      <c r="E1292" t="s">
        <v>3011</v>
      </c>
      <c r="F1292" s="105" t="s">
        <v>3011</v>
      </c>
      <c r="G1292" s="74" t="s">
        <v>400</v>
      </c>
      <c r="H1292" s="71" t="str">
        <f>IF(Proc[[#This Row],[type]]="LFF (MDG-F)",MID(Proc[[#This Row],[Obj]],13,10),"")</f>
        <v/>
      </c>
      <c r="J1292" s="71" t="b">
        <f>Proc[[#This Row],[Requested]]=Proc[[#This Row],[CurrentParent]]</f>
        <v>1</v>
      </c>
      <c r="K1292" s="71" t="str">
        <f>IF(Proc[[#This Row],[Author]]="Marcela Urrego",VLOOKUP(LEFT(Proc[[#This Row],[Requested]],1),Table3[#All],2,0),VLOOKUP(Proc[[#This Row],[Author]],Table4[],2,0))</f>
        <v>HC</v>
      </c>
      <c r="L1292" s="71" t="s">
        <v>2563</v>
      </c>
      <c r="M1292" s="81">
        <v>45782.702824074076</v>
      </c>
      <c r="N1292" s="81">
        <v>45790</v>
      </c>
      <c r="O1292" s="81">
        <v>45790</v>
      </c>
      <c r="P1292" s="82" t="str">
        <f ca="1">IF(Proc[[#This Row],[DaysAgeing]]&gt;5,"yep","on track")</f>
        <v>yep</v>
      </c>
      <c r="Q1292" s="3">
        <f ca="1">IF(Proc[[#This Row],[DateClosed]]="",ABS(NETWORKDAYS(Proc[[#This Row],[DateOpened]],TODAY()))-1,ABS(NETWORKDAYS(Proc[[#This Row],[DateOpened]],Proc[[#This Row],[DateClosed]]))-1)</f>
        <v>6</v>
      </c>
      <c r="R1292" s="82" t="s">
        <v>410</v>
      </c>
      <c r="S1292" s="71"/>
    </row>
    <row r="1293" spans="1:19" hidden="1">
      <c r="A1293" s="74" t="s">
        <v>2901</v>
      </c>
      <c r="B1293" s="71" t="str">
        <f>IFERROR(VLOOKUP(Proc[[#This Row],[App]],Table2[],3,0),"open")</f>
        <v>ok</v>
      </c>
      <c r="C1293" s="74" t="s">
        <v>369</v>
      </c>
      <c r="D1293" t="s">
        <v>3002</v>
      </c>
      <c r="E1293" t="s">
        <v>3011</v>
      </c>
      <c r="F1293" s="105" t="s">
        <v>3011</v>
      </c>
      <c r="G1293" s="74" t="s">
        <v>400</v>
      </c>
      <c r="H1293" s="71" t="str">
        <f>IF(Proc[[#This Row],[type]]="LFF (MDG-F)",MID(Proc[[#This Row],[Obj]],13,10),"")</f>
        <v/>
      </c>
      <c r="J1293" s="71" t="b">
        <f>Proc[[#This Row],[Requested]]=Proc[[#This Row],[CurrentParent]]</f>
        <v>1</v>
      </c>
      <c r="K1293" s="71" t="str">
        <f>IF(Proc[[#This Row],[Author]]="Marcela Urrego",VLOOKUP(LEFT(Proc[[#This Row],[Requested]],1),Table3[#All],2,0),VLOOKUP(Proc[[#This Row],[Author]],Table4[],2,0))</f>
        <v>HC</v>
      </c>
      <c r="L1293" s="71" t="s">
        <v>2563</v>
      </c>
      <c r="M1293" s="81">
        <v>45782.702824074076</v>
      </c>
      <c r="N1293" s="81">
        <v>45790</v>
      </c>
      <c r="O1293" s="81">
        <v>45790</v>
      </c>
      <c r="P1293" s="82" t="str">
        <f ca="1">IF(Proc[[#This Row],[DaysAgeing]]&gt;5,"yep","on track")</f>
        <v>yep</v>
      </c>
      <c r="Q1293" s="3">
        <f ca="1">IF(Proc[[#This Row],[DateClosed]]="",ABS(NETWORKDAYS(Proc[[#This Row],[DateOpened]],TODAY()))-1,ABS(NETWORKDAYS(Proc[[#This Row],[DateOpened]],Proc[[#This Row],[DateClosed]]))-1)</f>
        <v>6</v>
      </c>
      <c r="R1293" s="82" t="s">
        <v>410</v>
      </c>
      <c r="S1293" s="71"/>
    </row>
    <row r="1294" spans="1:19" hidden="1">
      <c r="A1294" t="s">
        <v>3014</v>
      </c>
      <c r="B1294" s="71" t="str">
        <f>IFERROR(VLOOKUP(Proc[[#This Row],[App]],Table2[],3,0),"open")</f>
        <v>ok</v>
      </c>
      <c r="C1294" s="74" t="s">
        <v>369</v>
      </c>
      <c r="D1294" t="s">
        <v>3012</v>
      </c>
      <c r="E1294" t="s">
        <v>3013</v>
      </c>
      <c r="F1294" s="105" t="s">
        <v>3013</v>
      </c>
      <c r="G1294" s="74" t="s">
        <v>400</v>
      </c>
      <c r="H1294" s="71" t="str">
        <f>IF(Proc[[#This Row],[type]]="LFF (MDG-F)",MID(Proc[[#This Row],[Obj]],13,10),"")</f>
        <v/>
      </c>
      <c r="J1294" s="71" t="b">
        <f>Proc[[#This Row],[Requested]]=Proc[[#This Row],[CurrentParent]]</f>
        <v>1</v>
      </c>
      <c r="K1294" s="71" t="str">
        <f>IF(Proc[[#This Row],[Author]]="Marcela Urrego",VLOOKUP(LEFT(Proc[[#This Row],[Requested]],1),Table3[#All],2,0),VLOOKUP(Proc[[#This Row],[Author]],Table4[],2,0))</f>
        <v>MGF</v>
      </c>
      <c r="L1294" s="71" t="s">
        <v>2563</v>
      </c>
      <c r="M1294" s="81">
        <v>45783.524351851855</v>
      </c>
      <c r="N1294" s="81">
        <v>45790</v>
      </c>
      <c r="O1294" s="81">
        <v>45790</v>
      </c>
      <c r="P1294" s="82" t="str">
        <f ca="1">IF(Proc[[#This Row],[DaysAgeing]]&gt;5,"yep","on track")</f>
        <v>on track</v>
      </c>
      <c r="Q1294" s="3">
        <f ca="1">IF(Proc[[#This Row],[DateClosed]]="",ABS(NETWORKDAYS(Proc[[#This Row],[DateOpened]],TODAY()))-1,ABS(NETWORKDAYS(Proc[[#This Row],[DateOpened]],Proc[[#This Row],[DateClosed]]))-1)</f>
        <v>5</v>
      </c>
      <c r="R1294" s="82" t="s">
        <v>515</v>
      </c>
      <c r="S1294" s="71"/>
    </row>
    <row r="1295" spans="1:19" hidden="1">
      <c r="A1295" t="s">
        <v>3016</v>
      </c>
      <c r="B1295" s="71" t="str">
        <f>IFERROR(VLOOKUP(Proc[[#This Row],[App]],Table2[],3,0),"open")</f>
        <v>ok</v>
      </c>
      <c r="C1295" t="s">
        <v>369</v>
      </c>
      <c r="D1295" t="s">
        <v>3017</v>
      </c>
      <c r="E1295" t="s">
        <v>3018</v>
      </c>
      <c r="F1295" s="105" t="s">
        <v>3018</v>
      </c>
      <c r="G1295" s="74" t="s">
        <v>400</v>
      </c>
      <c r="H1295" s="71" t="str">
        <f>IF(Proc[[#This Row],[type]]="LFF (MDG-F)",MID(Proc[[#This Row],[Obj]],13,10),"")</f>
        <v/>
      </c>
      <c r="J1295" s="71" t="b">
        <f>Proc[[#This Row],[Requested]]=Proc[[#This Row],[CurrentParent]]</f>
        <v>1</v>
      </c>
      <c r="K1295" s="71" t="str">
        <f>IF(Proc[[#This Row],[Author]]="Marcela Urrego",VLOOKUP(LEFT(Proc[[#This Row],[Requested]],1),Table3[#All],2,0),VLOOKUP(Proc[[#This Row],[Author]],Table4[],2,0))</f>
        <v>MGF</v>
      </c>
      <c r="L1295" s="71" t="s">
        <v>2563</v>
      </c>
      <c r="M1295" s="81">
        <v>45785.703668981485</v>
      </c>
      <c r="N1295" s="81">
        <v>45790</v>
      </c>
      <c r="O1295" s="81">
        <v>45790</v>
      </c>
      <c r="P1295" s="82" t="str">
        <f ca="1">IF(Proc[[#This Row],[DaysAgeing]]&gt;5,"yep","on track")</f>
        <v>on track</v>
      </c>
      <c r="Q1295" s="3">
        <f ca="1">IF(Proc[[#This Row],[DateClosed]]="",ABS(NETWORKDAYS(Proc[[#This Row],[DateOpened]],TODAY()))-1,ABS(NETWORKDAYS(Proc[[#This Row],[DateOpened]],Proc[[#This Row],[DateClosed]]))-1)</f>
        <v>3</v>
      </c>
      <c r="R1295" s="82" t="s">
        <v>1076</v>
      </c>
      <c r="S1295" s="71"/>
    </row>
    <row r="1296" spans="1:19" hidden="1">
      <c r="A1296" s="74" t="s">
        <v>3016</v>
      </c>
      <c r="B1296" s="71" t="str">
        <f>IFERROR(VLOOKUP(Proc[[#This Row],[App]],Table2[],3,0),"open")</f>
        <v>ok</v>
      </c>
      <c r="C1296" s="74" t="s">
        <v>377</v>
      </c>
      <c r="D1296" t="s">
        <v>1987</v>
      </c>
      <c r="E1296" t="s">
        <v>735</v>
      </c>
      <c r="F1296" s="105" t="s">
        <v>735</v>
      </c>
      <c r="G1296" t="s">
        <v>406</v>
      </c>
      <c r="H1296" s="71" t="str">
        <f>IF(Proc[[#This Row],[type]]="LFF (MDG-F)",MID(Proc[[#This Row],[Obj]],13,10),"")</f>
        <v>US20Z01000</v>
      </c>
      <c r="I1296" t="s">
        <v>822</v>
      </c>
      <c r="J1296" s="71" t="b">
        <f>Proc[[#This Row],[Requested]]=Proc[[#This Row],[CurrentParent]]</f>
        <v>1</v>
      </c>
      <c r="K1296" s="71" t="str">
        <f>IF(Proc[[#This Row],[Author]]="Marcela Urrego",VLOOKUP(LEFT(Proc[[#This Row],[Requested]],1),Table3[#All],2,0),VLOOKUP(Proc[[#This Row],[Author]],Table4[],2,0))</f>
        <v>MGF</v>
      </c>
      <c r="L1296" s="71" t="s">
        <v>2563</v>
      </c>
      <c r="M1296" s="81">
        <v>45785.703668981485</v>
      </c>
      <c r="N1296" s="81"/>
      <c r="O1296" s="81">
        <v>45790</v>
      </c>
      <c r="P1296" s="82" t="str">
        <f ca="1">IF(Proc[[#This Row],[DaysAgeing]]&gt;5,"yep","on track")</f>
        <v>on track</v>
      </c>
      <c r="Q1296" s="3">
        <f ca="1">IF(Proc[[#This Row],[DateClosed]]="",ABS(NETWORKDAYS(Proc[[#This Row],[DateOpened]],TODAY()))-1,ABS(NETWORKDAYS(Proc[[#This Row],[DateOpened]],Proc[[#This Row],[DateClosed]]))-1)</f>
        <v>3</v>
      </c>
      <c r="R1296" s="82" t="s">
        <v>1076</v>
      </c>
      <c r="S1296" s="71"/>
    </row>
    <row r="1297" spans="1:19" hidden="1">
      <c r="A1297" t="s">
        <v>3019</v>
      </c>
      <c r="B1297" s="71" t="str">
        <f>IFERROR(VLOOKUP(Proc[[#This Row],[App]],Table2[],3,0),"open")</f>
        <v>ok</v>
      </c>
      <c r="C1297" s="74" t="s">
        <v>369</v>
      </c>
      <c r="D1297" t="s">
        <v>3020</v>
      </c>
      <c r="E1297" t="s">
        <v>3021</v>
      </c>
      <c r="F1297" s="105" t="s">
        <v>3021</v>
      </c>
      <c r="G1297" s="74" t="s">
        <v>400</v>
      </c>
      <c r="H1297" s="71" t="str">
        <f>IF(Proc[[#This Row],[type]]="LFF (MDG-F)",MID(Proc[[#This Row],[Obj]],13,10),"")</f>
        <v/>
      </c>
      <c r="J1297" s="71" t="b">
        <f>Proc[[#This Row],[Requested]]=Proc[[#This Row],[CurrentParent]]</f>
        <v>1</v>
      </c>
      <c r="K1297" s="71" t="str">
        <f>IF(Proc[[#This Row],[Author]]="Marcela Urrego",VLOOKUP(LEFT(Proc[[#This Row],[Requested]],1),Table3[#All],2,0),VLOOKUP(Proc[[#This Row],[Author]],Table4[],2,0))</f>
        <v>MGF</v>
      </c>
      <c r="L1297" s="71" t="s">
        <v>2563</v>
      </c>
      <c r="M1297" s="81">
        <v>45785.653692129628</v>
      </c>
      <c r="N1297" s="81">
        <v>45790</v>
      </c>
      <c r="O1297" s="81">
        <v>45790</v>
      </c>
      <c r="P1297" s="82" t="str">
        <f ca="1">IF(Proc[[#This Row],[DaysAgeing]]&gt;5,"yep","on track")</f>
        <v>on track</v>
      </c>
      <c r="Q1297" s="3">
        <f ca="1">IF(Proc[[#This Row],[DateClosed]]="",ABS(NETWORKDAYS(Proc[[#This Row],[DateOpened]],TODAY()))-1,ABS(NETWORKDAYS(Proc[[#This Row],[DateOpened]],Proc[[#This Row],[DateClosed]]))-1)</f>
        <v>3</v>
      </c>
      <c r="R1297" s="82" t="s">
        <v>1459</v>
      </c>
      <c r="S1297" s="71"/>
    </row>
    <row r="1298" spans="1:19" hidden="1">
      <c r="A1298" t="s">
        <v>3022</v>
      </c>
      <c r="B1298" s="71" t="str">
        <f>IFERROR(VLOOKUP(Proc[[#This Row],[App]],Table2[],3,0),"open")</f>
        <v>ok</v>
      </c>
      <c r="C1298" s="74" t="s">
        <v>369</v>
      </c>
      <c r="D1298" t="s">
        <v>3023</v>
      </c>
      <c r="E1298" t="s">
        <v>3024</v>
      </c>
      <c r="F1298" s="105" t="s">
        <v>3024</v>
      </c>
      <c r="G1298" s="74" t="s">
        <v>400</v>
      </c>
      <c r="H1298" s="71" t="str">
        <f>IF(Proc[[#This Row],[type]]="LFF (MDG-F)",MID(Proc[[#This Row],[Obj]],13,10),"")</f>
        <v/>
      </c>
      <c r="J1298" s="71" t="b">
        <f>Proc[[#This Row],[Requested]]=Proc[[#This Row],[CurrentParent]]</f>
        <v>1</v>
      </c>
      <c r="K1298" s="71" t="str">
        <f>IF(Proc[[#This Row],[Author]]="Marcela Urrego",VLOOKUP(LEFT(Proc[[#This Row],[Requested]],1),Table3[#All],2,0),VLOOKUP(Proc[[#This Row],[Author]],Table4[],2,0))</f>
        <v>MGF</v>
      </c>
      <c r="L1298" s="71" t="s">
        <v>2563</v>
      </c>
      <c r="M1298" s="81">
        <v>45785.598506944443</v>
      </c>
      <c r="N1298" s="81">
        <v>45790</v>
      </c>
      <c r="O1298" s="81">
        <v>45790</v>
      </c>
      <c r="P1298" s="82" t="str">
        <f ca="1">IF(Proc[[#This Row],[DaysAgeing]]&gt;5,"yep","on track")</f>
        <v>on track</v>
      </c>
      <c r="Q1298" s="3">
        <f ca="1">IF(Proc[[#This Row],[DateClosed]]="",ABS(NETWORKDAYS(Proc[[#This Row],[DateOpened]],TODAY()))-1,ABS(NETWORKDAYS(Proc[[#This Row],[DateOpened]],Proc[[#This Row],[DateClosed]]))-1)</f>
        <v>3</v>
      </c>
      <c r="R1298" s="82" t="s">
        <v>515</v>
      </c>
      <c r="S1298" s="71"/>
    </row>
    <row r="1299" spans="1:19" hidden="1">
      <c r="A1299" t="s">
        <v>3066</v>
      </c>
      <c r="B1299" s="71" t="str">
        <f>IFERROR(VLOOKUP(Proc[[#This Row],[App]],Table2[],3,0),"open")</f>
        <v>ok</v>
      </c>
      <c r="C1299" t="s">
        <v>369</v>
      </c>
      <c r="D1299" t="s">
        <v>3025</v>
      </c>
      <c r="E1299" t="s">
        <v>3026</v>
      </c>
      <c r="F1299" s="105" t="s">
        <v>3026</v>
      </c>
      <c r="G1299" s="74" t="s">
        <v>400</v>
      </c>
      <c r="H1299" s="71" t="str">
        <f>IF(Proc[[#This Row],[type]]="LFF (MDG-F)",MID(Proc[[#This Row],[Obj]],13,10),"")</f>
        <v/>
      </c>
      <c r="I1299" t="s">
        <v>3062</v>
      </c>
      <c r="J1299" s="71" t="b">
        <f>Proc[[#This Row],[Requested]]=Proc[[#This Row],[CurrentParent]]</f>
        <v>1</v>
      </c>
      <c r="K1299" s="71" t="str">
        <f>IF(Proc[[#This Row],[Author]]="Marcela Urrego",VLOOKUP(LEFT(Proc[[#This Row],[Requested]],1),Table3[#All],2,0),VLOOKUP(Proc[[#This Row],[Author]],Table4[],2,0))</f>
        <v>LS</v>
      </c>
      <c r="L1299" s="71" t="s">
        <v>2563</v>
      </c>
      <c r="M1299" s="81">
        <v>45789.517060185186</v>
      </c>
      <c r="N1299" s="85">
        <v>45791</v>
      </c>
      <c r="O1299" s="85">
        <v>45791</v>
      </c>
      <c r="P1299" s="82" t="str">
        <f ca="1">IF(Proc[[#This Row],[DaysAgeing]]&gt;5,"yep","on track")</f>
        <v>on track</v>
      </c>
      <c r="Q1299" s="3">
        <f ca="1">IF(Proc[[#This Row],[DateClosed]]="",ABS(NETWORKDAYS(Proc[[#This Row],[DateOpened]],TODAY()))-1,ABS(NETWORKDAYS(Proc[[#This Row],[DateOpened]],Proc[[#This Row],[DateClosed]]))-1)</f>
        <v>2</v>
      </c>
      <c r="R1299" s="82" t="s">
        <v>489</v>
      </c>
      <c r="S1299" s="71"/>
    </row>
    <row r="1300" spans="1:19" hidden="1">
      <c r="A1300" s="74" t="s">
        <v>3066</v>
      </c>
      <c r="B1300" s="71" t="str">
        <f>IFERROR(VLOOKUP(Proc[[#This Row],[App]],Table2[],3,0),"open")</f>
        <v>ok</v>
      </c>
      <c r="C1300" s="74" t="s">
        <v>369</v>
      </c>
      <c r="D1300" t="s">
        <v>3027</v>
      </c>
      <c r="E1300" t="s">
        <v>3026</v>
      </c>
      <c r="F1300" s="105" t="s">
        <v>3026</v>
      </c>
      <c r="G1300" s="74" t="s">
        <v>400</v>
      </c>
      <c r="H1300" s="71" t="str">
        <f>IF(Proc[[#This Row],[type]]="LFF (MDG-F)",MID(Proc[[#This Row],[Obj]],13,10),"")</f>
        <v/>
      </c>
      <c r="I1300" t="s">
        <v>3062</v>
      </c>
      <c r="J1300" s="71" t="b">
        <f>Proc[[#This Row],[Requested]]=Proc[[#This Row],[CurrentParent]]</f>
        <v>1</v>
      </c>
      <c r="K1300" s="71" t="str">
        <f>IF(Proc[[#This Row],[Author]]="Marcela Urrego",VLOOKUP(LEFT(Proc[[#This Row],[Requested]],1),Table3[#All],2,0),VLOOKUP(Proc[[#This Row],[Author]],Table4[],2,0))</f>
        <v>LS</v>
      </c>
      <c r="L1300" s="71" t="s">
        <v>2563</v>
      </c>
      <c r="M1300" s="81">
        <v>45789.517060185186</v>
      </c>
      <c r="N1300" s="85">
        <v>45791</v>
      </c>
      <c r="O1300" s="85">
        <v>45791</v>
      </c>
      <c r="P1300" s="82" t="str">
        <f ca="1">IF(Proc[[#This Row],[DaysAgeing]]&gt;5,"yep","on track")</f>
        <v>on track</v>
      </c>
      <c r="Q1300" s="3">
        <f ca="1">IF(Proc[[#This Row],[DateClosed]]="",ABS(NETWORKDAYS(Proc[[#This Row],[DateOpened]],TODAY()))-1,ABS(NETWORKDAYS(Proc[[#This Row],[DateOpened]],Proc[[#This Row],[DateClosed]]))-1)</f>
        <v>2</v>
      </c>
      <c r="R1300" s="82" t="s">
        <v>489</v>
      </c>
      <c r="S1300" s="71"/>
    </row>
    <row r="1301" spans="1:19" hidden="1">
      <c r="A1301" s="74" t="s">
        <v>3066</v>
      </c>
      <c r="B1301" s="71" t="str">
        <f>IFERROR(VLOOKUP(Proc[[#This Row],[App]],Table2[],3,0),"open")</f>
        <v>ok</v>
      </c>
      <c r="C1301" s="74" t="s">
        <v>369</v>
      </c>
      <c r="D1301" t="s">
        <v>3028</v>
      </c>
      <c r="E1301" t="s">
        <v>3026</v>
      </c>
      <c r="F1301" s="105" t="s">
        <v>3026</v>
      </c>
      <c r="G1301" s="74" t="s">
        <v>400</v>
      </c>
      <c r="H1301" s="71" t="str">
        <f>IF(Proc[[#This Row],[type]]="LFF (MDG-F)",MID(Proc[[#This Row],[Obj]],13,10),"")</f>
        <v/>
      </c>
      <c r="I1301" t="s">
        <v>3062</v>
      </c>
      <c r="J1301" s="71" t="b">
        <f>Proc[[#This Row],[Requested]]=Proc[[#This Row],[CurrentParent]]</f>
        <v>1</v>
      </c>
      <c r="K1301" s="71" t="str">
        <f>IF(Proc[[#This Row],[Author]]="Marcela Urrego",VLOOKUP(LEFT(Proc[[#This Row],[Requested]],1),Table3[#All],2,0),VLOOKUP(Proc[[#This Row],[Author]],Table4[],2,0))</f>
        <v>LS</v>
      </c>
      <c r="L1301" s="71" t="s">
        <v>2563</v>
      </c>
      <c r="M1301" s="81">
        <v>45789.517060185186</v>
      </c>
      <c r="N1301" s="85">
        <v>45791</v>
      </c>
      <c r="O1301" s="85">
        <v>45791</v>
      </c>
      <c r="P1301" s="82" t="str">
        <f ca="1">IF(Proc[[#This Row],[DaysAgeing]]&gt;5,"yep","on track")</f>
        <v>on track</v>
      </c>
      <c r="Q1301" s="3">
        <f ca="1">IF(Proc[[#This Row],[DateClosed]]="",ABS(NETWORKDAYS(Proc[[#This Row],[DateOpened]],TODAY()))-1,ABS(NETWORKDAYS(Proc[[#This Row],[DateOpened]],Proc[[#This Row],[DateClosed]]))-1)</f>
        <v>2</v>
      </c>
      <c r="R1301" s="82" t="s">
        <v>489</v>
      </c>
      <c r="S1301" s="71"/>
    </row>
    <row r="1302" spans="1:19" hidden="1">
      <c r="A1302" s="74" t="s">
        <v>3066</v>
      </c>
      <c r="B1302" s="71" t="str">
        <f>IFERROR(VLOOKUP(Proc[[#This Row],[App]],Table2[],3,0),"open")</f>
        <v>ok</v>
      </c>
      <c r="C1302" s="74" t="s">
        <v>369</v>
      </c>
      <c r="D1302" t="s">
        <v>3029</v>
      </c>
      <c r="E1302" t="s">
        <v>3026</v>
      </c>
      <c r="F1302" s="105" t="s">
        <v>3026</v>
      </c>
      <c r="G1302" s="74" t="s">
        <v>400</v>
      </c>
      <c r="H1302" s="71" t="str">
        <f>IF(Proc[[#This Row],[type]]="LFF (MDG-F)",MID(Proc[[#This Row],[Obj]],13,10),"")</f>
        <v/>
      </c>
      <c r="I1302" t="s">
        <v>3062</v>
      </c>
      <c r="J1302" s="71" t="b">
        <f>Proc[[#This Row],[Requested]]=Proc[[#This Row],[CurrentParent]]</f>
        <v>1</v>
      </c>
      <c r="K1302" s="71" t="str">
        <f>IF(Proc[[#This Row],[Author]]="Marcela Urrego",VLOOKUP(LEFT(Proc[[#This Row],[Requested]],1),Table3[#All],2,0),VLOOKUP(Proc[[#This Row],[Author]],Table4[],2,0))</f>
        <v>LS</v>
      </c>
      <c r="L1302" s="71" t="s">
        <v>2563</v>
      </c>
      <c r="M1302" s="81">
        <v>45789.517060185186</v>
      </c>
      <c r="N1302" s="85">
        <v>45791</v>
      </c>
      <c r="O1302" s="85">
        <v>45791</v>
      </c>
      <c r="P1302" s="82" t="str">
        <f ca="1">IF(Proc[[#This Row],[DaysAgeing]]&gt;5,"yep","on track")</f>
        <v>on track</v>
      </c>
      <c r="Q1302" s="3">
        <f ca="1">IF(Proc[[#This Row],[DateClosed]]="",ABS(NETWORKDAYS(Proc[[#This Row],[DateOpened]],TODAY()))-1,ABS(NETWORKDAYS(Proc[[#This Row],[DateOpened]],Proc[[#This Row],[DateClosed]]))-1)</f>
        <v>2</v>
      </c>
      <c r="R1302" s="82" t="s">
        <v>489</v>
      </c>
      <c r="S1302" s="71"/>
    </row>
    <row r="1303" spans="1:19" hidden="1">
      <c r="A1303" s="74" t="s">
        <v>3066</v>
      </c>
      <c r="B1303" s="71" t="str">
        <f>IFERROR(VLOOKUP(Proc[[#This Row],[App]],Table2[],3,0),"open")</f>
        <v>ok</v>
      </c>
      <c r="C1303" s="74" t="s">
        <v>369</v>
      </c>
      <c r="D1303" t="s">
        <v>3030</v>
      </c>
      <c r="E1303" t="s">
        <v>3026</v>
      </c>
      <c r="F1303" s="105" t="s">
        <v>3026</v>
      </c>
      <c r="G1303" s="74" t="s">
        <v>400</v>
      </c>
      <c r="H1303" s="71" t="str">
        <f>IF(Proc[[#This Row],[type]]="LFF (MDG-F)",MID(Proc[[#This Row],[Obj]],13,10),"")</f>
        <v/>
      </c>
      <c r="I1303" t="s">
        <v>3063</v>
      </c>
      <c r="J1303" s="71" t="b">
        <f>Proc[[#This Row],[Requested]]=Proc[[#This Row],[CurrentParent]]</f>
        <v>1</v>
      </c>
      <c r="K1303" s="71" t="str">
        <f>IF(Proc[[#This Row],[Author]]="Marcela Urrego",VLOOKUP(LEFT(Proc[[#This Row],[Requested]],1),Table3[#All],2,0),VLOOKUP(Proc[[#This Row],[Author]],Table4[],2,0))</f>
        <v>LS</v>
      </c>
      <c r="L1303" s="71" t="s">
        <v>2563</v>
      </c>
      <c r="M1303" s="81">
        <v>45789.517060185186</v>
      </c>
      <c r="N1303" s="85">
        <v>45791</v>
      </c>
      <c r="O1303" s="85">
        <v>45791</v>
      </c>
      <c r="P1303" s="82" t="str">
        <f ca="1">IF(Proc[[#This Row],[DaysAgeing]]&gt;5,"yep","on track")</f>
        <v>on track</v>
      </c>
      <c r="Q1303" s="3">
        <f ca="1">IF(Proc[[#This Row],[DateClosed]]="",ABS(NETWORKDAYS(Proc[[#This Row],[DateOpened]],TODAY()))-1,ABS(NETWORKDAYS(Proc[[#This Row],[DateOpened]],Proc[[#This Row],[DateClosed]]))-1)</f>
        <v>2</v>
      </c>
      <c r="R1303" s="82" t="s">
        <v>489</v>
      </c>
      <c r="S1303" s="71"/>
    </row>
    <row r="1304" spans="1:19" hidden="1">
      <c r="A1304" s="74" t="s">
        <v>3066</v>
      </c>
      <c r="B1304" s="71" t="str">
        <f>IFERROR(VLOOKUP(Proc[[#This Row],[App]],Table2[],3,0),"open")</f>
        <v>ok</v>
      </c>
      <c r="C1304" s="74" t="s">
        <v>369</v>
      </c>
      <c r="D1304" t="s">
        <v>3031</v>
      </c>
      <c r="E1304" t="s">
        <v>3026</v>
      </c>
      <c r="F1304" s="105" t="s">
        <v>3026</v>
      </c>
      <c r="G1304" s="74" t="s">
        <v>400</v>
      </c>
      <c r="H1304" s="71" t="str">
        <f>IF(Proc[[#This Row],[type]]="LFF (MDG-F)",MID(Proc[[#This Row],[Obj]],13,10),"")</f>
        <v/>
      </c>
      <c r="I1304" t="s">
        <v>3063</v>
      </c>
      <c r="J1304" s="71" t="b">
        <f>Proc[[#This Row],[Requested]]=Proc[[#This Row],[CurrentParent]]</f>
        <v>1</v>
      </c>
      <c r="K1304" s="71" t="str">
        <f>IF(Proc[[#This Row],[Author]]="Marcela Urrego",VLOOKUP(LEFT(Proc[[#This Row],[Requested]],1),Table3[#All],2,0),VLOOKUP(Proc[[#This Row],[Author]],Table4[],2,0))</f>
        <v>LS</v>
      </c>
      <c r="L1304" s="71" t="s">
        <v>2563</v>
      </c>
      <c r="M1304" s="81">
        <v>45789.517060185186</v>
      </c>
      <c r="N1304" s="85">
        <v>45791</v>
      </c>
      <c r="O1304" s="85">
        <v>45791</v>
      </c>
      <c r="P1304" s="82" t="str">
        <f ca="1">IF(Proc[[#This Row],[DaysAgeing]]&gt;5,"yep","on track")</f>
        <v>on track</v>
      </c>
      <c r="Q1304" s="3">
        <f ca="1">IF(Proc[[#This Row],[DateClosed]]="",ABS(NETWORKDAYS(Proc[[#This Row],[DateOpened]],TODAY()))-1,ABS(NETWORKDAYS(Proc[[#This Row],[DateOpened]],Proc[[#This Row],[DateClosed]]))-1)</f>
        <v>2</v>
      </c>
      <c r="R1304" s="82" t="s">
        <v>489</v>
      </c>
      <c r="S1304" s="71"/>
    </row>
    <row r="1305" spans="1:19" hidden="1">
      <c r="A1305" s="74" t="s">
        <v>3066</v>
      </c>
      <c r="B1305" s="71" t="str">
        <f>IFERROR(VLOOKUP(Proc[[#This Row],[App]],Table2[],3,0),"open")</f>
        <v>ok</v>
      </c>
      <c r="C1305" s="74" t="s">
        <v>369</v>
      </c>
      <c r="D1305" t="s">
        <v>3032</v>
      </c>
      <c r="E1305" t="s">
        <v>3026</v>
      </c>
      <c r="F1305" s="105" t="s">
        <v>3026</v>
      </c>
      <c r="G1305" s="74" t="s">
        <v>400</v>
      </c>
      <c r="H1305" s="71" t="str">
        <f>IF(Proc[[#This Row],[type]]="LFF (MDG-F)",MID(Proc[[#This Row],[Obj]],13,10),"")</f>
        <v/>
      </c>
      <c r="I1305" t="s">
        <v>3063</v>
      </c>
      <c r="J1305" s="71" t="b">
        <f>Proc[[#This Row],[Requested]]=Proc[[#This Row],[CurrentParent]]</f>
        <v>1</v>
      </c>
      <c r="K1305" s="71" t="str">
        <f>IF(Proc[[#This Row],[Author]]="Marcela Urrego",VLOOKUP(LEFT(Proc[[#This Row],[Requested]],1),Table3[#All],2,0),VLOOKUP(Proc[[#This Row],[Author]],Table4[],2,0))</f>
        <v>LS</v>
      </c>
      <c r="L1305" s="71" t="s">
        <v>2563</v>
      </c>
      <c r="M1305" s="81">
        <v>45789.517060185186</v>
      </c>
      <c r="N1305" s="85">
        <v>45791</v>
      </c>
      <c r="O1305" s="85">
        <v>45791</v>
      </c>
      <c r="P1305" s="82" t="str">
        <f ca="1">IF(Proc[[#This Row],[DaysAgeing]]&gt;5,"yep","on track")</f>
        <v>on track</v>
      </c>
      <c r="Q1305" s="3">
        <f ca="1">IF(Proc[[#This Row],[DateClosed]]="",ABS(NETWORKDAYS(Proc[[#This Row],[DateOpened]],TODAY()))-1,ABS(NETWORKDAYS(Proc[[#This Row],[DateOpened]],Proc[[#This Row],[DateClosed]]))-1)</f>
        <v>2</v>
      </c>
      <c r="R1305" s="82" t="s">
        <v>489</v>
      </c>
      <c r="S1305" s="71"/>
    </row>
    <row r="1306" spans="1:19" hidden="1">
      <c r="A1306" s="74" t="s">
        <v>3066</v>
      </c>
      <c r="B1306" s="71" t="str">
        <f>IFERROR(VLOOKUP(Proc[[#This Row],[App]],Table2[],3,0),"open")</f>
        <v>ok</v>
      </c>
      <c r="C1306" s="74" t="s">
        <v>369</v>
      </c>
      <c r="D1306" t="s">
        <v>3033</v>
      </c>
      <c r="E1306" t="s">
        <v>3026</v>
      </c>
      <c r="F1306" s="105" t="s">
        <v>3026</v>
      </c>
      <c r="G1306" s="74" t="s">
        <v>400</v>
      </c>
      <c r="H1306" s="71" t="str">
        <f>IF(Proc[[#This Row],[type]]="LFF (MDG-F)",MID(Proc[[#This Row],[Obj]],13,10),"")</f>
        <v/>
      </c>
      <c r="I1306" t="s">
        <v>3063</v>
      </c>
      <c r="J1306" s="71" t="b">
        <f>Proc[[#This Row],[Requested]]=Proc[[#This Row],[CurrentParent]]</f>
        <v>1</v>
      </c>
      <c r="K1306" s="71" t="str">
        <f>IF(Proc[[#This Row],[Author]]="Marcela Urrego",VLOOKUP(LEFT(Proc[[#This Row],[Requested]],1),Table3[#All],2,0),VLOOKUP(Proc[[#This Row],[Author]],Table4[],2,0))</f>
        <v>LS</v>
      </c>
      <c r="L1306" s="71" t="s">
        <v>2563</v>
      </c>
      <c r="M1306" s="81">
        <v>45789.517060185186</v>
      </c>
      <c r="N1306" s="85">
        <v>45791</v>
      </c>
      <c r="O1306" s="85">
        <v>45791</v>
      </c>
      <c r="P1306" s="82" t="str">
        <f ca="1">IF(Proc[[#This Row],[DaysAgeing]]&gt;5,"yep","on track")</f>
        <v>on track</v>
      </c>
      <c r="Q1306" s="3">
        <f ca="1">IF(Proc[[#This Row],[DateClosed]]="",ABS(NETWORKDAYS(Proc[[#This Row],[DateOpened]],TODAY()))-1,ABS(NETWORKDAYS(Proc[[#This Row],[DateOpened]],Proc[[#This Row],[DateClosed]]))-1)</f>
        <v>2</v>
      </c>
      <c r="R1306" s="82" t="s">
        <v>489</v>
      </c>
      <c r="S1306" s="71"/>
    </row>
    <row r="1307" spans="1:19" hidden="1">
      <c r="A1307" s="74" t="s">
        <v>3066</v>
      </c>
      <c r="B1307" s="71" t="str">
        <f>IFERROR(VLOOKUP(Proc[[#This Row],[App]],Table2[],3,0),"open")</f>
        <v>ok</v>
      </c>
      <c r="C1307" s="74" t="s">
        <v>369</v>
      </c>
      <c r="D1307" t="s">
        <v>3034</v>
      </c>
      <c r="E1307" t="s">
        <v>3026</v>
      </c>
      <c r="F1307" s="105" t="s">
        <v>3026</v>
      </c>
      <c r="G1307" s="74" t="s">
        <v>400</v>
      </c>
      <c r="H1307" s="71" t="str">
        <f>IF(Proc[[#This Row],[type]]="LFF (MDG-F)",MID(Proc[[#This Row],[Obj]],13,10),"")</f>
        <v/>
      </c>
      <c r="I1307" t="s">
        <v>3063</v>
      </c>
      <c r="J1307" s="71" t="b">
        <f>Proc[[#This Row],[Requested]]=Proc[[#This Row],[CurrentParent]]</f>
        <v>1</v>
      </c>
      <c r="K1307" s="71" t="str">
        <f>IF(Proc[[#This Row],[Author]]="Marcela Urrego",VLOOKUP(LEFT(Proc[[#This Row],[Requested]],1),Table3[#All],2,0),VLOOKUP(Proc[[#This Row],[Author]],Table4[],2,0))</f>
        <v>LS</v>
      </c>
      <c r="L1307" s="71" t="s">
        <v>2563</v>
      </c>
      <c r="M1307" s="81">
        <v>45789.517060185186</v>
      </c>
      <c r="N1307" s="85">
        <v>45791</v>
      </c>
      <c r="O1307" s="85">
        <v>45791</v>
      </c>
      <c r="P1307" s="82" t="str">
        <f ca="1">IF(Proc[[#This Row],[DaysAgeing]]&gt;5,"yep","on track")</f>
        <v>on track</v>
      </c>
      <c r="Q1307" s="3">
        <f ca="1">IF(Proc[[#This Row],[DateClosed]]="",ABS(NETWORKDAYS(Proc[[#This Row],[DateOpened]],TODAY()))-1,ABS(NETWORKDAYS(Proc[[#This Row],[DateOpened]],Proc[[#This Row],[DateClosed]]))-1)</f>
        <v>2</v>
      </c>
      <c r="R1307" s="82" t="s">
        <v>489</v>
      </c>
      <c r="S1307" s="71"/>
    </row>
    <row r="1308" spans="1:19" hidden="1">
      <c r="A1308" s="74" t="s">
        <v>3066</v>
      </c>
      <c r="B1308" s="71" t="str">
        <f>IFERROR(VLOOKUP(Proc[[#This Row],[App]],Table2[],3,0),"open")</f>
        <v>ok</v>
      </c>
      <c r="C1308" s="74" t="s">
        <v>369</v>
      </c>
      <c r="D1308" t="s">
        <v>3035</v>
      </c>
      <c r="E1308" t="s">
        <v>3026</v>
      </c>
      <c r="F1308" s="105" t="s">
        <v>3026</v>
      </c>
      <c r="G1308" s="74" t="s">
        <v>400</v>
      </c>
      <c r="H1308" s="71" t="str">
        <f>IF(Proc[[#This Row],[type]]="LFF (MDG-F)",MID(Proc[[#This Row],[Obj]],13,10),"")</f>
        <v/>
      </c>
      <c r="I1308" t="s">
        <v>3063</v>
      </c>
      <c r="J1308" s="71" t="b">
        <f>Proc[[#This Row],[Requested]]=Proc[[#This Row],[CurrentParent]]</f>
        <v>1</v>
      </c>
      <c r="K1308" s="71" t="str">
        <f>IF(Proc[[#This Row],[Author]]="Marcela Urrego",VLOOKUP(LEFT(Proc[[#This Row],[Requested]],1),Table3[#All],2,0),VLOOKUP(Proc[[#This Row],[Author]],Table4[],2,0))</f>
        <v>LS</v>
      </c>
      <c r="L1308" s="71" t="s">
        <v>2563</v>
      </c>
      <c r="M1308" s="81">
        <v>45789.517060185186</v>
      </c>
      <c r="N1308" s="85">
        <v>45791</v>
      </c>
      <c r="O1308" s="85">
        <v>45791</v>
      </c>
      <c r="P1308" s="82" t="str">
        <f ca="1">IF(Proc[[#This Row],[DaysAgeing]]&gt;5,"yep","on track")</f>
        <v>on track</v>
      </c>
      <c r="Q1308" s="3">
        <f ca="1">IF(Proc[[#This Row],[DateClosed]]="",ABS(NETWORKDAYS(Proc[[#This Row],[DateOpened]],TODAY()))-1,ABS(NETWORKDAYS(Proc[[#This Row],[DateOpened]],Proc[[#This Row],[DateClosed]]))-1)</f>
        <v>2</v>
      </c>
      <c r="R1308" s="82" t="s">
        <v>489</v>
      </c>
      <c r="S1308" s="71"/>
    </row>
    <row r="1309" spans="1:19" hidden="1">
      <c r="A1309" s="74" t="s">
        <v>3066</v>
      </c>
      <c r="B1309" s="71" t="str">
        <f>IFERROR(VLOOKUP(Proc[[#This Row],[App]],Table2[],3,0),"open")</f>
        <v>ok</v>
      </c>
      <c r="C1309" s="74" t="s">
        <v>369</v>
      </c>
      <c r="D1309" t="s">
        <v>3036</v>
      </c>
      <c r="E1309" t="s">
        <v>3026</v>
      </c>
      <c r="F1309" s="105" t="s">
        <v>3026</v>
      </c>
      <c r="G1309" s="74" t="s">
        <v>400</v>
      </c>
      <c r="H1309" s="71" t="str">
        <f>IF(Proc[[#This Row],[type]]="LFF (MDG-F)",MID(Proc[[#This Row],[Obj]],13,10),"")</f>
        <v/>
      </c>
      <c r="I1309" t="s">
        <v>3063</v>
      </c>
      <c r="J1309" s="71" t="b">
        <f>Proc[[#This Row],[Requested]]=Proc[[#This Row],[CurrentParent]]</f>
        <v>1</v>
      </c>
      <c r="K1309" s="71" t="str">
        <f>IF(Proc[[#This Row],[Author]]="Marcela Urrego",VLOOKUP(LEFT(Proc[[#This Row],[Requested]],1),Table3[#All],2,0),VLOOKUP(Proc[[#This Row],[Author]],Table4[],2,0))</f>
        <v>LS</v>
      </c>
      <c r="L1309" s="71" t="s">
        <v>2563</v>
      </c>
      <c r="M1309" s="81">
        <v>45789.517060185186</v>
      </c>
      <c r="N1309" s="85">
        <v>45791</v>
      </c>
      <c r="O1309" s="85">
        <v>45791</v>
      </c>
      <c r="P1309" s="82" t="str">
        <f ca="1">IF(Proc[[#This Row],[DaysAgeing]]&gt;5,"yep","on track")</f>
        <v>on track</v>
      </c>
      <c r="Q1309" s="3">
        <f ca="1">IF(Proc[[#This Row],[DateClosed]]="",ABS(NETWORKDAYS(Proc[[#This Row],[DateOpened]],TODAY()))-1,ABS(NETWORKDAYS(Proc[[#This Row],[DateOpened]],Proc[[#This Row],[DateClosed]]))-1)</f>
        <v>2</v>
      </c>
      <c r="R1309" s="82" t="s">
        <v>489</v>
      </c>
      <c r="S1309" s="71"/>
    </row>
    <row r="1310" spans="1:19" hidden="1">
      <c r="A1310" s="74" t="s">
        <v>3066</v>
      </c>
      <c r="B1310" s="71" t="str">
        <f>IFERROR(VLOOKUP(Proc[[#This Row],[App]],Table2[],3,0),"open")</f>
        <v>ok</v>
      </c>
      <c r="C1310" s="74" t="s">
        <v>369</v>
      </c>
      <c r="D1310" t="s">
        <v>3037</v>
      </c>
      <c r="E1310" t="s">
        <v>3026</v>
      </c>
      <c r="F1310" s="105" t="s">
        <v>3026</v>
      </c>
      <c r="G1310" s="74" t="s">
        <v>400</v>
      </c>
      <c r="H1310" s="71" t="str">
        <f>IF(Proc[[#This Row],[type]]="LFF (MDG-F)",MID(Proc[[#This Row],[Obj]],13,10),"")</f>
        <v/>
      </c>
      <c r="I1310" t="s">
        <v>3063</v>
      </c>
      <c r="J1310" s="71" t="b">
        <f>Proc[[#This Row],[Requested]]=Proc[[#This Row],[CurrentParent]]</f>
        <v>1</v>
      </c>
      <c r="K1310" s="71" t="str">
        <f>IF(Proc[[#This Row],[Author]]="Marcela Urrego",VLOOKUP(LEFT(Proc[[#This Row],[Requested]],1),Table3[#All],2,0),VLOOKUP(Proc[[#This Row],[Author]],Table4[],2,0))</f>
        <v>LS</v>
      </c>
      <c r="L1310" s="71" t="s">
        <v>2563</v>
      </c>
      <c r="M1310" s="81">
        <v>45789.517060185186</v>
      </c>
      <c r="N1310" s="85">
        <v>45791</v>
      </c>
      <c r="O1310" s="85">
        <v>45791</v>
      </c>
      <c r="P1310" s="82" t="str">
        <f ca="1">IF(Proc[[#This Row],[DaysAgeing]]&gt;5,"yep","on track")</f>
        <v>on track</v>
      </c>
      <c r="Q1310" s="3">
        <f ca="1">IF(Proc[[#This Row],[DateClosed]]="",ABS(NETWORKDAYS(Proc[[#This Row],[DateOpened]],TODAY()))-1,ABS(NETWORKDAYS(Proc[[#This Row],[DateOpened]],Proc[[#This Row],[DateClosed]]))-1)</f>
        <v>2</v>
      </c>
      <c r="R1310" s="82" t="s">
        <v>489</v>
      </c>
      <c r="S1310" s="71"/>
    </row>
    <row r="1311" spans="1:19" hidden="1">
      <c r="A1311" s="74" t="s">
        <v>3066</v>
      </c>
      <c r="B1311" s="71" t="str">
        <f>IFERROR(VLOOKUP(Proc[[#This Row],[App]],Table2[],3,0),"open")</f>
        <v>ok</v>
      </c>
      <c r="C1311" s="74" t="s">
        <v>369</v>
      </c>
      <c r="D1311" t="s">
        <v>3038</v>
      </c>
      <c r="E1311" t="s">
        <v>3026</v>
      </c>
      <c r="F1311" s="105" t="s">
        <v>3026</v>
      </c>
      <c r="G1311" s="74" t="s">
        <v>400</v>
      </c>
      <c r="H1311" s="71" t="str">
        <f>IF(Proc[[#This Row],[type]]="LFF (MDG-F)",MID(Proc[[#This Row],[Obj]],13,10),"")</f>
        <v/>
      </c>
      <c r="I1311" t="s">
        <v>3063</v>
      </c>
      <c r="J1311" s="71" t="b">
        <f>Proc[[#This Row],[Requested]]=Proc[[#This Row],[CurrentParent]]</f>
        <v>1</v>
      </c>
      <c r="K1311" s="71" t="str">
        <f>IF(Proc[[#This Row],[Author]]="Marcela Urrego",VLOOKUP(LEFT(Proc[[#This Row],[Requested]],1),Table3[#All],2,0),VLOOKUP(Proc[[#This Row],[Author]],Table4[],2,0))</f>
        <v>LS</v>
      </c>
      <c r="L1311" s="71" t="s">
        <v>2563</v>
      </c>
      <c r="M1311" s="81">
        <v>45789.517060185186</v>
      </c>
      <c r="N1311" s="85">
        <v>45791</v>
      </c>
      <c r="O1311" s="85">
        <v>45791</v>
      </c>
      <c r="P1311" s="82" t="str">
        <f ca="1">IF(Proc[[#This Row],[DaysAgeing]]&gt;5,"yep","on track")</f>
        <v>on track</v>
      </c>
      <c r="Q1311" s="3">
        <f ca="1">IF(Proc[[#This Row],[DateClosed]]="",ABS(NETWORKDAYS(Proc[[#This Row],[DateOpened]],TODAY()))-1,ABS(NETWORKDAYS(Proc[[#This Row],[DateOpened]],Proc[[#This Row],[DateClosed]]))-1)</f>
        <v>2</v>
      </c>
      <c r="R1311" s="82" t="s">
        <v>489</v>
      </c>
      <c r="S1311" s="71"/>
    </row>
    <row r="1312" spans="1:19" hidden="1">
      <c r="A1312" s="74" t="s">
        <v>3066</v>
      </c>
      <c r="B1312" s="71" t="str">
        <f>IFERROR(VLOOKUP(Proc[[#This Row],[App]],Table2[],3,0),"open")</f>
        <v>ok</v>
      </c>
      <c r="C1312" s="74" t="s">
        <v>369</v>
      </c>
      <c r="D1312" t="s">
        <v>3039</v>
      </c>
      <c r="E1312" t="s">
        <v>3026</v>
      </c>
      <c r="F1312" s="105" t="s">
        <v>3026</v>
      </c>
      <c r="G1312" s="74" t="s">
        <v>400</v>
      </c>
      <c r="H1312" s="71" t="str">
        <f>IF(Proc[[#This Row],[type]]="LFF (MDG-F)",MID(Proc[[#This Row],[Obj]],13,10),"")</f>
        <v/>
      </c>
      <c r="I1312" t="s">
        <v>3063</v>
      </c>
      <c r="J1312" s="71" t="b">
        <f>Proc[[#This Row],[Requested]]=Proc[[#This Row],[CurrentParent]]</f>
        <v>1</v>
      </c>
      <c r="K1312" s="71" t="str">
        <f>IF(Proc[[#This Row],[Author]]="Marcela Urrego",VLOOKUP(LEFT(Proc[[#This Row],[Requested]],1),Table3[#All],2,0),VLOOKUP(Proc[[#This Row],[Author]],Table4[],2,0))</f>
        <v>LS</v>
      </c>
      <c r="L1312" s="71" t="s">
        <v>2563</v>
      </c>
      <c r="M1312" s="81">
        <v>45789.517060185186</v>
      </c>
      <c r="N1312" s="85">
        <v>45791</v>
      </c>
      <c r="O1312" s="85">
        <v>45791</v>
      </c>
      <c r="P1312" s="82" t="str">
        <f ca="1">IF(Proc[[#This Row],[DaysAgeing]]&gt;5,"yep","on track")</f>
        <v>on track</v>
      </c>
      <c r="Q1312" s="3">
        <f ca="1">IF(Proc[[#This Row],[DateClosed]]="",ABS(NETWORKDAYS(Proc[[#This Row],[DateOpened]],TODAY()))-1,ABS(NETWORKDAYS(Proc[[#This Row],[DateOpened]],Proc[[#This Row],[DateClosed]]))-1)</f>
        <v>2</v>
      </c>
      <c r="R1312" s="82" t="s">
        <v>489</v>
      </c>
      <c r="S1312" s="71"/>
    </row>
    <row r="1313" spans="1:19" hidden="1">
      <c r="A1313" s="74" t="s">
        <v>3066</v>
      </c>
      <c r="B1313" s="71" t="str">
        <f>IFERROR(VLOOKUP(Proc[[#This Row],[App]],Table2[],3,0),"open")</f>
        <v>ok</v>
      </c>
      <c r="C1313" s="74" t="s">
        <v>369</v>
      </c>
      <c r="D1313" t="s">
        <v>3040</v>
      </c>
      <c r="E1313" t="s">
        <v>3026</v>
      </c>
      <c r="F1313" s="105" t="s">
        <v>3026</v>
      </c>
      <c r="G1313" s="74" t="s">
        <v>400</v>
      </c>
      <c r="H1313" s="71" t="str">
        <f>IF(Proc[[#This Row],[type]]="LFF (MDG-F)",MID(Proc[[#This Row],[Obj]],13,10),"")</f>
        <v/>
      </c>
      <c r="I1313" t="s">
        <v>3063</v>
      </c>
      <c r="J1313" s="71" t="b">
        <f>Proc[[#This Row],[Requested]]=Proc[[#This Row],[CurrentParent]]</f>
        <v>1</v>
      </c>
      <c r="K1313" s="71" t="str">
        <f>IF(Proc[[#This Row],[Author]]="Marcela Urrego",VLOOKUP(LEFT(Proc[[#This Row],[Requested]],1),Table3[#All],2,0),VLOOKUP(Proc[[#This Row],[Author]],Table4[],2,0))</f>
        <v>LS</v>
      </c>
      <c r="L1313" s="71" t="s">
        <v>2563</v>
      </c>
      <c r="M1313" s="81">
        <v>45789.517060185186</v>
      </c>
      <c r="N1313" s="85">
        <v>45791</v>
      </c>
      <c r="O1313" s="85">
        <v>45791</v>
      </c>
      <c r="P1313" s="82" t="str">
        <f ca="1">IF(Proc[[#This Row],[DaysAgeing]]&gt;5,"yep","on track")</f>
        <v>on track</v>
      </c>
      <c r="Q1313" s="3">
        <f ca="1">IF(Proc[[#This Row],[DateClosed]]="",ABS(NETWORKDAYS(Proc[[#This Row],[DateOpened]],TODAY()))-1,ABS(NETWORKDAYS(Proc[[#This Row],[DateOpened]],Proc[[#This Row],[DateClosed]]))-1)</f>
        <v>2</v>
      </c>
      <c r="R1313" s="82" t="s">
        <v>489</v>
      </c>
      <c r="S1313" s="71"/>
    </row>
    <row r="1314" spans="1:19" hidden="1">
      <c r="A1314" s="74" t="s">
        <v>3066</v>
      </c>
      <c r="B1314" s="71" t="str">
        <f>IFERROR(VLOOKUP(Proc[[#This Row],[App]],Table2[],3,0),"open")</f>
        <v>ok</v>
      </c>
      <c r="C1314" s="74" t="s">
        <v>369</v>
      </c>
      <c r="D1314" t="s">
        <v>3041</v>
      </c>
      <c r="E1314" t="s">
        <v>3026</v>
      </c>
      <c r="F1314" s="105" t="s">
        <v>3026</v>
      </c>
      <c r="G1314" s="74" t="s">
        <v>400</v>
      </c>
      <c r="H1314" s="71" t="str">
        <f>IF(Proc[[#This Row],[type]]="LFF (MDG-F)",MID(Proc[[#This Row],[Obj]],13,10),"")</f>
        <v/>
      </c>
      <c r="I1314" t="s">
        <v>3063</v>
      </c>
      <c r="J1314" s="71" t="b">
        <f>Proc[[#This Row],[Requested]]=Proc[[#This Row],[CurrentParent]]</f>
        <v>1</v>
      </c>
      <c r="K1314" s="71" t="str">
        <f>IF(Proc[[#This Row],[Author]]="Marcela Urrego",VLOOKUP(LEFT(Proc[[#This Row],[Requested]],1),Table3[#All],2,0),VLOOKUP(Proc[[#This Row],[Author]],Table4[],2,0))</f>
        <v>LS</v>
      </c>
      <c r="L1314" s="71" t="s">
        <v>2563</v>
      </c>
      <c r="M1314" s="81">
        <v>45789.517060185186</v>
      </c>
      <c r="N1314" s="85">
        <v>45791</v>
      </c>
      <c r="O1314" s="85">
        <v>45791</v>
      </c>
      <c r="P1314" s="82" t="str">
        <f ca="1">IF(Proc[[#This Row],[DaysAgeing]]&gt;5,"yep","on track")</f>
        <v>on track</v>
      </c>
      <c r="Q1314" s="3">
        <f ca="1">IF(Proc[[#This Row],[DateClosed]]="",ABS(NETWORKDAYS(Proc[[#This Row],[DateOpened]],TODAY()))-1,ABS(NETWORKDAYS(Proc[[#This Row],[DateOpened]],Proc[[#This Row],[DateClosed]]))-1)</f>
        <v>2</v>
      </c>
      <c r="R1314" s="82" t="s">
        <v>489</v>
      </c>
      <c r="S1314" s="71"/>
    </row>
    <row r="1315" spans="1:19" hidden="1">
      <c r="A1315" s="74" t="s">
        <v>3066</v>
      </c>
      <c r="B1315" s="71" t="str">
        <f>IFERROR(VLOOKUP(Proc[[#This Row],[App]],Table2[],3,0),"open")</f>
        <v>ok</v>
      </c>
      <c r="C1315" s="74" t="s">
        <v>369</v>
      </c>
      <c r="D1315" t="s">
        <v>3042</v>
      </c>
      <c r="E1315" t="s">
        <v>3026</v>
      </c>
      <c r="F1315" s="105" t="s">
        <v>3026</v>
      </c>
      <c r="G1315" s="74" t="s">
        <v>400</v>
      </c>
      <c r="H1315" s="71" t="str">
        <f>IF(Proc[[#This Row],[type]]="LFF (MDG-F)",MID(Proc[[#This Row],[Obj]],13,10),"")</f>
        <v/>
      </c>
      <c r="I1315" t="s">
        <v>3064</v>
      </c>
      <c r="J1315" s="71" t="b">
        <f>Proc[[#This Row],[Requested]]=Proc[[#This Row],[CurrentParent]]</f>
        <v>1</v>
      </c>
      <c r="K1315" s="71" t="str">
        <f>IF(Proc[[#This Row],[Author]]="Marcela Urrego",VLOOKUP(LEFT(Proc[[#This Row],[Requested]],1),Table3[#All],2,0),VLOOKUP(Proc[[#This Row],[Author]],Table4[],2,0))</f>
        <v>LS</v>
      </c>
      <c r="L1315" s="71" t="s">
        <v>2563</v>
      </c>
      <c r="M1315" s="81">
        <v>45789.517060185186</v>
      </c>
      <c r="N1315" s="85">
        <v>45791</v>
      </c>
      <c r="O1315" s="85">
        <v>45791</v>
      </c>
      <c r="P1315" s="82" t="str">
        <f ca="1">IF(Proc[[#This Row],[DaysAgeing]]&gt;5,"yep","on track")</f>
        <v>on track</v>
      </c>
      <c r="Q1315" s="3">
        <f ca="1">IF(Proc[[#This Row],[DateClosed]]="",ABS(NETWORKDAYS(Proc[[#This Row],[DateOpened]],TODAY()))-1,ABS(NETWORKDAYS(Proc[[#This Row],[DateOpened]],Proc[[#This Row],[DateClosed]]))-1)</f>
        <v>2</v>
      </c>
      <c r="R1315" s="82" t="s">
        <v>489</v>
      </c>
      <c r="S1315" s="71"/>
    </row>
    <row r="1316" spans="1:19" hidden="1">
      <c r="A1316" s="74" t="s">
        <v>3066</v>
      </c>
      <c r="B1316" s="71" t="str">
        <f>IFERROR(VLOOKUP(Proc[[#This Row],[App]],Table2[],3,0),"open")</f>
        <v>ok</v>
      </c>
      <c r="C1316" s="74" t="s">
        <v>369</v>
      </c>
      <c r="D1316" t="s">
        <v>3043</v>
      </c>
      <c r="E1316" t="s">
        <v>3026</v>
      </c>
      <c r="F1316" s="105" t="s">
        <v>3026</v>
      </c>
      <c r="G1316" s="74" t="s">
        <v>400</v>
      </c>
      <c r="H1316" s="71" t="str">
        <f>IF(Proc[[#This Row],[type]]="LFF (MDG-F)",MID(Proc[[#This Row],[Obj]],13,10),"")</f>
        <v/>
      </c>
      <c r="I1316" t="s">
        <v>3064</v>
      </c>
      <c r="J1316" s="71" t="b">
        <f>Proc[[#This Row],[Requested]]=Proc[[#This Row],[CurrentParent]]</f>
        <v>1</v>
      </c>
      <c r="K1316" s="71" t="str">
        <f>IF(Proc[[#This Row],[Author]]="Marcela Urrego",VLOOKUP(LEFT(Proc[[#This Row],[Requested]],1),Table3[#All],2,0),VLOOKUP(Proc[[#This Row],[Author]],Table4[],2,0))</f>
        <v>LS</v>
      </c>
      <c r="L1316" s="71" t="s">
        <v>2563</v>
      </c>
      <c r="M1316" s="81">
        <v>45789.517060185186</v>
      </c>
      <c r="N1316" s="85">
        <v>45791</v>
      </c>
      <c r="O1316" s="85">
        <v>45791</v>
      </c>
      <c r="P1316" s="82" t="str">
        <f ca="1">IF(Proc[[#This Row],[DaysAgeing]]&gt;5,"yep","on track")</f>
        <v>on track</v>
      </c>
      <c r="Q1316" s="3">
        <f ca="1">IF(Proc[[#This Row],[DateClosed]]="",ABS(NETWORKDAYS(Proc[[#This Row],[DateOpened]],TODAY()))-1,ABS(NETWORKDAYS(Proc[[#This Row],[DateOpened]],Proc[[#This Row],[DateClosed]]))-1)</f>
        <v>2</v>
      </c>
      <c r="R1316" s="82" t="s">
        <v>489</v>
      </c>
      <c r="S1316" s="71"/>
    </row>
    <row r="1317" spans="1:19" hidden="1">
      <c r="A1317" s="74" t="s">
        <v>3066</v>
      </c>
      <c r="B1317" s="71" t="str">
        <f>IFERROR(VLOOKUP(Proc[[#This Row],[App]],Table2[],3,0),"open")</f>
        <v>ok</v>
      </c>
      <c r="C1317" s="74" t="s">
        <v>369</v>
      </c>
      <c r="D1317" t="s">
        <v>3044</v>
      </c>
      <c r="E1317" t="s">
        <v>3026</v>
      </c>
      <c r="F1317" s="105" t="s">
        <v>3026</v>
      </c>
      <c r="G1317" s="74" t="s">
        <v>400</v>
      </c>
      <c r="H1317" s="71" t="str">
        <f>IF(Proc[[#This Row],[type]]="LFF (MDG-F)",MID(Proc[[#This Row],[Obj]],13,10),"")</f>
        <v/>
      </c>
      <c r="I1317" t="s">
        <v>3064</v>
      </c>
      <c r="J1317" s="71" t="b">
        <f>Proc[[#This Row],[Requested]]=Proc[[#This Row],[CurrentParent]]</f>
        <v>1</v>
      </c>
      <c r="K1317" s="71" t="str">
        <f>IF(Proc[[#This Row],[Author]]="Marcela Urrego",VLOOKUP(LEFT(Proc[[#This Row],[Requested]],1),Table3[#All],2,0),VLOOKUP(Proc[[#This Row],[Author]],Table4[],2,0))</f>
        <v>LS</v>
      </c>
      <c r="L1317" s="71" t="s">
        <v>2563</v>
      </c>
      <c r="M1317" s="81">
        <v>45789.517060185186</v>
      </c>
      <c r="N1317" s="85">
        <v>45791</v>
      </c>
      <c r="O1317" s="85">
        <v>45791</v>
      </c>
      <c r="P1317" s="82" t="str">
        <f ca="1">IF(Proc[[#This Row],[DaysAgeing]]&gt;5,"yep","on track")</f>
        <v>on track</v>
      </c>
      <c r="Q1317" s="3">
        <f ca="1">IF(Proc[[#This Row],[DateClosed]]="",ABS(NETWORKDAYS(Proc[[#This Row],[DateOpened]],TODAY()))-1,ABS(NETWORKDAYS(Proc[[#This Row],[DateOpened]],Proc[[#This Row],[DateClosed]]))-1)</f>
        <v>2</v>
      </c>
      <c r="R1317" s="82" t="s">
        <v>489</v>
      </c>
      <c r="S1317" s="71"/>
    </row>
    <row r="1318" spans="1:19" hidden="1">
      <c r="A1318" s="74" t="s">
        <v>3066</v>
      </c>
      <c r="B1318" s="71" t="str">
        <f>IFERROR(VLOOKUP(Proc[[#This Row],[App]],Table2[],3,0),"open")</f>
        <v>ok</v>
      </c>
      <c r="C1318" s="74" t="s">
        <v>369</v>
      </c>
      <c r="D1318" t="s">
        <v>3045</v>
      </c>
      <c r="E1318" t="s">
        <v>3026</v>
      </c>
      <c r="F1318" s="105" t="s">
        <v>3026</v>
      </c>
      <c r="G1318" s="74" t="s">
        <v>400</v>
      </c>
      <c r="H1318" s="71" t="str">
        <f>IF(Proc[[#This Row],[type]]="LFF (MDG-F)",MID(Proc[[#This Row],[Obj]],13,10),"")</f>
        <v/>
      </c>
      <c r="I1318" t="s">
        <v>3064</v>
      </c>
      <c r="J1318" s="71" t="b">
        <f>Proc[[#This Row],[Requested]]=Proc[[#This Row],[CurrentParent]]</f>
        <v>1</v>
      </c>
      <c r="K1318" s="71" t="str">
        <f>IF(Proc[[#This Row],[Author]]="Marcela Urrego",VLOOKUP(LEFT(Proc[[#This Row],[Requested]],1),Table3[#All],2,0),VLOOKUP(Proc[[#This Row],[Author]],Table4[],2,0))</f>
        <v>LS</v>
      </c>
      <c r="L1318" s="71" t="s">
        <v>2563</v>
      </c>
      <c r="M1318" s="81">
        <v>45789.517060185186</v>
      </c>
      <c r="N1318" s="85">
        <v>45791</v>
      </c>
      <c r="O1318" s="85">
        <v>45791</v>
      </c>
      <c r="P1318" s="82" t="str">
        <f ca="1">IF(Proc[[#This Row],[DaysAgeing]]&gt;5,"yep","on track")</f>
        <v>on track</v>
      </c>
      <c r="Q1318" s="3">
        <f ca="1">IF(Proc[[#This Row],[DateClosed]]="",ABS(NETWORKDAYS(Proc[[#This Row],[DateOpened]],TODAY()))-1,ABS(NETWORKDAYS(Proc[[#This Row],[DateOpened]],Proc[[#This Row],[DateClosed]]))-1)</f>
        <v>2</v>
      </c>
      <c r="R1318" s="82" t="s">
        <v>489</v>
      </c>
      <c r="S1318" s="71"/>
    </row>
    <row r="1319" spans="1:19" hidden="1">
      <c r="A1319" s="74" t="s">
        <v>3066</v>
      </c>
      <c r="B1319" s="71" t="str">
        <f>IFERROR(VLOOKUP(Proc[[#This Row],[App]],Table2[],3,0),"open")</f>
        <v>ok</v>
      </c>
      <c r="C1319" s="74" t="s">
        <v>369</v>
      </c>
      <c r="D1319" t="s">
        <v>3046</v>
      </c>
      <c r="E1319" t="s">
        <v>3026</v>
      </c>
      <c r="F1319" s="105" t="s">
        <v>3026</v>
      </c>
      <c r="G1319" s="74" t="s">
        <v>400</v>
      </c>
      <c r="H1319" s="71" t="str">
        <f>IF(Proc[[#This Row],[type]]="LFF (MDG-F)",MID(Proc[[#This Row],[Obj]],13,10),"")</f>
        <v/>
      </c>
      <c r="I1319" t="s">
        <v>3064</v>
      </c>
      <c r="J1319" s="71" t="b">
        <f>Proc[[#This Row],[Requested]]=Proc[[#This Row],[CurrentParent]]</f>
        <v>1</v>
      </c>
      <c r="K1319" s="71" t="str">
        <f>IF(Proc[[#This Row],[Author]]="Marcela Urrego",VLOOKUP(LEFT(Proc[[#This Row],[Requested]],1),Table3[#All],2,0),VLOOKUP(Proc[[#This Row],[Author]],Table4[],2,0))</f>
        <v>LS</v>
      </c>
      <c r="L1319" s="71" t="s">
        <v>2563</v>
      </c>
      <c r="M1319" s="81">
        <v>45789.517060185186</v>
      </c>
      <c r="N1319" s="85">
        <v>45791</v>
      </c>
      <c r="O1319" s="85">
        <v>45791</v>
      </c>
      <c r="P1319" s="82" t="str">
        <f ca="1">IF(Proc[[#This Row],[DaysAgeing]]&gt;5,"yep","on track")</f>
        <v>on track</v>
      </c>
      <c r="Q1319" s="3">
        <f ca="1">IF(Proc[[#This Row],[DateClosed]]="",ABS(NETWORKDAYS(Proc[[#This Row],[DateOpened]],TODAY()))-1,ABS(NETWORKDAYS(Proc[[#This Row],[DateOpened]],Proc[[#This Row],[DateClosed]]))-1)</f>
        <v>2</v>
      </c>
      <c r="R1319" s="82" t="s">
        <v>489</v>
      </c>
      <c r="S1319" s="71"/>
    </row>
    <row r="1320" spans="1:19" hidden="1">
      <c r="A1320" s="74" t="s">
        <v>3066</v>
      </c>
      <c r="B1320" s="71" t="str">
        <f>IFERROR(VLOOKUP(Proc[[#This Row],[App]],Table2[],3,0),"open")</f>
        <v>ok</v>
      </c>
      <c r="C1320" s="74" t="s">
        <v>369</v>
      </c>
      <c r="D1320" t="s">
        <v>3047</v>
      </c>
      <c r="E1320" t="s">
        <v>3026</v>
      </c>
      <c r="F1320" s="105" t="s">
        <v>3026</v>
      </c>
      <c r="G1320" s="74" t="s">
        <v>400</v>
      </c>
      <c r="H1320" s="71" t="str">
        <f>IF(Proc[[#This Row],[type]]="LFF (MDG-F)",MID(Proc[[#This Row],[Obj]],13,10),"")</f>
        <v/>
      </c>
      <c r="I1320" t="s">
        <v>3064</v>
      </c>
      <c r="J1320" s="71" t="b">
        <f>Proc[[#This Row],[Requested]]=Proc[[#This Row],[CurrentParent]]</f>
        <v>1</v>
      </c>
      <c r="K1320" s="71" t="str">
        <f>IF(Proc[[#This Row],[Author]]="Marcela Urrego",VLOOKUP(LEFT(Proc[[#This Row],[Requested]],1),Table3[#All],2,0),VLOOKUP(Proc[[#This Row],[Author]],Table4[],2,0))</f>
        <v>LS</v>
      </c>
      <c r="L1320" s="71" t="s">
        <v>2563</v>
      </c>
      <c r="M1320" s="81">
        <v>45789.517060185186</v>
      </c>
      <c r="N1320" s="85">
        <v>45791</v>
      </c>
      <c r="O1320" s="85">
        <v>45791</v>
      </c>
      <c r="P1320" s="82" t="str">
        <f ca="1">IF(Proc[[#This Row],[DaysAgeing]]&gt;5,"yep","on track")</f>
        <v>on track</v>
      </c>
      <c r="Q1320" s="3">
        <f ca="1">IF(Proc[[#This Row],[DateClosed]]="",ABS(NETWORKDAYS(Proc[[#This Row],[DateOpened]],TODAY()))-1,ABS(NETWORKDAYS(Proc[[#This Row],[DateOpened]],Proc[[#This Row],[DateClosed]]))-1)</f>
        <v>2</v>
      </c>
      <c r="R1320" s="82" t="s">
        <v>489</v>
      </c>
      <c r="S1320" s="71"/>
    </row>
    <row r="1321" spans="1:19" hidden="1">
      <c r="A1321" s="74" t="s">
        <v>3066</v>
      </c>
      <c r="B1321" s="71" t="str">
        <f>IFERROR(VLOOKUP(Proc[[#This Row],[App]],Table2[],3,0),"open")</f>
        <v>ok</v>
      </c>
      <c r="C1321" s="74" t="s">
        <v>369</v>
      </c>
      <c r="D1321" t="s">
        <v>3048</v>
      </c>
      <c r="E1321" t="s">
        <v>3026</v>
      </c>
      <c r="F1321" s="105" t="s">
        <v>3026</v>
      </c>
      <c r="G1321" s="74" t="s">
        <v>400</v>
      </c>
      <c r="H1321" s="71" t="str">
        <f>IF(Proc[[#This Row],[type]]="LFF (MDG-F)",MID(Proc[[#This Row],[Obj]],13,10),"")</f>
        <v/>
      </c>
      <c r="I1321" t="s">
        <v>3064</v>
      </c>
      <c r="J1321" s="71" t="b">
        <f>Proc[[#This Row],[Requested]]=Proc[[#This Row],[CurrentParent]]</f>
        <v>1</v>
      </c>
      <c r="K1321" s="71" t="str">
        <f>IF(Proc[[#This Row],[Author]]="Marcela Urrego",VLOOKUP(LEFT(Proc[[#This Row],[Requested]],1),Table3[#All],2,0),VLOOKUP(Proc[[#This Row],[Author]],Table4[],2,0))</f>
        <v>LS</v>
      </c>
      <c r="L1321" s="71" t="s">
        <v>2563</v>
      </c>
      <c r="M1321" s="81">
        <v>45789.517060185186</v>
      </c>
      <c r="N1321" s="85">
        <v>45791</v>
      </c>
      <c r="O1321" s="85">
        <v>45791</v>
      </c>
      <c r="P1321" s="82" t="str">
        <f ca="1">IF(Proc[[#This Row],[DaysAgeing]]&gt;5,"yep","on track")</f>
        <v>on track</v>
      </c>
      <c r="Q1321" s="3">
        <f ca="1">IF(Proc[[#This Row],[DateClosed]]="",ABS(NETWORKDAYS(Proc[[#This Row],[DateOpened]],TODAY()))-1,ABS(NETWORKDAYS(Proc[[#This Row],[DateOpened]],Proc[[#This Row],[DateClosed]]))-1)</f>
        <v>2</v>
      </c>
      <c r="R1321" s="82" t="s">
        <v>489</v>
      </c>
      <c r="S1321" s="71"/>
    </row>
    <row r="1322" spans="1:19" hidden="1">
      <c r="A1322" s="74" t="s">
        <v>3066</v>
      </c>
      <c r="B1322" s="71" t="str">
        <f>IFERROR(VLOOKUP(Proc[[#This Row],[App]],Table2[],3,0),"open")</f>
        <v>ok</v>
      </c>
      <c r="C1322" s="74" t="s">
        <v>369</v>
      </c>
      <c r="D1322" t="s">
        <v>3049</v>
      </c>
      <c r="E1322" t="s">
        <v>3026</v>
      </c>
      <c r="F1322" s="105" t="s">
        <v>3026</v>
      </c>
      <c r="G1322" s="74" t="s">
        <v>400</v>
      </c>
      <c r="H1322" s="71" t="str">
        <f>IF(Proc[[#This Row],[type]]="LFF (MDG-F)",MID(Proc[[#This Row],[Obj]],13,10),"")</f>
        <v/>
      </c>
      <c r="I1322" t="s">
        <v>3064</v>
      </c>
      <c r="J1322" s="71" t="b">
        <f>Proc[[#This Row],[Requested]]=Proc[[#This Row],[CurrentParent]]</f>
        <v>1</v>
      </c>
      <c r="K1322" s="71" t="str">
        <f>IF(Proc[[#This Row],[Author]]="Marcela Urrego",VLOOKUP(LEFT(Proc[[#This Row],[Requested]],1),Table3[#All],2,0),VLOOKUP(Proc[[#This Row],[Author]],Table4[],2,0))</f>
        <v>LS</v>
      </c>
      <c r="L1322" s="71" t="s">
        <v>2563</v>
      </c>
      <c r="M1322" s="81">
        <v>45789.517060185186</v>
      </c>
      <c r="N1322" s="85">
        <v>45791</v>
      </c>
      <c r="O1322" s="85">
        <v>45791</v>
      </c>
      <c r="P1322" s="82" t="str">
        <f ca="1">IF(Proc[[#This Row],[DaysAgeing]]&gt;5,"yep","on track")</f>
        <v>on track</v>
      </c>
      <c r="Q1322" s="3">
        <f ca="1">IF(Proc[[#This Row],[DateClosed]]="",ABS(NETWORKDAYS(Proc[[#This Row],[DateOpened]],TODAY()))-1,ABS(NETWORKDAYS(Proc[[#This Row],[DateOpened]],Proc[[#This Row],[DateClosed]]))-1)</f>
        <v>2</v>
      </c>
      <c r="R1322" s="82" t="s">
        <v>489</v>
      </c>
      <c r="S1322" s="71"/>
    </row>
    <row r="1323" spans="1:19" hidden="1">
      <c r="A1323" s="74" t="s">
        <v>3066</v>
      </c>
      <c r="B1323" s="71" t="str">
        <f>IFERROR(VLOOKUP(Proc[[#This Row],[App]],Table2[],3,0),"open")</f>
        <v>ok</v>
      </c>
      <c r="C1323" s="74" t="s">
        <v>369</v>
      </c>
      <c r="D1323" t="s">
        <v>3050</v>
      </c>
      <c r="E1323" t="s">
        <v>3026</v>
      </c>
      <c r="F1323" s="105" t="s">
        <v>3026</v>
      </c>
      <c r="G1323" s="74" t="s">
        <v>400</v>
      </c>
      <c r="H1323" s="71" t="str">
        <f>IF(Proc[[#This Row],[type]]="LFF (MDG-F)",MID(Proc[[#This Row],[Obj]],13,10),"")</f>
        <v/>
      </c>
      <c r="I1323" t="s">
        <v>3064</v>
      </c>
      <c r="J1323" s="71" t="b">
        <f>Proc[[#This Row],[Requested]]=Proc[[#This Row],[CurrentParent]]</f>
        <v>1</v>
      </c>
      <c r="K1323" s="71" t="str">
        <f>IF(Proc[[#This Row],[Author]]="Marcela Urrego",VLOOKUP(LEFT(Proc[[#This Row],[Requested]],1),Table3[#All],2,0),VLOOKUP(Proc[[#This Row],[Author]],Table4[],2,0))</f>
        <v>LS</v>
      </c>
      <c r="L1323" s="71" t="s">
        <v>2563</v>
      </c>
      <c r="M1323" s="81">
        <v>45789.517060185186</v>
      </c>
      <c r="N1323" s="85">
        <v>45791</v>
      </c>
      <c r="O1323" s="85">
        <v>45791</v>
      </c>
      <c r="P1323" s="82" t="str">
        <f ca="1">IF(Proc[[#This Row],[DaysAgeing]]&gt;5,"yep","on track")</f>
        <v>on track</v>
      </c>
      <c r="Q1323" s="3">
        <f ca="1">IF(Proc[[#This Row],[DateClosed]]="",ABS(NETWORKDAYS(Proc[[#This Row],[DateOpened]],TODAY()))-1,ABS(NETWORKDAYS(Proc[[#This Row],[DateOpened]],Proc[[#This Row],[DateClosed]]))-1)</f>
        <v>2</v>
      </c>
      <c r="R1323" s="82" t="s">
        <v>489</v>
      </c>
      <c r="S1323" s="71"/>
    </row>
    <row r="1324" spans="1:19" hidden="1">
      <c r="A1324" s="74" t="s">
        <v>3066</v>
      </c>
      <c r="B1324" s="71" t="str">
        <f>IFERROR(VLOOKUP(Proc[[#This Row],[App]],Table2[],3,0),"open")</f>
        <v>ok</v>
      </c>
      <c r="C1324" s="74" t="s">
        <v>369</v>
      </c>
      <c r="D1324" t="s">
        <v>3051</v>
      </c>
      <c r="E1324" t="s">
        <v>3026</v>
      </c>
      <c r="F1324" s="105" t="s">
        <v>3026</v>
      </c>
      <c r="G1324" s="74" t="s">
        <v>400</v>
      </c>
      <c r="H1324" s="71" t="str">
        <f>IF(Proc[[#This Row],[type]]="LFF (MDG-F)",MID(Proc[[#This Row],[Obj]],13,10),"")</f>
        <v/>
      </c>
      <c r="I1324" t="s">
        <v>3064</v>
      </c>
      <c r="J1324" s="71" t="b">
        <f>Proc[[#This Row],[Requested]]=Proc[[#This Row],[CurrentParent]]</f>
        <v>1</v>
      </c>
      <c r="K1324" s="71" t="str">
        <f>IF(Proc[[#This Row],[Author]]="Marcela Urrego",VLOOKUP(LEFT(Proc[[#This Row],[Requested]],1),Table3[#All],2,0),VLOOKUP(Proc[[#This Row],[Author]],Table4[],2,0))</f>
        <v>LS</v>
      </c>
      <c r="L1324" s="71" t="s">
        <v>2563</v>
      </c>
      <c r="M1324" s="81">
        <v>45789.517060185186</v>
      </c>
      <c r="N1324" s="85">
        <v>45791</v>
      </c>
      <c r="O1324" s="85">
        <v>45791</v>
      </c>
      <c r="P1324" s="82" t="str">
        <f ca="1">IF(Proc[[#This Row],[DaysAgeing]]&gt;5,"yep","on track")</f>
        <v>on track</v>
      </c>
      <c r="Q1324" s="3">
        <f ca="1">IF(Proc[[#This Row],[DateClosed]]="",ABS(NETWORKDAYS(Proc[[#This Row],[DateOpened]],TODAY()))-1,ABS(NETWORKDAYS(Proc[[#This Row],[DateOpened]],Proc[[#This Row],[DateClosed]]))-1)</f>
        <v>2</v>
      </c>
      <c r="R1324" s="82" t="s">
        <v>489</v>
      </c>
      <c r="S1324" s="71"/>
    </row>
    <row r="1325" spans="1:19" hidden="1">
      <c r="A1325" s="74" t="s">
        <v>3066</v>
      </c>
      <c r="B1325" s="71" t="str">
        <f>IFERROR(VLOOKUP(Proc[[#This Row],[App]],Table2[],3,0),"open")</f>
        <v>ok</v>
      </c>
      <c r="C1325" s="74" t="s">
        <v>369</v>
      </c>
      <c r="D1325" t="s">
        <v>3052</v>
      </c>
      <c r="E1325" t="s">
        <v>3026</v>
      </c>
      <c r="F1325" s="105" t="s">
        <v>3026</v>
      </c>
      <c r="G1325" s="74" t="s">
        <v>400</v>
      </c>
      <c r="H1325" s="71" t="str">
        <f>IF(Proc[[#This Row],[type]]="LFF (MDG-F)",MID(Proc[[#This Row],[Obj]],13,10),"")</f>
        <v/>
      </c>
      <c r="I1325" t="s">
        <v>3064</v>
      </c>
      <c r="J1325" s="71" t="b">
        <f>Proc[[#This Row],[Requested]]=Proc[[#This Row],[CurrentParent]]</f>
        <v>1</v>
      </c>
      <c r="K1325" s="71" t="str">
        <f>IF(Proc[[#This Row],[Author]]="Marcela Urrego",VLOOKUP(LEFT(Proc[[#This Row],[Requested]],1),Table3[#All],2,0),VLOOKUP(Proc[[#This Row],[Author]],Table4[],2,0))</f>
        <v>LS</v>
      </c>
      <c r="L1325" s="71" t="s">
        <v>2563</v>
      </c>
      <c r="M1325" s="81">
        <v>45789.517060185186</v>
      </c>
      <c r="N1325" s="85">
        <v>45791</v>
      </c>
      <c r="O1325" s="85">
        <v>45791</v>
      </c>
      <c r="P1325" s="82" t="str">
        <f ca="1">IF(Proc[[#This Row],[DaysAgeing]]&gt;5,"yep","on track")</f>
        <v>on track</v>
      </c>
      <c r="Q1325" s="3">
        <f ca="1">IF(Proc[[#This Row],[DateClosed]]="",ABS(NETWORKDAYS(Proc[[#This Row],[DateOpened]],TODAY()))-1,ABS(NETWORKDAYS(Proc[[#This Row],[DateOpened]],Proc[[#This Row],[DateClosed]]))-1)</f>
        <v>2</v>
      </c>
      <c r="R1325" s="82" t="s">
        <v>489</v>
      </c>
      <c r="S1325" s="71"/>
    </row>
    <row r="1326" spans="1:19" hidden="1">
      <c r="A1326" s="74" t="s">
        <v>3066</v>
      </c>
      <c r="B1326" s="71" t="str">
        <f>IFERROR(VLOOKUP(Proc[[#This Row],[App]],Table2[],3,0),"open")</f>
        <v>ok</v>
      </c>
      <c r="C1326" s="74" t="s">
        <v>369</v>
      </c>
      <c r="D1326" t="s">
        <v>3053</v>
      </c>
      <c r="E1326" t="s">
        <v>3026</v>
      </c>
      <c r="F1326" s="105" t="s">
        <v>3026</v>
      </c>
      <c r="G1326" s="74" t="s">
        <v>400</v>
      </c>
      <c r="H1326" s="71" t="str">
        <f>IF(Proc[[#This Row],[type]]="LFF (MDG-F)",MID(Proc[[#This Row],[Obj]],13,10),"")</f>
        <v/>
      </c>
      <c r="I1326" t="s">
        <v>3065</v>
      </c>
      <c r="J1326" s="71" t="b">
        <f>Proc[[#This Row],[Requested]]=Proc[[#This Row],[CurrentParent]]</f>
        <v>1</v>
      </c>
      <c r="K1326" s="71" t="str">
        <f>IF(Proc[[#This Row],[Author]]="Marcela Urrego",VLOOKUP(LEFT(Proc[[#This Row],[Requested]],1),Table3[#All],2,0),VLOOKUP(Proc[[#This Row],[Author]],Table4[],2,0))</f>
        <v>LS</v>
      </c>
      <c r="L1326" s="71" t="s">
        <v>2563</v>
      </c>
      <c r="M1326" s="81">
        <v>45789.517060185186</v>
      </c>
      <c r="N1326" s="85">
        <v>45791</v>
      </c>
      <c r="O1326" s="85">
        <v>45791</v>
      </c>
      <c r="P1326" s="82" t="str">
        <f ca="1">IF(Proc[[#This Row],[DaysAgeing]]&gt;5,"yep","on track")</f>
        <v>on track</v>
      </c>
      <c r="Q1326" s="3">
        <f ca="1">IF(Proc[[#This Row],[DateClosed]]="",ABS(NETWORKDAYS(Proc[[#This Row],[DateOpened]],TODAY()))-1,ABS(NETWORKDAYS(Proc[[#This Row],[DateOpened]],Proc[[#This Row],[DateClosed]]))-1)</f>
        <v>2</v>
      </c>
      <c r="R1326" s="82" t="s">
        <v>489</v>
      </c>
      <c r="S1326" s="71"/>
    </row>
    <row r="1327" spans="1:19" hidden="1">
      <c r="A1327" s="74" t="s">
        <v>3066</v>
      </c>
      <c r="B1327" s="71" t="str">
        <f>IFERROR(VLOOKUP(Proc[[#This Row],[App]],Table2[],3,0),"open")</f>
        <v>ok</v>
      </c>
      <c r="C1327" s="74" t="s">
        <v>369</v>
      </c>
      <c r="D1327" t="s">
        <v>3054</v>
      </c>
      <c r="E1327" t="s">
        <v>3026</v>
      </c>
      <c r="F1327" s="105" t="s">
        <v>3026</v>
      </c>
      <c r="G1327" s="74" t="s">
        <v>400</v>
      </c>
      <c r="H1327" s="71" t="str">
        <f>IF(Proc[[#This Row],[type]]="LFF (MDG-F)",MID(Proc[[#This Row],[Obj]],13,10),"")</f>
        <v/>
      </c>
      <c r="I1327" t="s">
        <v>3065</v>
      </c>
      <c r="J1327" s="71" t="b">
        <f>Proc[[#This Row],[Requested]]=Proc[[#This Row],[CurrentParent]]</f>
        <v>1</v>
      </c>
      <c r="K1327" s="71" t="str">
        <f>IF(Proc[[#This Row],[Author]]="Marcela Urrego",VLOOKUP(LEFT(Proc[[#This Row],[Requested]],1),Table3[#All],2,0),VLOOKUP(Proc[[#This Row],[Author]],Table4[],2,0))</f>
        <v>LS</v>
      </c>
      <c r="L1327" s="71" t="s">
        <v>2563</v>
      </c>
      <c r="M1327" s="81">
        <v>45789.517060185186</v>
      </c>
      <c r="N1327" s="85">
        <v>45791</v>
      </c>
      <c r="O1327" s="85">
        <v>45791</v>
      </c>
      <c r="P1327" s="82" t="str">
        <f ca="1">IF(Proc[[#This Row],[DaysAgeing]]&gt;5,"yep","on track")</f>
        <v>on track</v>
      </c>
      <c r="Q1327" s="3">
        <f ca="1">IF(Proc[[#This Row],[DateClosed]]="",ABS(NETWORKDAYS(Proc[[#This Row],[DateOpened]],TODAY()))-1,ABS(NETWORKDAYS(Proc[[#This Row],[DateOpened]],Proc[[#This Row],[DateClosed]]))-1)</f>
        <v>2</v>
      </c>
      <c r="R1327" s="82" t="s">
        <v>489</v>
      </c>
      <c r="S1327" s="71"/>
    </row>
    <row r="1328" spans="1:19" hidden="1">
      <c r="A1328" s="74" t="s">
        <v>3066</v>
      </c>
      <c r="B1328" s="71" t="str">
        <f>IFERROR(VLOOKUP(Proc[[#This Row],[App]],Table2[],3,0),"open")</f>
        <v>ok</v>
      </c>
      <c r="C1328" s="74" t="s">
        <v>369</v>
      </c>
      <c r="D1328" t="s">
        <v>3055</v>
      </c>
      <c r="E1328" t="s">
        <v>3026</v>
      </c>
      <c r="F1328" s="105" t="s">
        <v>3026</v>
      </c>
      <c r="G1328" s="74" t="s">
        <v>400</v>
      </c>
      <c r="H1328" s="71" t="str">
        <f>IF(Proc[[#This Row],[type]]="LFF (MDG-F)",MID(Proc[[#This Row],[Obj]],13,10),"")</f>
        <v/>
      </c>
      <c r="I1328" t="s">
        <v>3065</v>
      </c>
      <c r="J1328" s="71" t="b">
        <f>Proc[[#This Row],[Requested]]=Proc[[#This Row],[CurrentParent]]</f>
        <v>1</v>
      </c>
      <c r="K1328" s="71" t="str">
        <f>IF(Proc[[#This Row],[Author]]="Marcela Urrego",VLOOKUP(LEFT(Proc[[#This Row],[Requested]],1),Table3[#All],2,0),VLOOKUP(Proc[[#This Row],[Author]],Table4[],2,0))</f>
        <v>LS</v>
      </c>
      <c r="L1328" s="71" t="s">
        <v>2563</v>
      </c>
      <c r="M1328" s="81">
        <v>45789.517060185186</v>
      </c>
      <c r="N1328" s="85">
        <v>45791</v>
      </c>
      <c r="O1328" s="85">
        <v>45791</v>
      </c>
      <c r="P1328" s="82" t="str">
        <f ca="1">IF(Proc[[#This Row],[DaysAgeing]]&gt;5,"yep","on track")</f>
        <v>on track</v>
      </c>
      <c r="Q1328" s="3">
        <f ca="1">IF(Proc[[#This Row],[DateClosed]]="",ABS(NETWORKDAYS(Proc[[#This Row],[DateOpened]],TODAY()))-1,ABS(NETWORKDAYS(Proc[[#This Row],[DateOpened]],Proc[[#This Row],[DateClosed]]))-1)</f>
        <v>2</v>
      </c>
      <c r="R1328" s="82" t="s">
        <v>489</v>
      </c>
      <c r="S1328" s="71"/>
    </row>
    <row r="1329" spans="1:19" hidden="1">
      <c r="A1329" s="74" t="s">
        <v>3066</v>
      </c>
      <c r="B1329" s="71" t="str">
        <f>IFERROR(VLOOKUP(Proc[[#This Row],[App]],Table2[],3,0),"open")</f>
        <v>ok</v>
      </c>
      <c r="C1329" s="74" t="s">
        <v>369</v>
      </c>
      <c r="D1329" t="s">
        <v>3056</v>
      </c>
      <c r="E1329" t="s">
        <v>3026</v>
      </c>
      <c r="F1329" s="105" t="s">
        <v>3026</v>
      </c>
      <c r="G1329" s="74" t="s">
        <v>400</v>
      </c>
      <c r="H1329" s="71" t="str">
        <f>IF(Proc[[#This Row],[type]]="LFF (MDG-F)",MID(Proc[[#This Row],[Obj]],13,10),"")</f>
        <v/>
      </c>
      <c r="I1329" t="s">
        <v>3065</v>
      </c>
      <c r="J1329" s="71" t="b">
        <f>Proc[[#This Row],[Requested]]=Proc[[#This Row],[CurrentParent]]</f>
        <v>1</v>
      </c>
      <c r="K1329" s="71" t="str">
        <f>IF(Proc[[#This Row],[Author]]="Marcela Urrego",VLOOKUP(LEFT(Proc[[#This Row],[Requested]],1),Table3[#All],2,0),VLOOKUP(Proc[[#This Row],[Author]],Table4[],2,0))</f>
        <v>LS</v>
      </c>
      <c r="L1329" s="71" t="s">
        <v>2563</v>
      </c>
      <c r="M1329" s="81">
        <v>45789.517060185186</v>
      </c>
      <c r="N1329" s="85">
        <v>45791</v>
      </c>
      <c r="O1329" s="85">
        <v>45791</v>
      </c>
      <c r="P1329" s="82" t="str">
        <f ca="1">IF(Proc[[#This Row],[DaysAgeing]]&gt;5,"yep","on track")</f>
        <v>on track</v>
      </c>
      <c r="Q1329" s="3">
        <f ca="1">IF(Proc[[#This Row],[DateClosed]]="",ABS(NETWORKDAYS(Proc[[#This Row],[DateOpened]],TODAY()))-1,ABS(NETWORKDAYS(Proc[[#This Row],[DateOpened]],Proc[[#This Row],[DateClosed]]))-1)</f>
        <v>2</v>
      </c>
      <c r="R1329" s="82" t="s">
        <v>489</v>
      </c>
      <c r="S1329" s="71"/>
    </row>
    <row r="1330" spans="1:19" hidden="1">
      <c r="A1330" s="74" t="s">
        <v>3066</v>
      </c>
      <c r="B1330" s="71" t="str">
        <f>IFERROR(VLOOKUP(Proc[[#This Row],[App]],Table2[],3,0),"open")</f>
        <v>ok</v>
      </c>
      <c r="C1330" s="74" t="s">
        <v>369</v>
      </c>
      <c r="D1330" t="s">
        <v>3057</v>
      </c>
      <c r="E1330" t="s">
        <v>3026</v>
      </c>
      <c r="F1330" s="105" t="s">
        <v>3026</v>
      </c>
      <c r="G1330" s="74" t="s">
        <v>400</v>
      </c>
      <c r="H1330" s="71" t="str">
        <f>IF(Proc[[#This Row],[type]]="LFF (MDG-F)",MID(Proc[[#This Row],[Obj]],13,10),"")</f>
        <v/>
      </c>
      <c r="I1330" t="s">
        <v>3065</v>
      </c>
      <c r="J1330" s="71" t="b">
        <f>Proc[[#This Row],[Requested]]=Proc[[#This Row],[CurrentParent]]</f>
        <v>1</v>
      </c>
      <c r="K1330" s="71" t="str">
        <f>IF(Proc[[#This Row],[Author]]="Marcela Urrego",VLOOKUP(LEFT(Proc[[#This Row],[Requested]],1),Table3[#All],2,0),VLOOKUP(Proc[[#This Row],[Author]],Table4[],2,0))</f>
        <v>LS</v>
      </c>
      <c r="L1330" s="71" t="s">
        <v>2563</v>
      </c>
      <c r="M1330" s="81">
        <v>45789.517060185186</v>
      </c>
      <c r="N1330" s="85">
        <v>45791</v>
      </c>
      <c r="O1330" s="85">
        <v>45791</v>
      </c>
      <c r="P1330" s="82" t="str">
        <f ca="1">IF(Proc[[#This Row],[DaysAgeing]]&gt;5,"yep","on track")</f>
        <v>on track</v>
      </c>
      <c r="Q1330" s="3">
        <f ca="1">IF(Proc[[#This Row],[DateClosed]]="",ABS(NETWORKDAYS(Proc[[#This Row],[DateOpened]],TODAY()))-1,ABS(NETWORKDAYS(Proc[[#This Row],[DateOpened]],Proc[[#This Row],[DateClosed]]))-1)</f>
        <v>2</v>
      </c>
      <c r="R1330" s="82" t="s">
        <v>489</v>
      </c>
      <c r="S1330" s="71"/>
    </row>
    <row r="1331" spans="1:19" hidden="1">
      <c r="A1331" s="74" t="s">
        <v>3066</v>
      </c>
      <c r="B1331" s="71" t="str">
        <f>IFERROR(VLOOKUP(Proc[[#This Row],[App]],Table2[],3,0),"open")</f>
        <v>ok</v>
      </c>
      <c r="C1331" s="74" t="s">
        <v>369</v>
      </c>
      <c r="D1331" t="s">
        <v>3058</v>
      </c>
      <c r="E1331" t="s">
        <v>3026</v>
      </c>
      <c r="F1331" s="105" t="s">
        <v>3026</v>
      </c>
      <c r="G1331" s="74" t="s">
        <v>400</v>
      </c>
      <c r="H1331" s="71" t="str">
        <f>IF(Proc[[#This Row],[type]]="LFF (MDG-F)",MID(Proc[[#This Row],[Obj]],13,10),"")</f>
        <v/>
      </c>
      <c r="I1331" t="s">
        <v>3065</v>
      </c>
      <c r="J1331" s="71" t="b">
        <f>Proc[[#This Row],[Requested]]=Proc[[#This Row],[CurrentParent]]</f>
        <v>1</v>
      </c>
      <c r="K1331" s="71" t="str">
        <f>IF(Proc[[#This Row],[Author]]="Marcela Urrego",VLOOKUP(LEFT(Proc[[#This Row],[Requested]],1),Table3[#All],2,0),VLOOKUP(Proc[[#This Row],[Author]],Table4[],2,0))</f>
        <v>LS</v>
      </c>
      <c r="L1331" s="71" t="s">
        <v>2563</v>
      </c>
      <c r="M1331" s="81">
        <v>45789.517060185186</v>
      </c>
      <c r="N1331" s="85">
        <v>45791</v>
      </c>
      <c r="O1331" s="85">
        <v>45791</v>
      </c>
      <c r="P1331" s="82" t="str">
        <f ca="1">IF(Proc[[#This Row],[DaysAgeing]]&gt;5,"yep","on track")</f>
        <v>on track</v>
      </c>
      <c r="Q1331" s="3">
        <f ca="1">IF(Proc[[#This Row],[DateClosed]]="",ABS(NETWORKDAYS(Proc[[#This Row],[DateOpened]],TODAY()))-1,ABS(NETWORKDAYS(Proc[[#This Row],[DateOpened]],Proc[[#This Row],[DateClosed]]))-1)</f>
        <v>2</v>
      </c>
      <c r="R1331" s="82" t="s">
        <v>489</v>
      </c>
      <c r="S1331" s="71"/>
    </row>
    <row r="1332" spans="1:19" hidden="1">
      <c r="A1332" s="74" t="s">
        <v>3066</v>
      </c>
      <c r="B1332" s="71" t="str">
        <f>IFERROR(VLOOKUP(Proc[[#This Row],[App]],Table2[],3,0),"open")</f>
        <v>ok</v>
      </c>
      <c r="C1332" s="74" t="s">
        <v>369</v>
      </c>
      <c r="D1332" t="s">
        <v>3059</v>
      </c>
      <c r="E1332" t="s">
        <v>3026</v>
      </c>
      <c r="F1332" s="105" t="s">
        <v>3026</v>
      </c>
      <c r="G1332" s="74" t="s">
        <v>400</v>
      </c>
      <c r="H1332" s="71" t="str">
        <f>IF(Proc[[#This Row],[type]]="LFF (MDG-F)",MID(Proc[[#This Row],[Obj]],13,10),"")</f>
        <v/>
      </c>
      <c r="I1332" t="s">
        <v>3065</v>
      </c>
      <c r="J1332" s="71" t="b">
        <f>Proc[[#This Row],[Requested]]=Proc[[#This Row],[CurrentParent]]</f>
        <v>1</v>
      </c>
      <c r="K1332" s="71" t="str">
        <f>IF(Proc[[#This Row],[Author]]="Marcela Urrego",VLOOKUP(LEFT(Proc[[#This Row],[Requested]],1),Table3[#All],2,0),VLOOKUP(Proc[[#This Row],[Author]],Table4[],2,0))</f>
        <v>LS</v>
      </c>
      <c r="L1332" s="71" t="s">
        <v>2563</v>
      </c>
      <c r="M1332" s="81">
        <v>45789.517060185186</v>
      </c>
      <c r="N1332" s="85">
        <v>45791</v>
      </c>
      <c r="O1332" s="85">
        <v>45791</v>
      </c>
      <c r="P1332" s="82" t="str">
        <f ca="1">IF(Proc[[#This Row],[DaysAgeing]]&gt;5,"yep","on track")</f>
        <v>on track</v>
      </c>
      <c r="Q1332" s="3">
        <f ca="1">IF(Proc[[#This Row],[DateClosed]]="",ABS(NETWORKDAYS(Proc[[#This Row],[DateOpened]],TODAY()))-1,ABS(NETWORKDAYS(Proc[[#This Row],[DateOpened]],Proc[[#This Row],[DateClosed]]))-1)</f>
        <v>2</v>
      </c>
      <c r="R1332" s="82" t="s">
        <v>489</v>
      </c>
      <c r="S1332" s="71"/>
    </row>
    <row r="1333" spans="1:19" hidden="1">
      <c r="A1333" s="74" t="s">
        <v>3066</v>
      </c>
      <c r="B1333" s="71" t="str">
        <f>IFERROR(VLOOKUP(Proc[[#This Row],[App]],Table2[],3,0),"open")</f>
        <v>ok</v>
      </c>
      <c r="C1333" s="74" t="s">
        <v>369</v>
      </c>
      <c r="D1333" t="s">
        <v>3060</v>
      </c>
      <c r="E1333" t="s">
        <v>3026</v>
      </c>
      <c r="F1333" s="105" t="s">
        <v>3026</v>
      </c>
      <c r="G1333" s="74" t="s">
        <v>400</v>
      </c>
      <c r="H1333" s="71" t="str">
        <f>IF(Proc[[#This Row],[type]]="LFF (MDG-F)",MID(Proc[[#This Row],[Obj]],13,10),"")</f>
        <v/>
      </c>
      <c r="I1333" t="s">
        <v>3065</v>
      </c>
      <c r="J1333" s="71" t="b">
        <f>Proc[[#This Row],[Requested]]=Proc[[#This Row],[CurrentParent]]</f>
        <v>1</v>
      </c>
      <c r="K1333" s="71" t="str">
        <f>IF(Proc[[#This Row],[Author]]="Marcela Urrego",VLOOKUP(LEFT(Proc[[#This Row],[Requested]],1),Table3[#All],2,0),VLOOKUP(Proc[[#This Row],[Author]],Table4[],2,0))</f>
        <v>LS</v>
      </c>
      <c r="L1333" s="71" t="s">
        <v>2563</v>
      </c>
      <c r="M1333" s="81">
        <v>45789.517060185186</v>
      </c>
      <c r="N1333" s="85">
        <v>45791</v>
      </c>
      <c r="O1333" s="85">
        <v>45791</v>
      </c>
      <c r="P1333" s="82" t="str">
        <f ca="1">IF(Proc[[#This Row],[DaysAgeing]]&gt;5,"yep","on track")</f>
        <v>on track</v>
      </c>
      <c r="Q1333" s="3">
        <f ca="1">IF(Proc[[#This Row],[DateClosed]]="",ABS(NETWORKDAYS(Proc[[#This Row],[DateOpened]],TODAY()))-1,ABS(NETWORKDAYS(Proc[[#This Row],[DateOpened]],Proc[[#This Row],[DateClosed]]))-1)</f>
        <v>2</v>
      </c>
      <c r="R1333" s="82" t="s">
        <v>489</v>
      </c>
      <c r="S1333" s="71"/>
    </row>
    <row r="1334" spans="1:19" hidden="1">
      <c r="A1334" s="74" t="s">
        <v>3066</v>
      </c>
      <c r="B1334" s="71" t="str">
        <f>IFERROR(VLOOKUP(Proc[[#This Row],[App]],Table2[],3,0),"open")</f>
        <v>ok</v>
      </c>
      <c r="C1334" s="74" t="s">
        <v>369</v>
      </c>
      <c r="D1334" t="s">
        <v>3061</v>
      </c>
      <c r="E1334" t="s">
        <v>3026</v>
      </c>
      <c r="F1334" s="105" t="s">
        <v>3026</v>
      </c>
      <c r="G1334" s="74" t="s">
        <v>400</v>
      </c>
      <c r="H1334" s="71" t="str">
        <f>IF(Proc[[#This Row],[type]]="LFF (MDG-F)",MID(Proc[[#This Row],[Obj]],13,10),"")</f>
        <v/>
      </c>
      <c r="I1334" t="s">
        <v>3065</v>
      </c>
      <c r="J1334" s="71" t="b">
        <f>Proc[[#This Row],[Requested]]=Proc[[#This Row],[CurrentParent]]</f>
        <v>1</v>
      </c>
      <c r="K1334" s="71" t="str">
        <f>IF(Proc[[#This Row],[Author]]="Marcela Urrego",VLOOKUP(LEFT(Proc[[#This Row],[Requested]],1),Table3[#All],2,0),VLOOKUP(Proc[[#This Row],[Author]],Table4[],2,0))</f>
        <v>LS</v>
      </c>
      <c r="L1334" s="71" t="s">
        <v>2563</v>
      </c>
      <c r="M1334" s="81">
        <v>45789.517060185186</v>
      </c>
      <c r="N1334" s="85">
        <v>45791</v>
      </c>
      <c r="O1334" s="85">
        <v>45791</v>
      </c>
      <c r="P1334" s="82" t="str">
        <f ca="1">IF(Proc[[#This Row],[DaysAgeing]]&gt;5,"yep","on track")</f>
        <v>on track</v>
      </c>
      <c r="Q1334" s="3">
        <f ca="1">IF(Proc[[#This Row],[DateClosed]]="",ABS(NETWORKDAYS(Proc[[#This Row],[DateOpened]],TODAY()))-1,ABS(NETWORKDAYS(Proc[[#This Row],[DateOpened]],Proc[[#This Row],[DateClosed]]))-1)</f>
        <v>2</v>
      </c>
      <c r="R1334" s="82" t="s">
        <v>489</v>
      </c>
      <c r="S1334" s="71"/>
    </row>
    <row r="1335" spans="1:19" hidden="1">
      <c r="A1335" t="s">
        <v>3084</v>
      </c>
      <c r="B1335" s="71" t="str">
        <f>IFERROR(VLOOKUP(Proc[[#This Row],[App]],Table2[],3,0),"open")</f>
        <v>ok</v>
      </c>
      <c r="C1335" s="74" t="s">
        <v>369</v>
      </c>
      <c r="D1335" t="s">
        <v>3067</v>
      </c>
      <c r="E1335" t="s">
        <v>2592</v>
      </c>
      <c r="F1335" s="105" t="s">
        <v>2592</v>
      </c>
      <c r="G1335" s="74" t="s">
        <v>400</v>
      </c>
      <c r="H1335" s="71" t="str">
        <f>IF(Proc[[#This Row],[type]]="LFF (MDG-F)",MID(Proc[[#This Row],[Obj]],13,10),"")</f>
        <v/>
      </c>
      <c r="J1335" s="71" t="b">
        <f>Proc[[#This Row],[Requested]]=Proc[[#This Row],[CurrentParent]]</f>
        <v>1</v>
      </c>
      <c r="K1335" s="71" t="str">
        <f>IF(Proc[[#This Row],[Author]]="Marcela Urrego",VLOOKUP(LEFT(Proc[[#This Row],[Requested]],1),Table3[#All],2,0),VLOOKUP(Proc[[#This Row],[Author]],Table4[],2,0))</f>
        <v>LS</v>
      </c>
      <c r="L1335" s="71" t="s">
        <v>2563</v>
      </c>
      <c r="M1335" s="81">
        <v>45789.484120370369</v>
      </c>
      <c r="N1335" s="81">
        <v>45790</v>
      </c>
      <c r="O1335" s="81">
        <v>45790</v>
      </c>
      <c r="P1335" s="82" t="str">
        <f ca="1">IF(Proc[[#This Row],[DaysAgeing]]&gt;5,"yep","on track")</f>
        <v>on track</v>
      </c>
      <c r="Q1335" s="3">
        <f ca="1">IF(Proc[[#This Row],[DateClosed]]="",ABS(NETWORKDAYS(Proc[[#This Row],[DateOpened]],TODAY()))-1,ABS(NETWORKDAYS(Proc[[#This Row],[DateOpened]],Proc[[#This Row],[DateClosed]]))-1)</f>
        <v>1</v>
      </c>
      <c r="R1335" s="82" t="s">
        <v>489</v>
      </c>
      <c r="S1335" s="71"/>
    </row>
    <row r="1336" spans="1:19" hidden="1">
      <c r="A1336" s="74" t="s">
        <v>3084</v>
      </c>
      <c r="B1336" s="71" t="str">
        <f>IFERROR(VLOOKUP(Proc[[#This Row],[App]],Table2[],3,0),"open")</f>
        <v>ok</v>
      </c>
      <c r="C1336" s="74" t="s">
        <v>369</v>
      </c>
      <c r="D1336" t="s">
        <v>3068</v>
      </c>
      <c r="E1336" t="s">
        <v>2592</v>
      </c>
      <c r="F1336" s="105" t="s">
        <v>2592</v>
      </c>
      <c r="G1336" s="74" t="s">
        <v>400</v>
      </c>
      <c r="H1336" s="71" t="str">
        <f>IF(Proc[[#This Row],[type]]="LFF (MDG-F)",MID(Proc[[#This Row],[Obj]],13,10),"")</f>
        <v/>
      </c>
      <c r="J1336" s="71" t="b">
        <f>Proc[[#This Row],[Requested]]=Proc[[#This Row],[CurrentParent]]</f>
        <v>1</v>
      </c>
      <c r="K1336" s="71" t="str">
        <f>IF(Proc[[#This Row],[Author]]="Marcela Urrego",VLOOKUP(LEFT(Proc[[#This Row],[Requested]],1),Table3[#All],2,0),VLOOKUP(Proc[[#This Row],[Author]],Table4[],2,0))</f>
        <v>LS</v>
      </c>
      <c r="L1336" s="71" t="s">
        <v>2563</v>
      </c>
      <c r="M1336" s="81">
        <v>45789.484120370369</v>
      </c>
      <c r="N1336" s="81">
        <v>45790</v>
      </c>
      <c r="O1336" s="81">
        <v>45790</v>
      </c>
      <c r="P1336" s="82" t="str">
        <f ca="1">IF(Proc[[#This Row],[DaysAgeing]]&gt;5,"yep","on track")</f>
        <v>on track</v>
      </c>
      <c r="Q1336" s="3">
        <f ca="1">IF(Proc[[#This Row],[DateClosed]]="",ABS(NETWORKDAYS(Proc[[#This Row],[DateOpened]],TODAY()))-1,ABS(NETWORKDAYS(Proc[[#This Row],[DateOpened]],Proc[[#This Row],[DateClosed]]))-1)</f>
        <v>1</v>
      </c>
      <c r="R1336" s="82" t="s">
        <v>489</v>
      </c>
      <c r="S1336" s="71"/>
    </row>
    <row r="1337" spans="1:19" hidden="1">
      <c r="A1337" s="74" t="s">
        <v>3084</v>
      </c>
      <c r="B1337" s="71" t="str">
        <f>IFERROR(VLOOKUP(Proc[[#This Row],[App]],Table2[],3,0),"open")</f>
        <v>ok</v>
      </c>
      <c r="C1337" s="74" t="s">
        <v>369</v>
      </c>
      <c r="D1337" t="s">
        <v>3069</v>
      </c>
      <c r="E1337" t="s">
        <v>2592</v>
      </c>
      <c r="F1337" s="105" t="s">
        <v>2592</v>
      </c>
      <c r="G1337" s="74" t="s">
        <v>400</v>
      </c>
      <c r="H1337" s="71" t="str">
        <f>IF(Proc[[#This Row],[type]]="LFF (MDG-F)",MID(Proc[[#This Row],[Obj]],13,10),"")</f>
        <v/>
      </c>
      <c r="J1337" s="71" t="b">
        <f>Proc[[#This Row],[Requested]]=Proc[[#This Row],[CurrentParent]]</f>
        <v>1</v>
      </c>
      <c r="K1337" s="71" t="str">
        <f>IF(Proc[[#This Row],[Author]]="Marcela Urrego",VLOOKUP(LEFT(Proc[[#This Row],[Requested]],1),Table3[#All],2,0),VLOOKUP(Proc[[#This Row],[Author]],Table4[],2,0))</f>
        <v>LS</v>
      </c>
      <c r="L1337" s="71" t="s">
        <v>2563</v>
      </c>
      <c r="M1337" s="81">
        <v>45789.484120370369</v>
      </c>
      <c r="N1337" s="81">
        <v>45790</v>
      </c>
      <c r="O1337" s="81">
        <v>45790</v>
      </c>
      <c r="P1337" s="82" t="str">
        <f ca="1">IF(Proc[[#This Row],[DaysAgeing]]&gt;5,"yep","on track")</f>
        <v>on track</v>
      </c>
      <c r="Q1337" s="3">
        <f ca="1">IF(Proc[[#This Row],[DateClosed]]="",ABS(NETWORKDAYS(Proc[[#This Row],[DateOpened]],TODAY()))-1,ABS(NETWORKDAYS(Proc[[#This Row],[DateOpened]],Proc[[#This Row],[DateClosed]]))-1)</f>
        <v>1</v>
      </c>
      <c r="R1337" s="82" t="s">
        <v>489</v>
      </c>
      <c r="S1337" s="71"/>
    </row>
    <row r="1338" spans="1:19" hidden="1">
      <c r="A1338" s="74" t="s">
        <v>3084</v>
      </c>
      <c r="B1338" s="71" t="str">
        <f>IFERROR(VLOOKUP(Proc[[#This Row],[App]],Table2[],3,0),"open")</f>
        <v>ok</v>
      </c>
      <c r="C1338" s="74" t="s">
        <v>369</v>
      </c>
      <c r="D1338" t="s">
        <v>3070</v>
      </c>
      <c r="E1338" t="s">
        <v>417</v>
      </c>
      <c r="F1338" s="105" t="s">
        <v>417</v>
      </c>
      <c r="G1338" s="74" t="s">
        <v>400</v>
      </c>
      <c r="H1338" s="71" t="str">
        <f>IF(Proc[[#This Row],[type]]="LFF (MDG-F)",MID(Proc[[#This Row],[Obj]],13,10),"")</f>
        <v/>
      </c>
      <c r="J1338" s="71" t="b">
        <f>Proc[[#This Row],[Requested]]=Proc[[#This Row],[CurrentParent]]</f>
        <v>1</v>
      </c>
      <c r="K1338" s="71" t="str">
        <f>IF(Proc[[#This Row],[Author]]="Marcela Urrego",VLOOKUP(LEFT(Proc[[#This Row],[Requested]],1),Table3[#All],2,0),VLOOKUP(Proc[[#This Row],[Author]],Table4[],2,0))</f>
        <v>LS</v>
      </c>
      <c r="L1338" s="71" t="s">
        <v>2563</v>
      </c>
      <c r="M1338" s="81">
        <v>45789.484120370369</v>
      </c>
      <c r="N1338" s="81">
        <v>45790</v>
      </c>
      <c r="O1338" s="81">
        <v>45790</v>
      </c>
      <c r="P1338" s="82" t="str">
        <f ca="1">IF(Proc[[#This Row],[DaysAgeing]]&gt;5,"yep","on track")</f>
        <v>on track</v>
      </c>
      <c r="Q1338" s="3">
        <f ca="1">IF(Proc[[#This Row],[DateClosed]]="",ABS(NETWORKDAYS(Proc[[#This Row],[DateOpened]],TODAY()))-1,ABS(NETWORKDAYS(Proc[[#This Row],[DateOpened]],Proc[[#This Row],[DateClosed]]))-1)</f>
        <v>1</v>
      </c>
      <c r="R1338" s="82" t="s">
        <v>489</v>
      </c>
      <c r="S1338" s="71"/>
    </row>
    <row r="1339" spans="1:19" hidden="1">
      <c r="A1339" s="74" t="s">
        <v>3084</v>
      </c>
      <c r="B1339" s="71" t="str">
        <f>IFERROR(VLOOKUP(Proc[[#This Row],[App]],Table2[],3,0),"open")</f>
        <v>ok</v>
      </c>
      <c r="C1339" s="74" t="s">
        <v>369</v>
      </c>
      <c r="D1339" t="s">
        <v>3071</v>
      </c>
      <c r="E1339" t="s">
        <v>417</v>
      </c>
      <c r="F1339" s="105" t="s">
        <v>417</v>
      </c>
      <c r="G1339" s="74" t="s">
        <v>400</v>
      </c>
      <c r="H1339" s="71" t="str">
        <f>IF(Proc[[#This Row],[type]]="LFF (MDG-F)",MID(Proc[[#This Row],[Obj]],13,10),"")</f>
        <v/>
      </c>
      <c r="J1339" s="71" t="b">
        <f>Proc[[#This Row],[Requested]]=Proc[[#This Row],[CurrentParent]]</f>
        <v>1</v>
      </c>
      <c r="K1339" s="71" t="str">
        <f>IF(Proc[[#This Row],[Author]]="Marcela Urrego",VLOOKUP(LEFT(Proc[[#This Row],[Requested]],1),Table3[#All],2,0),VLOOKUP(Proc[[#This Row],[Author]],Table4[],2,0))</f>
        <v>LS</v>
      </c>
      <c r="L1339" s="71" t="s">
        <v>2563</v>
      </c>
      <c r="M1339" s="81">
        <v>45789.484120370369</v>
      </c>
      <c r="N1339" s="81">
        <v>45790</v>
      </c>
      <c r="O1339" s="81">
        <v>45790</v>
      </c>
      <c r="P1339" s="82" t="str">
        <f ca="1">IF(Proc[[#This Row],[DaysAgeing]]&gt;5,"yep","on track")</f>
        <v>on track</v>
      </c>
      <c r="Q1339" s="3">
        <f ca="1">IF(Proc[[#This Row],[DateClosed]]="",ABS(NETWORKDAYS(Proc[[#This Row],[DateOpened]],TODAY()))-1,ABS(NETWORKDAYS(Proc[[#This Row],[DateOpened]],Proc[[#This Row],[DateClosed]]))-1)</f>
        <v>1</v>
      </c>
      <c r="R1339" s="82" t="s">
        <v>489</v>
      </c>
      <c r="S1339" s="71"/>
    </row>
    <row r="1340" spans="1:19" hidden="1">
      <c r="A1340" s="74" t="s">
        <v>3084</v>
      </c>
      <c r="B1340" s="71" t="str">
        <f>IFERROR(VLOOKUP(Proc[[#This Row],[App]],Table2[],3,0),"open")</f>
        <v>ok</v>
      </c>
      <c r="C1340" s="74" t="s">
        <v>369</v>
      </c>
      <c r="D1340" t="s">
        <v>3072</v>
      </c>
      <c r="E1340" t="s">
        <v>417</v>
      </c>
      <c r="F1340" s="105" t="s">
        <v>417</v>
      </c>
      <c r="G1340" s="74" t="s">
        <v>400</v>
      </c>
      <c r="H1340" s="71" t="str">
        <f>IF(Proc[[#This Row],[type]]="LFF (MDG-F)",MID(Proc[[#This Row],[Obj]],13,10),"")</f>
        <v/>
      </c>
      <c r="J1340" s="71" t="b">
        <f>Proc[[#This Row],[Requested]]=Proc[[#This Row],[CurrentParent]]</f>
        <v>1</v>
      </c>
      <c r="K1340" s="71" t="str">
        <f>IF(Proc[[#This Row],[Author]]="Marcela Urrego",VLOOKUP(LEFT(Proc[[#This Row],[Requested]],1),Table3[#All],2,0),VLOOKUP(Proc[[#This Row],[Author]],Table4[],2,0))</f>
        <v>LS</v>
      </c>
      <c r="L1340" s="71" t="s">
        <v>2563</v>
      </c>
      <c r="M1340" s="81">
        <v>45789.484120370369</v>
      </c>
      <c r="N1340" s="81">
        <v>45790</v>
      </c>
      <c r="O1340" s="81">
        <v>45790</v>
      </c>
      <c r="P1340" s="82" t="str">
        <f ca="1">IF(Proc[[#This Row],[DaysAgeing]]&gt;5,"yep","on track")</f>
        <v>on track</v>
      </c>
      <c r="Q1340" s="3">
        <f ca="1">IF(Proc[[#This Row],[DateClosed]]="",ABS(NETWORKDAYS(Proc[[#This Row],[DateOpened]],TODAY()))-1,ABS(NETWORKDAYS(Proc[[#This Row],[DateOpened]],Proc[[#This Row],[DateClosed]]))-1)</f>
        <v>1</v>
      </c>
      <c r="R1340" s="82" t="s">
        <v>489</v>
      </c>
      <c r="S1340" s="71"/>
    </row>
    <row r="1341" spans="1:19" hidden="1">
      <c r="A1341" s="74" t="s">
        <v>3084</v>
      </c>
      <c r="B1341" s="71" t="str">
        <f>IFERROR(VLOOKUP(Proc[[#This Row],[App]],Table2[],3,0),"open")</f>
        <v>ok</v>
      </c>
      <c r="C1341" s="74" t="s">
        <v>369</v>
      </c>
      <c r="D1341" t="s">
        <v>3073</v>
      </c>
      <c r="E1341" t="s">
        <v>417</v>
      </c>
      <c r="F1341" s="105" t="s">
        <v>417</v>
      </c>
      <c r="G1341" s="74" t="s">
        <v>400</v>
      </c>
      <c r="H1341" s="71" t="str">
        <f>IF(Proc[[#This Row],[type]]="LFF (MDG-F)",MID(Proc[[#This Row],[Obj]],13,10),"")</f>
        <v/>
      </c>
      <c r="J1341" s="71" t="b">
        <f>Proc[[#This Row],[Requested]]=Proc[[#This Row],[CurrentParent]]</f>
        <v>1</v>
      </c>
      <c r="K1341" s="71" t="str">
        <f>IF(Proc[[#This Row],[Author]]="Marcela Urrego",VLOOKUP(LEFT(Proc[[#This Row],[Requested]],1),Table3[#All],2,0),VLOOKUP(Proc[[#This Row],[Author]],Table4[],2,0))</f>
        <v>LS</v>
      </c>
      <c r="L1341" s="71" t="s">
        <v>2563</v>
      </c>
      <c r="M1341" s="81">
        <v>45789.484120370369</v>
      </c>
      <c r="N1341" s="81">
        <v>45790</v>
      </c>
      <c r="O1341" s="81">
        <v>45790</v>
      </c>
      <c r="P1341" s="82" t="str">
        <f ca="1">IF(Proc[[#This Row],[DaysAgeing]]&gt;5,"yep","on track")</f>
        <v>on track</v>
      </c>
      <c r="Q1341" s="3">
        <f ca="1">IF(Proc[[#This Row],[DateClosed]]="",ABS(NETWORKDAYS(Proc[[#This Row],[DateOpened]],TODAY()))-1,ABS(NETWORKDAYS(Proc[[#This Row],[DateOpened]],Proc[[#This Row],[DateClosed]]))-1)</f>
        <v>1</v>
      </c>
      <c r="R1341" s="82" t="s">
        <v>489</v>
      </c>
      <c r="S1341" s="71"/>
    </row>
    <row r="1342" spans="1:19" hidden="1">
      <c r="A1342" s="74" t="s">
        <v>3084</v>
      </c>
      <c r="B1342" s="71" t="str">
        <f>IFERROR(VLOOKUP(Proc[[#This Row],[App]],Table2[],3,0),"open")</f>
        <v>ok</v>
      </c>
      <c r="C1342" s="74" t="s">
        <v>369</v>
      </c>
      <c r="D1342" t="s">
        <v>3074</v>
      </c>
      <c r="E1342" t="s">
        <v>417</v>
      </c>
      <c r="F1342" s="105" t="s">
        <v>417</v>
      </c>
      <c r="G1342" s="74" t="s">
        <v>400</v>
      </c>
      <c r="H1342" s="71" t="str">
        <f>IF(Proc[[#This Row],[type]]="LFF (MDG-F)",MID(Proc[[#This Row],[Obj]],13,10),"")</f>
        <v/>
      </c>
      <c r="J1342" s="71" t="b">
        <f>Proc[[#This Row],[Requested]]=Proc[[#This Row],[CurrentParent]]</f>
        <v>1</v>
      </c>
      <c r="K1342" s="71" t="str">
        <f>IF(Proc[[#This Row],[Author]]="Marcela Urrego",VLOOKUP(LEFT(Proc[[#This Row],[Requested]],1),Table3[#All],2,0),VLOOKUP(Proc[[#This Row],[Author]],Table4[],2,0))</f>
        <v>LS</v>
      </c>
      <c r="L1342" s="71" t="s">
        <v>2563</v>
      </c>
      <c r="M1342" s="81">
        <v>45789.484120370369</v>
      </c>
      <c r="N1342" s="81">
        <v>45790</v>
      </c>
      <c r="O1342" s="81">
        <v>45790</v>
      </c>
      <c r="P1342" s="82" t="str">
        <f ca="1">IF(Proc[[#This Row],[DaysAgeing]]&gt;5,"yep","on track")</f>
        <v>on track</v>
      </c>
      <c r="Q1342" s="3">
        <f ca="1">IF(Proc[[#This Row],[DateClosed]]="",ABS(NETWORKDAYS(Proc[[#This Row],[DateOpened]],TODAY()))-1,ABS(NETWORKDAYS(Proc[[#This Row],[DateOpened]],Proc[[#This Row],[DateClosed]]))-1)</f>
        <v>1</v>
      </c>
      <c r="R1342" s="82" t="s">
        <v>489</v>
      </c>
      <c r="S1342" s="71"/>
    </row>
    <row r="1343" spans="1:19" hidden="1">
      <c r="A1343" s="74" t="s">
        <v>3084</v>
      </c>
      <c r="B1343" s="71" t="str">
        <f>IFERROR(VLOOKUP(Proc[[#This Row],[App]],Table2[],3,0),"open")</f>
        <v>ok</v>
      </c>
      <c r="C1343" s="74" t="s">
        <v>369</v>
      </c>
      <c r="D1343" t="s">
        <v>3075</v>
      </c>
      <c r="E1343" t="s">
        <v>417</v>
      </c>
      <c r="F1343" s="105" t="s">
        <v>417</v>
      </c>
      <c r="G1343" s="74" t="s">
        <v>400</v>
      </c>
      <c r="H1343" s="71" t="str">
        <f>IF(Proc[[#This Row],[type]]="LFF (MDG-F)",MID(Proc[[#This Row],[Obj]],13,10),"")</f>
        <v/>
      </c>
      <c r="J1343" s="71" t="b">
        <f>Proc[[#This Row],[Requested]]=Proc[[#This Row],[CurrentParent]]</f>
        <v>1</v>
      </c>
      <c r="K1343" s="71" t="str">
        <f>IF(Proc[[#This Row],[Author]]="Marcela Urrego",VLOOKUP(LEFT(Proc[[#This Row],[Requested]],1),Table3[#All],2,0),VLOOKUP(Proc[[#This Row],[Author]],Table4[],2,0))</f>
        <v>LS</v>
      </c>
      <c r="L1343" s="71" t="s">
        <v>2563</v>
      </c>
      <c r="M1343" s="81">
        <v>45789.484120370369</v>
      </c>
      <c r="N1343" s="81">
        <v>45790</v>
      </c>
      <c r="O1343" s="81">
        <v>45790</v>
      </c>
      <c r="P1343" s="82" t="str">
        <f ca="1">IF(Proc[[#This Row],[DaysAgeing]]&gt;5,"yep","on track")</f>
        <v>on track</v>
      </c>
      <c r="Q1343" s="3">
        <f ca="1">IF(Proc[[#This Row],[DateClosed]]="",ABS(NETWORKDAYS(Proc[[#This Row],[DateOpened]],TODAY()))-1,ABS(NETWORKDAYS(Proc[[#This Row],[DateOpened]],Proc[[#This Row],[DateClosed]]))-1)</f>
        <v>1</v>
      </c>
      <c r="R1343" s="82" t="s">
        <v>489</v>
      </c>
      <c r="S1343" s="71"/>
    </row>
    <row r="1344" spans="1:19" hidden="1">
      <c r="A1344" s="74" t="s">
        <v>3084</v>
      </c>
      <c r="B1344" s="71" t="str">
        <f>IFERROR(VLOOKUP(Proc[[#This Row],[App]],Table2[],3,0),"open")</f>
        <v>ok</v>
      </c>
      <c r="C1344" s="74" t="s">
        <v>369</v>
      </c>
      <c r="D1344" t="s">
        <v>3076</v>
      </c>
      <c r="E1344" t="s">
        <v>417</v>
      </c>
      <c r="F1344" s="105" t="s">
        <v>417</v>
      </c>
      <c r="G1344" s="74" t="s">
        <v>400</v>
      </c>
      <c r="H1344" s="71" t="str">
        <f>IF(Proc[[#This Row],[type]]="LFF (MDG-F)",MID(Proc[[#This Row],[Obj]],13,10),"")</f>
        <v/>
      </c>
      <c r="J1344" s="71" t="b">
        <f>Proc[[#This Row],[Requested]]=Proc[[#This Row],[CurrentParent]]</f>
        <v>1</v>
      </c>
      <c r="K1344" s="71" t="str">
        <f>IF(Proc[[#This Row],[Author]]="Marcela Urrego",VLOOKUP(LEFT(Proc[[#This Row],[Requested]],1),Table3[#All],2,0),VLOOKUP(Proc[[#This Row],[Author]],Table4[],2,0))</f>
        <v>LS</v>
      </c>
      <c r="L1344" s="71" t="s">
        <v>2563</v>
      </c>
      <c r="M1344" s="81">
        <v>45789.484120370369</v>
      </c>
      <c r="N1344" s="81">
        <v>45790</v>
      </c>
      <c r="O1344" s="81">
        <v>45790</v>
      </c>
      <c r="P1344" s="82" t="str">
        <f ca="1">IF(Proc[[#This Row],[DaysAgeing]]&gt;5,"yep","on track")</f>
        <v>on track</v>
      </c>
      <c r="Q1344" s="3">
        <f ca="1">IF(Proc[[#This Row],[DateClosed]]="",ABS(NETWORKDAYS(Proc[[#This Row],[DateOpened]],TODAY()))-1,ABS(NETWORKDAYS(Proc[[#This Row],[DateOpened]],Proc[[#This Row],[DateClosed]]))-1)</f>
        <v>1</v>
      </c>
      <c r="R1344" s="82" t="s">
        <v>489</v>
      </c>
      <c r="S1344" s="71"/>
    </row>
    <row r="1345" spans="1:19" hidden="1">
      <c r="A1345" s="74" t="s">
        <v>3084</v>
      </c>
      <c r="B1345" s="71" t="str">
        <f>IFERROR(VLOOKUP(Proc[[#This Row],[App]],Table2[],3,0),"open")</f>
        <v>ok</v>
      </c>
      <c r="C1345" s="74" t="s">
        <v>369</v>
      </c>
      <c r="D1345" t="s">
        <v>3077</v>
      </c>
      <c r="E1345" t="s">
        <v>417</v>
      </c>
      <c r="F1345" s="105" t="s">
        <v>417</v>
      </c>
      <c r="G1345" s="74" t="s">
        <v>400</v>
      </c>
      <c r="H1345" s="71" t="str">
        <f>IF(Proc[[#This Row],[type]]="LFF (MDG-F)",MID(Proc[[#This Row],[Obj]],13,10),"")</f>
        <v/>
      </c>
      <c r="J1345" s="71" t="b">
        <f>Proc[[#This Row],[Requested]]=Proc[[#This Row],[CurrentParent]]</f>
        <v>1</v>
      </c>
      <c r="K1345" s="71" t="str">
        <f>IF(Proc[[#This Row],[Author]]="Marcela Urrego",VLOOKUP(LEFT(Proc[[#This Row],[Requested]],1),Table3[#All],2,0),VLOOKUP(Proc[[#This Row],[Author]],Table4[],2,0))</f>
        <v>LS</v>
      </c>
      <c r="L1345" s="71" t="s">
        <v>2563</v>
      </c>
      <c r="M1345" s="81">
        <v>45789.484120370369</v>
      </c>
      <c r="N1345" s="81">
        <v>45790</v>
      </c>
      <c r="O1345" s="81">
        <v>45790</v>
      </c>
      <c r="P1345" s="82" t="str">
        <f ca="1">IF(Proc[[#This Row],[DaysAgeing]]&gt;5,"yep","on track")</f>
        <v>on track</v>
      </c>
      <c r="Q1345" s="3">
        <f ca="1">IF(Proc[[#This Row],[DateClosed]]="",ABS(NETWORKDAYS(Proc[[#This Row],[DateOpened]],TODAY()))-1,ABS(NETWORKDAYS(Proc[[#This Row],[DateOpened]],Proc[[#This Row],[DateClosed]]))-1)</f>
        <v>1</v>
      </c>
      <c r="R1345" s="82" t="s">
        <v>489</v>
      </c>
      <c r="S1345" s="71"/>
    </row>
    <row r="1346" spans="1:19" hidden="1">
      <c r="A1346" s="74" t="s">
        <v>3084</v>
      </c>
      <c r="B1346" s="71" t="str">
        <f>IFERROR(VLOOKUP(Proc[[#This Row],[App]],Table2[],3,0),"open")</f>
        <v>ok</v>
      </c>
      <c r="C1346" s="74" t="s">
        <v>369</v>
      </c>
      <c r="D1346" t="s">
        <v>3078</v>
      </c>
      <c r="E1346" t="s">
        <v>417</v>
      </c>
      <c r="F1346" s="105" t="s">
        <v>417</v>
      </c>
      <c r="G1346" s="74" t="s">
        <v>400</v>
      </c>
      <c r="H1346" s="71" t="str">
        <f>IF(Proc[[#This Row],[type]]="LFF (MDG-F)",MID(Proc[[#This Row],[Obj]],13,10),"")</f>
        <v/>
      </c>
      <c r="J1346" s="71" t="b">
        <f>Proc[[#This Row],[Requested]]=Proc[[#This Row],[CurrentParent]]</f>
        <v>1</v>
      </c>
      <c r="K1346" s="71" t="str">
        <f>IF(Proc[[#This Row],[Author]]="Marcela Urrego",VLOOKUP(LEFT(Proc[[#This Row],[Requested]],1),Table3[#All],2,0),VLOOKUP(Proc[[#This Row],[Author]],Table4[],2,0))</f>
        <v>LS</v>
      </c>
      <c r="L1346" s="71" t="s">
        <v>2563</v>
      </c>
      <c r="M1346" s="81">
        <v>45789.484120370369</v>
      </c>
      <c r="N1346" s="81">
        <v>45790</v>
      </c>
      <c r="O1346" s="81">
        <v>45790</v>
      </c>
      <c r="P1346" s="82" t="str">
        <f ca="1">IF(Proc[[#This Row],[DaysAgeing]]&gt;5,"yep","on track")</f>
        <v>on track</v>
      </c>
      <c r="Q1346" s="3">
        <f ca="1">IF(Proc[[#This Row],[DateClosed]]="",ABS(NETWORKDAYS(Proc[[#This Row],[DateOpened]],TODAY()))-1,ABS(NETWORKDAYS(Proc[[#This Row],[DateOpened]],Proc[[#This Row],[DateClosed]]))-1)</f>
        <v>1</v>
      </c>
      <c r="R1346" s="82" t="s">
        <v>489</v>
      </c>
      <c r="S1346" s="71"/>
    </row>
    <row r="1347" spans="1:19" hidden="1">
      <c r="A1347" s="74" t="s">
        <v>3084</v>
      </c>
      <c r="B1347" s="71" t="str">
        <f>IFERROR(VLOOKUP(Proc[[#This Row],[App]],Table2[],3,0),"open")</f>
        <v>ok</v>
      </c>
      <c r="C1347" s="74" t="s">
        <v>369</v>
      </c>
      <c r="D1347" t="s">
        <v>3079</v>
      </c>
      <c r="E1347" t="s">
        <v>417</v>
      </c>
      <c r="F1347" s="105" t="s">
        <v>417</v>
      </c>
      <c r="G1347" s="74" t="s">
        <v>400</v>
      </c>
      <c r="H1347" s="71" t="str">
        <f>IF(Proc[[#This Row],[type]]="LFF (MDG-F)",MID(Proc[[#This Row],[Obj]],13,10),"")</f>
        <v/>
      </c>
      <c r="J1347" s="71" t="b">
        <f>Proc[[#This Row],[Requested]]=Proc[[#This Row],[CurrentParent]]</f>
        <v>1</v>
      </c>
      <c r="K1347" s="71" t="str">
        <f>IF(Proc[[#This Row],[Author]]="Marcela Urrego",VLOOKUP(LEFT(Proc[[#This Row],[Requested]],1),Table3[#All],2,0),VLOOKUP(Proc[[#This Row],[Author]],Table4[],2,0))</f>
        <v>LS</v>
      </c>
      <c r="L1347" s="71" t="s">
        <v>2563</v>
      </c>
      <c r="M1347" s="81">
        <v>45789.484120370369</v>
      </c>
      <c r="N1347" s="81">
        <v>45790</v>
      </c>
      <c r="O1347" s="81">
        <v>45790</v>
      </c>
      <c r="P1347" s="82" t="str">
        <f ca="1">IF(Proc[[#This Row],[DaysAgeing]]&gt;5,"yep","on track")</f>
        <v>on track</v>
      </c>
      <c r="Q1347" s="3">
        <f ca="1">IF(Proc[[#This Row],[DateClosed]]="",ABS(NETWORKDAYS(Proc[[#This Row],[DateOpened]],TODAY()))-1,ABS(NETWORKDAYS(Proc[[#This Row],[DateOpened]],Proc[[#This Row],[DateClosed]]))-1)</f>
        <v>1</v>
      </c>
      <c r="R1347" s="82" t="s">
        <v>489</v>
      </c>
      <c r="S1347" s="71"/>
    </row>
    <row r="1348" spans="1:19" hidden="1">
      <c r="A1348" s="74" t="s">
        <v>3084</v>
      </c>
      <c r="B1348" s="71" t="str">
        <f>IFERROR(VLOOKUP(Proc[[#This Row],[App]],Table2[],3,0),"open")</f>
        <v>ok</v>
      </c>
      <c r="C1348" s="74" t="s">
        <v>369</v>
      </c>
      <c r="D1348" t="s">
        <v>3080</v>
      </c>
      <c r="E1348" t="s">
        <v>417</v>
      </c>
      <c r="F1348" s="105" t="s">
        <v>417</v>
      </c>
      <c r="G1348" s="74" t="s">
        <v>400</v>
      </c>
      <c r="H1348" s="71" t="str">
        <f>IF(Proc[[#This Row],[type]]="LFF (MDG-F)",MID(Proc[[#This Row],[Obj]],13,10),"")</f>
        <v/>
      </c>
      <c r="J1348" s="71" t="b">
        <f>Proc[[#This Row],[Requested]]=Proc[[#This Row],[CurrentParent]]</f>
        <v>1</v>
      </c>
      <c r="K1348" s="71" t="str">
        <f>IF(Proc[[#This Row],[Author]]="Marcela Urrego",VLOOKUP(LEFT(Proc[[#This Row],[Requested]],1),Table3[#All],2,0),VLOOKUP(Proc[[#This Row],[Author]],Table4[],2,0))</f>
        <v>LS</v>
      </c>
      <c r="L1348" s="71" t="s">
        <v>2563</v>
      </c>
      <c r="M1348" s="81">
        <v>45789.484120370369</v>
      </c>
      <c r="N1348" s="81">
        <v>45790</v>
      </c>
      <c r="O1348" s="81">
        <v>45790</v>
      </c>
      <c r="P1348" s="82" t="str">
        <f ca="1">IF(Proc[[#This Row],[DaysAgeing]]&gt;5,"yep","on track")</f>
        <v>on track</v>
      </c>
      <c r="Q1348" s="3">
        <f ca="1">IF(Proc[[#This Row],[DateClosed]]="",ABS(NETWORKDAYS(Proc[[#This Row],[DateOpened]],TODAY()))-1,ABS(NETWORKDAYS(Proc[[#This Row],[DateOpened]],Proc[[#This Row],[DateClosed]]))-1)</f>
        <v>1</v>
      </c>
      <c r="R1348" s="82" t="s">
        <v>489</v>
      </c>
      <c r="S1348" s="71"/>
    </row>
    <row r="1349" spans="1:19" hidden="1">
      <c r="A1349" s="74" t="s">
        <v>3084</v>
      </c>
      <c r="B1349" s="71" t="str">
        <f>IFERROR(VLOOKUP(Proc[[#This Row],[App]],Table2[],3,0),"open")</f>
        <v>ok</v>
      </c>
      <c r="C1349" s="74" t="s">
        <v>369</v>
      </c>
      <c r="D1349" t="s">
        <v>3081</v>
      </c>
      <c r="E1349" t="s">
        <v>417</v>
      </c>
      <c r="F1349" s="105" t="s">
        <v>417</v>
      </c>
      <c r="G1349" s="74" t="s">
        <v>400</v>
      </c>
      <c r="H1349" s="71" t="str">
        <f>IF(Proc[[#This Row],[type]]="LFF (MDG-F)",MID(Proc[[#This Row],[Obj]],13,10),"")</f>
        <v/>
      </c>
      <c r="J1349" s="71" t="b">
        <f>Proc[[#This Row],[Requested]]=Proc[[#This Row],[CurrentParent]]</f>
        <v>1</v>
      </c>
      <c r="K1349" s="71" t="str">
        <f>IF(Proc[[#This Row],[Author]]="Marcela Urrego",VLOOKUP(LEFT(Proc[[#This Row],[Requested]],1),Table3[#All],2,0),VLOOKUP(Proc[[#This Row],[Author]],Table4[],2,0))</f>
        <v>LS</v>
      </c>
      <c r="L1349" s="71" t="s">
        <v>2563</v>
      </c>
      <c r="M1349" s="81">
        <v>45789.484120370369</v>
      </c>
      <c r="N1349" s="81">
        <v>45790</v>
      </c>
      <c r="O1349" s="81">
        <v>45790</v>
      </c>
      <c r="P1349" s="82" t="str">
        <f ca="1">IF(Proc[[#This Row],[DaysAgeing]]&gt;5,"yep","on track")</f>
        <v>on track</v>
      </c>
      <c r="Q1349" s="3">
        <f ca="1">IF(Proc[[#This Row],[DateClosed]]="",ABS(NETWORKDAYS(Proc[[#This Row],[DateOpened]],TODAY()))-1,ABS(NETWORKDAYS(Proc[[#This Row],[DateOpened]],Proc[[#This Row],[DateClosed]]))-1)</f>
        <v>1</v>
      </c>
      <c r="R1349" s="82" t="s">
        <v>489</v>
      </c>
      <c r="S1349" s="71"/>
    </row>
    <row r="1350" spans="1:19" hidden="1">
      <c r="A1350" s="74" t="s">
        <v>3084</v>
      </c>
      <c r="B1350" s="71" t="str">
        <f>IFERROR(VLOOKUP(Proc[[#This Row],[App]],Table2[],3,0),"open")</f>
        <v>ok</v>
      </c>
      <c r="C1350" s="74" t="s">
        <v>369</v>
      </c>
      <c r="D1350" t="s">
        <v>3082</v>
      </c>
      <c r="E1350" t="s">
        <v>417</v>
      </c>
      <c r="F1350" s="105" t="s">
        <v>417</v>
      </c>
      <c r="G1350" s="74" t="s">
        <v>400</v>
      </c>
      <c r="H1350" s="71" t="str">
        <f>IF(Proc[[#This Row],[type]]="LFF (MDG-F)",MID(Proc[[#This Row],[Obj]],13,10),"")</f>
        <v/>
      </c>
      <c r="J1350" s="71" t="b">
        <f>Proc[[#This Row],[Requested]]=Proc[[#This Row],[CurrentParent]]</f>
        <v>1</v>
      </c>
      <c r="K1350" s="71" t="str">
        <f>IF(Proc[[#This Row],[Author]]="Marcela Urrego",VLOOKUP(LEFT(Proc[[#This Row],[Requested]],1),Table3[#All],2,0),VLOOKUP(Proc[[#This Row],[Author]],Table4[],2,0))</f>
        <v>LS</v>
      </c>
      <c r="L1350" s="71" t="s">
        <v>2563</v>
      </c>
      <c r="M1350" s="81">
        <v>45789.484120370369</v>
      </c>
      <c r="N1350" s="81">
        <v>45790</v>
      </c>
      <c r="O1350" s="81">
        <v>45790</v>
      </c>
      <c r="P1350" s="82" t="str">
        <f ca="1">IF(Proc[[#This Row],[DaysAgeing]]&gt;5,"yep","on track")</f>
        <v>on track</v>
      </c>
      <c r="Q1350" s="3">
        <f ca="1">IF(Proc[[#This Row],[DateClosed]]="",ABS(NETWORKDAYS(Proc[[#This Row],[DateOpened]],TODAY()))-1,ABS(NETWORKDAYS(Proc[[#This Row],[DateOpened]],Proc[[#This Row],[DateClosed]]))-1)</f>
        <v>1</v>
      </c>
      <c r="R1350" s="82" t="s">
        <v>489</v>
      </c>
      <c r="S1350" s="71"/>
    </row>
    <row r="1351" spans="1:19" hidden="1">
      <c r="A1351" s="74" t="s">
        <v>3084</v>
      </c>
      <c r="B1351" s="71" t="str">
        <f>IFERROR(VLOOKUP(Proc[[#This Row],[App]],Table2[],3,0),"open")</f>
        <v>ok</v>
      </c>
      <c r="C1351" s="74" t="s">
        <v>369</v>
      </c>
      <c r="D1351" t="s">
        <v>3083</v>
      </c>
      <c r="E1351" t="s">
        <v>417</v>
      </c>
      <c r="F1351" s="105" t="s">
        <v>417</v>
      </c>
      <c r="G1351" s="74" t="s">
        <v>400</v>
      </c>
      <c r="H1351" s="71" t="str">
        <f>IF(Proc[[#This Row],[type]]="LFF (MDG-F)",MID(Proc[[#This Row],[Obj]],13,10),"")</f>
        <v/>
      </c>
      <c r="J1351" s="71" t="b">
        <f>Proc[[#This Row],[Requested]]=Proc[[#This Row],[CurrentParent]]</f>
        <v>1</v>
      </c>
      <c r="K1351" s="71" t="str">
        <f>IF(Proc[[#This Row],[Author]]="Marcela Urrego",VLOOKUP(LEFT(Proc[[#This Row],[Requested]],1),Table3[#All],2,0),VLOOKUP(Proc[[#This Row],[Author]],Table4[],2,0))</f>
        <v>LS</v>
      </c>
      <c r="L1351" s="71" t="s">
        <v>2563</v>
      </c>
      <c r="M1351" s="81">
        <v>45789.484120370369</v>
      </c>
      <c r="N1351" s="81">
        <v>45790</v>
      </c>
      <c r="O1351" s="81">
        <v>45790</v>
      </c>
      <c r="P1351" s="82" t="str">
        <f ca="1">IF(Proc[[#This Row],[DaysAgeing]]&gt;5,"yep","on track")</f>
        <v>on track</v>
      </c>
      <c r="Q1351" s="3">
        <f ca="1">IF(Proc[[#This Row],[DateClosed]]="",ABS(NETWORKDAYS(Proc[[#This Row],[DateOpened]],TODAY()))-1,ABS(NETWORKDAYS(Proc[[#This Row],[DateOpened]],Proc[[#This Row],[DateClosed]]))-1)</f>
        <v>1</v>
      </c>
      <c r="R1351" s="82" t="s">
        <v>489</v>
      </c>
      <c r="S1351" s="71"/>
    </row>
    <row r="1352" spans="1:19" hidden="1">
      <c r="A1352" t="s">
        <v>3085</v>
      </c>
      <c r="B1352" s="71" t="str">
        <f>IFERROR(VLOOKUP(Proc[[#This Row],[App]],Table2[],3,0),"open")</f>
        <v>ok</v>
      </c>
      <c r="C1352" s="74" t="s">
        <v>369</v>
      </c>
      <c r="D1352" t="s">
        <v>2889</v>
      </c>
      <c r="E1352" t="s">
        <v>2890</v>
      </c>
      <c r="F1352" s="105" t="s">
        <v>2890</v>
      </c>
      <c r="G1352" s="74" t="s">
        <v>400</v>
      </c>
      <c r="H1352" s="71" t="str">
        <f>IF(Proc[[#This Row],[type]]="LFF (MDG-F)",MID(Proc[[#This Row],[Obj]],13,10),"")</f>
        <v/>
      </c>
      <c r="J1352" s="71" t="b">
        <f>Proc[[#This Row],[Requested]]=Proc[[#This Row],[CurrentParent]]</f>
        <v>1</v>
      </c>
      <c r="K1352" s="71" t="str">
        <f>IF(Proc[[#This Row],[Author]]="Marcela Urrego",VLOOKUP(LEFT(Proc[[#This Row],[Requested]],1),Table3[#All],2,0),VLOOKUP(Proc[[#This Row],[Author]],Table4[],2,0))</f>
        <v>LS</v>
      </c>
      <c r="L1352" s="71" t="s">
        <v>2563</v>
      </c>
      <c r="M1352" s="81">
        <v>45790.126087962963</v>
      </c>
      <c r="N1352" s="81">
        <v>45790</v>
      </c>
      <c r="O1352" s="81">
        <v>45790</v>
      </c>
      <c r="P1352" s="82" t="str">
        <f ca="1">IF(Proc[[#This Row],[DaysAgeing]]&gt;5,"yep","on track")</f>
        <v>on track</v>
      </c>
      <c r="Q1352" s="3">
        <f ca="1">IF(Proc[[#This Row],[DateClosed]]="",ABS(NETWORKDAYS(Proc[[#This Row],[DateOpened]],TODAY()))-1,ABS(NETWORKDAYS(Proc[[#This Row],[DateOpened]],Proc[[#This Row],[DateClosed]]))-1)</f>
        <v>0</v>
      </c>
      <c r="R1352" s="82" t="s">
        <v>489</v>
      </c>
      <c r="S1352" s="71"/>
    </row>
    <row r="1353" spans="1:19" hidden="1">
      <c r="A1353" t="s">
        <v>3086</v>
      </c>
      <c r="B1353" s="71" t="str">
        <f>IFERROR(VLOOKUP(Proc[[#This Row],[App]],Table2[],3,0),"open")</f>
        <v>ok</v>
      </c>
      <c r="C1353" s="74" t="s">
        <v>369</v>
      </c>
      <c r="D1353" t="s">
        <v>3087</v>
      </c>
      <c r="E1353" t="s">
        <v>3165</v>
      </c>
      <c r="F1353" s="105" t="s">
        <v>3165</v>
      </c>
      <c r="G1353" s="74" t="s">
        <v>400</v>
      </c>
      <c r="H1353" s="71" t="str">
        <f>IF(Proc[[#This Row],[type]]="LFF (MDG-F)",MID(Proc[[#This Row],[Obj]],13,10),"")</f>
        <v/>
      </c>
      <c r="J1353" s="71" t="b">
        <f>Proc[[#This Row],[Requested]]=Proc[[#This Row],[CurrentParent]]</f>
        <v>1</v>
      </c>
      <c r="K1353" s="71" t="str">
        <f>IF(Proc[[#This Row],[Author]]="Marcela Urrego",VLOOKUP(LEFT(Proc[[#This Row],[Requested]],1),Table3[#All],2,0),VLOOKUP(Proc[[#This Row],[Author]],Table4[],2,0))</f>
        <v>LS</v>
      </c>
      <c r="L1353" s="71" t="s">
        <v>2563</v>
      </c>
      <c r="M1353" s="81">
        <v>45790.144409722219</v>
      </c>
      <c r="N1353" s="85">
        <v>45791</v>
      </c>
      <c r="O1353" s="85">
        <v>45791</v>
      </c>
      <c r="P1353" s="82" t="str">
        <f ca="1">IF(Proc[[#This Row],[DaysAgeing]]&gt;5,"yep","on track")</f>
        <v>on track</v>
      </c>
      <c r="Q1353" s="3">
        <f ca="1">IF(Proc[[#This Row],[DateClosed]]="",ABS(NETWORKDAYS(Proc[[#This Row],[DateOpened]],TODAY()))-1,ABS(NETWORKDAYS(Proc[[#This Row],[DateOpened]],Proc[[#This Row],[DateClosed]]))-1)</f>
        <v>1</v>
      </c>
      <c r="R1353" s="82" t="s">
        <v>489</v>
      </c>
      <c r="S1353" s="71"/>
    </row>
    <row r="1354" spans="1:19" hidden="1">
      <c r="A1354" s="74" t="s">
        <v>3086</v>
      </c>
      <c r="B1354" s="71" t="str">
        <f>IFERROR(VLOOKUP(Proc[[#This Row],[App]],Table2[],3,0),"open")</f>
        <v>ok</v>
      </c>
      <c r="C1354" s="74" t="s">
        <v>369</v>
      </c>
      <c r="D1354" t="s">
        <v>3088</v>
      </c>
      <c r="E1354" t="s">
        <v>3166</v>
      </c>
      <c r="F1354" s="105" t="s">
        <v>3166</v>
      </c>
      <c r="G1354" s="74" t="s">
        <v>400</v>
      </c>
      <c r="H1354" s="71" t="str">
        <f>IF(Proc[[#This Row],[type]]="LFF (MDG-F)",MID(Proc[[#This Row],[Obj]],13,10),"")</f>
        <v/>
      </c>
      <c r="J1354" s="71" t="b">
        <f>Proc[[#This Row],[Requested]]=Proc[[#This Row],[CurrentParent]]</f>
        <v>1</v>
      </c>
      <c r="K1354" s="71" t="str">
        <f>IF(Proc[[#This Row],[Author]]="Marcela Urrego",VLOOKUP(LEFT(Proc[[#This Row],[Requested]],1),Table3[#All],2,0),VLOOKUP(Proc[[#This Row],[Author]],Table4[],2,0))</f>
        <v>LS</v>
      </c>
      <c r="L1354" s="71" t="s">
        <v>2563</v>
      </c>
      <c r="M1354" s="81">
        <v>45790.144409722219</v>
      </c>
      <c r="N1354" s="85">
        <v>45791</v>
      </c>
      <c r="O1354" s="85">
        <v>45791</v>
      </c>
      <c r="P1354" s="82" t="str">
        <f ca="1">IF(Proc[[#This Row],[DaysAgeing]]&gt;5,"yep","on track")</f>
        <v>on track</v>
      </c>
      <c r="Q1354" s="3">
        <f ca="1">IF(Proc[[#This Row],[DateClosed]]="",ABS(NETWORKDAYS(Proc[[#This Row],[DateOpened]],TODAY()))-1,ABS(NETWORKDAYS(Proc[[#This Row],[DateOpened]],Proc[[#This Row],[DateClosed]]))-1)</f>
        <v>1</v>
      </c>
      <c r="R1354" s="82" t="s">
        <v>489</v>
      </c>
      <c r="S1354" s="71"/>
    </row>
    <row r="1355" spans="1:19" hidden="1">
      <c r="A1355" s="74" t="s">
        <v>3086</v>
      </c>
      <c r="B1355" s="71" t="str">
        <f>IFERROR(VLOOKUP(Proc[[#This Row],[App]],Table2[],3,0),"open")</f>
        <v>ok</v>
      </c>
      <c r="C1355" s="74" t="s">
        <v>369</v>
      </c>
      <c r="D1355" t="s">
        <v>3089</v>
      </c>
      <c r="E1355" t="s">
        <v>3167</v>
      </c>
      <c r="F1355" s="105" t="s">
        <v>3167</v>
      </c>
      <c r="G1355" s="74" t="s">
        <v>400</v>
      </c>
      <c r="H1355" s="71" t="str">
        <f>IF(Proc[[#This Row],[type]]="LFF (MDG-F)",MID(Proc[[#This Row],[Obj]],13,10),"")</f>
        <v/>
      </c>
      <c r="J1355" s="71" t="b">
        <f>Proc[[#This Row],[Requested]]=Proc[[#This Row],[CurrentParent]]</f>
        <v>1</v>
      </c>
      <c r="K1355" s="71" t="str">
        <f>IF(Proc[[#This Row],[Author]]="Marcela Urrego",VLOOKUP(LEFT(Proc[[#This Row],[Requested]],1),Table3[#All],2,0),VLOOKUP(Proc[[#This Row],[Author]],Table4[],2,0))</f>
        <v>LS</v>
      </c>
      <c r="L1355" s="71" t="s">
        <v>2563</v>
      </c>
      <c r="M1355" s="81">
        <v>45790.144409722219</v>
      </c>
      <c r="N1355" s="85">
        <v>45791</v>
      </c>
      <c r="O1355" s="85">
        <v>45791</v>
      </c>
      <c r="P1355" s="82" t="str">
        <f ca="1">IF(Proc[[#This Row],[DaysAgeing]]&gt;5,"yep","on track")</f>
        <v>on track</v>
      </c>
      <c r="Q1355" s="3">
        <f ca="1">IF(Proc[[#This Row],[DateClosed]]="",ABS(NETWORKDAYS(Proc[[#This Row],[DateOpened]],TODAY()))-1,ABS(NETWORKDAYS(Proc[[#This Row],[DateOpened]],Proc[[#This Row],[DateClosed]]))-1)</f>
        <v>1</v>
      </c>
      <c r="R1355" s="82" t="s">
        <v>489</v>
      </c>
      <c r="S1355" s="71"/>
    </row>
    <row r="1356" spans="1:19" hidden="1">
      <c r="A1356" s="74" t="s">
        <v>3086</v>
      </c>
      <c r="B1356" s="71" t="str">
        <f>IFERROR(VLOOKUP(Proc[[#This Row],[App]],Table2[],3,0),"open")</f>
        <v>ok</v>
      </c>
      <c r="C1356" s="74" t="s">
        <v>369</v>
      </c>
      <c r="D1356" t="s">
        <v>3090</v>
      </c>
      <c r="E1356" t="s">
        <v>3168</v>
      </c>
      <c r="F1356" s="105" t="s">
        <v>3168</v>
      </c>
      <c r="G1356" s="74" t="s">
        <v>400</v>
      </c>
      <c r="H1356" s="71" t="str">
        <f>IF(Proc[[#This Row],[type]]="LFF (MDG-F)",MID(Proc[[#This Row],[Obj]],13,10),"")</f>
        <v/>
      </c>
      <c r="J1356" s="71" t="b">
        <f>Proc[[#This Row],[Requested]]=Proc[[#This Row],[CurrentParent]]</f>
        <v>1</v>
      </c>
      <c r="K1356" s="71" t="str">
        <f>IF(Proc[[#This Row],[Author]]="Marcela Urrego",VLOOKUP(LEFT(Proc[[#This Row],[Requested]],1),Table3[#All],2,0),VLOOKUP(Proc[[#This Row],[Author]],Table4[],2,0))</f>
        <v>LS</v>
      </c>
      <c r="L1356" s="71" t="s">
        <v>2563</v>
      </c>
      <c r="M1356" s="81">
        <v>45790.144409722219</v>
      </c>
      <c r="N1356" s="85">
        <v>45791</v>
      </c>
      <c r="O1356" s="85">
        <v>45791</v>
      </c>
      <c r="P1356" s="82" t="str">
        <f ca="1">IF(Proc[[#This Row],[DaysAgeing]]&gt;5,"yep","on track")</f>
        <v>on track</v>
      </c>
      <c r="Q1356" s="3">
        <f ca="1">IF(Proc[[#This Row],[DateClosed]]="",ABS(NETWORKDAYS(Proc[[#This Row],[DateOpened]],TODAY()))-1,ABS(NETWORKDAYS(Proc[[#This Row],[DateOpened]],Proc[[#This Row],[DateClosed]]))-1)</f>
        <v>1</v>
      </c>
      <c r="R1356" s="82" t="s">
        <v>489</v>
      </c>
      <c r="S1356" s="71"/>
    </row>
    <row r="1357" spans="1:19" hidden="1">
      <c r="A1357" s="74" t="s">
        <v>3086</v>
      </c>
      <c r="B1357" s="71" t="str">
        <f>IFERROR(VLOOKUP(Proc[[#This Row],[App]],Table2[],3,0),"open")</f>
        <v>ok</v>
      </c>
      <c r="C1357" s="74" t="s">
        <v>369</v>
      </c>
      <c r="D1357" t="s">
        <v>3091</v>
      </c>
      <c r="E1357" t="s">
        <v>2411</v>
      </c>
      <c r="F1357" s="105" t="s">
        <v>2411</v>
      </c>
      <c r="G1357" s="74" t="s">
        <v>400</v>
      </c>
      <c r="H1357" s="71" t="str">
        <f>IF(Proc[[#This Row],[type]]="LFF (MDG-F)",MID(Proc[[#This Row],[Obj]],13,10),"")</f>
        <v/>
      </c>
      <c r="J1357" s="71" t="b">
        <f>Proc[[#This Row],[Requested]]=Proc[[#This Row],[CurrentParent]]</f>
        <v>1</v>
      </c>
      <c r="K1357" s="71" t="str">
        <f>IF(Proc[[#This Row],[Author]]="Marcela Urrego",VLOOKUP(LEFT(Proc[[#This Row],[Requested]],1),Table3[#All],2,0),VLOOKUP(Proc[[#This Row],[Author]],Table4[],2,0))</f>
        <v>LS</v>
      </c>
      <c r="L1357" s="71" t="s">
        <v>2563</v>
      </c>
      <c r="M1357" s="81">
        <v>45790.144409722219</v>
      </c>
      <c r="N1357" s="85">
        <v>45791</v>
      </c>
      <c r="O1357" s="85">
        <v>45791</v>
      </c>
      <c r="P1357" s="82" t="str">
        <f ca="1">IF(Proc[[#This Row],[DaysAgeing]]&gt;5,"yep","on track")</f>
        <v>on track</v>
      </c>
      <c r="Q1357" s="3">
        <f ca="1">IF(Proc[[#This Row],[DateClosed]]="",ABS(NETWORKDAYS(Proc[[#This Row],[DateOpened]],TODAY()))-1,ABS(NETWORKDAYS(Proc[[#This Row],[DateOpened]],Proc[[#This Row],[DateClosed]]))-1)</f>
        <v>1</v>
      </c>
      <c r="R1357" s="82" t="s">
        <v>489</v>
      </c>
      <c r="S1357" s="71"/>
    </row>
    <row r="1358" spans="1:19" hidden="1">
      <c r="A1358" s="74" t="s">
        <v>3086</v>
      </c>
      <c r="B1358" s="71" t="str">
        <f>IFERROR(VLOOKUP(Proc[[#This Row],[App]],Table2[],3,0),"open")</f>
        <v>ok</v>
      </c>
      <c r="C1358" s="74" t="s">
        <v>369</v>
      </c>
      <c r="D1358" t="s">
        <v>3092</v>
      </c>
      <c r="E1358" t="s">
        <v>3169</v>
      </c>
      <c r="F1358" s="105" t="s">
        <v>3169</v>
      </c>
      <c r="G1358" s="74" t="s">
        <v>400</v>
      </c>
      <c r="H1358" s="71" t="str">
        <f>IF(Proc[[#This Row],[type]]="LFF (MDG-F)",MID(Proc[[#This Row],[Obj]],13,10),"")</f>
        <v/>
      </c>
      <c r="J1358" s="71" t="b">
        <f>Proc[[#This Row],[Requested]]=Proc[[#This Row],[CurrentParent]]</f>
        <v>1</v>
      </c>
      <c r="K1358" s="71" t="str">
        <f>IF(Proc[[#This Row],[Author]]="Marcela Urrego",VLOOKUP(LEFT(Proc[[#This Row],[Requested]],1),Table3[#All],2,0),VLOOKUP(Proc[[#This Row],[Author]],Table4[],2,0))</f>
        <v>LS</v>
      </c>
      <c r="L1358" s="71" t="s">
        <v>2563</v>
      </c>
      <c r="M1358" s="81">
        <v>45790.144409722219</v>
      </c>
      <c r="N1358" s="85">
        <v>45791</v>
      </c>
      <c r="O1358" s="85">
        <v>45791</v>
      </c>
      <c r="P1358" s="82" t="str">
        <f ca="1">IF(Proc[[#This Row],[DaysAgeing]]&gt;5,"yep","on track")</f>
        <v>on track</v>
      </c>
      <c r="Q1358" s="3">
        <f ca="1">IF(Proc[[#This Row],[DateClosed]]="",ABS(NETWORKDAYS(Proc[[#This Row],[DateOpened]],TODAY()))-1,ABS(NETWORKDAYS(Proc[[#This Row],[DateOpened]],Proc[[#This Row],[DateClosed]]))-1)</f>
        <v>1</v>
      </c>
      <c r="R1358" s="82" t="s">
        <v>489</v>
      </c>
      <c r="S1358" s="71"/>
    </row>
    <row r="1359" spans="1:19" hidden="1">
      <c r="A1359" s="74" t="s">
        <v>3086</v>
      </c>
      <c r="B1359" s="71" t="str">
        <f>IFERROR(VLOOKUP(Proc[[#This Row],[App]],Table2[],3,0),"open")</f>
        <v>ok</v>
      </c>
      <c r="C1359" s="74" t="s">
        <v>369</v>
      </c>
      <c r="D1359" t="s">
        <v>3093</v>
      </c>
      <c r="E1359" t="s">
        <v>3165</v>
      </c>
      <c r="F1359" s="105" t="s">
        <v>3165</v>
      </c>
      <c r="G1359" t="s">
        <v>400</v>
      </c>
      <c r="H1359" s="71" t="str">
        <f>IF(Proc[[#This Row],[type]]="LFF (MDG-F)",MID(Proc[[#This Row],[Obj]],13,10),"")</f>
        <v/>
      </c>
      <c r="J1359" s="71" t="b">
        <f>Proc[[#This Row],[Requested]]=Proc[[#This Row],[CurrentParent]]</f>
        <v>1</v>
      </c>
      <c r="K1359" s="71" t="str">
        <f>IF(Proc[[#This Row],[Author]]="Marcela Urrego",VLOOKUP(LEFT(Proc[[#This Row],[Requested]],1),Table3[#All],2,0),VLOOKUP(Proc[[#This Row],[Author]],Table4[],2,0))</f>
        <v>LS</v>
      </c>
      <c r="L1359" s="71" t="s">
        <v>2563</v>
      </c>
      <c r="M1359" s="81">
        <v>45790.144409722219</v>
      </c>
      <c r="N1359" s="85">
        <v>45791</v>
      </c>
      <c r="O1359" s="85">
        <v>45791</v>
      </c>
      <c r="P1359" s="82" t="str">
        <f ca="1">IF(Proc[[#This Row],[DaysAgeing]]&gt;5,"yep","on track")</f>
        <v>on track</v>
      </c>
      <c r="Q1359" s="3">
        <f ca="1">IF(Proc[[#This Row],[DateClosed]]="",ABS(NETWORKDAYS(Proc[[#This Row],[DateOpened]],TODAY()))-1,ABS(NETWORKDAYS(Proc[[#This Row],[DateOpened]],Proc[[#This Row],[DateClosed]]))-1)</f>
        <v>1</v>
      </c>
      <c r="R1359" s="82" t="s">
        <v>489</v>
      </c>
      <c r="S1359" s="71"/>
    </row>
    <row r="1360" spans="1:19" hidden="1">
      <c r="A1360" s="74" t="s">
        <v>3086</v>
      </c>
      <c r="B1360" s="71" t="str">
        <f>IFERROR(VLOOKUP(Proc[[#This Row],[App]],Table2[],3,0),"open")</f>
        <v>ok</v>
      </c>
      <c r="C1360" s="74" t="s">
        <v>369</v>
      </c>
      <c r="D1360" t="s">
        <v>3094</v>
      </c>
      <c r="E1360" t="s">
        <v>3170</v>
      </c>
      <c r="F1360" s="105" t="s">
        <v>3170</v>
      </c>
      <c r="G1360" t="s">
        <v>406</v>
      </c>
      <c r="H1360" s="71" t="str">
        <f>IF(Proc[[#This Row],[type]]="LFF (MDG-F)",MID(Proc[[#This Row],[Obj]],13,10),"")</f>
        <v>DE10OF0003</v>
      </c>
      <c r="I1360" t="s">
        <v>3182</v>
      </c>
      <c r="J1360" s="71" t="b">
        <f>Proc[[#This Row],[Requested]]=Proc[[#This Row],[CurrentParent]]</f>
        <v>1</v>
      </c>
      <c r="K1360" s="71" t="str">
        <f>IF(Proc[[#This Row],[Author]]="Marcela Urrego",VLOOKUP(LEFT(Proc[[#This Row],[Requested]],1),Table3[#All],2,0),VLOOKUP(Proc[[#This Row],[Author]],Table4[],2,0))</f>
        <v>LS</v>
      </c>
      <c r="L1360" s="71" t="s">
        <v>2563</v>
      </c>
      <c r="M1360" s="81">
        <v>45790.144409722219</v>
      </c>
      <c r="N1360" s="85">
        <v>45791</v>
      </c>
      <c r="O1360" s="85">
        <v>45791</v>
      </c>
      <c r="P1360" s="82" t="str">
        <f ca="1">IF(Proc[[#This Row],[DaysAgeing]]&gt;5,"yep","on track")</f>
        <v>on track</v>
      </c>
      <c r="Q1360" s="3">
        <f ca="1">IF(Proc[[#This Row],[DateClosed]]="",ABS(NETWORKDAYS(Proc[[#This Row],[DateOpened]],TODAY()))-1,ABS(NETWORKDAYS(Proc[[#This Row],[DateOpened]],Proc[[#This Row],[DateClosed]]))-1)</f>
        <v>1</v>
      </c>
      <c r="R1360" s="82" t="s">
        <v>489</v>
      </c>
      <c r="S1360" s="71"/>
    </row>
    <row r="1361" spans="1:19" hidden="1">
      <c r="A1361" s="74" t="s">
        <v>3086</v>
      </c>
      <c r="B1361" s="71" t="str">
        <f>IFERROR(VLOOKUP(Proc[[#This Row],[App]],Table2[],3,0),"open")</f>
        <v>ok</v>
      </c>
      <c r="C1361" s="74" t="s">
        <v>369</v>
      </c>
      <c r="D1361" t="s">
        <v>3095</v>
      </c>
      <c r="E1361" t="s">
        <v>3169</v>
      </c>
      <c r="F1361" s="105" t="s">
        <v>3169</v>
      </c>
      <c r="G1361" s="74" t="s">
        <v>406</v>
      </c>
      <c r="H1361" s="71" t="str">
        <f>IF(Proc[[#This Row],[type]]="LFF (MDG-F)",MID(Proc[[#This Row],[Obj]],13,10),"")</f>
        <v>1756OF0001</v>
      </c>
      <c r="I1361" t="s">
        <v>3182</v>
      </c>
      <c r="J1361" s="71" t="b">
        <f>Proc[[#This Row],[Requested]]=Proc[[#This Row],[CurrentParent]]</f>
        <v>1</v>
      </c>
      <c r="K1361" s="71" t="str">
        <f>IF(Proc[[#This Row],[Author]]="Marcela Urrego",VLOOKUP(LEFT(Proc[[#This Row],[Requested]],1),Table3[#All],2,0),VLOOKUP(Proc[[#This Row],[Author]],Table4[],2,0))</f>
        <v>LS</v>
      </c>
      <c r="L1361" s="71" t="s">
        <v>2563</v>
      </c>
      <c r="M1361" s="81">
        <v>45790.144409722219</v>
      </c>
      <c r="N1361" s="85">
        <v>45791</v>
      </c>
      <c r="O1361" s="85">
        <v>45791</v>
      </c>
      <c r="P1361" s="82" t="str">
        <f ca="1">IF(Proc[[#This Row],[DaysAgeing]]&gt;5,"yep","on track")</f>
        <v>on track</v>
      </c>
      <c r="Q1361" s="3">
        <f ca="1">IF(Proc[[#This Row],[DateClosed]]="",ABS(NETWORKDAYS(Proc[[#This Row],[DateOpened]],TODAY()))-1,ABS(NETWORKDAYS(Proc[[#This Row],[DateOpened]],Proc[[#This Row],[DateClosed]]))-1)</f>
        <v>1</v>
      </c>
      <c r="R1361" s="82" t="s">
        <v>489</v>
      </c>
      <c r="S1361" s="71"/>
    </row>
    <row r="1362" spans="1:19" hidden="1">
      <c r="A1362" s="74" t="s">
        <v>3086</v>
      </c>
      <c r="B1362" s="71" t="str">
        <f>IFERROR(VLOOKUP(Proc[[#This Row],[App]],Table2[],3,0),"open")</f>
        <v>ok</v>
      </c>
      <c r="C1362" s="74" t="s">
        <v>369</v>
      </c>
      <c r="D1362" t="s">
        <v>3096</v>
      </c>
      <c r="E1362" t="s">
        <v>3165</v>
      </c>
      <c r="F1362" s="105" t="s">
        <v>3165</v>
      </c>
      <c r="G1362" s="74" t="s">
        <v>406</v>
      </c>
      <c r="H1362" s="71" t="str">
        <f>IF(Proc[[#This Row],[type]]="LFF (MDG-F)",MID(Proc[[#This Row],[Obj]],13,10),"")</f>
        <v>1756OF0006</v>
      </c>
      <c r="I1362" t="s">
        <v>3182</v>
      </c>
      <c r="J1362" s="71" t="b">
        <f>Proc[[#This Row],[Requested]]=Proc[[#This Row],[CurrentParent]]</f>
        <v>1</v>
      </c>
      <c r="K1362" s="71" t="str">
        <f>IF(Proc[[#This Row],[Author]]="Marcela Urrego",VLOOKUP(LEFT(Proc[[#This Row],[Requested]],1),Table3[#All],2,0),VLOOKUP(Proc[[#This Row],[Author]],Table4[],2,0))</f>
        <v>LS</v>
      </c>
      <c r="L1362" s="71" t="s">
        <v>2563</v>
      </c>
      <c r="M1362" s="81">
        <v>45790.144409722219</v>
      </c>
      <c r="N1362" s="85">
        <v>45791</v>
      </c>
      <c r="O1362" s="85">
        <v>45791</v>
      </c>
      <c r="P1362" s="82" t="str">
        <f ca="1">IF(Proc[[#This Row],[DaysAgeing]]&gt;5,"yep","on track")</f>
        <v>on track</v>
      </c>
      <c r="Q1362" s="3">
        <f ca="1">IF(Proc[[#This Row],[DateClosed]]="",ABS(NETWORKDAYS(Proc[[#This Row],[DateOpened]],TODAY()))-1,ABS(NETWORKDAYS(Proc[[#This Row],[DateOpened]],Proc[[#This Row],[DateClosed]]))-1)</f>
        <v>1</v>
      </c>
      <c r="R1362" s="82" t="s">
        <v>489</v>
      </c>
      <c r="S1362" s="71"/>
    </row>
    <row r="1363" spans="1:19" hidden="1">
      <c r="A1363" s="74" t="s">
        <v>3086</v>
      </c>
      <c r="B1363" s="71" t="str">
        <f>IFERROR(VLOOKUP(Proc[[#This Row],[App]],Table2[],3,0),"open")</f>
        <v>ok</v>
      </c>
      <c r="C1363" s="74" t="s">
        <v>369</v>
      </c>
      <c r="D1363" t="s">
        <v>3097</v>
      </c>
      <c r="E1363" t="s">
        <v>3171</v>
      </c>
      <c r="F1363" s="105" t="s">
        <v>3171</v>
      </c>
      <c r="G1363" s="74" t="s">
        <v>406</v>
      </c>
      <c r="H1363" s="71" t="str">
        <f>IF(Proc[[#This Row],[type]]="LFF (MDG-F)",MID(Proc[[#This Row],[Obj]],13,10),"")</f>
        <v>1756OF7061</v>
      </c>
      <c r="I1363" t="s">
        <v>3182</v>
      </c>
      <c r="J1363" s="71" t="b">
        <f>Proc[[#This Row],[Requested]]=Proc[[#This Row],[CurrentParent]]</f>
        <v>1</v>
      </c>
      <c r="K1363" s="71" t="str">
        <f>IF(Proc[[#This Row],[Author]]="Marcela Urrego",VLOOKUP(LEFT(Proc[[#This Row],[Requested]],1),Table3[#All],2,0),VLOOKUP(Proc[[#This Row],[Author]],Table4[],2,0))</f>
        <v>LS</v>
      </c>
      <c r="L1363" s="71" t="s">
        <v>2563</v>
      </c>
      <c r="M1363" s="81">
        <v>45790.144409722219</v>
      </c>
      <c r="N1363" s="85">
        <v>45791</v>
      </c>
      <c r="O1363" s="85">
        <v>45791</v>
      </c>
      <c r="P1363" s="82" t="str">
        <f ca="1">IF(Proc[[#This Row],[DaysAgeing]]&gt;5,"yep","on track")</f>
        <v>on track</v>
      </c>
      <c r="Q1363" s="3">
        <f ca="1">IF(Proc[[#This Row],[DateClosed]]="",ABS(NETWORKDAYS(Proc[[#This Row],[DateOpened]],TODAY()))-1,ABS(NETWORKDAYS(Proc[[#This Row],[DateOpened]],Proc[[#This Row],[DateClosed]]))-1)</f>
        <v>1</v>
      </c>
      <c r="R1363" s="82" t="s">
        <v>489</v>
      </c>
      <c r="S1363" s="71"/>
    </row>
    <row r="1364" spans="1:19" hidden="1">
      <c r="A1364" s="74" t="s">
        <v>3086</v>
      </c>
      <c r="B1364" s="71" t="str">
        <f>IFERROR(VLOOKUP(Proc[[#This Row],[App]],Table2[],3,0),"open")</f>
        <v>ok</v>
      </c>
      <c r="C1364" s="74" t="s">
        <v>369</v>
      </c>
      <c r="D1364" t="s">
        <v>3098</v>
      </c>
      <c r="E1364" t="s">
        <v>3168</v>
      </c>
      <c r="F1364" s="105" t="s">
        <v>3168</v>
      </c>
      <c r="G1364" s="74" t="s">
        <v>406</v>
      </c>
      <c r="H1364" s="71" t="str">
        <f>IF(Proc[[#This Row],[type]]="LFF (MDG-F)",MID(Proc[[#This Row],[Obj]],13,10),"")</f>
        <v>1756OF7094</v>
      </c>
      <c r="I1364" t="s">
        <v>3182</v>
      </c>
      <c r="J1364" s="71" t="b">
        <f>Proc[[#This Row],[Requested]]=Proc[[#This Row],[CurrentParent]]</f>
        <v>1</v>
      </c>
      <c r="K1364" s="71" t="str">
        <f>IF(Proc[[#This Row],[Author]]="Marcela Urrego",VLOOKUP(LEFT(Proc[[#This Row],[Requested]],1),Table3[#All],2,0),VLOOKUP(Proc[[#This Row],[Author]],Table4[],2,0))</f>
        <v>LS</v>
      </c>
      <c r="L1364" s="71" t="s">
        <v>2563</v>
      </c>
      <c r="M1364" s="81">
        <v>45790.144409722219</v>
      </c>
      <c r="N1364" s="85">
        <v>45791</v>
      </c>
      <c r="O1364" s="85">
        <v>45791</v>
      </c>
      <c r="P1364" s="82" t="str">
        <f ca="1">IF(Proc[[#This Row],[DaysAgeing]]&gt;5,"yep","on track")</f>
        <v>on track</v>
      </c>
      <c r="Q1364" s="3">
        <f ca="1">IF(Proc[[#This Row],[DateClosed]]="",ABS(NETWORKDAYS(Proc[[#This Row],[DateOpened]],TODAY()))-1,ABS(NETWORKDAYS(Proc[[#This Row],[DateOpened]],Proc[[#This Row],[DateClosed]]))-1)</f>
        <v>1</v>
      </c>
      <c r="R1364" s="82" t="s">
        <v>489</v>
      </c>
      <c r="S1364" s="71"/>
    </row>
    <row r="1365" spans="1:19" hidden="1">
      <c r="A1365" s="74" t="s">
        <v>3086</v>
      </c>
      <c r="B1365" s="71" t="str">
        <f>IFERROR(VLOOKUP(Proc[[#This Row],[App]],Table2[],3,0),"open")</f>
        <v>ok</v>
      </c>
      <c r="C1365" s="74" t="s">
        <v>369</v>
      </c>
      <c r="D1365" t="s">
        <v>3099</v>
      </c>
      <c r="E1365" t="s">
        <v>3172</v>
      </c>
      <c r="F1365" s="105" t="s">
        <v>3172</v>
      </c>
      <c r="G1365" s="74" t="s">
        <v>406</v>
      </c>
      <c r="H1365" s="71" t="str">
        <f>IF(Proc[[#This Row],[type]]="LFF (MDG-F)",MID(Proc[[#This Row],[Obj]],13,10),"")</f>
        <v>2148OF0261</v>
      </c>
      <c r="I1365" t="s">
        <v>3182</v>
      </c>
      <c r="J1365" s="71" t="b">
        <f>Proc[[#This Row],[Requested]]=Proc[[#This Row],[CurrentParent]]</f>
        <v>1</v>
      </c>
      <c r="K1365" s="71" t="str">
        <f>IF(Proc[[#This Row],[Author]]="Marcela Urrego",VLOOKUP(LEFT(Proc[[#This Row],[Requested]],1),Table3[#All],2,0),VLOOKUP(Proc[[#This Row],[Author]],Table4[],2,0))</f>
        <v>LS</v>
      </c>
      <c r="L1365" s="71" t="s">
        <v>2563</v>
      </c>
      <c r="M1365" s="81">
        <v>45790.144409722219</v>
      </c>
      <c r="N1365" s="85">
        <v>45791</v>
      </c>
      <c r="O1365" s="85">
        <v>45791</v>
      </c>
      <c r="P1365" s="82" t="str">
        <f ca="1">IF(Proc[[#This Row],[DaysAgeing]]&gt;5,"yep","on track")</f>
        <v>on track</v>
      </c>
      <c r="Q1365" s="3">
        <f ca="1">IF(Proc[[#This Row],[DateClosed]]="",ABS(NETWORKDAYS(Proc[[#This Row],[DateOpened]],TODAY()))-1,ABS(NETWORKDAYS(Proc[[#This Row],[DateOpened]],Proc[[#This Row],[DateClosed]]))-1)</f>
        <v>1</v>
      </c>
      <c r="R1365" s="82" t="s">
        <v>489</v>
      </c>
      <c r="S1365" s="71"/>
    </row>
    <row r="1366" spans="1:19" hidden="1">
      <c r="A1366" s="74" t="s">
        <v>3086</v>
      </c>
      <c r="B1366" s="71" t="str">
        <f>IFERROR(VLOOKUP(Proc[[#This Row],[App]],Table2[],3,0),"open")</f>
        <v>ok</v>
      </c>
      <c r="C1366" s="74" t="s">
        <v>369</v>
      </c>
      <c r="D1366" t="s">
        <v>3100</v>
      </c>
      <c r="E1366" t="s">
        <v>3168</v>
      </c>
      <c r="F1366" s="105" t="s">
        <v>3168</v>
      </c>
      <c r="G1366" s="74" t="s">
        <v>400</v>
      </c>
      <c r="H1366" s="71" t="str">
        <f>IF(Proc[[#This Row],[type]]="LFF (MDG-F)",MID(Proc[[#This Row],[Obj]],13,10),"")</f>
        <v/>
      </c>
      <c r="J1366" s="71" t="b">
        <f>Proc[[#This Row],[Requested]]=Proc[[#This Row],[CurrentParent]]</f>
        <v>1</v>
      </c>
      <c r="K1366" s="71" t="str">
        <f>IF(Proc[[#This Row],[Author]]="Marcela Urrego",VLOOKUP(LEFT(Proc[[#This Row],[Requested]],1),Table3[#All],2,0),VLOOKUP(Proc[[#This Row],[Author]],Table4[],2,0))</f>
        <v>LS</v>
      </c>
      <c r="L1366" s="71" t="s">
        <v>2563</v>
      </c>
      <c r="M1366" s="81">
        <v>45790.144409722219</v>
      </c>
      <c r="N1366" s="85">
        <v>45791</v>
      </c>
      <c r="O1366" s="85">
        <v>45791</v>
      </c>
      <c r="P1366" s="82" t="str">
        <f ca="1">IF(Proc[[#This Row],[DaysAgeing]]&gt;5,"yep","on track")</f>
        <v>on track</v>
      </c>
      <c r="Q1366" s="3">
        <f ca="1">IF(Proc[[#This Row],[DateClosed]]="",ABS(NETWORKDAYS(Proc[[#This Row],[DateOpened]],TODAY()))-1,ABS(NETWORKDAYS(Proc[[#This Row],[DateOpened]],Proc[[#This Row],[DateClosed]]))-1)</f>
        <v>1</v>
      </c>
      <c r="R1366" s="82" t="s">
        <v>489</v>
      </c>
      <c r="S1366" s="71"/>
    </row>
    <row r="1367" spans="1:19" hidden="1">
      <c r="A1367" s="74" t="s">
        <v>3086</v>
      </c>
      <c r="B1367" s="71" t="str">
        <f>IFERROR(VLOOKUP(Proc[[#This Row],[App]],Table2[],3,0),"open")</f>
        <v>ok</v>
      </c>
      <c r="C1367" s="74" t="s">
        <v>369</v>
      </c>
      <c r="D1367" t="s">
        <v>3101</v>
      </c>
      <c r="E1367" t="s">
        <v>3168</v>
      </c>
      <c r="F1367" s="105" t="s">
        <v>3168</v>
      </c>
      <c r="G1367" s="74" t="s">
        <v>400</v>
      </c>
      <c r="H1367" s="71" t="str">
        <f>IF(Proc[[#This Row],[type]]="LFF (MDG-F)",MID(Proc[[#This Row],[Obj]],13,10),"")</f>
        <v/>
      </c>
      <c r="J1367" s="71" t="b">
        <f>Proc[[#This Row],[Requested]]=Proc[[#This Row],[CurrentParent]]</f>
        <v>1</v>
      </c>
      <c r="K1367" s="71" t="str">
        <f>IF(Proc[[#This Row],[Author]]="Marcela Urrego",VLOOKUP(LEFT(Proc[[#This Row],[Requested]],1),Table3[#All],2,0),VLOOKUP(Proc[[#This Row],[Author]],Table4[],2,0))</f>
        <v>LS</v>
      </c>
      <c r="L1367" s="71" t="s">
        <v>2563</v>
      </c>
      <c r="M1367" s="81">
        <v>45790.144409722219</v>
      </c>
      <c r="N1367" s="85">
        <v>45791</v>
      </c>
      <c r="O1367" s="85">
        <v>45791</v>
      </c>
      <c r="P1367" s="82" t="str">
        <f ca="1">IF(Proc[[#This Row],[DaysAgeing]]&gt;5,"yep","on track")</f>
        <v>on track</v>
      </c>
      <c r="Q1367" s="3">
        <f ca="1">IF(Proc[[#This Row],[DateClosed]]="",ABS(NETWORKDAYS(Proc[[#This Row],[DateOpened]],TODAY()))-1,ABS(NETWORKDAYS(Proc[[#This Row],[DateOpened]],Proc[[#This Row],[DateClosed]]))-1)</f>
        <v>1</v>
      </c>
      <c r="R1367" s="82" t="s">
        <v>489</v>
      </c>
      <c r="S1367" s="71"/>
    </row>
    <row r="1368" spans="1:19" hidden="1">
      <c r="A1368" s="74" t="s">
        <v>3086</v>
      </c>
      <c r="B1368" s="71" t="str">
        <f>IFERROR(VLOOKUP(Proc[[#This Row],[App]],Table2[],3,0),"open")</f>
        <v>ok</v>
      </c>
      <c r="C1368" s="74" t="s">
        <v>369</v>
      </c>
      <c r="D1368" t="s">
        <v>3102</v>
      </c>
      <c r="E1368" t="s">
        <v>3166</v>
      </c>
      <c r="F1368" s="105" t="s">
        <v>3166</v>
      </c>
      <c r="G1368" s="74" t="s">
        <v>400</v>
      </c>
      <c r="H1368" s="71" t="str">
        <f>IF(Proc[[#This Row],[type]]="LFF (MDG-F)",MID(Proc[[#This Row],[Obj]],13,10),"")</f>
        <v/>
      </c>
      <c r="J1368" s="71" t="b">
        <f>Proc[[#This Row],[Requested]]=Proc[[#This Row],[CurrentParent]]</f>
        <v>1</v>
      </c>
      <c r="K1368" s="71" t="str">
        <f>IF(Proc[[#This Row],[Author]]="Marcela Urrego",VLOOKUP(LEFT(Proc[[#This Row],[Requested]],1),Table3[#All],2,0),VLOOKUP(Proc[[#This Row],[Author]],Table4[],2,0))</f>
        <v>LS</v>
      </c>
      <c r="L1368" s="71" t="s">
        <v>2563</v>
      </c>
      <c r="M1368" s="81">
        <v>45790.144409722219</v>
      </c>
      <c r="N1368" s="85">
        <v>45791</v>
      </c>
      <c r="O1368" s="85">
        <v>45791</v>
      </c>
      <c r="P1368" s="82" t="str">
        <f ca="1">IF(Proc[[#This Row],[DaysAgeing]]&gt;5,"yep","on track")</f>
        <v>on track</v>
      </c>
      <c r="Q1368" s="3">
        <f ca="1">IF(Proc[[#This Row],[DateClosed]]="",ABS(NETWORKDAYS(Proc[[#This Row],[DateOpened]],TODAY()))-1,ABS(NETWORKDAYS(Proc[[#This Row],[DateOpened]],Proc[[#This Row],[DateClosed]]))-1)</f>
        <v>1</v>
      </c>
      <c r="R1368" s="82" t="s">
        <v>489</v>
      </c>
      <c r="S1368" s="71"/>
    </row>
    <row r="1369" spans="1:19" hidden="1">
      <c r="A1369" s="74" t="s">
        <v>3086</v>
      </c>
      <c r="B1369" s="71" t="str">
        <f>IFERROR(VLOOKUP(Proc[[#This Row],[App]],Table2[],3,0),"open")</f>
        <v>ok</v>
      </c>
      <c r="C1369" s="74" t="s">
        <v>369</v>
      </c>
      <c r="D1369" t="s">
        <v>3103</v>
      </c>
      <c r="E1369" t="s">
        <v>3165</v>
      </c>
      <c r="F1369" s="105" t="s">
        <v>3165</v>
      </c>
      <c r="G1369" s="74" t="s">
        <v>400</v>
      </c>
      <c r="H1369" s="71" t="str">
        <f>IF(Proc[[#This Row],[type]]="LFF (MDG-F)",MID(Proc[[#This Row],[Obj]],13,10),"")</f>
        <v/>
      </c>
      <c r="J1369" s="71" t="b">
        <f>Proc[[#This Row],[Requested]]=Proc[[#This Row],[CurrentParent]]</f>
        <v>1</v>
      </c>
      <c r="K1369" s="71" t="str">
        <f>IF(Proc[[#This Row],[Author]]="Marcela Urrego",VLOOKUP(LEFT(Proc[[#This Row],[Requested]],1),Table3[#All],2,0),VLOOKUP(Proc[[#This Row],[Author]],Table4[],2,0))</f>
        <v>LS</v>
      </c>
      <c r="L1369" s="71" t="s">
        <v>2563</v>
      </c>
      <c r="M1369" s="81">
        <v>45790.144409722219</v>
      </c>
      <c r="N1369" s="85">
        <v>45791</v>
      </c>
      <c r="O1369" s="85">
        <v>45791</v>
      </c>
      <c r="P1369" s="82" t="str">
        <f ca="1">IF(Proc[[#This Row],[DaysAgeing]]&gt;5,"yep","on track")</f>
        <v>on track</v>
      </c>
      <c r="Q1369" s="3">
        <f ca="1">IF(Proc[[#This Row],[DateClosed]]="",ABS(NETWORKDAYS(Proc[[#This Row],[DateOpened]],TODAY()))-1,ABS(NETWORKDAYS(Proc[[#This Row],[DateOpened]],Proc[[#This Row],[DateClosed]]))-1)</f>
        <v>1</v>
      </c>
      <c r="R1369" s="82" t="s">
        <v>489</v>
      </c>
      <c r="S1369" s="71"/>
    </row>
    <row r="1370" spans="1:19" hidden="1">
      <c r="A1370" s="74" t="s">
        <v>3086</v>
      </c>
      <c r="B1370" s="71" t="str">
        <f>IFERROR(VLOOKUP(Proc[[#This Row],[App]],Table2[],3,0),"open")</f>
        <v>ok</v>
      </c>
      <c r="C1370" s="74" t="s">
        <v>369</v>
      </c>
      <c r="D1370" t="s">
        <v>3104</v>
      </c>
      <c r="E1370" t="s">
        <v>3171</v>
      </c>
      <c r="F1370" s="105" t="s">
        <v>3171</v>
      </c>
      <c r="G1370" s="74" t="s">
        <v>400</v>
      </c>
      <c r="H1370" s="71" t="str">
        <f>IF(Proc[[#This Row],[type]]="LFF (MDG-F)",MID(Proc[[#This Row],[Obj]],13,10),"")</f>
        <v/>
      </c>
      <c r="J1370" s="71" t="b">
        <f>Proc[[#This Row],[Requested]]=Proc[[#This Row],[CurrentParent]]</f>
        <v>1</v>
      </c>
      <c r="K1370" s="71" t="str">
        <f>IF(Proc[[#This Row],[Author]]="Marcela Urrego",VLOOKUP(LEFT(Proc[[#This Row],[Requested]],1),Table3[#All],2,0),VLOOKUP(Proc[[#This Row],[Author]],Table4[],2,0))</f>
        <v>LS</v>
      </c>
      <c r="L1370" s="71" t="s">
        <v>2563</v>
      </c>
      <c r="M1370" s="81">
        <v>45790.144409722219</v>
      </c>
      <c r="N1370" s="85">
        <v>45791</v>
      </c>
      <c r="O1370" s="85">
        <v>45791</v>
      </c>
      <c r="P1370" s="82" t="str">
        <f ca="1">IF(Proc[[#This Row],[DaysAgeing]]&gt;5,"yep","on track")</f>
        <v>on track</v>
      </c>
      <c r="Q1370" s="3">
        <f ca="1">IF(Proc[[#This Row],[DateClosed]]="",ABS(NETWORKDAYS(Proc[[#This Row],[DateOpened]],TODAY()))-1,ABS(NETWORKDAYS(Proc[[#This Row],[DateOpened]],Proc[[#This Row],[DateClosed]]))-1)</f>
        <v>1</v>
      </c>
      <c r="R1370" s="82" t="s">
        <v>489</v>
      </c>
      <c r="S1370" s="71"/>
    </row>
    <row r="1371" spans="1:19" hidden="1">
      <c r="A1371" s="74" t="s">
        <v>3086</v>
      </c>
      <c r="B1371" s="71" t="str">
        <f>IFERROR(VLOOKUP(Proc[[#This Row],[App]],Table2[],3,0),"open")</f>
        <v>ok</v>
      </c>
      <c r="C1371" s="74" t="s">
        <v>369</v>
      </c>
      <c r="D1371" t="s">
        <v>3105</v>
      </c>
      <c r="E1371" t="s">
        <v>3169</v>
      </c>
      <c r="F1371" s="105" t="s">
        <v>3169</v>
      </c>
      <c r="G1371" s="74" t="s">
        <v>400</v>
      </c>
      <c r="H1371" s="71" t="str">
        <f>IF(Proc[[#This Row],[type]]="LFF (MDG-F)",MID(Proc[[#This Row],[Obj]],13,10),"")</f>
        <v/>
      </c>
      <c r="J1371" s="71" t="b">
        <f>Proc[[#This Row],[Requested]]=Proc[[#This Row],[CurrentParent]]</f>
        <v>1</v>
      </c>
      <c r="K1371" s="71" t="str">
        <f>IF(Proc[[#This Row],[Author]]="Marcela Urrego",VLOOKUP(LEFT(Proc[[#This Row],[Requested]],1),Table3[#All],2,0),VLOOKUP(Proc[[#This Row],[Author]],Table4[],2,0))</f>
        <v>LS</v>
      </c>
      <c r="L1371" s="71" t="s">
        <v>2563</v>
      </c>
      <c r="M1371" s="81">
        <v>45790.144409722219</v>
      </c>
      <c r="N1371" s="85">
        <v>45791</v>
      </c>
      <c r="O1371" s="85">
        <v>45791</v>
      </c>
      <c r="P1371" s="82" t="str">
        <f ca="1">IF(Proc[[#This Row],[DaysAgeing]]&gt;5,"yep","on track")</f>
        <v>on track</v>
      </c>
      <c r="Q1371" s="3">
        <f ca="1">IF(Proc[[#This Row],[DateClosed]]="",ABS(NETWORKDAYS(Proc[[#This Row],[DateOpened]],TODAY()))-1,ABS(NETWORKDAYS(Proc[[#This Row],[DateOpened]],Proc[[#This Row],[DateClosed]]))-1)</f>
        <v>1</v>
      </c>
      <c r="R1371" s="82" t="s">
        <v>489</v>
      </c>
      <c r="S1371" s="71"/>
    </row>
    <row r="1372" spans="1:19" hidden="1">
      <c r="A1372" s="74" t="s">
        <v>3086</v>
      </c>
      <c r="B1372" s="71" t="str">
        <f>IFERROR(VLOOKUP(Proc[[#This Row],[App]],Table2[],3,0),"open")</f>
        <v>ok</v>
      </c>
      <c r="C1372" s="74" t="s">
        <v>369</v>
      </c>
      <c r="D1372" t="s">
        <v>3106</v>
      </c>
      <c r="E1372" t="s">
        <v>3169</v>
      </c>
      <c r="F1372" s="105" t="s">
        <v>3169</v>
      </c>
      <c r="G1372" s="74" t="s">
        <v>400</v>
      </c>
      <c r="H1372" s="71" t="str">
        <f>IF(Proc[[#This Row],[type]]="LFF (MDG-F)",MID(Proc[[#This Row],[Obj]],13,10),"")</f>
        <v/>
      </c>
      <c r="J1372" s="71" t="b">
        <f>Proc[[#This Row],[Requested]]=Proc[[#This Row],[CurrentParent]]</f>
        <v>1</v>
      </c>
      <c r="K1372" s="71" t="str">
        <f>IF(Proc[[#This Row],[Author]]="Marcela Urrego",VLOOKUP(LEFT(Proc[[#This Row],[Requested]],1),Table3[#All],2,0),VLOOKUP(Proc[[#This Row],[Author]],Table4[],2,0))</f>
        <v>LS</v>
      </c>
      <c r="L1372" s="71" t="s">
        <v>2563</v>
      </c>
      <c r="M1372" s="81">
        <v>45790.144409722219</v>
      </c>
      <c r="N1372" s="85">
        <v>45791</v>
      </c>
      <c r="O1372" s="85">
        <v>45791</v>
      </c>
      <c r="P1372" s="82" t="str">
        <f ca="1">IF(Proc[[#This Row],[DaysAgeing]]&gt;5,"yep","on track")</f>
        <v>on track</v>
      </c>
      <c r="Q1372" s="3">
        <f ca="1">IF(Proc[[#This Row],[DateClosed]]="",ABS(NETWORKDAYS(Proc[[#This Row],[DateOpened]],TODAY()))-1,ABS(NETWORKDAYS(Proc[[#This Row],[DateOpened]],Proc[[#This Row],[DateClosed]]))-1)</f>
        <v>1</v>
      </c>
      <c r="R1372" s="82" t="s">
        <v>489</v>
      </c>
      <c r="S1372" s="71"/>
    </row>
    <row r="1373" spans="1:19" hidden="1">
      <c r="A1373" s="74" t="s">
        <v>3086</v>
      </c>
      <c r="B1373" s="71" t="str">
        <f>IFERROR(VLOOKUP(Proc[[#This Row],[App]],Table2[],3,0),"open")</f>
        <v>ok</v>
      </c>
      <c r="C1373" s="74" t="s">
        <v>369</v>
      </c>
      <c r="D1373" t="s">
        <v>3107</v>
      </c>
      <c r="E1373" t="s">
        <v>3170</v>
      </c>
      <c r="F1373" s="105" t="s">
        <v>3170</v>
      </c>
      <c r="G1373" s="74" t="s">
        <v>400</v>
      </c>
      <c r="H1373" s="71" t="str">
        <f>IF(Proc[[#This Row],[type]]="LFF (MDG-F)",MID(Proc[[#This Row],[Obj]],13,10),"")</f>
        <v/>
      </c>
      <c r="J1373" s="71" t="b">
        <f>Proc[[#This Row],[Requested]]=Proc[[#This Row],[CurrentParent]]</f>
        <v>1</v>
      </c>
      <c r="K1373" s="71" t="str">
        <f>IF(Proc[[#This Row],[Author]]="Marcela Urrego",VLOOKUP(LEFT(Proc[[#This Row],[Requested]],1),Table3[#All],2,0),VLOOKUP(Proc[[#This Row],[Author]],Table4[],2,0))</f>
        <v>LS</v>
      </c>
      <c r="L1373" s="71" t="s">
        <v>2563</v>
      </c>
      <c r="M1373" s="81">
        <v>45790.144409722219</v>
      </c>
      <c r="N1373" s="85">
        <v>45791</v>
      </c>
      <c r="O1373" s="85">
        <v>45791</v>
      </c>
      <c r="P1373" s="82" t="str">
        <f ca="1">IF(Proc[[#This Row],[DaysAgeing]]&gt;5,"yep","on track")</f>
        <v>on track</v>
      </c>
      <c r="Q1373" s="3">
        <f ca="1">IF(Proc[[#This Row],[DateClosed]]="",ABS(NETWORKDAYS(Proc[[#This Row],[DateOpened]],TODAY()))-1,ABS(NETWORKDAYS(Proc[[#This Row],[DateOpened]],Proc[[#This Row],[DateClosed]]))-1)</f>
        <v>1</v>
      </c>
      <c r="R1373" s="82" t="s">
        <v>489</v>
      </c>
      <c r="S1373" s="71"/>
    </row>
    <row r="1374" spans="1:19" hidden="1">
      <c r="A1374" s="74" t="s">
        <v>3086</v>
      </c>
      <c r="B1374" s="71" t="str">
        <f>IFERROR(VLOOKUP(Proc[[#This Row],[App]],Table2[],3,0),"open")</f>
        <v>ok</v>
      </c>
      <c r="C1374" s="74" t="s">
        <v>369</v>
      </c>
      <c r="D1374" t="s">
        <v>3108</v>
      </c>
      <c r="E1374" t="s">
        <v>3172</v>
      </c>
      <c r="F1374" s="105" t="s">
        <v>3172</v>
      </c>
      <c r="G1374" s="74" t="s">
        <v>400</v>
      </c>
      <c r="H1374" s="71" t="str">
        <f>IF(Proc[[#This Row],[type]]="LFF (MDG-F)",MID(Proc[[#This Row],[Obj]],13,10),"")</f>
        <v/>
      </c>
      <c r="J1374" s="71" t="b">
        <f>Proc[[#This Row],[Requested]]=Proc[[#This Row],[CurrentParent]]</f>
        <v>1</v>
      </c>
      <c r="K1374" s="71" t="str">
        <f>IF(Proc[[#This Row],[Author]]="Marcela Urrego",VLOOKUP(LEFT(Proc[[#This Row],[Requested]],1),Table3[#All],2,0),VLOOKUP(Proc[[#This Row],[Author]],Table4[],2,0))</f>
        <v>LS</v>
      </c>
      <c r="L1374" s="71" t="s">
        <v>2563</v>
      </c>
      <c r="M1374" s="81">
        <v>45790.144409722219</v>
      </c>
      <c r="N1374" s="85">
        <v>45791</v>
      </c>
      <c r="O1374" s="85">
        <v>45791</v>
      </c>
      <c r="P1374" s="82" t="str">
        <f ca="1">IF(Proc[[#This Row],[DaysAgeing]]&gt;5,"yep","on track")</f>
        <v>on track</v>
      </c>
      <c r="Q1374" s="3">
        <f ca="1">IF(Proc[[#This Row],[DateClosed]]="",ABS(NETWORKDAYS(Proc[[#This Row],[DateOpened]],TODAY()))-1,ABS(NETWORKDAYS(Proc[[#This Row],[DateOpened]],Proc[[#This Row],[DateClosed]]))-1)</f>
        <v>1</v>
      </c>
      <c r="R1374" s="82" t="s">
        <v>489</v>
      </c>
      <c r="S1374" s="71"/>
    </row>
    <row r="1375" spans="1:19" hidden="1">
      <c r="A1375" s="74" t="s">
        <v>3086</v>
      </c>
      <c r="B1375" s="71" t="str">
        <f>IFERROR(VLOOKUP(Proc[[#This Row],[App]],Table2[],3,0),"open")</f>
        <v>ok</v>
      </c>
      <c r="C1375" s="74" t="s">
        <v>369</v>
      </c>
      <c r="D1375" t="s">
        <v>3109</v>
      </c>
      <c r="E1375" t="s">
        <v>3170</v>
      </c>
      <c r="F1375" s="105" t="s">
        <v>3170</v>
      </c>
      <c r="G1375" s="74" t="s">
        <v>400</v>
      </c>
      <c r="H1375" s="71" t="str">
        <f>IF(Proc[[#This Row],[type]]="LFF (MDG-F)",MID(Proc[[#This Row],[Obj]],13,10),"")</f>
        <v/>
      </c>
      <c r="J1375" s="71" t="b">
        <f>Proc[[#This Row],[Requested]]=Proc[[#This Row],[CurrentParent]]</f>
        <v>1</v>
      </c>
      <c r="K1375" s="71" t="str">
        <f>IF(Proc[[#This Row],[Author]]="Marcela Urrego",VLOOKUP(LEFT(Proc[[#This Row],[Requested]],1),Table3[#All],2,0),VLOOKUP(Proc[[#This Row],[Author]],Table4[],2,0))</f>
        <v>LS</v>
      </c>
      <c r="L1375" s="71" t="s">
        <v>2563</v>
      </c>
      <c r="M1375" s="81">
        <v>45790.144409722219</v>
      </c>
      <c r="N1375" s="85">
        <v>45791</v>
      </c>
      <c r="O1375" s="85">
        <v>45791</v>
      </c>
      <c r="P1375" s="82" t="str">
        <f ca="1">IF(Proc[[#This Row],[DaysAgeing]]&gt;5,"yep","on track")</f>
        <v>on track</v>
      </c>
      <c r="Q1375" s="3">
        <f ca="1">IF(Proc[[#This Row],[DateClosed]]="",ABS(NETWORKDAYS(Proc[[#This Row],[DateOpened]],TODAY()))-1,ABS(NETWORKDAYS(Proc[[#This Row],[DateOpened]],Proc[[#This Row],[DateClosed]]))-1)</f>
        <v>1</v>
      </c>
      <c r="R1375" s="82" t="s">
        <v>489</v>
      </c>
      <c r="S1375" s="71"/>
    </row>
    <row r="1376" spans="1:19" hidden="1">
      <c r="A1376" s="74" t="s">
        <v>3086</v>
      </c>
      <c r="B1376" s="71" t="str">
        <f>IFERROR(VLOOKUP(Proc[[#This Row],[App]],Table2[],3,0),"open")</f>
        <v>ok</v>
      </c>
      <c r="C1376" s="74" t="s">
        <v>369</v>
      </c>
      <c r="D1376" t="s">
        <v>3110</v>
      </c>
      <c r="E1376" t="s">
        <v>3172</v>
      </c>
      <c r="F1376" s="105" t="s">
        <v>3172</v>
      </c>
      <c r="G1376" s="74" t="s">
        <v>400</v>
      </c>
      <c r="H1376" s="71" t="str">
        <f>IF(Proc[[#This Row],[type]]="LFF (MDG-F)",MID(Proc[[#This Row],[Obj]],13,10),"")</f>
        <v/>
      </c>
      <c r="J1376" s="71" t="b">
        <f>Proc[[#This Row],[Requested]]=Proc[[#This Row],[CurrentParent]]</f>
        <v>1</v>
      </c>
      <c r="K1376" s="71" t="str">
        <f>IF(Proc[[#This Row],[Author]]="Marcela Urrego",VLOOKUP(LEFT(Proc[[#This Row],[Requested]],1),Table3[#All],2,0),VLOOKUP(Proc[[#This Row],[Author]],Table4[],2,0))</f>
        <v>LS</v>
      </c>
      <c r="L1376" s="71" t="s">
        <v>2563</v>
      </c>
      <c r="M1376" s="81">
        <v>45790.144409722219</v>
      </c>
      <c r="N1376" s="85">
        <v>45791</v>
      </c>
      <c r="O1376" s="85">
        <v>45791</v>
      </c>
      <c r="P1376" s="82" t="str">
        <f ca="1">IF(Proc[[#This Row],[DaysAgeing]]&gt;5,"yep","on track")</f>
        <v>on track</v>
      </c>
      <c r="Q1376" s="3">
        <f ca="1">IF(Proc[[#This Row],[DateClosed]]="",ABS(NETWORKDAYS(Proc[[#This Row],[DateOpened]],TODAY()))-1,ABS(NETWORKDAYS(Proc[[#This Row],[DateOpened]],Proc[[#This Row],[DateClosed]]))-1)</f>
        <v>1</v>
      </c>
      <c r="R1376" s="82" t="s">
        <v>489</v>
      </c>
      <c r="S1376" s="71"/>
    </row>
    <row r="1377" spans="1:19" hidden="1">
      <c r="A1377" s="74" t="s">
        <v>3086</v>
      </c>
      <c r="B1377" s="71" t="str">
        <f>IFERROR(VLOOKUP(Proc[[#This Row],[App]],Table2[],3,0),"open")</f>
        <v>ok</v>
      </c>
      <c r="C1377" s="74" t="s">
        <v>369</v>
      </c>
      <c r="D1377" t="s">
        <v>3111</v>
      </c>
      <c r="E1377" t="s">
        <v>3173</v>
      </c>
      <c r="F1377" s="105" t="s">
        <v>3173</v>
      </c>
      <c r="G1377" s="74" t="s">
        <v>400</v>
      </c>
      <c r="H1377" s="71" t="str">
        <f>IF(Proc[[#This Row],[type]]="LFF (MDG-F)",MID(Proc[[#This Row],[Obj]],13,10),"")</f>
        <v/>
      </c>
      <c r="J1377" s="71" t="b">
        <f>Proc[[#This Row],[Requested]]=Proc[[#This Row],[CurrentParent]]</f>
        <v>1</v>
      </c>
      <c r="K1377" s="71" t="str">
        <f>IF(Proc[[#This Row],[Author]]="Marcela Urrego",VLOOKUP(LEFT(Proc[[#This Row],[Requested]],1),Table3[#All],2,0),VLOOKUP(Proc[[#This Row],[Author]],Table4[],2,0))</f>
        <v>LS</v>
      </c>
      <c r="L1377" s="71" t="s">
        <v>2563</v>
      </c>
      <c r="M1377" s="81">
        <v>45790.144409722219</v>
      </c>
      <c r="N1377" s="85">
        <v>45791</v>
      </c>
      <c r="O1377" s="85">
        <v>45791</v>
      </c>
      <c r="P1377" s="82" t="str">
        <f ca="1">IF(Proc[[#This Row],[DaysAgeing]]&gt;5,"yep","on track")</f>
        <v>on track</v>
      </c>
      <c r="Q1377" s="3">
        <f ca="1">IF(Proc[[#This Row],[DateClosed]]="",ABS(NETWORKDAYS(Proc[[#This Row],[DateOpened]],TODAY()))-1,ABS(NETWORKDAYS(Proc[[#This Row],[DateOpened]],Proc[[#This Row],[DateClosed]]))-1)</f>
        <v>1</v>
      </c>
      <c r="R1377" s="82" t="s">
        <v>489</v>
      </c>
      <c r="S1377" s="71"/>
    </row>
    <row r="1378" spans="1:19" hidden="1">
      <c r="A1378" s="74" t="s">
        <v>3086</v>
      </c>
      <c r="B1378" s="71" t="str">
        <f>IFERROR(VLOOKUP(Proc[[#This Row],[App]],Table2[],3,0),"open")</f>
        <v>ok</v>
      </c>
      <c r="C1378" s="74" t="s">
        <v>369</v>
      </c>
      <c r="D1378" t="s">
        <v>3112</v>
      </c>
      <c r="E1378" t="s">
        <v>3174</v>
      </c>
      <c r="F1378" s="105" t="s">
        <v>3174</v>
      </c>
      <c r="G1378" s="74" t="s">
        <v>400</v>
      </c>
      <c r="H1378" s="71" t="str">
        <f>IF(Proc[[#This Row],[type]]="LFF (MDG-F)",MID(Proc[[#This Row],[Obj]],13,10),"")</f>
        <v/>
      </c>
      <c r="J1378" s="71" t="b">
        <f>Proc[[#This Row],[Requested]]=Proc[[#This Row],[CurrentParent]]</f>
        <v>1</v>
      </c>
      <c r="K1378" s="71" t="str">
        <f>IF(Proc[[#This Row],[Author]]="Marcela Urrego",VLOOKUP(LEFT(Proc[[#This Row],[Requested]],1),Table3[#All],2,0),VLOOKUP(Proc[[#This Row],[Author]],Table4[],2,0))</f>
        <v>LS</v>
      </c>
      <c r="L1378" s="71" t="s">
        <v>2563</v>
      </c>
      <c r="M1378" s="81">
        <v>45790.144409722219</v>
      </c>
      <c r="N1378" s="85">
        <v>45791</v>
      </c>
      <c r="O1378" s="85">
        <v>45791</v>
      </c>
      <c r="P1378" s="82" t="str">
        <f ca="1">IF(Proc[[#This Row],[DaysAgeing]]&gt;5,"yep","on track")</f>
        <v>on track</v>
      </c>
      <c r="Q1378" s="3">
        <f ca="1">IF(Proc[[#This Row],[DateClosed]]="",ABS(NETWORKDAYS(Proc[[#This Row],[DateOpened]],TODAY()))-1,ABS(NETWORKDAYS(Proc[[#This Row],[DateOpened]],Proc[[#This Row],[DateClosed]]))-1)</f>
        <v>1</v>
      </c>
      <c r="R1378" s="82" t="s">
        <v>489</v>
      </c>
      <c r="S1378" s="71"/>
    </row>
    <row r="1379" spans="1:19" hidden="1">
      <c r="A1379" s="74" t="s">
        <v>3086</v>
      </c>
      <c r="B1379" s="71" t="str">
        <f>IFERROR(VLOOKUP(Proc[[#This Row],[App]],Table2[],3,0),"open")</f>
        <v>ok</v>
      </c>
      <c r="C1379" s="74" t="s">
        <v>369</v>
      </c>
      <c r="D1379" t="s">
        <v>3113</v>
      </c>
      <c r="E1379" t="s">
        <v>3166</v>
      </c>
      <c r="F1379" s="105" t="s">
        <v>3166</v>
      </c>
      <c r="G1379" s="74" t="s">
        <v>400</v>
      </c>
      <c r="H1379" s="71" t="str">
        <f>IF(Proc[[#This Row],[type]]="LFF (MDG-F)",MID(Proc[[#This Row],[Obj]],13,10),"")</f>
        <v/>
      </c>
      <c r="J1379" s="71" t="b">
        <f>Proc[[#This Row],[Requested]]=Proc[[#This Row],[CurrentParent]]</f>
        <v>1</v>
      </c>
      <c r="K1379" s="71" t="str">
        <f>IF(Proc[[#This Row],[Author]]="Marcela Urrego",VLOOKUP(LEFT(Proc[[#This Row],[Requested]],1),Table3[#All],2,0),VLOOKUP(Proc[[#This Row],[Author]],Table4[],2,0))</f>
        <v>LS</v>
      </c>
      <c r="L1379" s="71" t="s">
        <v>2563</v>
      </c>
      <c r="M1379" s="81">
        <v>45790.144409722219</v>
      </c>
      <c r="N1379" s="85">
        <v>45791</v>
      </c>
      <c r="O1379" s="85">
        <v>45791</v>
      </c>
      <c r="P1379" s="82" t="str">
        <f ca="1">IF(Proc[[#This Row],[DaysAgeing]]&gt;5,"yep","on track")</f>
        <v>on track</v>
      </c>
      <c r="Q1379" s="3">
        <f ca="1">IF(Proc[[#This Row],[DateClosed]]="",ABS(NETWORKDAYS(Proc[[#This Row],[DateOpened]],TODAY()))-1,ABS(NETWORKDAYS(Proc[[#This Row],[DateOpened]],Proc[[#This Row],[DateClosed]]))-1)</f>
        <v>1</v>
      </c>
      <c r="R1379" s="82" t="s">
        <v>489</v>
      </c>
      <c r="S1379" s="71"/>
    </row>
    <row r="1380" spans="1:19" hidden="1">
      <c r="A1380" s="74" t="s">
        <v>3086</v>
      </c>
      <c r="B1380" s="71" t="str">
        <f>IFERROR(VLOOKUP(Proc[[#This Row],[App]],Table2[],3,0),"open")</f>
        <v>ok</v>
      </c>
      <c r="C1380" s="74" t="s">
        <v>369</v>
      </c>
      <c r="D1380" t="s">
        <v>3114</v>
      </c>
      <c r="E1380" t="s">
        <v>3170</v>
      </c>
      <c r="F1380" s="105" t="s">
        <v>3170</v>
      </c>
      <c r="G1380" s="74" t="s">
        <v>400</v>
      </c>
      <c r="H1380" s="71" t="str">
        <f>IF(Proc[[#This Row],[type]]="LFF (MDG-F)",MID(Proc[[#This Row],[Obj]],13,10),"")</f>
        <v/>
      </c>
      <c r="J1380" s="71" t="b">
        <f>Proc[[#This Row],[Requested]]=Proc[[#This Row],[CurrentParent]]</f>
        <v>1</v>
      </c>
      <c r="K1380" s="71" t="str">
        <f>IF(Proc[[#This Row],[Author]]="Marcela Urrego",VLOOKUP(LEFT(Proc[[#This Row],[Requested]],1),Table3[#All],2,0),VLOOKUP(Proc[[#This Row],[Author]],Table4[],2,0))</f>
        <v>LS</v>
      </c>
      <c r="L1380" s="71" t="s">
        <v>2563</v>
      </c>
      <c r="M1380" s="81">
        <v>45790.144409722219</v>
      </c>
      <c r="N1380" s="85">
        <v>45791</v>
      </c>
      <c r="O1380" s="85">
        <v>45791</v>
      </c>
      <c r="P1380" s="82" t="str">
        <f ca="1">IF(Proc[[#This Row],[DaysAgeing]]&gt;5,"yep","on track")</f>
        <v>on track</v>
      </c>
      <c r="Q1380" s="3">
        <f ca="1">IF(Proc[[#This Row],[DateClosed]]="",ABS(NETWORKDAYS(Proc[[#This Row],[DateOpened]],TODAY()))-1,ABS(NETWORKDAYS(Proc[[#This Row],[DateOpened]],Proc[[#This Row],[DateClosed]]))-1)</f>
        <v>1</v>
      </c>
      <c r="R1380" s="82" t="s">
        <v>489</v>
      </c>
      <c r="S1380" s="71"/>
    </row>
    <row r="1381" spans="1:19" hidden="1">
      <c r="A1381" s="74" t="s">
        <v>3086</v>
      </c>
      <c r="B1381" s="71" t="str">
        <f>IFERROR(VLOOKUP(Proc[[#This Row],[App]],Table2[],3,0),"open")</f>
        <v>ok</v>
      </c>
      <c r="C1381" s="74" t="s">
        <v>369</v>
      </c>
      <c r="D1381" t="s">
        <v>3115</v>
      </c>
      <c r="E1381" t="s">
        <v>3168</v>
      </c>
      <c r="F1381" s="105" t="s">
        <v>3168</v>
      </c>
      <c r="G1381" s="74" t="s">
        <v>400</v>
      </c>
      <c r="H1381" s="71" t="str">
        <f>IF(Proc[[#This Row],[type]]="LFF (MDG-F)",MID(Proc[[#This Row],[Obj]],13,10),"")</f>
        <v/>
      </c>
      <c r="J1381" s="71" t="b">
        <f>Proc[[#This Row],[Requested]]=Proc[[#This Row],[CurrentParent]]</f>
        <v>1</v>
      </c>
      <c r="K1381" s="71" t="str">
        <f>IF(Proc[[#This Row],[Author]]="Marcela Urrego",VLOOKUP(LEFT(Proc[[#This Row],[Requested]],1),Table3[#All],2,0),VLOOKUP(Proc[[#This Row],[Author]],Table4[],2,0))</f>
        <v>LS</v>
      </c>
      <c r="L1381" s="71" t="s">
        <v>2563</v>
      </c>
      <c r="M1381" s="81">
        <v>45790.144409722219</v>
      </c>
      <c r="N1381" s="85">
        <v>45791</v>
      </c>
      <c r="O1381" s="85">
        <v>45791</v>
      </c>
      <c r="P1381" s="82" t="str">
        <f ca="1">IF(Proc[[#This Row],[DaysAgeing]]&gt;5,"yep","on track")</f>
        <v>on track</v>
      </c>
      <c r="Q1381" s="3">
        <f ca="1">IF(Proc[[#This Row],[DateClosed]]="",ABS(NETWORKDAYS(Proc[[#This Row],[DateOpened]],TODAY()))-1,ABS(NETWORKDAYS(Proc[[#This Row],[DateOpened]],Proc[[#This Row],[DateClosed]]))-1)</f>
        <v>1</v>
      </c>
      <c r="R1381" s="82" t="s">
        <v>489</v>
      </c>
      <c r="S1381" s="71"/>
    </row>
    <row r="1382" spans="1:19" hidden="1">
      <c r="A1382" s="74" t="s">
        <v>3086</v>
      </c>
      <c r="B1382" s="71" t="str">
        <f>IFERROR(VLOOKUP(Proc[[#This Row],[App]],Table2[],3,0),"open")</f>
        <v>ok</v>
      </c>
      <c r="C1382" s="74" t="s">
        <v>369</v>
      </c>
      <c r="D1382" t="s">
        <v>3116</v>
      </c>
      <c r="E1382" t="s">
        <v>3168</v>
      </c>
      <c r="F1382" s="105" t="s">
        <v>3168</v>
      </c>
      <c r="G1382" s="74" t="s">
        <v>400</v>
      </c>
      <c r="H1382" s="71" t="str">
        <f>IF(Proc[[#This Row],[type]]="LFF (MDG-F)",MID(Proc[[#This Row],[Obj]],13,10),"")</f>
        <v/>
      </c>
      <c r="J1382" s="71" t="b">
        <f>Proc[[#This Row],[Requested]]=Proc[[#This Row],[CurrentParent]]</f>
        <v>1</v>
      </c>
      <c r="K1382" s="71" t="str">
        <f>IF(Proc[[#This Row],[Author]]="Marcela Urrego",VLOOKUP(LEFT(Proc[[#This Row],[Requested]],1),Table3[#All],2,0),VLOOKUP(Proc[[#This Row],[Author]],Table4[],2,0))</f>
        <v>LS</v>
      </c>
      <c r="L1382" s="71" t="s">
        <v>2563</v>
      </c>
      <c r="M1382" s="81">
        <v>45790.144409722219</v>
      </c>
      <c r="N1382" s="85">
        <v>45791</v>
      </c>
      <c r="O1382" s="85">
        <v>45791</v>
      </c>
      <c r="P1382" s="82" t="str">
        <f ca="1">IF(Proc[[#This Row],[DaysAgeing]]&gt;5,"yep","on track")</f>
        <v>on track</v>
      </c>
      <c r="Q1382" s="3">
        <f ca="1">IF(Proc[[#This Row],[DateClosed]]="",ABS(NETWORKDAYS(Proc[[#This Row],[DateOpened]],TODAY()))-1,ABS(NETWORKDAYS(Proc[[#This Row],[DateOpened]],Proc[[#This Row],[DateClosed]]))-1)</f>
        <v>1</v>
      </c>
      <c r="R1382" s="82" t="s">
        <v>489</v>
      </c>
      <c r="S1382" s="71"/>
    </row>
    <row r="1383" spans="1:19" hidden="1">
      <c r="A1383" s="74" t="s">
        <v>3086</v>
      </c>
      <c r="B1383" s="71" t="str">
        <f>IFERROR(VLOOKUP(Proc[[#This Row],[App]],Table2[],3,0),"open")</f>
        <v>ok</v>
      </c>
      <c r="C1383" s="74" t="s">
        <v>369</v>
      </c>
      <c r="D1383" t="s">
        <v>3117</v>
      </c>
      <c r="E1383" t="s">
        <v>3171</v>
      </c>
      <c r="F1383" s="105" t="s">
        <v>3171</v>
      </c>
      <c r="G1383" s="74" t="s">
        <v>400</v>
      </c>
      <c r="H1383" s="71" t="str">
        <f>IF(Proc[[#This Row],[type]]="LFF (MDG-F)",MID(Proc[[#This Row],[Obj]],13,10),"")</f>
        <v/>
      </c>
      <c r="J1383" s="71" t="b">
        <f>Proc[[#This Row],[Requested]]=Proc[[#This Row],[CurrentParent]]</f>
        <v>1</v>
      </c>
      <c r="K1383" s="71" t="str">
        <f>IF(Proc[[#This Row],[Author]]="Marcela Urrego",VLOOKUP(LEFT(Proc[[#This Row],[Requested]],1),Table3[#All],2,0),VLOOKUP(Proc[[#This Row],[Author]],Table4[],2,0))</f>
        <v>LS</v>
      </c>
      <c r="L1383" s="71" t="s">
        <v>2563</v>
      </c>
      <c r="M1383" s="81">
        <v>45790.144409722219</v>
      </c>
      <c r="N1383" s="85">
        <v>45791</v>
      </c>
      <c r="O1383" s="85">
        <v>45791</v>
      </c>
      <c r="P1383" s="82" t="str">
        <f ca="1">IF(Proc[[#This Row],[DaysAgeing]]&gt;5,"yep","on track")</f>
        <v>on track</v>
      </c>
      <c r="Q1383" s="3">
        <f ca="1">IF(Proc[[#This Row],[DateClosed]]="",ABS(NETWORKDAYS(Proc[[#This Row],[DateOpened]],TODAY()))-1,ABS(NETWORKDAYS(Proc[[#This Row],[DateOpened]],Proc[[#This Row],[DateClosed]]))-1)</f>
        <v>1</v>
      </c>
      <c r="R1383" s="82" t="s">
        <v>489</v>
      </c>
      <c r="S1383" s="71"/>
    </row>
    <row r="1384" spans="1:19" hidden="1">
      <c r="A1384" s="74" t="s">
        <v>3086</v>
      </c>
      <c r="B1384" s="71" t="str">
        <f>IFERROR(VLOOKUP(Proc[[#This Row],[App]],Table2[],3,0),"open")</f>
        <v>ok</v>
      </c>
      <c r="C1384" s="74" t="s">
        <v>369</v>
      </c>
      <c r="D1384" t="s">
        <v>3118</v>
      </c>
      <c r="E1384" t="s">
        <v>3167</v>
      </c>
      <c r="F1384" s="105" t="s">
        <v>3167</v>
      </c>
      <c r="G1384" s="74" t="s">
        <v>400</v>
      </c>
      <c r="H1384" s="71" t="str">
        <f>IF(Proc[[#This Row],[type]]="LFF (MDG-F)",MID(Proc[[#This Row],[Obj]],13,10),"")</f>
        <v/>
      </c>
      <c r="J1384" s="71" t="b">
        <f>Proc[[#This Row],[Requested]]=Proc[[#This Row],[CurrentParent]]</f>
        <v>1</v>
      </c>
      <c r="K1384" s="71" t="str">
        <f>IF(Proc[[#This Row],[Author]]="Marcela Urrego",VLOOKUP(LEFT(Proc[[#This Row],[Requested]],1),Table3[#All],2,0),VLOOKUP(Proc[[#This Row],[Author]],Table4[],2,0))</f>
        <v>LS</v>
      </c>
      <c r="L1384" s="71" t="s">
        <v>2563</v>
      </c>
      <c r="M1384" s="81">
        <v>45790.144409722219</v>
      </c>
      <c r="N1384" s="85">
        <v>45791</v>
      </c>
      <c r="O1384" s="85">
        <v>45791</v>
      </c>
      <c r="P1384" s="82" t="str">
        <f ca="1">IF(Proc[[#This Row],[DaysAgeing]]&gt;5,"yep","on track")</f>
        <v>on track</v>
      </c>
      <c r="Q1384" s="3">
        <f ca="1">IF(Proc[[#This Row],[DateClosed]]="",ABS(NETWORKDAYS(Proc[[#This Row],[DateOpened]],TODAY()))-1,ABS(NETWORKDAYS(Proc[[#This Row],[DateOpened]],Proc[[#This Row],[DateClosed]]))-1)</f>
        <v>1</v>
      </c>
      <c r="R1384" s="82" t="s">
        <v>489</v>
      </c>
      <c r="S1384" s="71"/>
    </row>
    <row r="1385" spans="1:19" hidden="1">
      <c r="A1385" s="74" t="s">
        <v>3086</v>
      </c>
      <c r="B1385" s="71" t="str">
        <f>IFERROR(VLOOKUP(Proc[[#This Row],[App]],Table2[],3,0),"open")</f>
        <v>ok</v>
      </c>
      <c r="C1385" s="74" t="s">
        <v>369</v>
      </c>
      <c r="D1385" t="s">
        <v>3119</v>
      </c>
      <c r="E1385" t="s">
        <v>3174</v>
      </c>
      <c r="F1385" s="105" t="s">
        <v>3174</v>
      </c>
      <c r="G1385" s="74" t="s">
        <v>400</v>
      </c>
      <c r="H1385" s="71" t="str">
        <f>IF(Proc[[#This Row],[type]]="LFF (MDG-F)",MID(Proc[[#This Row],[Obj]],13,10),"")</f>
        <v/>
      </c>
      <c r="J1385" s="71" t="b">
        <f>Proc[[#This Row],[Requested]]=Proc[[#This Row],[CurrentParent]]</f>
        <v>1</v>
      </c>
      <c r="K1385" s="71" t="str">
        <f>IF(Proc[[#This Row],[Author]]="Marcela Urrego",VLOOKUP(LEFT(Proc[[#This Row],[Requested]],1),Table3[#All],2,0),VLOOKUP(Proc[[#This Row],[Author]],Table4[],2,0))</f>
        <v>LS</v>
      </c>
      <c r="L1385" s="71" t="s">
        <v>2563</v>
      </c>
      <c r="M1385" s="81">
        <v>45790.144409722219</v>
      </c>
      <c r="N1385" s="85">
        <v>45791</v>
      </c>
      <c r="O1385" s="85">
        <v>45791</v>
      </c>
      <c r="P1385" s="82" t="str">
        <f ca="1">IF(Proc[[#This Row],[DaysAgeing]]&gt;5,"yep","on track")</f>
        <v>on track</v>
      </c>
      <c r="Q1385" s="3">
        <f ca="1">IF(Proc[[#This Row],[DateClosed]]="",ABS(NETWORKDAYS(Proc[[#This Row],[DateOpened]],TODAY()))-1,ABS(NETWORKDAYS(Proc[[#This Row],[DateOpened]],Proc[[#This Row],[DateClosed]]))-1)</f>
        <v>1</v>
      </c>
      <c r="R1385" s="82" t="s">
        <v>489</v>
      </c>
      <c r="S1385" s="71"/>
    </row>
    <row r="1386" spans="1:19" hidden="1">
      <c r="A1386" s="74" t="s">
        <v>3086</v>
      </c>
      <c r="B1386" s="71" t="str">
        <f>IFERROR(VLOOKUP(Proc[[#This Row],[App]],Table2[],3,0),"open")</f>
        <v>ok</v>
      </c>
      <c r="C1386" s="74" t="s">
        <v>369</v>
      </c>
      <c r="D1386" t="s">
        <v>3120</v>
      </c>
      <c r="E1386" t="s">
        <v>3168</v>
      </c>
      <c r="F1386" s="105" t="s">
        <v>3168</v>
      </c>
      <c r="G1386" s="74" t="s">
        <v>400</v>
      </c>
      <c r="H1386" s="71" t="str">
        <f>IF(Proc[[#This Row],[type]]="LFF (MDG-F)",MID(Proc[[#This Row],[Obj]],13,10),"")</f>
        <v/>
      </c>
      <c r="J1386" s="71" t="b">
        <f>Proc[[#This Row],[Requested]]=Proc[[#This Row],[CurrentParent]]</f>
        <v>1</v>
      </c>
      <c r="K1386" s="71" t="str">
        <f>IF(Proc[[#This Row],[Author]]="Marcela Urrego",VLOOKUP(LEFT(Proc[[#This Row],[Requested]],1),Table3[#All],2,0),VLOOKUP(Proc[[#This Row],[Author]],Table4[],2,0))</f>
        <v>LS</v>
      </c>
      <c r="L1386" s="71" t="s">
        <v>2563</v>
      </c>
      <c r="M1386" s="81">
        <v>45790.144409722219</v>
      </c>
      <c r="N1386" s="85">
        <v>45791</v>
      </c>
      <c r="O1386" s="85">
        <v>45791</v>
      </c>
      <c r="P1386" s="82" t="str">
        <f ca="1">IF(Proc[[#This Row],[DaysAgeing]]&gt;5,"yep","on track")</f>
        <v>on track</v>
      </c>
      <c r="Q1386" s="3">
        <f ca="1">IF(Proc[[#This Row],[DateClosed]]="",ABS(NETWORKDAYS(Proc[[#This Row],[DateOpened]],TODAY()))-1,ABS(NETWORKDAYS(Proc[[#This Row],[DateOpened]],Proc[[#This Row],[DateClosed]]))-1)</f>
        <v>1</v>
      </c>
      <c r="R1386" s="82" t="s">
        <v>489</v>
      </c>
      <c r="S1386" s="71"/>
    </row>
    <row r="1387" spans="1:19" hidden="1">
      <c r="A1387" s="74" t="s">
        <v>3086</v>
      </c>
      <c r="B1387" s="71" t="str">
        <f>IFERROR(VLOOKUP(Proc[[#This Row],[App]],Table2[],3,0),"open")</f>
        <v>ok</v>
      </c>
      <c r="C1387" s="74" t="s">
        <v>369</v>
      </c>
      <c r="D1387" t="s">
        <v>3121</v>
      </c>
      <c r="E1387" t="s">
        <v>3168</v>
      </c>
      <c r="F1387" s="105" t="s">
        <v>3168</v>
      </c>
      <c r="G1387" s="74" t="s">
        <v>400</v>
      </c>
      <c r="H1387" s="71" t="str">
        <f>IF(Proc[[#This Row],[type]]="LFF (MDG-F)",MID(Proc[[#This Row],[Obj]],13,10),"")</f>
        <v/>
      </c>
      <c r="J1387" s="71" t="b">
        <f>Proc[[#This Row],[Requested]]=Proc[[#This Row],[CurrentParent]]</f>
        <v>1</v>
      </c>
      <c r="K1387" s="71" t="str">
        <f>IF(Proc[[#This Row],[Author]]="Marcela Urrego",VLOOKUP(LEFT(Proc[[#This Row],[Requested]],1),Table3[#All],2,0),VLOOKUP(Proc[[#This Row],[Author]],Table4[],2,0))</f>
        <v>LS</v>
      </c>
      <c r="L1387" s="71" t="s">
        <v>2563</v>
      </c>
      <c r="M1387" s="81">
        <v>45790.144409722219</v>
      </c>
      <c r="N1387" s="85">
        <v>45791</v>
      </c>
      <c r="O1387" s="85">
        <v>45791</v>
      </c>
      <c r="P1387" s="82" t="str">
        <f ca="1">IF(Proc[[#This Row],[DaysAgeing]]&gt;5,"yep","on track")</f>
        <v>on track</v>
      </c>
      <c r="Q1387" s="3">
        <f ca="1">IF(Proc[[#This Row],[DateClosed]]="",ABS(NETWORKDAYS(Proc[[#This Row],[DateOpened]],TODAY()))-1,ABS(NETWORKDAYS(Proc[[#This Row],[DateOpened]],Proc[[#This Row],[DateClosed]]))-1)</f>
        <v>1</v>
      </c>
      <c r="R1387" s="82" t="s">
        <v>489</v>
      </c>
      <c r="S1387" s="71"/>
    </row>
    <row r="1388" spans="1:19" hidden="1">
      <c r="A1388" s="74" t="s">
        <v>3086</v>
      </c>
      <c r="B1388" s="71" t="str">
        <f>IFERROR(VLOOKUP(Proc[[#This Row],[App]],Table2[],3,0),"open")</f>
        <v>ok</v>
      </c>
      <c r="C1388" s="74" t="s">
        <v>369</v>
      </c>
      <c r="D1388" t="s">
        <v>3122</v>
      </c>
      <c r="E1388" t="s">
        <v>3171</v>
      </c>
      <c r="F1388" s="105" t="s">
        <v>3171</v>
      </c>
      <c r="G1388" s="74" t="s">
        <v>400</v>
      </c>
      <c r="H1388" s="71" t="str">
        <f>IF(Proc[[#This Row],[type]]="LFF (MDG-F)",MID(Proc[[#This Row],[Obj]],13,10),"")</f>
        <v/>
      </c>
      <c r="J1388" s="71" t="b">
        <f>Proc[[#This Row],[Requested]]=Proc[[#This Row],[CurrentParent]]</f>
        <v>1</v>
      </c>
      <c r="K1388" s="71" t="str">
        <f>IF(Proc[[#This Row],[Author]]="Marcela Urrego",VLOOKUP(LEFT(Proc[[#This Row],[Requested]],1),Table3[#All],2,0),VLOOKUP(Proc[[#This Row],[Author]],Table4[],2,0))</f>
        <v>LS</v>
      </c>
      <c r="L1388" s="71" t="s">
        <v>2563</v>
      </c>
      <c r="M1388" s="81">
        <v>45790.144409722219</v>
      </c>
      <c r="N1388" s="85">
        <v>45791</v>
      </c>
      <c r="O1388" s="85">
        <v>45791</v>
      </c>
      <c r="P1388" s="82" t="str">
        <f ca="1">IF(Proc[[#This Row],[DaysAgeing]]&gt;5,"yep","on track")</f>
        <v>on track</v>
      </c>
      <c r="Q1388" s="3">
        <f ca="1">IF(Proc[[#This Row],[DateClosed]]="",ABS(NETWORKDAYS(Proc[[#This Row],[DateOpened]],TODAY()))-1,ABS(NETWORKDAYS(Proc[[#This Row],[DateOpened]],Proc[[#This Row],[DateClosed]]))-1)</f>
        <v>1</v>
      </c>
      <c r="R1388" s="82" t="s">
        <v>489</v>
      </c>
      <c r="S1388" s="71"/>
    </row>
    <row r="1389" spans="1:19" hidden="1">
      <c r="A1389" s="74" t="s">
        <v>3086</v>
      </c>
      <c r="B1389" s="71" t="str">
        <f>IFERROR(VLOOKUP(Proc[[#This Row],[App]],Table2[],3,0),"open")</f>
        <v>ok</v>
      </c>
      <c r="C1389" s="74" t="s">
        <v>369</v>
      </c>
      <c r="D1389" t="s">
        <v>3123</v>
      </c>
      <c r="E1389" t="s">
        <v>3165</v>
      </c>
      <c r="F1389" s="105" t="s">
        <v>3165</v>
      </c>
      <c r="G1389" s="74" t="s">
        <v>400</v>
      </c>
      <c r="H1389" s="71" t="str">
        <f>IF(Proc[[#This Row],[type]]="LFF (MDG-F)",MID(Proc[[#This Row],[Obj]],13,10),"")</f>
        <v/>
      </c>
      <c r="J1389" s="71" t="b">
        <f>Proc[[#This Row],[Requested]]=Proc[[#This Row],[CurrentParent]]</f>
        <v>1</v>
      </c>
      <c r="K1389" s="71" t="str">
        <f>IF(Proc[[#This Row],[Author]]="Marcela Urrego",VLOOKUP(LEFT(Proc[[#This Row],[Requested]],1),Table3[#All],2,0),VLOOKUP(Proc[[#This Row],[Author]],Table4[],2,0))</f>
        <v>LS</v>
      </c>
      <c r="L1389" s="71" t="s">
        <v>2563</v>
      </c>
      <c r="M1389" s="81">
        <v>45790.144409722219</v>
      </c>
      <c r="N1389" s="85">
        <v>45791</v>
      </c>
      <c r="O1389" s="85">
        <v>45791</v>
      </c>
      <c r="P1389" s="82" t="str">
        <f ca="1">IF(Proc[[#This Row],[DaysAgeing]]&gt;5,"yep","on track")</f>
        <v>on track</v>
      </c>
      <c r="Q1389" s="3">
        <f ca="1">IF(Proc[[#This Row],[DateClosed]]="",ABS(NETWORKDAYS(Proc[[#This Row],[DateOpened]],TODAY()))-1,ABS(NETWORKDAYS(Proc[[#This Row],[DateOpened]],Proc[[#This Row],[DateClosed]]))-1)</f>
        <v>1</v>
      </c>
      <c r="R1389" s="82" t="s">
        <v>489</v>
      </c>
      <c r="S1389" s="71"/>
    </row>
    <row r="1390" spans="1:19" hidden="1">
      <c r="A1390" s="74" t="s">
        <v>3086</v>
      </c>
      <c r="B1390" s="71" t="str">
        <f>IFERROR(VLOOKUP(Proc[[#This Row],[App]],Table2[],3,0),"open")</f>
        <v>ok</v>
      </c>
      <c r="C1390" s="74" t="s">
        <v>369</v>
      </c>
      <c r="D1390" t="s">
        <v>3124</v>
      </c>
      <c r="E1390" t="s">
        <v>3172</v>
      </c>
      <c r="F1390" s="105" t="s">
        <v>3172</v>
      </c>
      <c r="G1390" s="74" t="s">
        <v>400</v>
      </c>
      <c r="H1390" s="71" t="str">
        <f>IF(Proc[[#This Row],[type]]="LFF (MDG-F)",MID(Proc[[#This Row],[Obj]],13,10),"")</f>
        <v/>
      </c>
      <c r="J1390" s="71" t="b">
        <f>Proc[[#This Row],[Requested]]=Proc[[#This Row],[CurrentParent]]</f>
        <v>1</v>
      </c>
      <c r="K1390" s="71" t="str">
        <f>IF(Proc[[#This Row],[Author]]="Marcela Urrego",VLOOKUP(LEFT(Proc[[#This Row],[Requested]],1),Table3[#All],2,0),VLOOKUP(Proc[[#This Row],[Author]],Table4[],2,0))</f>
        <v>LS</v>
      </c>
      <c r="L1390" s="71" t="s">
        <v>2563</v>
      </c>
      <c r="M1390" s="81">
        <v>45790.144409722219</v>
      </c>
      <c r="N1390" s="85">
        <v>45791</v>
      </c>
      <c r="O1390" s="85">
        <v>45791</v>
      </c>
      <c r="P1390" s="82" t="str">
        <f ca="1">IF(Proc[[#This Row],[DaysAgeing]]&gt;5,"yep","on track")</f>
        <v>on track</v>
      </c>
      <c r="Q1390" s="3">
        <f ca="1">IF(Proc[[#This Row],[DateClosed]]="",ABS(NETWORKDAYS(Proc[[#This Row],[DateOpened]],TODAY()))-1,ABS(NETWORKDAYS(Proc[[#This Row],[DateOpened]],Proc[[#This Row],[DateClosed]]))-1)</f>
        <v>1</v>
      </c>
      <c r="R1390" s="82" t="s">
        <v>489</v>
      </c>
      <c r="S1390" s="71"/>
    </row>
    <row r="1391" spans="1:19" hidden="1">
      <c r="A1391" s="74" t="s">
        <v>3086</v>
      </c>
      <c r="B1391" s="71" t="str">
        <f>IFERROR(VLOOKUP(Proc[[#This Row],[App]],Table2[],3,0),"open")</f>
        <v>ok</v>
      </c>
      <c r="C1391" s="74" t="s">
        <v>369</v>
      </c>
      <c r="D1391" t="s">
        <v>3125</v>
      </c>
      <c r="E1391" t="s">
        <v>3174</v>
      </c>
      <c r="F1391" s="105" t="s">
        <v>3174</v>
      </c>
      <c r="G1391" s="74" t="s">
        <v>400</v>
      </c>
      <c r="H1391" s="71" t="str">
        <f>IF(Proc[[#This Row],[type]]="LFF (MDG-F)",MID(Proc[[#This Row],[Obj]],13,10),"")</f>
        <v/>
      </c>
      <c r="J1391" s="71" t="b">
        <f>Proc[[#This Row],[Requested]]=Proc[[#This Row],[CurrentParent]]</f>
        <v>1</v>
      </c>
      <c r="K1391" s="71" t="str">
        <f>IF(Proc[[#This Row],[Author]]="Marcela Urrego",VLOOKUP(LEFT(Proc[[#This Row],[Requested]],1),Table3[#All],2,0),VLOOKUP(Proc[[#This Row],[Author]],Table4[],2,0))</f>
        <v>LS</v>
      </c>
      <c r="L1391" s="71" t="s">
        <v>2563</v>
      </c>
      <c r="M1391" s="81">
        <v>45790.144409722219</v>
      </c>
      <c r="N1391" s="85">
        <v>45791</v>
      </c>
      <c r="O1391" s="85">
        <v>45791</v>
      </c>
      <c r="P1391" s="82" t="str">
        <f ca="1">IF(Proc[[#This Row],[DaysAgeing]]&gt;5,"yep","on track")</f>
        <v>on track</v>
      </c>
      <c r="Q1391" s="3">
        <f ca="1">IF(Proc[[#This Row],[DateClosed]]="",ABS(NETWORKDAYS(Proc[[#This Row],[DateOpened]],TODAY()))-1,ABS(NETWORKDAYS(Proc[[#This Row],[DateOpened]],Proc[[#This Row],[DateClosed]]))-1)</f>
        <v>1</v>
      </c>
      <c r="R1391" s="82" t="s">
        <v>489</v>
      </c>
      <c r="S1391" s="71"/>
    </row>
    <row r="1392" spans="1:19" hidden="1">
      <c r="A1392" s="74" t="s">
        <v>3086</v>
      </c>
      <c r="B1392" s="71" t="str">
        <f>IFERROR(VLOOKUP(Proc[[#This Row],[App]],Table2[],3,0),"open")</f>
        <v>ok</v>
      </c>
      <c r="C1392" s="74" t="s">
        <v>369</v>
      </c>
      <c r="D1392" t="s">
        <v>3126</v>
      </c>
      <c r="E1392" t="s">
        <v>3175</v>
      </c>
      <c r="F1392" s="105" t="s">
        <v>3175</v>
      </c>
      <c r="G1392" s="74" t="s">
        <v>400</v>
      </c>
      <c r="H1392" s="71" t="str">
        <f>IF(Proc[[#This Row],[type]]="LFF (MDG-F)",MID(Proc[[#This Row],[Obj]],13,10),"")</f>
        <v/>
      </c>
      <c r="J1392" s="71" t="b">
        <f>Proc[[#This Row],[Requested]]=Proc[[#This Row],[CurrentParent]]</f>
        <v>1</v>
      </c>
      <c r="K1392" s="71" t="str">
        <f>IF(Proc[[#This Row],[Author]]="Marcela Urrego",VLOOKUP(LEFT(Proc[[#This Row],[Requested]],1),Table3[#All],2,0),VLOOKUP(Proc[[#This Row],[Author]],Table4[],2,0))</f>
        <v>LS</v>
      </c>
      <c r="L1392" s="71" t="s">
        <v>2563</v>
      </c>
      <c r="M1392" s="81">
        <v>45790.144409722219</v>
      </c>
      <c r="N1392" s="85">
        <v>45791</v>
      </c>
      <c r="O1392" s="85">
        <v>45791</v>
      </c>
      <c r="P1392" s="82" t="str">
        <f ca="1">IF(Proc[[#This Row],[DaysAgeing]]&gt;5,"yep","on track")</f>
        <v>on track</v>
      </c>
      <c r="Q1392" s="3">
        <f ca="1">IF(Proc[[#This Row],[DateClosed]]="",ABS(NETWORKDAYS(Proc[[#This Row],[DateOpened]],TODAY()))-1,ABS(NETWORKDAYS(Proc[[#This Row],[DateOpened]],Proc[[#This Row],[DateClosed]]))-1)</f>
        <v>1</v>
      </c>
      <c r="R1392" s="82" t="s">
        <v>489</v>
      </c>
      <c r="S1392" s="71"/>
    </row>
    <row r="1393" spans="1:19" hidden="1">
      <c r="A1393" s="74" t="s">
        <v>3086</v>
      </c>
      <c r="B1393" s="71" t="str">
        <f>IFERROR(VLOOKUP(Proc[[#This Row],[App]],Table2[],3,0),"open")</f>
        <v>ok</v>
      </c>
      <c r="C1393" s="74" t="s">
        <v>369</v>
      </c>
      <c r="D1393" t="s">
        <v>3127</v>
      </c>
      <c r="E1393" t="s">
        <v>3168</v>
      </c>
      <c r="F1393" s="105" t="s">
        <v>3168</v>
      </c>
      <c r="G1393" s="74" t="s">
        <v>400</v>
      </c>
      <c r="H1393" s="71" t="str">
        <f>IF(Proc[[#This Row],[type]]="LFF (MDG-F)",MID(Proc[[#This Row],[Obj]],13,10),"")</f>
        <v/>
      </c>
      <c r="J1393" s="71" t="b">
        <f>Proc[[#This Row],[Requested]]=Proc[[#This Row],[CurrentParent]]</f>
        <v>1</v>
      </c>
      <c r="K1393" s="71" t="str">
        <f>IF(Proc[[#This Row],[Author]]="Marcela Urrego",VLOOKUP(LEFT(Proc[[#This Row],[Requested]],1),Table3[#All],2,0),VLOOKUP(Proc[[#This Row],[Author]],Table4[],2,0))</f>
        <v>LS</v>
      </c>
      <c r="L1393" s="71" t="s">
        <v>2563</v>
      </c>
      <c r="M1393" s="81">
        <v>45790.144409722219</v>
      </c>
      <c r="N1393" s="85">
        <v>45791</v>
      </c>
      <c r="O1393" s="85">
        <v>45791</v>
      </c>
      <c r="P1393" s="82" t="str">
        <f ca="1">IF(Proc[[#This Row],[DaysAgeing]]&gt;5,"yep","on track")</f>
        <v>on track</v>
      </c>
      <c r="Q1393" s="3">
        <f ca="1">IF(Proc[[#This Row],[DateClosed]]="",ABS(NETWORKDAYS(Proc[[#This Row],[DateOpened]],TODAY()))-1,ABS(NETWORKDAYS(Proc[[#This Row],[DateOpened]],Proc[[#This Row],[DateClosed]]))-1)</f>
        <v>1</v>
      </c>
      <c r="R1393" s="82" t="s">
        <v>489</v>
      </c>
      <c r="S1393" s="71"/>
    </row>
    <row r="1394" spans="1:19" hidden="1">
      <c r="A1394" s="74" t="s">
        <v>3086</v>
      </c>
      <c r="B1394" s="71" t="str">
        <f>IFERROR(VLOOKUP(Proc[[#This Row],[App]],Table2[],3,0),"open")</f>
        <v>ok</v>
      </c>
      <c r="C1394" s="74" t="s">
        <v>369</v>
      </c>
      <c r="D1394" t="s">
        <v>3128</v>
      </c>
      <c r="E1394" t="s">
        <v>3172</v>
      </c>
      <c r="F1394" s="105" t="s">
        <v>3172</v>
      </c>
      <c r="G1394" s="74" t="s">
        <v>400</v>
      </c>
      <c r="H1394" s="71" t="str">
        <f>IF(Proc[[#This Row],[type]]="LFF (MDG-F)",MID(Proc[[#This Row],[Obj]],13,10),"")</f>
        <v/>
      </c>
      <c r="J1394" s="71" t="b">
        <f>Proc[[#This Row],[Requested]]=Proc[[#This Row],[CurrentParent]]</f>
        <v>1</v>
      </c>
      <c r="K1394" s="71" t="str">
        <f>IF(Proc[[#This Row],[Author]]="Marcela Urrego",VLOOKUP(LEFT(Proc[[#This Row],[Requested]],1),Table3[#All],2,0),VLOOKUP(Proc[[#This Row],[Author]],Table4[],2,0))</f>
        <v>LS</v>
      </c>
      <c r="L1394" s="71" t="s">
        <v>2563</v>
      </c>
      <c r="M1394" s="81">
        <v>45790.144409722219</v>
      </c>
      <c r="N1394" s="85">
        <v>45791</v>
      </c>
      <c r="O1394" s="85">
        <v>45791</v>
      </c>
      <c r="P1394" s="82" t="str">
        <f ca="1">IF(Proc[[#This Row],[DaysAgeing]]&gt;5,"yep","on track")</f>
        <v>on track</v>
      </c>
      <c r="Q1394" s="3">
        <f ca="1">IF(Proc[[#This Row],[DateClosed]]="",ABS(NETWORKDAYS(Proc[[#This Row],[DateOpened]],TODAY()))-1,ABS(NETWORKDAYS(Proc[[#This Row],[DateOpened]],Proc[[#This Row],[DateClosed]]))-1)</f>
        <v>1</v>
      </c>
      <c r="R1394" s="82" t="s">
        <v>489</v>
      </c>
      <c r="S1394" s="71"/>
    </row>
    <row r="1395" spans="1:19" hidden="1">
      <c r="A1395" s="74" t="s">
        <v>3086</v>
      </c>
      <c r="B1395" s="71" t="str">
        <f>IFERROR(VLOOKUP(Proc[[#This Row],[App]],Table2[],3,0),"open")</f>
        <v>ok</v>
      </c>
      <c r="C1395" s="74" t="s">
        <v>369</v>
      </c>
      <c r="D1395" t="s">
        <v>3129</v>
      </c>
      <c r="E1395" t="s">
        <v>3167</v>
      </c>
      <c r="F1395" s="105" t="s">
        <v>3167</v>
      </c>
      <c r="G1395" s="74" t="s">
        <v>400</v>
      </c>
      <c r="H1395" s="71" t="str">
        <f>IF(Proc[[#This Row],[type]]="LFF (MDG-F)",MID(Proc[[#This Row],[Obj]],13,10),"")</f>
        <v/>
      </c>
      <c r="J1395" s="71" t="b">
        <f>Proc[[#This Row],[Requested]]=Proc[[#This Row],[CurrentParent]]</f>
        <v>1</v>
      </c>
      <c r="K1395" s="71" t="str">
        <f>IF(Proc[[#This Row],[Author]]="Marcela Urrego",VLOOKUP(LEFT(Proc[[#This Row],[Requested]],1),Table3[#All],2,0),VLOOKUP(Proc[[#This Row],[Author]],Table4[],2,0))</f>
        <v>LS</v>
      </c>
      <c r="L1395" s="71" t="s">
        <v>2563</v>
      </c>
      <c r="M1395" s="81">
        <v>45790.144409722219</v>
      </c>
      <c r="N1395" s="85">
        <v>45791</v>
      </c>
      <c r="O1395" s="85">
        <v>45791</v>
      </c>
      <c r="P1395" s="82" t="str">
        <f ca="1">IF(Proc[[#This Row],[DaysAgeing]]&gt;5,"yep","on track")</f>
        <v>on track</v>
      </c>
      <c r="Q1395" s="3">
        <f ca="1">IF(Proc[[#This Row],[DateClosed]]="",ABS(NETWORKDAYS(Proc[[#This Row],[DateOpened]],TODAY()))-1,ABS(NETWORKDAYS(Proc[[#This Row],[DateOpened]],Proc[[#This Row],[DateClosed]]))-1)</f>
        <v>1</v>
      </c>
      <c r="R1395" s="82" t="s">
        <v>489</v>
      </c>
      <c r="S1395" s="71"/>
    </row>
    <row r="1396" spans="1:19" hidden="1">
      <c r="A1396" s="74" t="s">
        <v>3086</v>
      </c>
      <c r="B1396" s="71" t="str">
        <f>IFERROR(VLOOKUP(Proc[[#This Row],[App]],Table2[],3,0),"open")</f>
        <v>ok</v>
      </c>
      <c r="C1396" s="74" t="s">
        <v>369</v>
      </c>
      <c r="D1396" t="s">
        <v>3130</v>
      </c>
      <c r="E1396" t="s">
        <v>3176</v>
      </c>
      <c r="F1396" s="105" t="s">
        <v>3176</v>
      </c>
      <c r="G1396" s="74" t="s">
        <v>400</v>
      </c>
      <c r="H1396" s="71" t="str">
        <f>IF(Proc[[#This Row],[type]]="LFF (MDG-F)",MID(Proc[[#This Row],[Obj]],13,10),"")</f>
        <v/>
      </c>
      <c r="J1396" s="71" t="b">
        <f>Proc[[#This Row],[Requested]]=Proc[[#This Row],[CurrentParent]]</f>
        <v>1</v>
      </c>
      <c r="K1396" s="71" t="str">
        <f>IF(Proc[[#This Row],[Author]]="Marcela Urrego",VLOOKUP(LEFT(Proc[[#This Row],[Requested]],1),Table3[#All],2,0),VLOOKUP(Proc[[#This Row],[Author]],Table4[],2,0))</f>
        <v>LS</v>
      </c>
      <c r="L1396" s="71" t="s">
        <v>2563</v>
      </c>
      <c r="M1396" s="81">
        <v>45790.144409722219</v>
      </c>
      <c r="N1396" s="85">
        <v>45791</v>
      </c>
      <c r="O1396" s="85">
        <v>45791</v>
      </c>
      <c r="P1396" s="82" t="str">
        <f ca="1">IF(Proc[[#This Row],[DaysAgeing]]&gt;5,"yep","on track")</f>
        <v>on track</v>
      </c>
      <c r="Q1396" s="3">
        <f ca="1">IF(Proc[[#This Row],[DateClosed]]="",ABS(NETWORKDAYS(Proc[[#This Row],[DateOpened]],TODAY()))-1,ABS(NETWORKDAYS(Proc[[#This Row],[DateOpened]],Proc[[#This Row],[DateClosed]]))-1)</f>
        <v>1</v>
      </c>
      <c r="R1396" s="82" t="s">
        <v>489</v>
      </c>
      <c r="S1396" s="71"/>
    </row>
    <row r="1397" spans="1:19" hidden="1">
      <c r="A1397" s="74" t="s">
        <v>3086</v>
      </c>
      <c r="B1397" s="71" t="str">
        <f>IFERROR(VLOOKUP(Proc[[#This Row],[App]],Table2[],3,0),"open")</f>
        <v>ok</v>
      </c>
      <c r="C1397" s="74" t="s">
        <v>369</v>
      </c>
      <c r="D1397" t="s">
        <v>3131</v>
      </c>
      <c r="E1397" t="s">
        <v>3168</v>
      </c>
      <c r="F1397" s="105" t="s">
        <v>3168</v>
      </c>
      <c r="G1397" s="74" t="s">
        <v>400</v>
      </c>
      <c r="H1397" s="71" t="str">
        <f>IF(Proc[[#This Row],[type]]="LFF (MDG-F)",MID(Proc[[#This Row],[Obj]],13,10),"")</f>
        <v/>
      </c>
      <c r="J1397" s="71" t="b">
        <f>Proc[[#This Row],[Requested]]=Proc[[#This Row],[CurrentParent]]</f>
        <v>1</v>
      </c>
      <c r="K1397" s="71" t="str">
        <f>IF(Proc[[#This Row],[Author]]="Marcela Urrego",VLOOKUP(LEFT(Proc[[#This Row],[Requested]],1),Table3[#All],2,0),VLOOKUP(Proc[[#This Row],[Author]],Table4[],2,0))</f>
        <v>LS</v>
      </c>
      <c r="L1397" s="71" t="s">
        <v>2563</v>
      </c>
      <c r="M1397" s="81">
        <v>45790.144409722219</v>
      </c>
      <c r="N1397" s="85">
        <v>45791</v>
      </c>
      <c r="O1397" s="85">
        <v>45791</v>
      </c>
      <c r="P1397" s="82" t="str">
        <f ca="1">IF(Proc[[#This Row],[DaysAgeing]]&gt;5,"yep","on track")</f>
        <v>on track</v>
      </c>
      <c r="Q1397" s="3">
        <f ca="1">IF(Proc[[#This Row],[DateClosed]]="",ABS(NETWORKDAYS(Proc[[#This Row],[DateOpened]],TODAY()))-1,ABS(NETWORKDAYS(Proc[[#This Row],[DateOpened]],Proc[[#This Row],[DateClosed]]))-1)</f>
        <v>1</v>
      </c>
      <c r="R1397" s="82" t="s">
        <v>489</v>
      </c>
      <c r="S1397" s="71"/>
    </row>
    <row r="1398" spans="1:19" hidden="1">
      <c r="A1398" s="74" t="s">
        <v>3086</v>
      </c>
      <c r="B1398" s="71" t="str">
        <f>IFERROR(VLOOKUP(Proc[[#This Row],[App]],Table2[],3,0),"open")</f>
        <v>ok</v>
      </c>
      <c r="C1398" s="74" t="s">
        <v>369</v>
      </c>
      <c r="D1398" t="s">
        <v>3132</v>
      </c>
      <c r="E1398" t="s">
        <v>3166</v>
      </c>
      <c r="F1398" s="105" t="s">
        <v>3166</v>
      </c>
      <c r="G1398" s="74" t="s">
        <v>400</v>
      </c>
      <c r="H1398" s="71" t="str">
        <f>IF(Proc[[#This Row],[type]]="LFF (MDG-F)",MID(Proc[[#This Row],[Obj]],13,10),"")</f>
        <v/>
      </c>
      <c r="J1398" s="71" t="b">
        <f>Proc[[#This Row],[Requested]]=Proc[[#This Row],[CurrentParent]]</f>
        <v>1</v>
      </c>
      <c r="K1398" s="71" t="str">
        <f>IF(Proc[[#This Row],[Author]]="Marcela Urrego",VLOOKUP(LEFT(Proc[[#This Row],[Requested]],1),Table3[#All],2,0),VLOOKUP(Proc[[#This Row],[Author]],Table4[],2,0))</f>
        <v>LS</v>
      </c>
      <c r="L1398" s="71" t="s">
        <v>2563</v>
      </c>
      <c r="M1398" s="81">
        <v>45790.144409722219</v>
      </c>
      <c r="N1398" s="85">
        <v>45791</v>
      </c>
      <c r="O1398" s="85">
        <v>45791</v>
      </c>
      <c r="P1398" s="82" t="str">
        <f ca="1">IF(Proc[[#This Row],[DaysAgeing]]&gt;5,"yep","on track")</f>
        <v>on track</v>
      </c>
      <c r="Q1398" s="3">
        <f ca="1">IF(Proc[[#This Row],[DateClosed]]="",ABS(NETWORKDAYS(Proc[[#This Row],[DateOpened]],TODAY()))-1,ABS(NETWORKDAYS(Proc[[#This Row],[DateOpened]],Proc[[#This Row],[DateClosed]]))-1)</f>
        <v>1</v>
      </c>
      <c r="R1398" s="82" t="s">
        <v>489</v>
      </c>
      <c r="S1398" s="71"/>
    </row>
    <row r="1399" spans="1:19" hidden="1">
      <c r="A1399" s="74" t="s">
        <v>3086</v>
      </c>
      <c r="B1399" s="71" t="str">
        <f>IFERROR(VLOOKUP(Proc[[#This Row],[App]],Table2[],3,0),"open")</f>
        <v>ok</v>
      </c>
      <c r="C1399" s="74" t="s">
        <v>369</v>
      </c>
      <c r="D1399" t="s">
        <v>3133</v>
      </c>
      <c r="E1399" t="s">
        <v>3177</v>
      </c>
      <c r="F1399" s="105" t="s">
        <v>3177</v>
      </c>
      <c r="G1399" s="74" t="s">
        <v>400</v>
      </c>
      <c r="H1399" s="71" t="str">
        <f>IF(Proc[[#This Row],[type]]="LFF (MDG-F)",MID(Proc[[#This Row],[Obj]],13,10),"")</f>
        <v/>
      </c>
      <c r="J1399" s="71" t="b">
        <f>Proc[[#This Row],[Requested]]=Proc[[#This Row],[CurrentParent]]</f>
        <v>1</v>
      </c>
      <c r="K1399" s="71" t="str">
        <f>IF(Proc[[#This Row],[Author]]="Marcela Urrego",VLOOKUP(LEFT(Proc[[#This Row],[Requested]],1),Table3[#All],2,0),VLOOKUP(Proc[[#This Row],[Author]],Table4[],2,0))</f>
        <v>LS</v>
      </c>
      <c r="L1399" s="71" t="s">
        <v>2563</v>
      </c>
      <c r="M1399" s="81">
        <v>45790.144409722219</v>
      </c>
      <c r="N1399" s="85">
        <v>45791</v>
      </c>
      <c r="O1399" s="85">
        <v>45791</v>
      </c>
      <c r="P1399" s="82" t="str">
        <f ca="1">IF(Proc[[#This Row],[DaysAgeing]]&gt;5,"yep","on track")</f>
        <v>on track</v>
      </c>
      <c r="Q1399" s="3">
        <f ca="1">IF(Proc[[#This Row],[DateClosed]]="",ABS(NETWORKDAYS(Proc[[#This Row],[DateOpened]],TODAY()))-1,ABS(NETWORKDAYS(Proc[[#This Row],[DateOpened]],Proc[[#This Row],[DateClosed]]))-1)</f>
        <v>1</v>
      </c>
      <c r="R1399" s="82" t="s">
        <v>489</v>
      </c>
      <c r="S1399" s="71"/>
    </row>
    <row r="1400" spans="1:19" hidden="1">
      <c r="A1400" s="74" t="s">
        <v>3086</v>
      </c>
      <c r="B1400" s="71" t="str">
        <f>IFERROR(VLOOKUP(Proc[[#This Row],[App]],Table2[],3,0),"open")</f>
        <v>ok</v>
      </c>
      <c r="C1400" s="74" t="s">
        <v>369</v>
      </c>
      <c r="D1400" t="s">
        <v>3134</v>
      </c>
      <c r="E1400" t="s">
        <v>3171</v>
      </c>
      <c r="F1400" s="105" t="s">
        <v>3171</v>
      </c>
      <c r="G1400" s="74" t="s">
        <v>400</v>
      </c>
      <c r="H1400" s="71" t="str">
        <f>IF(Proc[[#This Row],[type]]="LFF (MDG-F)",MID(Proc[[#This Row],[Obj]],13,10),"")</f>
        <v/>
      </c>
      <c r="J1400" s="71" t="b">
        <f>Proc[[#This Row],[Requested]]=Proc[[#This Row],[CurrentParent]]</f>
        <v>1</v>
      </c>
      <c r="K1400" s="71" t="str">
        <f>IF(Proc[[#This Row],[Author]]="Marcela Urrego",VLOOKUP(LEFT(Proc[[#This Row],[Requested]],1),Table3[#All],2,0),VLOOKUP(Proc[[#This Row],[Author]],Table4[],2,0))</f>
        <v>LS</v>
      </c>
      <c r="L1400" s="71" t="s">
        <v>2563</v>
      </c>
      <c r="M1400" s="81">
        <v>45790.144409722219</v>
      </c>
      <c r="N1400" s="85">
        <v>45791</v>
      </c>
      <c r="O1400" s="85">
        <v>45791</v>
      </c>
      <c r="P1400" s="82" t="str">
        <f ca="1">IF(Proc[[#This Row],[DaysAgeing]]&gt;5,"yep","on track")</f>
        <v>on track</v>
      </c>
      <c r="Q1400" s="3">
        <f ca="1">IF(Proc[[#This Row],[DateClosed]]="",ABS(NETWORKDAYS(Proc[[#This Row],[DateOpened]],TODAY()))-1,ABS(NETWORKDAYS(Proc[[#This Row],[DateOpened]],Proc[[#This Row],[DateClosed]]))-1)</f>
        <v>1</v>
      </c>
      <c r="R1400" s="82" t="s">
        <v>489</v>
      </c>
      <c r="S1400" s="71"/>
    </row>
    <row r="1401" spans="1:19" hidden="1">
      <c r="A1401" s="74" t="s">
        <v>3086</v>
      </c>
      <c r="B1401" s="71" t="str">
        <f>IFERROR(VLOOKUP(Proc[[#This Row],[App]],Table2[],3,0),"open")</f>
        <v>ok</v>
      </c>
      <c r="C1401" s="74" t="s">
        <v>369</v>
      </c>
      <c r="D1401" t="s">
        <v>3135</v>
      </c>
      <c r="E1401" t="s">
        <v>3177</v>
      </c>
      <c r="F1401" s="105" t="s">
        <v>3177</v>
      </c>
      <c r="G1401" s="74" t="s">
        <v>400</v>
      </c>
      <c r="H1401" s="71" t="str">
        <f>IF(Proc[[#This Row],[type]]="LFF (MDG-F)",MID(Proc[[#This Row],[Obj]],13,10),"")</f>
        <v/>
      </c>
      <c r="J1401" s="71" t="b">
        <f>Proc[[#This Row],[Requested]]=Proc[[#This Row],[CurrentParent]]</f>
        <v>1</v>
      </c>
      <c r="K1401" s="71" t="str">
        <f>IF(Proc[[#This Row],[Author]]="Marcela Urrego",VLOOKUP(LEFT(Proc[[#This Row],[Requested]],1),Table3[#All],2,0),VLOOKUP(Proc[[#This Row],[Author]],Table4[],2,0))</f>
        <v>LS</v>
      </c>
      <c r="L1401" s="71" t="s">
        <v>2563</v>
      </c>
      <c r="M1401" s="81">
        <v>45790.144409722219</v>
      </c>
      <c r="N1401" s="85">
        <v>45791</v>
      </c>
      <c r="O1401" s="85">
        <v>45791</v>
      </c>
      <c r="P1401" s="82" t="str">
        <f ca="1">IF(Proc[[#This Row],[DaysAgeing]]&gt;5,"yep","on track")</f>
        <v>on track</v>
      </c>
      <c r="Q1401" s="3">
        <f ca="1">IF(Proc[[#This Row],[DateClosed]]="",ABS(NETWORKDAYS(Proc[[#This Row],[DateOpened]],TODAY()))-1,ABS(NETWORKDAYS(Proc[[#This Row],[DateOpened]],Proc[[#This Row],[DateClosed]]))-1)</f>
        <v>1</v>
      </c>
      <c r="R1401" s="82" t="s">
        <v>489</v>
      </c>
      <c r="S1401" s="71"/>
    </row>
    <row r="1402" spans="1:19" hidden="1">
      <c r="A1402" s="74" t="s">
        <v>3086</v>
      </c>
      <c r="B1402" s="71" t="str">
        <f>IFERROR(VLOOKUP(Proc[[#This Row],[App]],Table2[],3,0),"open")</f>
        <v>ok</v>
      </c>
      <c r="C1402" s="74" t="s">
        <v>369</v>
      </c>
      <c r="D1402" t="s">
        <v>3136</v>
      </c>
      <c r="E1402" t="s">
        <v>3170</v>
      </c>
      <c r="F1402" s="105" t="s">
        <v>3170</v>
      </c>
      <c r="G1402" s="74" t="s">
        <v>400</v>
      </c>
      <c r="H1402" s="71" t="str">
        <f>IF(Proc[[#This Row],[type]]="LFF (MDG-F)",MID(Proc[[#This Row],[Obj]],13,10),"")</f>
        <v/>
      </c>
      <c r="J1402" s="71" t="b">
        <f>Proc[[#This Row],[Requested]]=Proc[[#This Row],[CurrentParent]]</f>
        <v>1</v>
      </c>
      <c r="K1402" s="71" t="str">
        <f>IF(Proc[[#This Row],[Author]]="Marcela Urrego",VLOOKUP(LEFT(Proc[[#This Row],[Requested]],1),Table3[#All],2,0),VLOOKUP(Proc[[#This Row],[Author]],Table4[],2,0))</f>
        <v>LS</v>
      </c>
      <c r="L1402" s="71" t="s">
        <v>2563</v>
      </c>
      <c r="M1402" s="81">
        <v>45790.144409722219</v>
      </c>
      <c r="N1402" s="85">
        <v>45791</v>
      </c>
      <c r="O1402" s="85">
        <v>45791</v>
      </c>
      <c r="P1402" s="82" t="str">
        <f ca="1">IF(Proc[[#This Row],[DaysAgeing]]&gt;5,"yep","on track")</f>
        <v>on track</v>
      </c>
      <c r="Q1402" s="3">
        <f ca="1">IF(Proc[[#This Row],[DateClosed]]="",ABS(NETWORKDAYS(Proc[[#This Row],[DateOpened]],TODAY()))-1,ABS(NETWORKDAYS(Proc[[#This Row],[DateOpened]],Proc[[#This Row],[DateClosed]]))-1)</f>
        <v>1</v>
      </c>
      <c r="R1402" s="82" t="s">
        <v>489</v>
      </c>
      <c r="S1402" s="71"/>
    </row>
    <row r="1403" spans="1:19" hidden="1">
      <c r="A1403" s="74" t="s">
        <v>3086</v>
      </c>
      <c r="B1403" s="71" t="str">
        <f>IFERROR(VLOOKUP(Proc[[#This Row],[App]],Table2[],3,0),"open")</f>
        <v>ok</v>
      </c>
      <c r="C1403" s="74" t="s">
        <v>369</v>
      </c>
      <c r="D1403" t="s">
        <v>3137</v>
      </c>
      <c r="E1403" t="s">
        <v>3171</v>
      </c>
      <c r="F1403" s="105" t="s">
        <v>3171</v>
      </c>
      <c r="G1403" s="74" t="s">
        <v>400</v>
      </c>
      <c r="H1403" s="71" t="str">
        <f>IF(Proc[[#This Row],[type]]="LFF (MDG-F)",MID(Proc[[#This Row],[Obj]],13,10),"")</f>
        <v/>
      </c>
      <c r="J1403" s="71" t="b">
        <f>Proc[[#This Row],[Requested]]=Proc[[#This Row],[CurrentParent]]</f>
        <v>1</v>
      </c>
      <c r="K1403" s="71" t="str">
        <f>IF(Proc[[#This Row],[Author]]="Marcela Urrego",VLOOKUP(LEFT(Proc[[#This Row],[Requested]],1),Table3[#All],2,0),VLOOKUP(Proc[[#This Row],[Author]],Table4[],2,0))</f>
        <v>LS</v>
      </c>
      <c r="L1403" s="71" t="s">
        <v>2563</v>
      </c>
      <c r="M1403" s="81">
        <v>45790.144409722219</v>
      </c>
      <c r="N1403" s="85">
        <v>45791</v>
      </c>
      <c r="O1403" s="85">
        <v>45791</v>
      </c>
      <c r="P1403" s="82" t="str">
        <f ca="1">IF(Proc[[#This Row],[DaysAgeing]]&gt;5,"yep","on track")</f>
        <v>on track</v>
      </c>
      <c r="Q1403" s="3">
        <f ca="1">IF(Proc[[#This Row],[DateClosed]]="",ABS(NETWORKDAYS(Proc[[#This Row],[DateOpened]],TODAY()))-1,ABS(NETWORKDAYS(Proc[[#This Row],[DateOpened]],Proc[[#This Row],[DateClosed]]))-1)</f>
        <v>1</v>
      </c>
      <c r="R1403" s="82" t="s">
        <v>489</v>
      </c>
      <c r="S1403" s="71"/>
    </row>
    <row r="1404" spans="1:19" hidden="1">
      <c r="A1404" s="74" t="s">
        <v>3086</v>
      </c>
      <c r="B1404" s="71" t="str">
        <f>IFERROR(VLOOKUP(Proc[[#This Row],[App]],Table2[],3,0),"open")</f>
        <v>ok</v>
      </c>
      <c r="C1404" s="74" t="s">
        <v>369</v>
      </c>
      <c r="D1404" t="s">
        <v>3138</v>
      </c>
      <c r="E1404" t="s">
        <v>3170</v>
      </c>
      <c r="F1404" s="105" t="s">
        <v>3170</v>
      </c>
      <c r="G1404" s="74" t="s">
        <v>400</v>
      </c>
      <c r="H1404" s="71" t="str">
        <f>IF(Proc[[#This Row],[type]]="LFF (MDG-F)",MID(Proc[[#This Row],[Obj]],13,10),"")</f>
        <v/>
      </c>
      <c r="J1404" s="71" t="b">
        <f>Proc[[#This Row],[Requested]]=Proc[[#This Row],[CurrentParent]]</f>
        <v>1</v>
      </c>
      <c r="K1404" s="71" t="str">
        <f>IF(Proc[[#This Row],[Author]]="Marcela Urrego",VLOOKUP(LEFT(Proc[[#This Row],[Requested]],1),Table3[#All],2,0),VLOOKUP(Proc[[#This Row],[Author]],Table4[],2,0))</f>
        <v>LS</v>
      </c>
      <c r="L1404" s="71" t="s">
        <v>2563</v>
      </c>
      <c r="M1404" s="81">
        <v>45790.144409722219</v>
      </c>
      <c r="N1404" s="85">
        <v>45791</v>
      </c>
      <c r="O1404" s="85">
        <v>45791</v>
      </c>
      <c r="P1404" s="82" t="str">
        <f ca="1">IF(Proc[[#This Row],[DaysAgeing]]&gt;5,"yep","on track")</f>
        <v>on track</v>
      </c>
      <c r="Q1404" s="3">
        <f ca="1">IF(Proc[[#This Row],[DateClosed]]="",ABS(NETWORKDAYS(Proc[[#This Row],[DateOpened]],TODAY()))-1,ABS(NETWORKDAYS(Proc[[#This Row],[DateOpened]],Proc[[#This Row],[DateClosed]]))-1)</f>
        <v>1</v>
      </c>
      <c r="R1404" s="82" t="s">
        <v>489</v>
      </c>
      <c r="S1404" s="71"/>
    </row>
    <row r="1405" spans="1:19" hidden="1">
      <c r="A1405" s="74" t="s">
        <v>3086</v>
      </c>
      <c r="B1405" s="71" t="str">
        <f>IFERROR(VLOOKUP(Proc[[#This Row],[App]],Table2[],3,0),"open")</f>
        <v>ok</v>
      </c>
      <c r="C1405" s="74" t="s">
        <v>369</v>
      </c>
      <c r="D1405" t="s">
        <v>3139</v>
      </c>
      <c r="E1405" t="s">
        <v>3167</v>
      </c>
      <c r="F1405" s="105" t="s">
        <v>3167</v>
      </c>
      <c r="G1405" s="74" t="s">
        <v>400</v>
      </c>
      <c r="H1405" s="71" t="str">
        <f>IF(Proc[[#This Row],[type]]="LFF (MDG-F)",MID(Proc[[#This Row],[Obj]],13,10),"")</f>
        <v/>
      </c>
      <c r="J1405" s="71" t="b">
        <f>Proc[[#This Row],[Requested]]=Proc[[#This Row],[CurrentParent]]</f>
        <v>1</v>
      </c>
      <c r="K1405" s="71" t="str">
        <f>IF(Proc[[#This Row],[Author]]="Marcela Urrego",VLOOKUP(LEFT(Proc[[#This Row],[Requested]],1),Table3[#All],2,0),VLOOKUP(Proc[[#This Row],[Author]],Table4[],2,0))</f>
        <v>LS</v>
      </c>
      <c r="L1405" s="71" t="s">
        <v>2563</v>
      </c>
      <c r="M1405" s="81">
        <v>45790.144409722219</v>
      </c>
      <c r="N1405" s="85">
        <v>45791</v>
      </c>
      <c r="O1405" s="85">
        <v>45791</v>
      </c>
      <c r="P1405" s="82" t="str">
        <f ca="1">IF(Proc[[#This Row],[DaysAgeing]]&gt;5,"yep","on track")</f>
        <v>on track</v>
      </c>
      <c r="Q1405" s="3">
        <f ca="1">IF(Proc[[#This Row],[DateClosed]]="",ABS(NETWORKDAYS(Proc[[#This Row],[DateOpened]],TODAY()))-1,ABS(NETWORKDAYS(Proc[[#This Row],[DateOpened]],Proc[[#This Row],[DateClosed]]))-1)</f>
        <v>1</v>
      </c>
      <c r="R1405" s="82" t="s">
        <v>489</v>
      </c>
      <c r="S1405" s="71"/>
    </row>
    <row r="1406" spans="1:19" hidden="1">
      <c r="A1406" s="74" t="s">
        <v>3086</v>
      </c>
      <c r="B1406" s="71" t="str">
        <f>IFERROR(VLOOKUP(Proc[[#This Row],[App]],Table2[],3,0),"open")</f>
        <v>ok</v>
      </c>
      <c r="C1406" s="74" t="s">
        <v>369</v>
      </c>
      <c r="D1406" t="s">
        <v>3140</v>
      </c>
      <c r="E1406" t="s">
        <v>3165</v>
      </c>
      <c r="F1406" s="105" t="s">
        <v>3165</v>
      </c>
      <c r="G1406" s="74" t="s">
        <v>400</v>
      </c>
      <c r="H1406" s="71" t="str">
        <f>IF(Proc[[#This Row],[type]]="LFF (MDG-F)",MID(Proc[[#This Row],[Obj]],13,10),"")</f>
        <v/>
      </c>
      <c r="J1406" s="71" t="b">
        <f>Proc[[#This Row],[Requested]]=Proc[[#This Row],[CurrentParent]]</f>
        <v>1</v>
      </c>
      <c r="K1406" s="71" t="str">
        <f>IF(Proc[[#This Row],[Author]]="Marcela Urrego",VLOOKUP(LEFT(Proc[[#This Row],[Requested]],1),Table3[#All],2,0),VLOOKUP(Proc[[#This Row],[Author]],Table4[],2,0))</f>
        <v>LS</v>
      </c>
      <c r="L1406" s="71" t="s">
        <v>2563</v>
      </c>
      <c r="M1406" s="81">
        <v>45790.144409722219</v>
      </c>
      <c r="N1406" s="85">
        <v>45791</v>
      </c>
      <c r="O1406" s="85">
        <v>45791</v>
      </c>
      <c r="P1406" s="82" t="str">
        <f ca="1">IF(Proc[[#This Row],[DaysAgeing]]&gt;5,"yep","on track")</f>
        <v>on track</v>
      </c>
      <c r="Q1406" s="3">
        <f ca="1">IF(Proc[[#This Row],[DateClosed]]="",ABS(NETWORKDAYS(Proc[[#This Row],[DateOpened]],TODAY()))-1,ABS(NETWORKDAYS(Proc[[#This Row],[DateOpened]],Proc[[#This Row],[DateClosed]]))-1)</f>
        <v>1</v>
      </c>
      <c r="R1406" s="82" t="s">
        <v>489</v>
      </c>
      <c r="S1406" s="71"/>
    </row>
    <row r="1407" spans="1:19" hidden="1">
      <c r="A1407" s="74" t="s">
        <v>3086</v>
      </c>
      <c r="B1407" s="71" t="str">
        <f>IFERROR(VLOOKUP(Proc[[#This Row],[App]],Table2[],3,0),"open")</f>
        <v>ok</v>
      </c>
      <c r="C1407" s="74" t="s">
        <v>369</v>
      </c>
      <c r="D1407" t="s">
        <v>3141</v>
      </c>
      <c r="E1407" t="s">
        <v>3178</v>
      </c>
      <c r="F1407" s="105" t="s">
        <v>3178</v>
      </c>
      <c r="G1407" s="74" t="s">
        <v>400</v>
      </c>
      <c r="H1407" s="71" t="str">
        <f>IF(Proc[[#This Row],[type]]="LFF (MDG-F)",MID(Proc[[#This Row],[Obj]],13,10),"")</f>
        <v/>
      </c>
      <c r="J1407" s="71" t="b">
        <f>Proc[[#This Row],[Requested]]=Proc[[#This Row],[CurrentParent]]</f>
        <v>1</v>
      </c>
      <c r="K1407" s="71" t="str">
        <f>IF(Proc[[#This Row],[Author]]="Marcela Urrego",VLOOKUP(LEFT(Proc[[#This Row],[Requested]],1),Table3[#All],2,0),VLOOKUP(Proc[[#This Row],[Author]],Table4[],2,0))</f>
        <v>LS</v>
      </c>
      <c r="L1407" s="71" t="s">
        <v>2563</v>
      </c>
      <c r="M1407" s="81">
        <v>45790.144409722219</v>
      </c>
      <c r="N1407" s="85">
        <v>45791</v>
      </c>
      <c r="O1407" s="85">
        <v>45791</v>
      </c>
      <c r="P1407" s="82" t="str">
        <f ca="1">IF(Proc[[#This Row],[DaysAgeing]]&gt;5,"yep","on track")</f>
        <v>on track</v>
      </c>
      <c r="Q1407" s="3">
        <f ca="1">IF(Proc[[#This Row],[DateClosed]]="",ABS(NETWORKDAYS(Proc[[#This Row],[DateOpened]],TODAY()))-1,ABS(NETWORKDAYS(Proc[[#This Row],[DateOpened]],Proc[[#This Row],[DateClosed]]))-1)</f>
        <v>1</v>
      </c>
      <c r="R1407" s="82" t="s">
        <v>489</v>
      </c>
      <c r="S1407" s="71"/>
    </row>
    <row r="1408" spans="1:19" hidden="1">
      <c r="A1408" s="74" t="s">
        <v>3086</v>
      </c>
      <c r="B1408" s="71" t="str">
        <f>IFERROR(VLOOKUP(Proc[[#This Row],[App]],Table2[],3,0),"open")</f>
        <v>ok</v>
      </c>
      <c r="C1408" s="74" t="s">
        <v>369</v>
      </c>
      <c r="D1408" t="s">
        <v>3142</v>
      </c>
      <c r="E1408" t="s">
        <v>3172</v>
      </c>
      <c r="F1408" s="105" t="s">
        <v>3172</v>
      </c>
      <c r="G1408" s="74" t="s">
        <v>400</v>
      </c>
      <c r="H1408" s="71" t="str">
        <f>IF(Proc[[#This Row],[type]]="LFF (MDG-F)",MID(Proc[[#This Row],[Obj]],13,10),"")</f>
        <v/>
      </c>
      <c r="J1408" s="71" t="b">
        <f>Proc[[#This Row],[Requested]]=Proc[[#This Row],[CurrentParent]]</f>
        <v>1</v>
      </c>
      <c r="K1408" s="71" t="str">
        <f>IF(Proc[[#This Row],[Author]]="Marcela Urrego",VLOOKUP(LEFT(Proc[[#This Row],[Requested]],1),Table3[#All],2,0),VLOOKUP(Proc[[#This Row],[Author]],Table4[],2,0))</f>
        <v>LS</v>
      </c>
      <c r="L1408" s="71" t="s">
        <v>2563</v>
      </c>
      <c r="M1408" s="81">
        <v>45790.144409722219</v>
      </c>
      <c r="N1408" s="85">
        <v>45791</v>
      </c>
      <c r="O1408" s="85">
        <v>45791</v>
      </c>
      <c r="P1408" s="82" t="str">
        <f ca="1">IF(Proc[[#This Row],[DaysAgeing]]&gt;5,"yep","on track")</f>
        <v>on track</v>
      </c>
      <c r="Q1408" s="3">
        <f ca="1">IF(Proc[[#This Row],[DateClosed]]="",ABS(NETWORKDAYS(Proc[[#This Row],[DateOpened]],TODAY()))-1,ABS(NETWORKDAYS(Proc[[#This Row],[DateOpened]],Proc[[#This Row],[DateClosed]]))-1)</f>
        <v>1</v>
      </c>
      <c r="R1408" s="82" t="s">
        <v>489</v>
      </c>
      <c r="S1408" s="71"/>
    </row>
    <row r="1409" spans="1:19" hidden="1">
      <c r="A1409" s="74" t="s">
        <v>3086</v>
      </c>
      <c r="B1409" s="71" t="str">
        <f>IFERROR(VLOOKUP(Proc[[#This Row],[App]],Table2[],3,0),"open")</f>
        <v>ok</v>
      </c>
      <c r="C1409" s="74" t="s">
        <v>369</v>
      </c>
      <c r="D1409" t="s">
        <v>3143</v>
      </c>
      <c r="E1409" t="s">
        <v>3179</v>
      </c>
      <c r="F1409" s="105" t="s">
        <v>3179</v>
      </c>
      <c r="G1409" s="74" t="s">
        <v>400</v>
      </c>
      <c r="H1409" s="71" t="str">
        <f>IF(Proc[[#This Row],[type]]="LFF (MDG-F)",MID(Proc[[#This Row],[Obj]],13,10),"")</f>
        <v/>
      </c>
      <c r="J1409" s="71" t="b">
        <f>Proc[[#This Row],[Requested]]=Proc[[#This Row],[CurrentParent]]</f>
        <v>1</v>
      </c>
      <c r="K1409" s="71" t="str">
        <f>IF(Proc[[#This Row],[Author]]="Marcela Urrego",VLOOKUP(LEFT(Proc[[#This Row],[Requested]],1),Table3[#All],2,0),VLOOKUP(Proc[[#This Row],[Author]],Table4[],2,0))</f>
        <v>LS</v>
      </c>
      <c r="L1409" s="71" t="s">
        <v>2563</v>
      </c>
      <c r="M1409" s="81">
        <v>45790.144409722219</v>
      </c>
      <c r="N1409" s="85">
        <v>45791</v>
      </c>
      <c r="O1409" s="85">
        <v>45791</v>
      </c>
      <c r="P1409" s="82" t="str">
        <f ca="1">IF(Proc[[#This Row],[DaysAgeing]]&gt;5,"yep","on track")</f>
        <v>on track</v>
      </c>
      <c r="Q1409" s="3">
        <f ca="1">IF(Proc[[#This Row],[DateClosed]]="",ABS(NETWORKDAYS(Proc[[#This Row],[DateOpened]],TODAY()))-1,ABS(NETWORKDAYS(Proc[[#This Row],[DateOpened]],Proc[[#This Row],[DateClosed]]))-1)</f>
        <v>1</v>
      </c>
      <c r="R1409" s="82" t="s">
        <v>489</v>
      </c>
      <c r="S1409" s="71"/>
    </row>
    <row r="1410" spans="1:19" hidden="1">
      <c r="A1410" s="74" t="s">
        <v>3086</v>
      </c>
      <c r="B1410" s="71" t="str">
        <f>IFERROR(VLOOKUP(Proc[[#This Row],[App]],Table2[],3,0),"open")</f>
        <v>ok</v>
      </c>
      <c r="C1410" s="74" t="s">
        <v>369</v>
      </c>
      <c r="D1410" t="s">
        <v>3144</v>
      </c>
      <c r="E1410" t="s">
        <v>3180</v>
      </c>
      <c r="F1410" s="105" t="s">
        <v>3180</v>
      </c>
      <c r="G1410" s="74" t="s">
        <v>400</v>
      </c>
      <c r="H1410" s="71" t="str">
        <f>IF(Proc[[#This Row],[type]]="LFF (MDG-F)",MID(Proc[[#This Row],[Obj]],13,10),"")</f>
        <v/>
      </c>
      <c r="J1410" s="71" t="b">
        <f>Proc[[#This Row],[Requested]]=Proc[[#This Row],[CurrentParent]]</f>
        <v>1</v>
      </c>
      <c r="K1410" s="71" t="str">
        <f>IF(Proc[[#This Row],[Author]]="Marcela Urrego",VLOOKUP(LEFT(Proc[[#This Row],[Requested]],1),Table3[#All],2,0),VLOOKUP(Proc[[#This Row],[Author]],Table4[],2,0))</f>
        <v>LS</v>
      </c>
      <c r="L1410" s="71" t="s">
        <v>2563</v>
      </c>
      <c r="M1410" s="81">
        <v>45790.144409722219</v>
      </c>
      <c r="N1410" s="85">
        <v>45791</v>
      </c>
      <c r="O1410" s="85">
        <v>45791</v>
      </c>
      <c r="P1410" s="82" t="str">
        <f ca="1">IF(Proc[[#This Row],[DaysAgeing]]&gt;5,"yep","on track")</f>
        <v>on track</v>
      </c>
      <c r="Q1410" s="3">
        <f ca="1">IF(Proc[[#This Row],[DateClosed]]="",ABS(NETWORKDAYS(Proc[[#This Row],[DateOpened]],TODAY()))-1,ABS(NETWORKDAYS(Proc[[#This Row],[DateOpened]],Proc[[#This Row],[DateClosed]]))-1)</f>
        <v>1</v>
      </c>
      <c r="R1410" s="82" t="s">
        <v>489</v>
      </c>
      <c r="S1410" s="71"/>
    </row>
    <row r="1411" spans="1:19" hidden="1">
      <c r="A1411" s="74" t="s">
        <v>3086</v>
      </c>
      <c r="B1411" s="71" t="str">
        <f>IFERROR(VLOOKUP(Proc[[#This Row],[App]],Table2[],3,0),"open")</f>
        <v>ok</v>
      </c>
      <c r="C1411" s="74" t="s">
        <v>369</v>
      </c>
      <c r="D1411" t="s">
        <v>3145</v>
      </c>
      <c r="E1411" t="s">
        <v>3178</v>
      </c>
      <c r="F1411" s="105" t="s">
        <v>3178</v>
      </c>
      <c r="G1411" s="74" t="s">
        <v>400</v>
      </c>
      <c r="H1411" s="71" t="str">
        <f>IF(Proc[[#This Row],[type]]="LFF (MDG-F)",MID(Proc[[#This Row],[Obj]],13,10),"")</f>
        <v/>
      </c>
      <c r="J1411" s="71" t="b">
        <f>Proc[[#This Row],[Requested]]=Proc[[#This Row],[CurrentParent]]</f>
        <v>1</v>
      </c>
      <c r="K1411" s="71" t="str">
        <f>IF(Proc[[#This Row],[Author]]="Marcela Urrego",VLOOKUP(LEFT(Proc[[#This Row],[Requested]],1),Table3[#All],2,0),VLOOKUP(Proc[[#This Row],[Author]],Table4[],2,0))</f>
        <v>LS</v>
      </c>
      <c r="L1411" s="71" t="s">
        <v>2563</v>
      </c>
      <c r="M1411" s="81">
        <v>45790.144409722219</v>
      </c>
      <c r="N1411" s="85">
        <v>45791</v>
      </c>
      <c r="O1411" s="85">
        <v>45791</v>
      </c>
      <c r="P1411" s="82" t="str">
        <f ca="1">IF(Proc[[#This Row],[DaysAgeing]]&gt;5,"yep","on track")</f>
        <v>on track</v>
      </c>
      <c r="Q1411" s="3">
        <f ca="1">IF(Proc[[#This Row],[DateClosed]]="",ABS(NETWORKDAYS(Proc[[#This Row],[DateOpened]],TODAY()))-1,ABS(NETWORKDAYS(Proc[[#This Row],[DateOpened]],Proc[[#This Row],[DateClosed]]))-1)</f>
        <v>1</v>
      </c>
      <c r="R1411" s="82" t="s">
        <v>489</v>
      </c>
      <c r="S1411" s="71"/>
    </row>
    <row r="1412" spans="1:19" hidden="1">
      <c r="A1412" s="74" t="s">
        <v>3086</v>
      </c>
      <c r="B1412" s="71" t="str">
        <f>IFERROR(VLOOKUP(Proc[[#This Row],[App]],Table2[],3,0),"open")</f>
        <v>ok</v>
      </c>
      <c r="C1412" s="74" t="s">
        <v>369</v>
      </c>
      <c r="D1412" t="s">
        <v>3146</v>
      </c>
      <c r="E1412" t="s">
        <v>3172</v>
      </c>
      <c r="F1412" s="105" t="s">
        <v>3172</v>
      </c>
      <c r="G1412" s="74" t="s">
        <v>400</v>
      </c>
      <c r="H1412" s="71" t="str">
        <f>IF(Proc[[#This Row],[type]]="LFF (MDG-F)",MID(Proc[[#This Row],[Obj]],13,10),"")</f>
        <v/>
      </c>
      <c r="J1412" s="71" t="b">
        <f>Proc[[#This Row],[Requested]]=Proc[[#This Row],[CurrentParent]]</f>
        <v>1</v>
      </c>
      <c r="K1412" s="71" t="str">
        <f>IF(Proc[[#This Row],[Author]]="Marcela Urrego",VLOOKUP(LEFT(Proc[[#This Row],[Requested]],1),Table3[#All],2,0),VLOOKUP(Proc[[#This Row],[Author]],Table4[],2,0))</f>
        <v>LS</v>
      </c>
      <c r="L1412" s="71" t="s">
        <v>2563</v>
      </c>
      <c r="M1412" s="81">
        <v>45790.144409722219</v>
      </c>
      <c r="N1412" s="85">
        <v>45791</v>
      </c>
      <c r="O1412" s="85">
        <v>45791</v>
      </c>
      <c r="P1412" s="82" t="str">
        <f ca="1">IF(Proc[[#This Row],[DaysAgeing]]&gt;5,"yep","on track")</f>
        <v>on track</v>
      </c>
      <c r="Q1412" s="3">
        <f ca="1">IF(Proc[[#This Row],[DateClosed]]="",ABS(NETWORKDAYS(Proc[[#This Row],[DateOpened]],TODAY()))-1,ABS(NETWORKDAYS(Proc[[#This Row],[DateOpened]],Proc[[#This Row],[DateClosed]]))-1)</f>
        <v>1</v>
      </c>
      <c r="R1412" s="82" t="s">
        <v>489</v>
      </c>
      <c r="S1412" s="71"/>
    </row>
    <row r="1413" spans="1:19" hidden="1">
      <c r="A1413" s="74" t="s">
        <v>3086</v>
      </c>
      <c r="B1413" s="71" t="str">
        <f>IFERROR(VLOOKUP(Proc[[#This Row],[App]],Table2[],3,0),"open")</f>
        <v>ok</v>
      </c>
      <c r="C1413" s="74" t="s">
        <v>369</v>
      </c>
      <c r="D1413" t="s">
        <v>3147</v>
      </c>
      <c r="E1413" t="s">
        <v>3181</v>
      </c>
      <c r="F1413" s="105" t="s">
        <v>3181</v>
      </c>
      <c r="G1413" s="74" t="s">
        <v>400</v>
      </c>
      <c r="H1413" s="71" t="str">
        <f>IF(Proc[[#This Row],[type]]="LFF (MDG-F)",MID(Proc[[#This Row],[Obj]],13,10),"")</f>
        <v/>
      </c>
      <c r="J1413" s="71" t="b">
        <f>Proc[[#This Row],[Requested]]=Proc[[#This Row],[CurrentParent]]</f>
        <v>1</v>
      </c>
      <c r="K1413" s="71" t="str">
        <f>IF(Proc[[#This Row],[Author]]="Marcela Urrego",VLOOKUP(LEFT(Proc[[#This Row],[Requested]],1),Table3[#All],2,0),VLOOKUP(Proc[[#This Row],[Author]],Table4[],2,0))</f>
        <v>LS</v>
      </c>
      <c r="L1413" s="71" t="s">
        <v>2563</v>
      </c>
      <c r="M1413" s="81">
        <v>45790.144409722219</v>
      </c>
      <c r="N1413" s="85">
        <v>45791</v>
      </c>
      <c r="O1413" s="85">
        <v>45791</v>
      </c>
      <c r="P1413" s="82" t="str">
        <f ca="1">IF(Proc[[#This Row],[DaysAgeing]]&gt;5,"yep","on track")</f>
        <v>on track</v>
      </c>
      <c r="Q1413" s="3">
        <f ca="1">IF(Proc[[#This Row],[DateClosed]]="",ABS(NETWORKDAYS(Proc[[#This Row],[DateOpened]],TODAY()))-1,ABS(NETWORKDAYS(Proc[[#This Row],[DateOpened]],Proc[[#This Row],[DateClosed]]))-1)</f>
        <v>1</v>
      </c>
      <c r="R1413" s="82" t="s">
        <v>489</v>
      </c>
      <c r="S1413" s="71"/>
    </row>
    <row r="1414" spans="1:19" hidden="1">
      <c r="A1414" s="74" t="s">
        <v>3086</v>
      </c>
      <c r="B1414" s="71" t="str">
        <f>IFERROR(VLOOKUP(Proc[[#This Row],[App]],Table2[],3,0),"open")</f>
        <v>ok</v>
      </c>
      <c r="C1414" s="74" t="s">
        <v>369</v>
      </c>
      <c r="D1414" t="s">
        <v>3148</v>
      </c>
      <c r="E1414" t="s">
        <v>3170</v>
      </c>
      <c r="F1414" s="105" t="s">
        <v>3170</v>
      </c>
      <c r="G1414" s="74" t="s">
        <v>400</v>
      </c>
      <c r="H1414" s="71" t="str">
        <f>IF(Proc[[#This Row],[type]]="LFF (MDG-F)",MID(Proc[[#This Row],[Obj]],13,10),"")</f>
        <v/>
      </c>
      <c r="J1414" s="71" t="b">
        <f>Proc[[#This Row],[Requested]]=Proc[[#This Row],[CurrentParent]]</f>
        <v>1</v>
      </c>
      <c r="K1414" s="71" t="str">
        <f>IF(Proc[[#This Row],[Author]]="Marcela Urrego",VLOOKUP(LEFT(Proc[[#This Row],[Requested]],1),Table3[#All],2,0),VLOOKUP(Proc[[#This Row],[Author]],Table4[],2,0))</f>
        <v>LS</v>
      </c>
      <c r="L1414" s="71" t="s">
        <v>2563</v>
      </c>
      <c r="M1414" s="81">
        <v>45790.144409722219</v>
      </c>
      <c r="N1414" s="85">
        <v>45791</v>
      </c>
      <c r="O1414" s="85">
        <v>45791</v>
      </c>
      <c r="P1414" s="82" t="str">
        <f ca="1">IF(Proc[[#This Row],[DaysAgeing]]&gt;5,"yep","on track")</f>
        <v>on track</v>
      </c>
      <c r="Q1414" s="3">
        <f ca="1">IF(Proc[[#This Row],[DateClosed]]="",ABS(NETWORKDAYS(Proc[[#This Row],[DateOpened]],TODAY()))-1,ABS(NETWORKDAYS(Proc[[#This Row],[DateOpened]],Proc[[#This Row],[DateClosed]]))-1)</f>
        <v>1</v>
      </c>
      <c r="R1414" s="82" t="s">
        <v>489</v>
      </c>
      <c r="S1414" s="71"/>
    </row>
    <row r="1415" spans="1:19" hidden="1">
      <c r="A1415" s="74" t="s">
        <v>3086</v>
      </c>
      <c r="B1415" s="71" t="str">
        <f>IFERROR(VLOOKUP(Proc[[#This Row],[App]],Table2[],3,0),"open")</f>
        <v>ok</v>
      </c>
      <c r="C1415" s="74" t="s">
        <v>369</v>
      </c>
      <c r="D1415" t="s">
        <v>3149</v>
      </c>
      <c r="E1415" t="s">
        <v>3170</v>
      </c>
      <c r="F1415" s="105" t="s">
        <v>3170</v>
      </c>
      <c r="G1415" s="74" t="s">
        <v>400</v>
      </c>
      <c r="H1415" s="71" t="str">
        <f>IF(Proc[[#This Row],[type]]="LFF (MDG-F)",MID(Proc[[#This Row],[Obj]],13,10),"")</f>
        <v/>
      </c>
      <c r="J1415" s="71" t="b">
        <f>Proc[[#This Row],[Requested]]=Proc[[#This Row],[CurrentParent]]</f>
        <v>1</v>
      </c>
      <c r="K1415" s="71" t="str">
        <f>IF(Proc[[#This Row],[Author]]="Marcela Urrego",VLOOKUP(LEFT(Proc[[#This Row],[Requested]],1),Table3[#All],2,0),VLOOKUP(Proc[[#This Row],[Author]],Table4[],2,0))</f>
        <v>LS</v>
      </c>
      <c r="L1415" s="71" t="s">
        <v>2563</v>
      </c>
      <c r="M1415" s="81">
        <v>45790.144409722219</v>
      </c>
      <c r="N1415" s="85">
        <v>45791</v>
      </c>
      <c r="O1415" s="85">
        <v>45791</v>
      </c>
      <c r="P1415" s="82" t="str">
        <f ca="1">IF(Proc[[#This Row],[DaysAgeing]]&gt;5,"yep","on track")</f>
        <v>on track</v>
      </c>
      <c r="Q1415" s="3">
        <f ca="1">IF(Proc[[#This Row],[DateClosed]]="",ABS(NETWORKDAYS(Proc[[#This Row],[DateOpened]],TODAY()))-1,ABS(NETWORKDAYS(Proc[[#This Row],[DateOpened]],Proc[[#This Row],[DateClosed]]))-1)</f>
        <v>1</v>
      </c>
      <c r="R1415" s="82" t="s">
        <v>489</v>
      </c>
      <c r="S1415" s="71"/>
    </row>
    <row r="1416" spans="1:19" hidden="1">
      <c r="A1416" s="74" t="s">
        <v>3086</v>
      </c>
      <c r="B1416" s="71" t="str">
        <f>IFERROR(VLOOKUP(Proc[[#This Row],[App]],Table2[],3,0),"open")</f>
        <v>ok</v>
      </c>
      <c r="C1416" s="74" t="s">
        <v>369</v>
      </c>
      <c r="D1416" t="s">
        <v>3150</v>
      </c>
      <c r="E1416" t="s">
        <v>3166</v>
      </c>
      <c r="F1416" s="105" t="s">
        <v>3166</v>
      </c>
      <c r="G1416" s="74" t="s">
        <v>400</v>
      </c>
      <c r="H1416" s="71" t="str">
        <f>IF(Proc[[#This Row],[type]]="LFF (MDG-F)",MID(Proc[[#This Row],[Obj]],13,10),"")</f>
        <v/>
      </c>
      <c r="J1416" s="71" t="b">
        <f>Proc[[#This Row],[Requested]]=Proc[[#This Row],[CurrentParent]]</f>
        <v>1</v>
      </c>
      <c r="K1416" s="71" t="str">
        <f>IF(Proc[[#This Row],[Author]]="Marcela Urrego",VLOOKUP(LEFT(Proc[[#This Row],[Requested]],1),Table3[#All],2,0),VLOOKUP(Proc[[#This Row],[Author]],Table4[],2,0))</f>
        <v>LS</v>
      </c>
      <c r="L1416" s="71" t="s">
        <v>2563</v>
      </c>
      <c r="M1416" s="81">
        <v>45790.144409722219</v>
      </c>
      <c r="N1416" s="85">
        <v>45791</v>
      </c>
      <c r="O1416" s="85">
        <v>45791</v>
      </c>
      <c r="P1416" s="82" t="str">
        <f ca="1">IF(Proc[[#This Row],[DaysAgeing]]&gt;5,"yep","on track")</f>
        <v>on track</v>
      </c>
      <c r="Q1416" s="3">
        <f ca="1">IF(Proc[[#This Row],[DateClosed]]="",ABS(NETWORKDAYS(Proc[[#This Row],[DateOpened]],TODAY()))-1,ABS(NETWORKDAYS(Proc[[#This Row],[DateOpened]],Proc[[#This Row],[DateClosed]]))-1)</f>
        <v>1</v>
      </c>
      <c r="R1416" s="82" t="s">
        <v>489</v>
      </c>
      <c r="S1416" s="71"/>
    </row>
    <row r="1417" spans="1:19" hidden="1">
      <c r="A1417" s="74" t="s">
        <v>3086</v>
      </c>
      <c r="B1417" s="71" t="str">
        <f>IFERROR(VLOOKUP(Proc[[#This Row],[App]],Table2[],3,0),"open")</f>
        <v>ok</v>
      </c>
      <c r="C1417" s="74" t="s">
        <v>369</v>
      </c>
      <c r="D1417" t="s">
        <v>3151</v>
      </c>
      <c r="E1417" t="s">
        <v>3175</v>
      </c>
      <c r="F1417" s="105" t="s">
        <v>3175</v>
      </c>
      <c r="G1417" s="74" t="s">
        <v>400</v>
      </c>
      <c r="H1417" s="71" t="str">
        <f>IF(Proc[[#This Row],[type]]="LFF (MDG-F)",MID(Proc[[#This Row],[Obj]],13,10),"")</f>
        <v/>
      </c>
      <c r="J1417" s="71" t="b">
        <f>Proc[[#This Row],[Requested]]=Proc[[#This Row],[CurrentParent]]</f>
        <v>1</v>
      </c>
      <c r="K1417" s="71" t="str">
        <f>IF(Proc[[#This Row],[Author]]="Marcela Urrego",VLOOKUP(LEFT(Proc[[#This Row],[Requested]],1),Table3[#All],2,0),VLOOKUP(Proc[[#This Row],[Author]],Table4[],2,0))</f>
        <v>LS</v>
      </c>
      <c r="L1417" s="71" t="s">
        <v>2563</v>
      </c>
      <c r="M1417" s="81">
        <v>45790.144409722219</v>
      </c>
      <c r="N1417" s="85">
        <v>45791</v>
      </c>
      <c r="O1417" s="85">
        <v>45791</v>
      </c>
      <c r="P1417" s="82" t="str">
        <f ca="1">IF(Proc[[#This Row],[DaysAgeing]]&gt;5,"yep","on track")</f>
        <v>on track</v>
      </c>
      <c r="Q1417" s="3">
        <f ca="1">IF(Proc[[#This Row],[DateClosed]]="",ABS(NETWORKDAYS(Proc[[#This Row],[DateOpened]],TODAY()))-1,ABS(NETWORKDAYS(Proc[[#This Row],[DateOpened]],Proc[[#This Row],[DateClosed]]))-1)</f>
        <v>1</v>
      </c>
      <c r="R1417" s="82" t="s">
        <v>489</v>
      </c>
      <c r="S1417" s="71"/>
    </row>
    <row r="1418" spans="1:19" hidden="1">
      <c r="A1418" s="74" t="s">
        <v>3086</v>
      </c>
      <c r="B1418" s="71" t="str">
        <f>IFERROR(VLOOKUP(Proc[[#This Row],[App]],Table2[],3,0),"open")</f>
        <v>ok</v>
      </c>
      <c r="C1418" s="74" t="s">
        <v>369</v>
      </c>
      <c r="D1418" t="s">
        <v>3152</v>
      </c>
      <c r="E1418" t="s">
        <v>3181</v>
      </c>
      <c r="F1418" s="105" t="s">
        <v>3181</v>
      </c>
      <c r="G1418" s="74" t="s">
        <v>400</v>
      </c>
      <c r="H1418" s="71" t="str">
        <f>IF(Proc[[#This Row],[type]]="LFF (MDG-F)",MID(Proc[[#This Row],[Obj]],13,10),"")</f>
        <v/>
      </c>
      <c r="J1418" s="71" t="b">
        <f>Proc[[#This Row],[Requested]]=Proc[[#This Row],[CurrentParent]]</f>
        <v>1</v>
      </c>
      <c r="K1418" s="71" t="str">
        <f>IF(Proc[[#This Row],[Author]]="Marcela Urrego",VLOOKUP(LEFT(Proc[[#This Row],[Requested]],1),Table3[#All],2,0),VLOOKUP(Proc[[#This Row],[Author]],Table4[],2,0))</f>
        <v>LS</v>
      </c>
      <c r="L1418" s="71" t="s">
        <v>2563</v>
      </c>
      <c r="M1418" s="81">
        <v>45790.144409722219</v>
      </c>
      <c r="N1418" s="85">
        <v>45791</v>
      </c>
      <c r="O1418" s="85">
        <v>45791</v>
      </c>
      <c r="P1418" s="82" t="str">
        <f ca="1">IF(Proc[[#This Row],[DaysAgeing]]&gt;5,"yep","on track")</f>
        <v>on track</v>
      </c>
      <c r="Q1418" s="3">
        <f ca="1">IF(Proc[[#This Row],[DateClosed]]="",ABS(NETWORKDAYS(Proc[[#This Row],[DateOpened]],TODAY()))-1,ABS(NETWORKDAYS(Proc[[#This Row],[DateOpened]],Proc[[#This Row],[DateClosed]]))-1)</f>
        <v>1</v>
      </c>
      <c r="R1418" s="82" t="s">
        <v>489</v>
      </c>
      <c r="S1418" s="71"/>
    </row>
    <row r="1419" spans="1:19" hidden="1">
      <c r="A1419" s="74" t="s">
        <v>3086</v>
      </c>
      <c r="B1419" s="71" t="str">
        <f>IFERROR(VLOOKUP(Proc[[#This Row],[App]],Table2[],3,0),"open")</f>
        <v>ok</v>
      </c>
      <c r="C1419" s="74" t="s">
        <v>369</v>
      </c>
      <c r="D1419" t="s">
        <v>3153</v>
      </c>
      <c r="E1419" t="s">
        <v>3165</v>
      </c>
      <c r="F1419" s="105" t="s">
        <v>3165</v>
      </c>
      <c r="G1419" s="74" t="s">
        <v>400</v>
      </c>
      <c r="H1419" s="71" t="str">
        <f>IF(Proc[[#This Row],[type]]="LFF (MDG-F)",MID(Proc[[#This Row],[Obj]],13,10),"")</f>
        <v/>
      </c>
      <c r="J1419" s="71" t="b">
        <f>Proc[[#This Row],[Requested]]=Proc[[#This Row],[CurrentParent]]</f>
        <v>1</v>
      </c>
      <c r="K1419" s="71" t="str">
        <f>IF(Proc[[#This Row],[Author]]="Marcela Urrego",VLOOKUP(LEFT(Proc[[#This Row],[Requested]],1),Table3[#All],2,0),VLOOKUP(Proc[[#This Row],[Author]],Table4[],2,0))</f>
        <v>LS</v>
      </c>
      <c r="L1419" s="71" t="s">
        <v>2563</v>
      </c>
      <c r="M1419" s="81">
        <v>45790.144409722219</v>
      </c>
      <c r="N1419" s="85">
        <v>45791</v>
      </c>
      <c r="O1419" s="85">
        <v>45791</v>
      </c>
      <c r="P1419" s="82" t="str">
        <f ca="1">IF(Proc[[#This Row],[DaysAgeing]]&gt;5,"yep","on track")</f>
        <v>on track</v>
      </c>
      <c r="Q1419" s="3">
        <f ca="1">IF(Proc[[#This Row],[DateClosed]]="",ABS(NETWORKDAYS(Proc[[#This Row],[DateOpened]],TODAY()))-1,ABS(NETWORKDAYS(Proc[[#This Row],[DateOpened]],Proc[[#This Row],[DateClosed]]))-1)</f>
        <v>1</v>
      </c>
      <c r="R1419" s="82" t="s">
        <v>489</v>
      </c>
      <c r="S1419" s="71"/>
    </row>
    <row r="1420" spans="1:19" hidden="1">
      <c r="A1420" s="74" t="s">
        <v>3086</v>
      </c>
      <c r="B1420" s="71" t="str">
        <f>IFERROR(VLOOKUP(Proc[[#This Row],[App]],Table2[],3,0),"open")</f>
        <v>ok</v>
      </c>
      <c r="C1420" s="74" t="s">
        <v>369</v>
      </c>
      <c r="D1420" t="s">
        <v>3154</v>
      </c>
      <c r="E1420" t="s">
        <v>3167</v>
      </c>
      <c r="F1420" s="105" t="s">
        <v>3167</v>
      </c>
      <c r="G1420" s="74" t="s">
        <v>400</v>
      </c>
      <c r="H1420" s="71" t="str">
        <f>IF(Proc[[#This Row],[type]]="LFF (MDG-F)",MID(Proc[[#This Row],[Obj]],13,10),"")</f>
        <v/>
      </c>
      <c r="J1420" s="71" t="b">
        <f>Proc[[#This Row],[Requested]]=Proc[[#This Row],[CurrentParent]]</f>
        <v>1</v>
      </c>
      <c r="K1420" s="71" t="str">
        <f>IF(Proc[[#This Row],[Author]]="Marcela Urrego",VLOOKUP(LEFT(Proc[[#This Row],[Requested]],1),Table3[#All],2,0),VLOOKUP(Proc[[#This Row],[Author]],Table4[],2,0))</f>
        <v>LS</v>
      </c>
      <c r="L1420" s="71" t="s">
        <v>2563</v>
      </c>
      <c r="M1420" s="81">
        <v>45790.144409722219</v>
      </c>
      <c r="N1420" s="85">
        <v>45791</v>
      </c>
      <c r="O1420" s="85">
        <v>45791</v>
      </c>
      <c r="P1420" s="82" t="str">
        <f ca="1">IF(Proc[[#This Row],[DaysAgeing]]&gt;5,"yep","on track")</f>
        <v>on track</v>
      </c>
      <c r="Q1420" s="3">
        <f ca="1">IF(Proc[[#This Row],[DateClosed]]="",ABS(NETWORKDAYS(Proc[[#This Row],[DateOpened]],TODAY()))-1,ABS(NETWORKDAYS(Proc[[#This Row],[DateOpened]],Proc[[#This Row],[DateClosed]]))-1)</f>
        <v>1</v>
      </c>
      <c r="R1420" s="82" t="s">
        <v>489</v>
      </c>
      <c r="S1420" s="71"/>
    </row>
    <row r="1421" spans="1:19" hidden="1">
      <c r="A1421" s="74" t="s">
        <v>3086</v>
      </c>
      <c r="B1421" s="71" t="str">
        <f>IFERROR(VLOOKUP(Proc[[#This Row],[App]],Table2[],3,0),"open")</f>
        <v>ok</v>
      </c>
      <c r="C1421" s="74" t="s">
        <v>369</v>
      </c>
      <c r="D1421" t="s">
        <v>3155</v>
      </c>
      <c r="E1421" t="s">
        <v>3168</v>
      </c>
      <c r="F1421" s="105" t="s">
        <v>3168</v>
      </c>
      <c r="G1421" s="74" t="s">
        <v>400</v>
      </c>
      <c r="H1421" s="71" t="str">
        <f>IF(Proc[[#This Row],[type]]="LFF (MDG-F)",MID(Proc[[#This Row],[Obj]],13,10),"")</f>
        <v/>
      </c>
      <c r="J1421" s="71" t="b">
        <f>Proc[[#This Row],[Requested]]=Proc[[#This Row],[CurrentParent]]</f>
        <v>1</v>
      </c>
      <c r="K1421" s="71" t="str">
        <f>IF(Proc[[#This Row],[Author]]="Marcela Urrego",VLOOKUP(LEFT(Proc[[#This Row],[Requested]],1),Table3[#All],2,0),VLOOKUP(Proc[[#This Row],[Author]],Table4[],2,0))</f>
        <v>LS</v>
      </c>
      <c r="L1421" s="71" t="s">
        <v>2563</v>
      </c>
      <c r="M1421" s="81">
        <v>45790.144409722219</v>
      </c>
      <c r="N1421" s="85">
        <v>45791</v>
      </c>
      <c r="O1421" s="85">
        <v>45791</v>
      </c>
      <c r="P1421" s="82" t="str">
        <f ca="1">IF(Proc[[#This Row],[DaysAgeing]]&gt;5,"yep","on track")</f>
        <v>on track</v>
      </c>
      <c r="Q1421" s="3">
        <f ca="1">IF(Proc[[#This Row],[DateClosed]]="",ABS(NETWORKDAYS(Proc[[#This Row],[DateOpened]],TODAY()))-1,ABS(NETWORKDAYS(Proc[[#This Row],[DateOpened]],Proc[[#This Row],[DateClosed]]))-1)</f>
        <v>1</v>
      </c>
      <c r="R1421" s="82" t="s">
        <v>489</v>
      </c>
      <c r="S1421" s="71"/>
    </row>
    <row r="1422" spans="1:19" hidden="1">
      <c r="A1422" s="74" t="s">
        <v>3086</v>
      </c>
      <c r="B1422" s="71" t="str">
        <f>IFERROR(VLOOKUP(Proc[[#This Row],[App]],Table2[],3,0),"open")</f>
        <v>ok</v>
      </c>
      <c r="C1422" s="74" t="s">
        <v>369</v>
      </c>
      <c r="D1422" t="s">
        <v>3156</v>
      </c>
      <c r="E1422" t="s">
        <v>3172</v>
      </c>
      <c r="F1422" s="105" t="s">
        <v>3172</v>
      </c>
      <c r="G1422" s="74" t="s">
        <v>400</v>
      </c>
      <c r="H1422" s="71" t="str">
        <f>IF(Proc[[#This Row],[type]]="LFF (MDG-F)",MID(Proc[[#This Row],[Obj]],13,10),"")</f>
        <v/>
      </c>
      <c r="J1422" s="71" t="b">
        <f>Proc[[#This Row],[Requested]]=Proc[[#This Row],[CurrentParent]]</f>
        <v>1</v>
      </c>
      <c r="K1422" s="71" t="str">
        <f>IF(Proc[[#This Row],[Author]]="Marcela Urrego",VLOOKUP(LEFT(Proc[[#This Row],[Requested]],1),Table3[#All],2,0),VLOOKUP(Proc[[#This Row],[Author]],Table4[],2,0))</f>
        <v>LS</v>
      </c>
      <c r="L1422" s="71" t="s">
        <v>2563</v>
      </c>
      <c r="M1422" s="81">
        <v>45790.144409722219</v>
      </c>
      <c r="N1422" s="85">
        <v>45791</v>
      </c>
      <c r="O1422" s="85">
        <v>45791</v>
      </c>
      <c r="P1422" s="82" t="str">
        <f ca="1">IF(Proc[[#This Row],[DaysAgeing]]&gt;5,"yep","on track")</f>
        <v>on track</v>
      </c>
      <c r="Q1422" s="3">
        <f ca="1">IF(Proc[[#This Row],[DateClosed]]="",ABS(NETWORKDAYS(Proc[[#This Row],[DateOpened]],TODAY()))-1,ABS(NETWORKDAYS(Proc[[#This Row],[DateOpened]],Proc[[#This Row],[DateClosed]]))-1)</f>
        <v>1</v>
      </c>
      <c r="R1422" s="82" t="s">
        <v>489</v>
      </c>
      <c r="S1422" s="71"/>
    </row>
    <row r="1423" spans="1:19" hidden="1">
      <c r="A1423" s="74" t="s">
        <v>3086</v>
      </c>
      <c r="B1423" s="71" t="str">
        <f>IFERROR(VLOOKUP(Proc[[#This Row],[App]],Table2[],3,0),"open")</f>
        <v>ok</v>
      </c>
      <c r="C1423" s="74" t="s">
        <v>369</v>
      </c>
      <c r="D1423" t="s">
        <v>3157</v>
      </c>
      <c r="E1423" t="s">
        <v>3168</v>
      </c>
      <c r="F1423" s="105" t="s">
        <v>3168</v>
      </c>
      <c r="G1423" s="74" t="s">
        <v>400</v>
      </c>
      <c r="H1423" s="71" t="str">
        <f>IF(Proc[[#This Row],[type]]="LFF (MDG-F)",MID(Proc[[#This Row],[Obj]],13,10),"")</f>
        <v/>
      </c>
      <c r="J1423" s="71" t="b">
        <f>Proc[[#This Row],[Requested]]=Proc[[#This Row],[CurrentParent]]</f>
        <v>1</v>
      </c>
      <c r="K1423" s="71" t="str">
        <f>IF(Proc[[#This Row],[Author]]="Marcela Urrego",VLOOKUP(LEFT(Proc[[#This Row],[Requested]],1),Table3[#All],2,0),VLOOKUP(Proc[[#This Row],[Author]],Table4[],2,0))</f>
        <v>LS</v>
      </c>
      <c r="L1423" s="71" t="s">
        <v>2563</v>
      </c>
      <c r="M1423" s="81">
        <v>45790.144409722219</v>
      </c>
      <c r="N1423" s="85">
        <v>45791</v>
      </c>
      <c r="O1423" s="85">
        <v>45791</v>
      </c>
      <c r="P1423" s="82" t="str">
        <f ca="1">IF(Proc[[#This Row],[DaysAgeing]]&gt;5,"yep","on track")</f>
        <v>on track</v>
      </c>
      <c r="Q1423" s="3">
        <f ca="1">IF(Proc[[#This Row],[DateClosed]]="",ABS(NETWORKDAYS(Proc[[#This Row],[DateOpened]],TODAY()))-1,ABS(NETWORKDAYS(Proc[[#This Row],[DateOpened]],Proc[[#This Row],[DateClosed]]))-1)</f>
        <v>1</v>
      </c>
      <c r="R1423" s="82" t="s">
        <v>489</v>
      </c>
      <c r="S1423" s="71"/>
    </row>
    <row r="1424" spans="1:19" hidden="1">
      <c r="A1424" s="74" t="s">
        <v>3086</v>
      </c>
      <c r="B1424" s="71" t="str">
        <f>IFERROR(VLOOKUP(Proc[[#This Row],[App]],Table2[],3,0),"open")</f>
        <v>ok</v>
      </c>
      <c r="C1424" s="74" t="s">
        <v>369</v>
      </c>
      <c r="D1424" t="s">
        <v>3158</v>
      </c>
      <c r="E1424" t="s">
        <v>3172</v>
      </c>
      <c r="F1424" s="105" t="s">
        <v>3172</v>
      </c>
      <c r="G1424" s="74" t="s">
        <v>400</v>
      </c>
      <c r="H1424" s="71" t="str">
        <f>IF(Proc[[#This Row],[type]]="LFF (MDG-F)",MID(Proc[[#This Row],[Obj]],13,10),"")</f>
        <v/>
      </c>
      <c r="J1424" s="71" t="b">
        <f>Proc[[#This Row],[Requested]]=Proc[[#This Row],[CurrentParent]]</f>
        <v>1</v>
      </c>
      <c r="K1424" s="71" t="str">
        <f>IF(Proc[[#This Row],[Author]]="Marcela Urrego",VLOOKUP(LEFT(Proc[[#This Row],[Requested]],1),Table3[#All],2,0),VLOOKUP(Proc[[#This Row],[Author]],Table4[],2,0))</f>
        <v>LS</v>
      </c>
      <c r="L1424" s="71" t="s">
        <v>2563</v>
      </c>
      <c r="M1424" s="81">
        <v>45790.144409722219</v>
      </c>
      <c r="N1424" s="85">
        <v>45791</v>
      </c>
      <c r="O1424" s="85">
        <v>45791</v>
      </c>
      <c r="P1424" s="82" t="str">
        <f ca="1">IF(Proc[[#This Row],[DaysAgeing]]&gt;5,"yep","on track")</f>
        <v>on track</v>
      </c>
      <c r="Q1424" s="3">
        <f ca="1">IF(Proc[[#This Row],[DateClosed]]="",ABS(NETWORKDAYS(Proc[[#This Row],[DateOpened]],TODAY()))-1,ABS(NETWORKDAYS(Proc[[#This Row],[DateOpened]],Proc[[#This Row],[DateClosed]]))-1)</f>
        <v>1</v>
      </c>
      <c r="R1424" s="82" t="s">
        <v>489</v>
      </c>
      <c r="S1424" s="71"/>
    </row>
    <row r="1425" spans="1:19" hidden="1">
      <c r="A1425" s="74" t="s">
        <v>3086</v>
      </c>
      <c r="B1425" s="71" t="str">
        <f>IFERROR(VLOOKUP(Proc[[#This Row],[App]],Table2[],3,0),"open")</f>
        <v>ok</v>
      </c>
      <c r="C1425" s="74" t="s">
        <v>369</v>
      </c>
      <c r="D1425" t="s">
        <v>3159</v>
      </c>
      <c r="E1425" t="s">
        <v>3171</v>
      </c>
      <c r="F1425" s="105" t="s">
        <v>3171</v>
      </c>
      <c r="G1425" s="74" t="s">
        <v>400</v>
      </c>
      <c r="H1425" s="71" t="str">
        <f>IF(Proc[[#This Row],[type]]="LFF (MDG-F)",MID(Proc[[#This Row],[Obj]],13,10),"")</f>
        <v/>
      </c>
      <c r="J1425" s="71" t="b">
        <f>Proc[[#This Row],[Requested]]=Proc[[#This Row],[CurrentParent]]</f>
        <v>1</v>
      </c>
      <c r="K1425" s="71" t="str">
        <f>IF(Proc[[#This Row],[Author]]="Marcela Urrego",VLOOKUP(LEFT(Proc[[#This Row],[Requested]],1),Table3[#All],2,0),VLOOKUP(Proc[[#This Row],[Author]],Table4[],2,0))</f>
        <v>LS</v>
      </c>
      <c r="L1425" s="71" t="s">
        <v>2563</v>
      </c>
      <c r="M1425" s="81">
        <v>45790.144409722219</v>
      </c>
      <c r="N1425" s="85">
        <v>45791</v>
      </c>
      <c r="O1425" s="85">
        <v>45791</v>
      </c>
      <c r="P1425" s="82" t="str">
        <f ca="1">IF(Proc[[#This Row],[DaysAgeing]]&gt;5,"yep","on track")</f>
        <v>on track</v>
      </c>
      <c r="Q1425" s="3">
        <f ca="1">IF(Proc[[#This Row],[DateClosed]]="",ABS(NETWORKDAYS(Proc[[#This Row],[DateOpened]],TODAY()))-1,ABS(NETWORKDAYS(Proc[[#This Row],[DateOpened]],Proc[[#This Row],[DateClosed]]))-1)</f>
        <v>1</v>
      </c>
      <c r="R1425" s="82" t="s">
        <v>489</v>
      </c>
      <c r="S1425" s="71"/>
    </row>
    <row r="1426" spans="1:19" hidden="1">
      <c r="A1426" s="74" t="s">
        <v>3086</v>
      </c>
      <c r="B1426" s="71" t="str">
        <f>IFERROR(VLOOKUP(Proc[[#This Row],[App]],Table2[],3,0),"open")</f>
        <v>ok</v>
      </c>
      <c r="C1426" s="74" t="s">
        <v>369</v>
      </c>
      <c r="D1426" t="s">
        <v>3160</v>
      </c>
      <c r="E1426" t="s">
        <v>3176</v>
      </c>
      <c r="F1426" s="105" t="s">
        <v>3176</v>
      </c>
      <c r="G1426" s="74" t="s">
        <v>400</v>
      </c>
      <c r="H1426" s="71" t="str">
        <f>IF(Proc[[#This Row],[type]]="LFF (MDG-F)",MID(Proc[[#This Row],[Obj]],13,10),"")</f>
        <v/>
      </c>
      <c r="J1426" s="71" t="b">
        <f>Proc[[#This Row],[Requested]]=Proc[[#This Row],[CurrentParent]]</f>
        <v>1</v>
      </c>
      <c r="K1426" s="71" t="str">
        <f>IF(Proc[[#This Row],[Author]]="Marcela Urrego",VLOOKUP(LEFT(Proc[[#This Row],[Requested]],1),Table3[#All],2,0),VLOOKUP(Proc[[#This Row],[Author]],Table4[],2,0))</f>
        <v>LS</v>
      </c>
      <c r="L1426" s="71" t="s">
        <v>2563</v>
      </c>
      <c r="M1426" s="81">
        <v>45790.144409722219</v>
      </c>
      <c r="N1426" s="85">
        <v>45791</v>
      </c>
      <c r="O1426" s="85">
        <v>45791</v>
      </c>
      <c r="P1426" s="82" t="str">
        <f ca="1">IF(Proc[[#This Row],[DaysAgeing]]&gt;5,"yep","on track")</f>
        <v>on track</v>
      </c>
      <c r="Q1426" s="3">
        <f ca="1">IF(Proc[[#This Row],[DateClosed]]="",ABS(NETWORKDAYS(Proc[[#This Row],[DateOpened]],TODAY()))-1,ABS(NETWORKDAYS(Proc[[#This Row],[DateOpened]],Proc[[#This Row],[DateClosed]]))-1)</f>
        <v>1</v>
      </c>
      <c r="R1426" s="82" t="s">
        <v>489</v>
      </c>
      <c r="S1426" s="71"/>
    </row>
    <row r="1427" spans="1:19" hidden="1">
      <c r="A1427" s="74" t="s">
        <v>3086</v>
      </c>
      <c r="B1427" s="71" t="str">
        <f>IFERROR(VLOOKUP(Proc[[#This Row],[App]],Table2[],3,0),"open")</f>
        <v>ok</v>
      </c>
      <c r="C1427" s="74" t="s">
        <v>369</v>
      </c>
      <c r="D1427" t="s">
        <v>3161</v>
      </c>
      <c r="E1427" t="s">
        <v>3174</v>
      </c>
      <c r="F1427" s="105" t="s">
        <v>3174</v>
      </c>
      <c r="G1427" s="74" t="s">
        <v>400</v>
      </c>
      <c r="H1427" s="71" t="str">
        <f>IF(Proc[[#This Row],[type]]="LFF (MDG-F)",MID(Proc[[#This Row],[Obj]],13,10),"")</f>
        <v/>
      </c>
      <c r="J1427" s="71" t="b">
        <f>Proc[[#This Row],[Requested]]=Proc[[#This Row],[CurrentParent]]</f>
        <v>1</v>
      </c>
      <c r="K1427" s="71" t="str">
        <f>IF(Proc[[#This Row],[Author]]="Marcela Urrego",VLOOKUP(LEFT(Proc[[#This Row],[Requested]],1),Table3[#All],2,0),VLOOKUP(Proc[[#This Row],[Author]],Table4[],2,0))</f>
        <v>LS</v>
      </c>
      <c r="L1427" s="71" t="s">
        <v>2563</v>
      </c>
      <c r="M1427" s="81">
        <v>45790.144409722219</v>
      </c>
      <c r="N1427" s="85">
        <v>45791</v>
      </c>
      <c r="O1427" s="85">
        <v>45791</v>
      </c>
      <c r="P1427" s="82" t="str">
        <f ca="1">IF(Proc[[#This Row],[DaysAgeing]]&gt;5,"yep","on track")</f>
        <v>on track</v>
      </c>
      <c r="Q1427" s="3">
        <f ca="1">IF(Proc[[#This Row],[DateClosed]]="",ABS(NETWORKDAYS(Proc[[#This Row],[DateOpened]],TODAY()))-1,ABS(NETWORKDAYS(Proc[[#This Row],[DateOpened]],Proc[[#This Row],[DateClosed]]))-1)</f>
        <v>1</v>
      </c>
      <c r="R1427" s="82" t="s">
        <v>489</v>
      </c>
      <c r="S1427" s="71"/>
    </row>
    <row r="1428" spans="1:19" hidden="1">
      <c r="A1428" s="74" t="s">
        <v>3086</v>
      </c>
      <c r="B1428" s="71" t="str">
        <f>IFERROR(VLOOKUP(Proc[[#This Row],[App]],Table2[],3,0),"open")</f>
        <v>ok</v>
      </c>
      <c r="C1428" s="74" t="s">
        <v>369</v>
      </c>
      <c r="D1428" t="s">
        <v>3162</v>
      </c>
      <c r="E1428" t="s">
        <v>3165</v>
      </c>
      <c r="F1428" s="105" t="s">
        <v>3165</v>
      </c>
      <c r="G1428" s="74" t="s">
        <v>400</v>
      </c>
      <c r="H1428" s="71" t="str">
        <f>IF(Proc[[#This Row],[type]]="LFF (MDG-F)",MID(Proc[[#This Row],[Obj]],13,10),"")</f>
        <v/>
      </c>
      <c r="J1428" s="71" t="b">
        <f>Proc[[#This Row],[Requested]]=Proc[[#This Row],[CurrentParent]]</f>
        <v>1</v>
      </c>
      <c r="K1428" s="71" t="str">
        <f>IF(Proc[[#This Row],[Author]]="Marcela Urrego",VLOOKUP(LEFT(Proc[[#This Row],[Requested]],1),Table3[#All],2,0),VLOOKUP(Proc[[#This Row],[Author]],Table4[],2,0))</f>
        <v>LS</v>
      </c>
      <c r="L1428" s="71" t="s">
        <v>2563</v>
      </c>
      <c r="M1428" s="81">
        <v>45790.144409722219</v>
      </c>
      <c r="N1428" s="85">
        <v>45791</v>
      </c>
      <c r="O1428" s="85">
        <v>45791</v>
      </c>
      <c r="P1428" s="82" t="str">
        <f ca="1">IF(Proc[[#This Row],[DaysAgeing]]&gt;5,"yep","on track")</f>
        <v>on track</v>
      </c>
      <c r="Q1428" s="3">
        <f ca="1">IF(Proc[[#This Row],[DateClosed]]="",ABS(NETWORKDAYS(Proc[[#This Row],[DateOpened]],TODAY()))-1,ABS(NETWORKDAYS(Proc[[#This Row],[DateOpened]],Proc[[#This Row],[DateClosed]]))-1)</f>
        <v>1</v>
      </c>
      <c r="R1428" s="82" t="s">
        <v>489</v>
      </c>
      <c r="S1428" s="71"/>
    </row>
    <row r="1429" spans="1:19" hidden="1">
      <c r="A1429" s="74" t="s">
        <v>3086</v>
      </c>
      <c r="B1429" s="71" t="str">
        <f>IFERROR(VLOOKUP(Proc[[#This Row],[App]],Table2[],3,0),"open")</f>
        <v>ok</v>
      </c>
      <c r="C1429" s="74" t="s">
        <v>369</v>
      </c>
      <c r="D1429" t="s">
        <v>3163</v>
      </c>
      <c r="E1429" t="s">
        <v>3165</v>
      </c>
      <c r="F1429" s="105" t="s">
        <v>3165</v>
      </c>
      <c r="G1429" s="74" t="s">
        <v>400</v>
      </c>
      <c r="H1429" s="71" t="str">
        <f>IF(Proc[[#This Row],[type]]="LFF (MDG-F)",MID(Proc[[#This Row],[Obj]],13,10),"")</f>
        <v/>
      </c>
      <c r="J1429" s="71" t="b">
        <f>Proc[[#This Row],[Requested]]=Proc[[#This Row],[CurrentParent]]</f>
        <v>1</v>
      </c>
      <c r="K1429" s="71" t="str">
        <f>IF(Proc[[#This Row],[Author]]="Marcela Urrego",VLOOKUP(LEFT(Proc[[#This Row],[Requested]],1),Table3[#All],2,0),VLOOKUP(Proc[[#This Row],[Author]],Table4[],2,0))</f>
        <v>LS</v>
      </c>
      <c r="L1429" s="71" t="s">
        <v>2563</v>
      </c>
      <c r="M1429" s="81">
        <v>45790.144409722219</v>
      </c>
      <c r="N1429" s="85">
        <v>45791</v>
      </c>
      <c r="O1429" s="85">
        <v>45791</v>
      </c>
      <c r="P1429" s="82" t="str">
        <f ca="1">IF(Proc[[#This Row],[DaysAgeing]]&gt;5,"yep","on track")</f>
        <v>on track</v>
      </c>
      <c r="Q1429" s="3">
        <f ca="1">IF(Proc[[#This Row],[DateClosed]]="",ABS(NETWORKDAYS(Proc[[#This Row],[DateOpened]],TODAY()))-1,ABS(NETWORKDAYS(Proc[[#This Row],[DateOpened]],Proc[[#This Row],[DateClosed]]))-1)</f>
        <v>1</v>
      </c>
      <c r="R1429" s="82" t="s">
        <v>489</v>
      </c>
      <c r="S1429" s="71"/>
    </row>
    <row r="1430" spans="1:19" hidden="1">
      <c r="A1430" s="74" t="s">
        <v>3086</v>
      </c>
      <c r="B1430" s="71" t="str">
        <f>IFERROR(VLOOKUP(Proc[[#This Row],[App]],Table2[],3,0),"open")</f>
        <v>ok</v>
      </c>
      <c r="C1430" s="74" t="s">
        <v>377</v>
      </c>
      <c r="D1430" t="s">
        <v>3164</v>
      </c>
      <c r="E1430" t="s">
        <v>3165</v>
      </c>
      <c r="F1430" s="105" t="s">
        <v>3165</v>
      </c>
      <c r="G1430" s="74" t="s">
        <v>400</v>
      </c>
      <c r="H1430" s="71" t="str">
        <f>IF(Proc[[#This Row],[type]]="LFF (MDG-F)",MID(Proc[[#This Row],[Obj]],13,10),"")</f>
        <v/>
      </c>
      <c r="J1430" s="71" t="b">
        <f>Proc[[#This Row],[Requested]]=Proc[[#This Row],[CurrentParent]]</f>
        <v>1</v>
      </c>
      <c r="K1430" s="71" t="str">
        <f>IF(Proc[[#This Row],[Author]]="Marcela Urrego",VLOOKUP(LEFT(Proc[[#This Row],[Requested]],1),Table3[#All],2,0),VLOOKUP(Proc[[#This Row],[Author]],Table4[],2,0))</f>
        <v>LS</v>
      </c>
      <c r="L1430" s="71" t="s">
        <v>2563</v>
      </c>
      <c r="M1430" s="81">
        <v>45790.144409722219</v>
      </c>
      <c r="N1430" s="81"/>
      <c r="O1430" s="81">
        <v>45791</v>
      </c>
      <c r="P1430" s="82" t="str">
        <f ca="1">IF(Proc[[#This Row],[DaysAgeing]]&gt;5,"yep","on track")</f>
        <v>on track</v>
      </c>
      <c r="Q1430" s="3">
        <f ca="1">IF(Proc[[#This Row],[DateClosed]]="",ABS(NETWORKDAYS(Proc[[#This Row],[DateOpened]],TODAY()))-1,ABS(NETWORKDAYS(Proc[[#This Row],[DateOpened]],Proc[[#This Row],[DateClosed]]))-1)</f>
        <v>1</v>
      </c>
      <c r="R1430" s="82" t="s">
        <v>489</v>
      </c>
      <c r="S1430" s="71"/>
    </row>
    <row r="1431" spans="1:19" hidden="1">
      <c r="A1431" t="s">
        <v>3183</v>
      </c>
      <c r="B1431" s="71" t="str">
        <f>IFERROR(VLOOKUP(Proc[[#This Row],[App]],Table2[],3,0),"open")</f>
        <v>ok</v>
      </c>
      <c r="C1431" t="s">
        <v>369</v>
      </c>
      <c r="D1431" t="s">
        <v>3184</v>
      </c>
      <c r="E1431" t="s">
        <v>3186</v>
      </c>
      <c r="F1431" s="105" t="s">
        <v>3186</v>
      </c>
      <c r="G1431" s="74" t="s">
        <v>406</v>
      </c>
      <c r="H1431" s="71" t="str">
        <f>IF(Proc[[#This Row],[type]]="LFF (MDG-F)",MID(Proc[[#This Row],[Obj]],13,10),"")</f>
        <v>2123GM1021</v>
      </c>
      <c r="I1431" t="s">
        <v>1198</v>
      </c>
      <c r="J1431" s="71" t="b">
        <f>Proc[[#This Row],[Requested]]=Proc[[#This Row],[CurrentParent]]</f>
        <v>1</v>
      </c>
      <c r="K1431" s="71" t="str">
        <f>IF(Proc[[#This Row],[Author]]="Marcela Urrego",VLOOKUP(LEFT(Proc[[#This Row],[Requested]],1),Table3[#All],2,0),VLOOKUP(Proc[[#This Row],[Author]],Table4[],2,0))</f>
        <v>MGF</v>
      </c>
      <c r="L1431" s="71" t="s">
        <v>2563</v>
      </c>
      <c r="M1431" s="81">
        <v>45790.361018518517</v>
      </c>
      <c r="N1431" s="81">
        <v>45790</v>
      </c>
      <c r="O1431" s="85">
        <v>45791</v>
      </c>
      <c r="P1431" s="82" t="str">
        <f ca="1">IF(Proc[[#This Row],[DaysAgeing]]&gt;5,"yep","on track")</f>
        <v>on track</v>
      </c>
      <c r="Q1431" s="3">
        <f ca="1">IF(Proc[[#This Row],[DateClosed]]="",ABS(NETWORKDAYS(Proc[[#This Row],[DateOpened]],TODAY()))-1,ABS(NETWORKDAYS(Proc[[#This Row],[DateOpened]],Proc[[#This Row],[DateClosed]]))-1)</f>
        <v>1</v>
      </c>
      <c r="R1431" s="82" t="s">
        <v>515</v>
      </c>
      <c r="S1431" s="71"/>
    </row>
    <row r="1432" spans="1:19" hidden="1">
      <c r="A1432" s="74" t="s">
        <v>3183</v>
      </c>
      <c r="B1432" s="71" t="str">
        <f>IFERROR(VLOOKUP(Proc[[#This Row],[App]],Table2[],3,0),"open")</f>
        <v>ok</v>
      </c>
      <c r="C1432" s="86" t="s">
        <v>369</v>
      </c>
      <c r="D1432" t="s">
        <v>3185</v>
      </c>
      <c r="E1432" t="s">
        <v>3187</v>
      </c>
      <c r="F1432" s="105" t="s">
        <v>3187</v>
      </c>
      <c r="G1432" s="74" t="s">
        <v>406</v>
      </c>
      <c r="H1432" s="71" t="str">
        <f>IF(Proc[[#This Row],[type]]="LFF (MDG-F)",MID(Proc[[#This Row],[Obj]],13,10),"")</f>
        <v>2123GMB010</v>
      </c>
      <c r="I1432" t="s">
        <v>3188</v>
      </c>
      <c r="J1432" s="71" t="b">
        <f>Proc[[#This Row],[Requested]]=Proc[[#This Row],[CurrentParent]]</f>
        <v>1</v>
      </c>
      <c r="K1432" s="71" t="str">
        <f>IF(Proc[[#This Row],[Author]]="Marcela Urrego",VLOOKUP(LEFT(Proc[[#This Row],[Requested]],1),Table3[#All],2,0),VLOOKUP(Proc[[#This Row],[Author]],Table4[],2,0))</f>
        <v>MGF</v>
      </c>
      <c r="L1432" s="71" t="s">
        <v>2563</v>
      </c>
      <c r="M1432" s="81">
        <v>45790.361018518517</v>
      </c>
      <c r="N1432" s="85">
        <v>45791</v>
      </c>
      <c r="O1432" s="85">
        <v>45791</v>
      </c>
      <c r="P1432" s="82" t="str">
        <f ca="1">IF(Proc[[#This Row],[DaysAgeing]]&gt;5,"yep","on track")</f>
        <v>on track</v>
      </c>
      <c r="Q1432" s="3">
        <f ca="1">IF(Proc[[#This Row],[DateClosed]]="",ABS(NETWORKDAYS(Proc[[#This Row],[DateOpened]],TODAY()))-1,ABS(NETWORKDAYS(Proc[[#This Row],[DateOpened]],Proc[[#This Row],[DateClosed]]))-1)</f>
        <v>1</v>
      </c>
      <c r="R1432" s="82" t="s">
        <v>515</v>
      </c>
      <c r="S1432" s="71"/>
    </row>
    <row r="1433" spans="1:19" hidden="1">
      <c r="A1433" t="s">
        <v>3189</v>
      </c>
      <c r="B1433" s="71" t="str">
        <f>IFERROR(VLOOKUP(Proc[[#This Row],[App]],Table2[],3,0),"open")</f>
        <v>ok</v>
      </c>
      <c r="C1433" s="86" t="s">
        <v>369</v>
      </c>
      <c r="D1433" s="84" t="s">
        <v>3190</v>
      </c>
      <c r="E1433" t="s">
        <v>1514</v>
      </c>
      <c r="F1433" s="105" t="s">
        <v>1514</v>
      </c>
      <c r="G1433" s="74" t="s">
        <v>406</v>
      </c>
      <c r="H1433" s="71" t="str">
        <f>IF(Proc[[#This Row],[type]]="LFF (MDG-F)",MID(Proc[[#This Row],[Obj]],13,10),"")</f>
        <v>KE50C0FF10</v>
      </c>
      <c r="I1433" t="s">
        <v>3191</v>
      </c>
      <c r="J1433" s="71" t="b">
        <f>Proc[[#This Row],[Requested]]=Proc[[#This Row],[CurrentParent]]</f>
        <v>1</v>
      </c>
      <c r="K1433" s="71" t="str">
        <f>IF(Proc[[#This Row],[Author]]="Marcela Urrego",VLOOKUP(LEFT(Proc[[#This Row],[Requested]],1),Table3[#All],2,0),VLOOKUP(Proc[[#This Row],[Author]],Table4[],2,0))</f>
        <v>LS</v>
      </c>
      <c r="L1433" s="71" t="s">
        <v>2563</v>
      </c>
      <c r="M1433" s="81">
        <v>45790.424861111111</v>
      </c>
      <c r="N1433" s="85">
        <v>45791</v>
      </c>
      <c r="O1433" s="85">
        <v>45791</v>
      </c>
      <c r="P1433" s="82" t="str">
        <f ca="1">IF(Proc[[#This Row],[DaysAgeing]]&gt;5,"yep","on track")</f>
        <v>on track</v>
      </c>
      <c r="Q1433" s="3">
        <f ca="1">IF(Proc[[#This Row],[DateClosed]]="",ABS(NETWORKDAYS(Proc[[#This Row],[DateOpened]],TODAY()))-1,ABS(NETWORKDAYS(Proc[[#This Row],[DateOpened]],Proc[[#This Row],[DateClosed]]))-1)</f>
        <v>1</v>
      </c>
      <c r="R1433" s="82" t="s">
        <v>489</v>
      </c>
      <c r="S1433" s="71"/>
    </row>
    <row r="1434" spans="1:19" hidden="1">
      <c r="A1434" t="s">
        <v>3192</v>
      </c>
      <c r="B1434" s="71" t="str">
        <f>IFERROR(VLOOKUP(Proc[[#This Row],[App]],Table2[],3,0),"open")</f>
        <v>ok</v>
      </c>
      <c r="C1434" s="86" t="s">
        <v>369</v>
      </c>
      <c r="D1434" t="s">
        <v>2447</v>
      </c>
      <c r="E1434" s="86" t="s">
        <v>2458</v>
      </c>
      <c r="F1434" s="105" t="s">
        <v>2458</v>
      </c>
      <c r="G1434" t="s">
        <v>406</v>
      </c>
      <c r="H1434" s="71" t="str">
        <f>IF(Proc[[#This Row],[type]]="LFF (MDG-F)",MID(Proc[[#This Row],[Obj]],13,10),"")</f>
        <v>2148TASA01</v>
      </c>
      <c r="J1434" s="71" t="b">
        <f>Proc[[#This Row],[Requested]]=Proc[[#This Row],[CurrentParent]]</f>
        <v>1</v>
      </c>
      <c r="K1434" s="71" t="str">
        <f>IF(Proc[[#This Row],[Author]]="Marcela Urrego",VLOOKUP(LEFT(Proc[[#This Row],[Requested]],1),Table3[#All],2,0),VLOOKUP(Proc[[#This Row],[Author]],Table4[],2,0))</f>
        <v>LS</v>
      </c>
      <c r="L1434" s="87" t="s">
        <v>2563</v>
      </c>
      <c r="M1434" s="82">
        <v>45790.424861111111</v>
      </c>
      <c r="N1434" s="85"/>
      <c r="O1434" s="85"/>
      <c r="P1434" s="82" t="str">
        <f ca="1">IF(Proc[[#This Row],[DaysAgeing]]&gt;5,"yep","on track")</f>
        <v>yep</v>
      </c>
      <c r="Q1434" s="3">
        <f ca="1">IF(Proc[[#This Row],[DateClosed]]="",ABS(NETWORKDAYS(Proc[[#This Row],[DateOpened]],TODAY()))-1,ABS(NETWORKDAYS(Proc[[#This Row],[DateOpened]],Proc[[#This Row],[DateClosed]]))-1)</f>
        <v>35</v>
      </c>
      <c r="R1434" s="82" t="s">
        <v>489</v>
      </c>
      <c r="S1434" s="71"/>
    </row>
    <row r="1435" spans="1:19" hidden="1">
      <c r="A1435" s="74" t="s">
        <v>3192</v>
      </c>
      <c r="B1435" s="71" t="str">
        <f>IFERROR(VLOOKUP(Proc[[#This Row],[App]],Table2[],3,0),"open")</f>
        <v>ok</v>
      </c>
      <c r="C1435" s="86" t="s">
        <v>369</v>
      </c>
      <c r="D1435" t="s">
        <v>2448</v>
      </c>
      <c r="E1435" s="86" t="s">
        <v>2458</v>
      </c>
      <c r="F1435" s="105" t="s">
        <v>2458</v>
      </c>
      <c r="G1435" s="86" t="s">
        <v>406</v>
      </c>
      <c r="H1435" s="71" t="str">
        <f>IF(Proc[[#This Row],[type]]="LFF (MDG-F)",MID(Proc[[#This Row],[Obj]],13,10),"")</f>
        <v>2148TASA99</v>
      </c>
      <c r="J1435" s="71" t="b">
        <f>Proc[[#This Row],[Requested]]=Proc[[#This Row],[CurrentParent]]</f>
        <v>1</v>
      </c>
      <c r="K1435" s="71" t="str">
        <f>IF(Proc[[#This Row],[Author]]="Marcela Urrego",VLOOKUP(LEFT(Proc[[#This Row],[Requested]],1),Table3[#All],2,0),VLOOKUP(Proc[[#This Row],[Author]],Table4[],2,0))</f>
        <v>LS</v>
      </c>
      <c r="L1435" s="87" t="s">
        <v>2563</v>
      </c>
      <c r="M1435" s="82">
        <v>45790.424861111111</v>
      </c>
      <c r="N1435" s="85"/>
      <c r="O1435" s="85"/>
      <c r="P1435" s="82" t="str">
        <f ca="1">IF(Proc[[#This Row],[DaysAgeing]]&gt;5,"yep","on track")</f>
        <v>yep</v>
      </c>
      <c r="Q1435" s="3">
        <f ca="1">IF(Proc[[#This Row],[DateClosed]]="",ABS(NETWORKDAYS(Proc[[#This Row],[DateOpened]],TODAY()))-1,ABS(NETWORKDAYS(Proc[[#This Row],[DateOpened]],Proc[[#This Row],[DateClosed]]))-1)</f>
        <v>35</v>
      </c>
      <c r="R1435" s="82" t="s">
        <v>489</v>
      </c>
      <c r="S1435" s="71"/>
    </row>
    <row r="1436" spans="1:19" hidden="1">
      <c r="A1436" s="74" t="s">
        <v>3192</v>
      </c>
      <c r="B1436" s="71" t="str">
        <f>IFERROR(VLOOKUP(Proc[[#This Row],[App]],Table2[],3,0),"open")</f>
        <v>ok</v>
      </c>
      <c r="C1436" s="86" t="s">
        <v>369</v>
      </c>
      <c r="D1436" t="s">
        <v>2449</v>
      </c>
      <c r="E1436" s="86" t="s">
        <v>2458</v>
      </c>
      <c r="F1436" s="105" t="s">
        <v>2458</v>
      </c>
      <c r="G1436" s="86" t="s">
        <v>406</v>
      </c>
      <c r="H1436" s="71" t="str">
        <f>IF(Proc[[#This Row],[type]]="LFF (MDG-F)",MID(Proc[[#This Row],[Obj]],13,10),"")</f>
        <v>2148TASB00</v>
      </c>
      <c r="J1436" s="71" t="b">
        <f>Proc[[#This Row],[Requested]]=Proc[[#This Row],[CurrentParent]]</f>
        <v>1</v>
      </c>
      <c r="K1436" s="71" t="str">
        <f>IF(Proc[[#This Row],[Author]]="Marcela Urrego",VLOOKUP(LEFT(Proc[[#This Row],[Requested]],1),Table3[#All],2,0),VLOOKUP(Proc[[#This Row],[Author]],Table4[],2,0))</f>
        <v>LS</v>
      </c>
      <c r="L1436" s="87" t="s">
        <v>2563</v>
      </c>
      <c r="M1436" s="82">
        <v>45790.424861111111</v>
      </c>
      <c r="N1436" s="85"/>
      <c r="O1436" s="85"/>
      <c r="P1436" s="82" t="str">
        <f ca="1">IF(Proc[[#This Row],[DaysAgeing]]&gt;5,"yep","on track")</f>
        <v>yep</v>
      </c>
      <c r="Q1436" s="3">
        <f ca="1">IF(Proc[[#This Row],[DateClosed]]="",ABS(NETWORKDAYS(Proc[[#This Row],[DateOpened]],TODAY()))-1,ABS(NETWORKDAYS(Proc[[#This Row],[DateOpened]],Proc[[#This Row],[DateClosed]]))-1)</f>
        <v>35</v>
      </c>
      <c r="R1436" s="82" t="s">
        <v>489</v>
      </c>
      <c r="S1436" s="71"/>
    </row>
    <row r="1437" spans="1:19" hidden="1">
      <c r="A1437" s="74" t="s">
        <v>3192</v>
      </c>
      <c r="B1437" s="71" t="str">
        <f>IFERROR(VLOOKUP(Proc[[#This Row],[App]],Table2[],3,0),"open")</f>
        <v>ok</v>
      </c>
      <c r="C1437" s="86" t="s">
        <v>369</v>
      </c>
      <c r="D1437" t="s">
        <v>2450</v>
      </c>
      <c r="E1437" s="86" t="s">
        <v>2458</v>
      </c>
      <c r="F1437" s="105" t="s">
        <v>2458</v>
      </c>
      <c r="G1437" s="86" t="s">
        <v>406</v>
      </c>
      <c r="H1437" s="71" t="str">
        <f>IF(Proc[[#This Row],[type]]="LFF (MDG-F)",MID(Proc[[#This Row],[Obj]],13,10),"")</f>
        <v>2148TASB01</v>
      </c>
      <c r="J1437" s="71" t="b">
        <f>Proc[[#This Row],[Requested]]=Proc[[#This Row],[CurrentParent]]</f>
        <v>1</v>
      </c>
      <c r="K1437" s="71" t="str">
        <f>IF(Proc[[#This Row],[Author]]="Marcela Urrego",VLOOKUP(LEFT(Proc[[#This Row],[Requested]],1),Table3[#All],2,0),VLOOKUP(Proc[[#This Row],[Author]],Table4[],2,0))</f>
        <v>LS</v>
      </c>
      <c r="L1437" s="87" t="s">
        <v>2563</v>
      </c>
      <c r="M1437" s="82">
        <v>45790.424861111111</v>
      </c>
      <c r="N1437" s="85"/>
      <c r="O1437" s="85"/>
      <c r="P1437" s="82" t="str">
        <f ca="1">IF(Proc[[#This Row],[DaysAgeing]]&gt;5,"yep","on track")</f>
        <v>yep</v>
      </c>
      <c r="Q1437" s="3">
        <f ca="1">IF(Proc[[#This Row],[DateClosed]]="",ABS(NETWORKDAYS(Proc[[#This Row],[DateOpened]],TODAY()))-1,ABS(NETWORKDAYS(Proc[[#This Row],[DateOpened]],Proc[[#This Row],[DateClosed]]))-1)</f>
        <v>35</v>
      </c>
      <c r="R1437" s="82" t="s">
        <v>489</v>
      </c>
      <c r="S1437" s="71"/>
    </row>
    <row r="1438" spans="1:19" hidden="1">
      <c r="A1438" s="74" t="s">
        <v>3192</v>
      </c>
      <c r="B1438" s="71" t="str">
        <f>IFERROR(VLOOKUP(Proc[[#This Row],[App]],Table2[],3,0),"open")</f>
        <v>ok</v>
      </c>
      <c r="C1438" s="86" t="s">
        <v>369</v>
      </c>
      <c r="D1438" t="s">
        <v>2451</v>
      </c>
      <c r="E1438" s="86" t="s">
        <v>2458</v>
      </c>
      <c r="F1438" s="105" t="s">
        <v>2458</v>
      </c>
      <c r="G1438" s="86" t="s">
        <v>406</v>
      </c>
      <c r="H1438" s="71" t="str">
        <f>IF(Proc[[#This Row],[type]]="LFF (MDG-F)",MID(Proc[[#This Row],[Obj]],13,10),"")</f>
        <v>2148TASB99</v>
      </c>
      <c r="J1438" s="71" t="b">
        <f>Proc[[#This Row],[Requested]]=Proc[[#This Row],[CurrentParent]]</f>
        <v>1</v>
      </c>
      <c r="K1438" s="71" t="str">
        <f>IF(Proc[[#This Row],[Author]]="Marcela Urrego",VLOOKUP(LEFT(Proc[[#This Row],[Requested]],1),Table3[#All],2,0),VLOOKUP(Proc[[#This Row],[Author]],Table4[],2,0))</f>
        <v>LS</v>
      </c>
      <c r="L1438" s="87" t="s">
        <v>2563</v>
      </c>
      <c r="M1438" s="82">
        <v>45790.424861111111</v>
      </c>
      <c r="N1438" s="85"/>
      <c r="O1438" s="85"/>
      <c r="P1438" s="82" t="str">
        <f ca="1">IF(Proc[[#This Row],[DaysAgeing]]&gt;5,"yep","on track")</f>
        <v>yep</v>
      </c>
      <c r="Q1438" s="3">
        <f ca="1">IF(Proc[[#This Row],[DateClosed]]="",ABS(NETWORKDAYS(Proc[[#This Row],[DateOpened]],TODAY()))-1,ABS(NETWORKDAYS(Proc[[#This Row],[DateOpened]],Proc[[#This Row],[DateClosed]]))-1)</f>
        <v>35</v>
      </c>
      <c r="R1438" s="82" t="s">
        <v>489</v>
      </c>
      <c r="S1438" s="71"/>
    </row>
    <row r="1439" spans="1:19" hidden="1">
      <c r="A1439" s="74" t="s">
        <v>3192</v>
      </c>
      <c r="B1439" s="71" t="str">
        <f>IFERROR(VLOOKUP(Proc[[#This Row],[App]],Table2[],3,0),"open")</f>
        <v>ok</v>
      </c>
      <c r="C1439" s="86" t="s">
        <v>369</v>
      </c>
      <c r="D1439" t="s">
        <v>2452</v>
      </c>
      <c r="E1439" s="86" t="s">
        <v>2458</v>
      </c>
      <c r="F1439" s="105" t="s">
        <v>2458</v>
      </c>
      <c r="G1439" s="86" t="s">
        <v>406</v>
      </c>
      <c r="H1439" s="71" t="str">
        <f>IF(Proc[[#This Row],[type]]="LFF (MDG-F)",MID(Proc[[#This Row],[Obj]],13,10),"")</f>
        <v>2148TBSZ20</v>
      </c>
      <c r="J1439" s="71" t="b">
        <f>Proc[[#This Row],[Requested]]=Proc[[#This Row],[CurrentParent]]</f>
        <v>1</v>
      </c>
      <c r="K1439" s="71" t="str">
        <f>IF(Proc[[#This Row],[Author]]="Marcela Urrego",VLOOKUP(LEFT(Proc[[#This Row],[Requested]],1),Table3[#All],2,0),VLOOKUP(Proc[[#This Row],[Author]],Table4[],2,0))</f>
        <v>LS</v>
      </c>
      <c r="L1439" s="87" t="s">
        <v>2563</v>
      </c>
      <c r="M1439" s="82">
        <v>45790.424861111111</v>
      </c>
      <c r="N1439" s="85"/>
      <c r="O1439" s="85"/>
      <c r="P1439" s="82" t="str">
        <f ca="1">IF(Proc[[#This Row],[DaysAgeing]]&gt;5,"yep","on track")</f>
        <v>yep</v>
      </c>
      <c r="Q1439" s="3">
        <f ca="1">IF(Proc[[#This Row],[DateClosed]]="",ABS(NETWORKDAYS(Proc[[#This Row],[DateOpened]],TODAY()))-1,ABS(NETWORKDAYS(Proc[[#This Row],[DateOpened]],Proc[[#This Row],[DateClosed]]))-1)</f>
        <v>35</v>
      </c>
      <c r="R1439" s="82" t="s">
        <v>489</v>
      </c>
      <c r="S1439" s="71"/>
    </row>
    <row r="1440" spans="1:19" hidden="1">
      <c r="A1440" s="74" t="s">
        <v>3192</v>
      </c>
      <c r="B1440" s="71" t="str">
        <f>IFERROR(VLOOKUP(Proc[[#This Row],[App]],Table2[],3,0),"open")</f>
        <v>ok</v>
      </c>
      <c r="C1440" s="86" t="s">
        <v>369</v>
      </c>
      <c r="D1440" t="s">
        <v>2453</v>
      </c>
      <c r="E1440" s="86" t="s">
        <v>2458</v>
      </c>
      <c r="F1440" s="105" t="s">
        <v>2458</v>
      </c>
      <c r="G1440" s="86" t="s">
        <v>406</v>
      </c>
      <c r="H1440" s="71" t="str">
        <f>IF(Proc[[#This Row],[type]]="LFF (MDG-F)",MID(Proc[[#This Row],[Obj]],13,10),"")</f>
        <v>2148TBSZ21</v>
      </c>
      <c r="J1440" s="71" t="b">
        <f>Proc[[#This Row],[Requested]]=Proc[[#This Row],[CurrentParent]]</f>
        <v>1</v>
      </c>
      <c r="K1440" s="71" t="str">
        <f>IF(Proc[[#This Row],[Author]]="Marcela Urrego",VLOOKUP(LEFT(Proc[[#This Row],[Requested]],1),Table3[#All],2,0),VLOOKUP(Proc[[#This Row],[Author]],Table4[],2,0))</f>
        <v>LS</v>
      </c>
      <c r="L1440" s="87" t="s">
        <v>2563</v>
      </c>
      <c r="M1440" s="82">
        <v>45790.424861111111</v>
      </c>
      <c r="N1440" s="85"/>
      <c r="O1440" s="85"/>
      <c r="P1440" s="82" t="str">
        <f ca="1">IF(Proc[[#This Row],[DaysAgeing]]&gt;5,"yep","on track")</f>
        <v>yep</v>
      </c>
      <c r="Q1440" s="3">
        <f ca="1">IF(Proc[[#This Row],[DateClosed]]="",ABS(NETWORKDAYS(Proc[[#This Row],[DateOpened]],TODAY()))-1,ABS(NETWORKDAYS(Proc[[#This Row],[DateOpened]],Proc[[#This Row],[DateClosed]]))-1)</f>
        <v>35</v>
      </c>
      <c r="R1440" s="82" t="s">
        <v>489</v>
      </c>
      <c r="S1440" s="71"/>
    </row>
    <row r="1441" spans="1:19" hidden="1">
      <c r="A1441" s="74" t="s">
        <v>3192</v>
      </c>
      <c r="B1441" s="71" t="str">
        <f>IFERROR(VLOOKUP(Proc[[#This Row],[App]],Table2[],3,0),"open")</f>
        <v>ok</v>
      </c>
      <c r="C1441" s="86" t="s">
        <v>369</v>
      </c>
      <c r="D1441" t="s">
        <v>2454</v>
      </c>
      <c r="E1441" s="86" t="s">
        <v>2458</v>
      </c>
      <c r="F1441" s="105" t="s">
        <v>2458</v>
      </c>
      <c r="G1441" s="86" t="s">
        <v>406</v>
      </c>
      <c r="H1441" s="71" t="str">
        <f>IF(Proc[[#This Row],[type]]="LFF (MDG-F)",MID(Proc[[#This Row],[Obj]],13,10),"")</f>
        <v>2148TFSZ64</v>
      </c>
      <c r="J1441" s="71" t="b">
        <f>Proc[[#This Row],[Requested]]=Proc[[#This Row],[CurrentParent]]</f>
        <v>1</v>
      </c>
      <c r="K1441" s="71" t="str">
        <f>IF(Proc[[#This Row],[Author]]="Marcela Urrego",VLOOKUP(LEFT(Proc[[#This Row],[Requested]],1),Table3[#All],2,0),VLOOKUP(Proc[[#This Row],[Author]],Table4[],2,0))</f>
        <v>LS</v>
      </c>
      <c r="L1441" s="87" t="s">
        <v>2563</v>
      </c>
      <c r="M1441" s="82">
        <v>45790.424861111111</v>
      </c>
      <c r="N1441" s="85"/>
      <c r="O1441" s="85"/>
      <c r="P1441" s="82" t="str">
        <f ca="1">IF(Proc[[#This Row],[DaysAgeing]]&gt;5,"yep","on track")</f>
        <v>yep</v>
      </c>
      <c r="Q1441" s="3">
        <f ca="1">IF(Proc[[#This Row],[DateClosed]]="",ABS(NETWORKDAYS(Proc[[#This Row],[DateOpened]],TODAY()))-1,ABS(NETWORKDAYS(Proc[[#This Row],[DateOpened]],Proc[[#This Row],[DateClosed]]))-1)</f>
        <v>35</v>
      </c>
      <c r="R1441" s="82" t="s">
        <v>489</v>
      </c>
      <c r="S1441" s="71"/>
    </row>
    <row r="1442" spans="1:19" hidden="1">
      <c r="A1442" s="74" t="s">
        <v>3192</v>
      </c>
      <c r="B1442" s="71" t="str">
        <f>IFERROR(VLOOKUP(Proc[[#This Row],[App]],Table2[],3,0),"open")</f>
        <v>ok</v>
      </c>
      <c r="C1442" s="86" t="s">
        <v>369</v>
      </c>
      <c r="D1442" t="s">
        <v>2455</v>
      </c>
      <c r="E1442" s="86" t="s">
        <v>2458</v>
      </c>
      <c r="F1442" s="105" t="s">
        <v>2458</v>
      </c>
      <c r="G1442" s="86" t="s">
        <v>406</v>
      </c>
      <c r="H1442" s="71" t="str">
        <f>IF(Proc[[#This Row],[type]]="LFF (MDG-F)",MID(Proc[[#This Row],[Obj]],13,10),"")</f>
        <v>2148TKSZ70</v>
      </c>
      <c r="J1442" s="71" t="b">
        <f>Proc[[#This Row],[Requested]]=Proc[[#This Row],[CurrentParent]]</f>
        <v>1</v>
      </c>
      <c r="K1442" s="71" t="str">
        <f>IF(Proc[[#This Row],[Author]]="Marcela Urrego",VLOOKUP(LEFT(Proc[[#This Row],[Requested]],1),Table3[#All],2,0),VLOOKUP(Proc[[#This Row],[Author]],Table4[],2,0))</f>
        <v>LS</v>
      </c>
      <c r="L1442" s="87" t="s">
        <v>2563</v>
      </c>
      <c r="M1442" s="82">
        <v>45790.424861111111</v>
      </c>
      <c r="N1442" s="85"/>
      <c r="O1442" s="85"/>
      <c r="P1442" s="82" t="str">
        <f ca="1">IF(Proc[[#This Row],[DaysAgeing]]&gt;5,"yep","on track")</f>
        <v>yep</v>
      </c>
      <c r="Q1442" s="3">
        <f ca="1">IF(Proc[[#This Row],[DateClosed]]="",ABS(NETWORKDAYS(Proc[[#This Row],[DateOpened]],TODAY()))-1,ABS(NETWORKDAYS(Proc[[#This Row],[DateOpened]],Proc[[#This Row],[DateClosed]]))-1)</f>
        <v>35</v>
      </c>
      <c r="R1442" s="82" t="s">
        <v>489</v>
      </c>
      <c r="S1442" s="71"/>
    </row>
    <row r="1443" spans="1:19" hidden="1">
      <c r="A1443" s="74" t="s">
        <v>3192</v>
      </c>
      <c r="B1443" s="71" t="str">
        <f>IFERROR(VLOOKUP(Proc[[#This Row],[App]],Table2[],3,0),"open")</f>
        <v>ok</v>
      </c>
      <c r="C1443" s="86" t="s">
        <v>369</v>
      </c>
      <c r="D1443" t="s">
        <v>2456</v>
      </c>
      <c r="E1443" s="86" t="s">
        <v>2458</v>
      </c>
      <c r="F1443" s="105" t="s">
        <v>2458</v>
      </c>
      <c r="G1443" s="86" t="s">
        <v>406</v>
      </c>
      <c r="H1443" s="71" t="str">
        <f>IF(Proc[[#This Row],[type]]="LFF (MDG-F)",MID(Proc[[#This Row],[Obj]],13,10),"")</f>
        <v>2148TQSZ91</v>
      </c>
      <c r="J1443" s="71" t="b">
        <f>Proc[[#This Row],[Requested]]=Proc[[#This Row],[CurrentParent]]</f>
        <v>1</v>
      </c>
      <c r="K1443" s="71" t="str">
        <f>IF(Proc[[#This Row],[Author]]="Marcela Urrego",VLOOKUP(LEFT(Proc[[#This Row],[Requested]],1),Table3[#All],2,0),VLOOKUP(Proc[[#This Row],[Author]],Table4[],2,0))</f>
        <v>LS</v>
      </c>
      <c r="L1443" s="87" t="s">
        <v>2563</v>
      </c>
      <c r="M1443" s="82">
        <v>45790.424861111111</v>
      </c>
      <c r="N1443" s="85"/>
      <c r="O1443" s="85"/>
      <c r="P1443" s="82" t="str">
        <f ca="1">IF(Proc[[#This Row],[DaysAgeing]]&gt;5,"yep","on track")</f>
        <v>yep</v>
      </c>
      <c r="Q1443" s="3">
        <f ca="1">IF(Proc[[#This Row],[DateClosed]]="",ABS(NETWORKDAYS(Proc[[#This Row],[DateOpened]],TODAY()))-1,ABS(NETWORKDAYS(Proc[[#This Row],[DateOpened]],Proc[[#This Row],[DateClosed]]))-1)</f>
        <v>35</v>
      </c>
      <c r="R1443" s="82" t="s">
        <v>489</v>
      </c>
      <c r="S1443" s="71"/>
    </row>
    <row r="1444" spans="1:19" hidden="1">
      <c r="A1444" s="74" t="s">
        <v>3192</v>
      </c>
      <c r="B1444" s="71" t="str">
        <f>IFERROR(VLOOKUP(Proc[[#This Row],[App]],Table2[],3,0),"open")</f>
        <v>ok</v>
      </c>
      <c r="C1444" s="86" t="s">
        <v>369</v>
      </c>
      <c r="D1444" t="s">
        <v>2457</v>
      </c>
      <c r="E1444" s="86" t="s">
        <v>2458</v>
      </c>
      <c r="F1444" s="105" t="s">
        <v>2458</v>
      </c>
      <c r="G1444" s="86" t="s">
        <v>406</v>
      </c>
      <c r="H1444" s="71" t="str">
        <f>IF(Proc[[#This Row],[type]]="LFF (MDG-F)",MID(Proc[[#This Row],[Obj]],13,10),"")</f>
        <v>2148TQSZ92</v>
      </c>
      <c r="J1444" s="71" t="b">
        <f>Proc[[#This Row],[Requested]]=Proc[[#This Row],[CurrentParent]]</f>
        <v>1</v>
      </c>
      <c r="K1444" s="71" t="str">
        <f>IF(Proc[[#This Row],[Author]]="Marcela Urrego",VLOOKUP(LEFT(Proc[[#This Row],[Requested]],1),Table3[#All],2,0),VLOOKUP(Proc[[#This Row],[Author]],Table4[],2,0))</f>
        <v>LS</v>
      </c>
      <c r="L1444" s="87" t="s">
        <v>2563</v>
      </c>
      <c r="M1444" s="82">
        <v>45790.424861111111</v>
      </c>
      <c r="N1444" s="85"/>
      <c r="O1444" s="85"/>
      <c r="P1444" s="82" t="str">
        <f ca="1">IF(Proc[[#This Row],[DaysAgeing]]&gt;5,"yep","on track")</f>
        <v>yep</v>
      </c>
      <c r="Q1444" s="3">
        <f ca="1">IF(Proc[[#This Row],[DateClosed]]="",ABS(NETWORKDAYS(Proc[[#This Row],[DateOpened]],TODAY()))-1,ABS(NETWORKDAYS(Proc[[#This Row],[DateOpened]],Proc[[#This Row],[DateClosed]]))-1)</f>
        <v>35</v>
      </c>
      <c r="R1444" s="82" t="s">
        <v>489</v>
      </c>
      <c r="S1444" s="71"/>
    </row>
    <row r="1445" spans="1:19" hidden="1">
      <c r="A1445" s="74" t="s">
        <v>3192</v>
      </c>
      <c r="B1445" s="71" t="str">
        <f>IFERROR(VLOOKUP(Proc[[#This Row],[App]],Table2[],3,0),"open")</f>
        <v>ok</v>
      </c>
      <c r="C1445" s="86" t="s">
        <v>369</v>
      </c>
      <c r="D1445" t="s">
        <v>3193</v>
      </c>
      <c r="E1445" s="86" t="s">
        <v>2458</v>
      </c>
      <c r="F1445" s="105" t="s">
        <v>2458</v>
      </c>
      <c r="G1445" s="86" t="s">
        <v>406</v>
      </c>
      <c r="H1445" s="71" t="str">
        <f>IF(Proc[[#This Row],[type]]="LFF (MDG-F)",MID(Proc[[#This Row],[Obj]],13,10),"")</f>
        <v>2148TCSZ30</v>
      </c>
      <c r="J1445" s="71" t="b">
        <f>Proc[[#This Row],[Requested]]=Proc[[#This Row],[CurrentParent]]</f>
        <v>1</v>
      </c>
      <c r="K1445" s="71" t="str">
        <f>IF(Proc[[#This Row],[Author]]="Marcela Urrego",VLOOKUP(LEFT(Proc[[#This Row],[Requested]],1),Table3[#All],2,0),VLOOKUP(Proc[[#This Row],[Author]],Table4[],2,0))</f>
        <v>LS</v>
      </c>
      <c r="L1445" s="87" t="s">
        <v>2563</v>
      </c>
      <c r="M1445" s="82">
        <v>45790.424861111111</v>
      </c>
      <c r="N1445" s="85"/>
      <c r="O1445" s="85"/>
      <c r="P1445" s="82" t="str">
        <f ca="1">IF(Proc[[#This Row],[DaysAgeing]]&gt;5,"yep","on track")</f>
        <v>yep</v>
      </c>
      <c r="Q1445" s="3">
        <f ca="1">IF(Proc[[#This Row],[DateClosed]]="",ABS(NETWORKDAYS(Proc[[#This Row],[DateOpened]],TODAY()))-1,ABS(NETWORKDAYS(Proc[[#This Row],[DateOpened]],Proc[[#This Row],[DateClosed]]))-1)</f>
        <v>35</v>
      </c>
      <c r="R1445" s="82" t="s">
        <v>489</v>
      </c>
      <c r="S1445" s="71"/>
    </row>
    <row r="1446" spans="1:19" hidden="1">
      <c r="A1446" s="74" t="s">
        <v>3192</v>
      </c>
      <c r="B1446" s="71" t="str">
        <f>IFERROR(VLOOKUP(Proc[[#This Row],[App]],Table2[],3,0),"open")</f>
        <v>ok</v>
      </c>
      <c r="C1446" s="86" t="s">
        <v>369</v>
      </c>
      <c r="D1446" t="s">
        <v>3194</v>
      </c>
      <c r="E1446" s="86" t="s">
        <v>2458</v>
      </c>
      <c r="F1446" s="105" t="s">
        <v>2458</v>
      </c>
      <c r="G1446" s="86" t="s">
        <v>406</v>
      </c>
      <c r="H1446" s="71" t="str">
        <f>IF(Proc[[#This Row],[type]]="LFF (MDG-F)",MID(Proc[[#This Row],[Obj]],13,10),"")</f>
        <v>2148TFSZ60</v>
      </c>
      <c r="J1446" s="71" t="b">
        <f>Proc[[#This Row],[Requested]]=Proc[[#This Row],[CurrentParent]]</f>
        <v>1</v>
      </c>
      <c r="K1446" s="71" t="str">
        <f>IF(Proc[[#This Row],[Author]]="Marcela Urrego",VLOOKUP(LEFT(Proc[[#This Row],[Requested]],1),Table3[#All],2,0),VLOOKUP(Proc[[#This Row],[Author]],Table4[],2,0))</f>
        <v>LS</v>
      </c>
      <c r="L1446" s="87" t="s">
        <v>2563</v>
      </c>
      <c r="M1446" s="82">
        <v>45790.424861111111</v>
      </c>
      <c r="N1446" s="85"/>
      <c r="O1446" s="85"/>
      <c r="P1446" s="82" t="str">
        <f ca="1">IF(Proc[[#This Row],[DaysAgeing]]&gt;5,"yep","on track")</f>
        <v>yep</v>
      </c>
      <c r="Q1446" s="3">
        <f ca="1">IF(Proc[[#This Row],[DateClosed]]="",ABS(NETWORKDAYS(Proc[[#This Row],[DateOpened]],TODAY()))-1,ABS(NETWORKDAYS(Proc[[#This Row],[DateOpened]],Proc[[#This Row],[DateClosed]]))-1)</f>
        <v>35</v>
      </c>
      <c r="R1446" s="82" t="s">
        <v>489</v>
      </c>
      <c r="S1446" s="71"/>
    </row>
    <row r="1447" spans="1:19" hidden="1">
      <c r="A1447" s="74" t="s">
        <v>3192</v>
      </c>
      <c r="B1447" s="71" t="str">
        <f>IFERROR(VLOOKUP(Proc[[#This Row],[App]],Table2[],3,0),"open")</f>
        <v>ok</v>
      </c>
      <c r="C1447" s="86" t="s">
        <v>369</v>
      </c>
      <c r="D1447" t="s">
        <v>3195</v>
      </c>
      <c r="E1447" s="86" t="s">
        <v>2458</v>
      </c>
      <c r="F1447" s="105" t="s">
        <v>2458</v>
      </c>
      <c r="G1447" s="86" t="s">
        <v>406</v>
      </c>
      <c r="H1447" s="71" t="str">
        <f>IF(Proc[[#This Row],[type]]="LFF (MDG-F)",MID(Proc[[#This Row],[Obj]],13,10),"")</f>
        <v>2148TFSZ61</v>
      </c>
      <c r="J1447" s="71" t="b">
        <f>Proc[[#This Row],[Requested]]=Proc[[#This Row],[CurrentParent]]</f>
        <v>1</v>
      </c>
      <c r="K1447" s="71" t="str">
        <f>IF(Proc[[#This Row],[Author]]="Marcela Urrego",VLOOKUP(LEFT(Proc[[#This Row],[Requested]],1),Table3[#All],2,0),VLOOKUP(Proc[[#This Row],[Author]],Table4[],2,0))</f>
        <v>LS</v>
      </c>
      <c r="L1447" s="87" t="s">
        <v>2563</v>
      </c>
      <c r="M1447" s="82">
        <v>45790.424861111111</v>
      </c>
      <c r="N1447" s="85"/>
      <c r="O1447" s="85"/>
      <c r="P1447" s="82" t="str">
        <f ca="1">IF(Proc[[#This Row],[DaysAgeing]]&gt;5,"yep","on track")</f>
        <v>yep</v>
      </c>
      <c r="Q1447" s="3">
        <f ca="1">IF(Proc[[#This Row],[DateClosed]]="",ABS(NETWORKDAYS(Proc[[#This Row],[DateOpened]],TODAY()))-1,ABS(NETWORKDAYS(Proc[[#This Row],[DateOpened]],Proc[[#This Row],[DateClosed]]))-1)</f>
        <v>35</v>
      </c>
      <c r="R1447" s="82" t="s">
        <v>489</v>
      </c>
      <c r="S1447" s="71"/>
    </row>
    <row r="1448" spans="1:19" hidden="1">
      <c r="A1448" s="74" t="s">
        <v>3192</v>
      </c>
      <c r="B1448" s="71" t="str">
        <f>IFERROR(VLOOKUP(Proc[[#This Row],[App]],Table2[],3,0),"open")</f>
        <v>ok</v>
      </c>
      <c r="C1448" s="86" t="s">
        <v>369</v>
      </c>
      <c r="D1448" t="s">
        <v>3196</v>
      </c>
      <c r="E1448" s="86" t="s">
        <v>2458</v>
      </c>
      <c r="F1448" s="105" t="s">
        <v>2458</v>
      </c>
      <c r="G1448" s="86" t="s">
        <v>406</v>
      </c>
      <c r="H1448" s="71" t="str">
        <f>IF(Proc[[#This Row],[type]]="LFF (MDG-F)",MID(Proc[[#This Row],[Obj]],13,10),"")</f>
        <v>2148TFSZ62</v>
      </c>
      <c r="J1448" s="71" t="b">
        <f>Proc[[#This Row],[Requested]]=Proc[[#This Row],[CurrentParent]]</f>
        <v>1</v>
      </c>
      <c r="K1448" s="71" t="str">
        <f>IF(Proc[[#This Row],[Author]]="Marcela Urrego",VLOOKUP(LEFT(Proc[[#This Row],[Requested]],1),Table3[#All],2,0),VLOOKUP(Proc[[#This Row],[Author]],Table4[],2,0))</f>
        <v>LS</v>
      </c>
      <c r="L1448" s="87" t="s">
        <v>2563</v>
      </c>
      <c r="M1448" s="82">
        <v>45790.424861111111</v>
      </c>
      <c r="N1448" s="85"/>
      <c r="O1448" s="85"/>
      <c r="P1448" s="82" t="str">
        <f ca="1">IF(Proc[[#This Row],[DaysAgeing]]&gt;5,"yep","on track")</f>
        <v>yep</v>
      </c>
      <c r="Q1448" s="3">
        <f ca="1">IF(Proc[[#This Row],[DateClosed]]="",ABS(NETWORKDAYS(Proc[[#This Row],[DateOpened]],TODAY()))-1,ABS(NETWORKDAYS(Proc[[#This Row],[DateOpened]],Proc[[#This Row],[DateClosed]]))-1)</f>
        <v>35</v>
      </c>
      <c r="R1448" s="82" t="s">
        <v>489</v>
      </c>
      <c r="S1448" s="71"/>
    </row>
    <row r="1449" spans="1:19" hidden="1">
      <c r="A1449" s="74" t="s">
        <v>3192</v>
      </c>
      <c r="B1449" s="71" t="str">
        <f>IFERROR(VLOOKUP(Proc[[#This Row],[App]],Table2[],3,0),"open")</f>
        <v>ok</v>
      </c>
      <c r="C1449" s="86" t="s">
        <v>369</v>
      </c>
      <c r="D1449" t="s">
        <v>3197</v>
      </c>
      <c r="E1449" s="86" t="s">
        <v>2458</v>
      </c>
      <c r="F1449" s="105" t="s">
        <v>2458</v>
      </c>
      <c r="G1449" s="86" t="s">
        <v>406</v>
      </c>
      <c r="H1449" s="71" t="str">
        <f>IF(Proc[[#This Row],[type]]="LFF (MDG-F)",MID(Proc[[#This Row],[Obj]],13,10),"")</f>
        <v>2148TFSZ63</v>
      </c>
      <c r="J1449" s="71" t="b">
        <f>Proc[[#This Row],[Requested]]=Proc[[#This Row],[CurrentParent]]</f>
        <v>1</v>
      </c>
      <c r="K1449" s="71" t="str">
        <f>IF(Proc[[#This Row],[Author]]="Marcela Urrego",VLOOKUP(LEFT(Proc[[#This Row],[Requested]],1),Table3[#All],2,0),VLOOKUP(Proc[[#This Row],[Author]],Table4[],2,0))</f>
        <v>LS</v>
      </c>
      <c r="L1449" s="87" t="s">
        <v>2563</v>
      </c>
      <c r="M1449" s="82">
        <v>45790.424861111111</v>
      </c>
      <c r="N1449" s="85"/>
      <c r="O1449" s="85"/>
      <c r="P1449" s="82" t="str">
        <f ca="1">IF(Proc[[#This Row],[DaysAgeing]]&gt;5,"yep","on track")</f>
        <v>yep</v>
      </c>
      <c r="Q1449" s="3">
        <f ca="1">IF(Proc[[#This Row],[DateClosed]]="",ABS(NETWORKDAYS(Proc[[#This Row],[DateOpened]],TODAY()))-1,ABS(NETWORKDAYS(Proc[[#This Row],[DateOpened]],Proc[[#This Row],[DateClosed]]))-1)</f>
        <v>35</v>
      </c>
      <c r="R1449" s="82" t="s">
        <v>489</v>
      </c>
      <c r="S1449" s="71"/>
    </row>
    <row r="1450" spans="1:19" hidden="1">
      <c r="A1450" s="74" t="s">
        <v>3192</v>
      </c>
      <c r="B1450" s="71" t="str">
        <f>IFERROR(VLOOKUP(Proc[[#This Row],[App]],Table2[],3,0),"open")</f>
        <v>ok</v>
      </c>
      <c r="C1450" s="86" t="s">
        <v>369</v>
      </c>
      <c r="D1450" t="s">
        <v>3201</v>
      </c>
      <c r="E1450" s="86" t="s">
        <v>2458</v>
      </c>
      <c r="F1450" s="105" t="s">
        <v>2458</v>
      </c>
      <c r="G1450" s="86" t="s">
        <v>406</v>
      </c>
      <c r="H1450" s="71" t="str">
        <f>IF(Proc[[#This Row],[type]]="LFF (MDG-F)",MID(Proc[[#This Row],[Obj]],13,10),"")</f>
        <v>2148TASA00</v>
      </c>
      <c r="J1450" s="71" t="b">
        <f>Proc[[#This Row],[Requested]]=Proc[[#This Row],[CurrentParent]]</f>
        <v>1</v>
      </c>
      <c r="K1450" s="71" t="str">
        <f>IF(Proc[[#This Row],[Author]]="Marcela Urrego",VLOOKUP(LEFT(Proc[[#This Row],[Requested]],1),Table3[#All],2,0),VLOOKUP(Proc[[#This Row],[Author]],Table4[],2,0))</f>
        <v>LS</v>
      </c>
      <c r="L1450" s="87" t="s">
        <v>2563</v>
      </c>
      <c r="M1450" s="82">
        <v>45790.424861111111</v>
      </c>
      <c r="N1450" s="85"/>
      <c r="O1450" s="85"/>
      <c r="P1450" s="82" t="str">
        <f ca="1">IF(Proc[[#This Row],[DaysAgeing]]&gt;5,"yep","on track")</f>
        <v>yep</v>
      </c>
      <c r="Q1450" s="3">
        <f ca="1">IF(Proc[[#This Row],[DateClosed]]="",ABS(NETWORKDAYS(Proc[[#This Row],[DateOpened]],TODAY()))-1,ABS(NETWORKDAYS(Proc[[#This Row],[DateOpened]],Proc[[#This Row],[DateClosed]]))-1)</f>
        <v>35</v>
      </c>
      <c r="R1450" s="82" t="s">
        <v>489</v>
      </c>
      <c r="S1450" s="71"/>
    </row>
    <row r="1451" spans="1:19" hidden="1">
      <c r="A1451" s="74" t="s">
        <v>3192</v>
      </c>
      <c r="B1451" s="71" t="str">
        <f>IFERROR(VLOOKUP(Proc[[#This Row],[App]],Table2[],3,0),"open")</f>
        <v>ok</v>
      </c>
      <c r="C1451" s="86" t="s">
        <v>369</v>
      </c>
      <c r="D1451" t="s">
        <v>3198</v>
      </c>
      <c r="E1451" s="86" t="s">
        <v>2458</v>
      </c>
      <c r="F1451" s="105" t="s">
        <v>2458</v>
      </c>
      <c r="G1451" s="86" t="s">
        <v>406</v>
      </c>
      <c r="H1451" s="71" t="str">
        <f>IF(Proc[[#This Row],[type]]="LFF (MDG-F)",MID(Proc[[#This Row],[Obj]],13,10),"")</f>
        <v>2148TASA00</v>
      </c>
      <c r="J1451" s="71" t="b">
        <f>Proc[[#This Row],[Requested]]=Proc[[#This Row],[CurrentParent]]</f>
        <v>1</v>
      </c>
      <c r="K1451" s="71" t="str">
        <f>IF(Proc[[#This Row],[Author]]="Marcela Urrego",VLOOKUP(LEFT(Proc[[#This Row],[Requested]],1),Table3[#All],2,0),VLOOKUP(Proc[[#This Row],[Author]],Table4[],2,0))</f>
        <v>LS</v>
      </c>
      <c r="L1451" s="87" t="s">
        <v>2563</v>
      </c>
      <c r="M1451" s="82">
        <v>45790.424861111111</v>
      </c>
      <c r="N1451" s="85"/>
      <c r="O1451" s="85"/>
      <c r="P1451" s="82" t="str">
        <f ca="1">IF(Proc[[#This Row],[DaysAgeing]]&gt;5,"yep","on track")</f>
        <v>yep</v>
      </c>
      <c r="Q1451" s="3">
        <f ca="1">IF(Proc[[#This Row],[DateClosed]]="",ABS(NETWORKDAYS(Proc[[#This Row],[DateOpened]],TODAY()))-1,ABS(NETWORKDAYS(Proc[[#This Row],[DateOpened]],Proc[[#This Row],[DateClosed]]))-1)</f>
        <v>35</v>
      </c>
      <c r="R1451" s="82" t="s">
        <v>489</v>
      </c>
      <c r="S1451" s="71"/>
    </row>
    <row r="1452" spans="1:19" hidden="1">
      <c r="A1452" s="74" t="s">
        <v>3192</v>
      </c>
      <c r="B1452" s="71" t="str">
        <f>IFERROR(VLOOKUP(Proc[[#This Row],[App]],Table2[],3,0),"open")</f>
        <v>ok</v>
      </c>
      <c r="C1452" s="86" t="s">
        <v>369</v>
      </c>
      <c r="D1452" t="s">
        <v>3199</v>
      </c>
      <c r="E1452" s="86" t="s">
        <v>2458</v>
      </c>
      <c r="F1452" s="105" t="s">
        <v>2458</v>
      </c>
      <c r="G1452" s="86" t="s">
        <v>406</v>
      </c>
      <c r="H1452" s="71" t="str">
        <f>IF(Proc[[#This Row],[type]]="LFF (MDG-F)",MID(Proc[[#This Row],[Obj]],13,10),"")</f>
        <v>2148TASA00</v>
      </c>
      <c r="J1452" s="71" t="b">
        <f>Proc[[#This Row],[Requested]]=Proc[[#This Row],[CurrentParent]]</f>
        <v>1</v>
      </c>
      <c r="K1452" s="71" t="str">
        <f>IF(Proc[[#This Row],[Author]]="Marcela Urrego",VLOOKUP(LEFT(Proc[[#This Row],[Requested]],1),Table3[#All],2,0),VLOOKUP(Proc[[#This Row],[Author]],Table4[],2,0))</f>
        <v>LS</v>
      </c>
      <c r="L1452" s="87" t="s">
        <v>2563</v>
      </c>
      <c r="M1452" s="82">
        <v>45790.424861111111</v>
      </c>
      <c r="N1452" s="85"/>
      <c r="O1452" s="85"/>
      <c r="P1452" s="82" t="str">
        <f ca="1">IF(Proc[[#This Row],[DaysAgeing]]&gt;5,"yep","on track")</f>
        <v>yep</v>
      </c>
      <c r="Q1452" s="3">
        <f ca="1">IF(Proc[[#This Row],[DateClosed]]="",ABS(NETWORKDAYS(Proc[[#This Row],[DateOpened]],TODAY()))-1,ABS(NETWORKDAYS(Proc[[#This Row],[DateOpened]],Proc[[#This Row],[DateClosed]]))-1)</f>
        <v>35</v>
      </c>
      <c r="R1452" s="82" t="s">
        <v>489</v>
      </c>
      <c r="S1452" s="71"/>
    </row>
    <row r="1453" spans="1:19" hidden="1">
      <c r="A1453" s="74" t="s">
        <v>3192</v>
      </c>
      <c r="B1453" s="71" t="str">
        <f>IFERROR(VLOOKUP(Proc[[#This Row],[App]],Table2[],3,0),"open")</f>
        <v>ok</v>
      </c>
      <c r="C1453" s="86" t="s">
        <v>369</v>
      </c>
      <c r="D1453" t="s">
        <v>3200</v>
      </c>
      <c r="E1453" s="86" t="s">
        <v>2458</v>
      </c>
      <c r="F1453" s="105" t="s">
        <v>2458</v>
      </c>
      <c r="G1453" s="86" t="s">
        <v>406</v>
      </c>
      <c r="H1453" s="71" t="str">
        <f>IF(Proc[[#This Row],[type]]="LFF (MDG-F)",MID(Proc[[#This Row],[Obj]],13,10),"")</f>
        <v>2148TASA00</v>
      </c>
      <c r="J1453" s="71" t="b">
        <f>Proc[[#This Row],[Requested]]=Proc[[#This Row],[CurrentParent]]</f>
        <v>1</v>
      </c>
      <c r="K1453" s="71" t="str">
        <f>IF(Proc[[#This Row],[Author]]="Marcela Urrego",VLOOKUP(LEFT(Proc[[#This Row],[Requested]],1),Table3[#All],2,0),VLOOKUP(Proc[[#This Row],[Author]],Table4[],2,0))</f>
        <v>LS</v>
      </c>
      <c r="L1453" s="87" t="s">
        <v>2563</v>
      </c>
      <c r="M1453" s="82">
        <v>45790.424861111111</v>
      </c>
      <c r="N1453" s="85"/>
      <c r="O1453" s="85"/>
      <c r="P1453" s="82" t="str">
        <f ca="1">IF(Proc[[#This Row],[DaysAgeing]]&gt;5,"yep","on track")</f>
        <v>yep</v>
      </c>
      <c r="Q1453" s="3">
        <f ca="1">IF(Proc[[#This Row],[DateClosed]]="",ABS(NETWORKDAYS(Proc[[#This Row],[DateOpened]],TODAY()))-1,ABS(NETWORKDAYS(Proc[[#This Row],[DateOpened]],Proc[[#This Row],[DateClosed]]))-1)</f>
        <v>35</v>
      </c>
      <c r="R1453" s="82" t="s">
        <v>489</v>
      </c>
      <c r="S1453" s="71"/>
    </row>
    <row r="1454" spans="1:19" hidden="1">
      <c r="A1454" t="s">
        <v>3202</v>
      </c>
      <c r="B1454" s="87" t="str">
        <f>IFERROR(VLOOKUP(Proc[[#This Row],[App]],Table2[],3,0),"open")</f>
        <v>ok</v>
      </c>
      <c r="C1454" t="s">
        <v>369</v>
      </c>
      <c r="D1454" t="s">
        <v>3203</v>
      </c>
      <c r="E1454" s="86" t="s">
        <v>3228</v>
      </c>
      <c r="F1454" s="105" t="s">
        <v>3228</v>
      </c>
      <c r="G1454" s="86" t="s">
        <v>406</v>
      </c>
      <c r="H1454" s="87" t="str">
        <f>IF(Proc[[#This Row],[type]]="LFF (MDG-F)",MID(Proc[[#This Row],[Obj]],13,10),"")</f>
        <v>DE04G0IT99</v>
      </c>
      <c r="I1454" t="s">
        <v>3286</v>
      </c>
      <c r="J1454" s="87" t="b">
        <f>Proc[[#This Row],[Requested]]=Proc[[#This Row],[CurrentParent]]</f>
        <v>1</v>
      </c>
      <c r="K1454" s="87" t="str">
        <f>IF(Proc[[#This Row],[Author]]="Marcela Urrego",VLOOKUP(LEFT(Proc[[#This Row],[Requested]],1),Table3[#All],2,0),VLOOKUP(Proc[[#This Row],[Author]],Table4[],2,0))</f>
        <v>MGF</v>
      </c>
      <c r="L1454" s="87" t="s">
        <v>2563</v>
      </c>
      <c r="M1454" s="82">
        <v>45790.424861111111</v>
      </c>
      <c r="N1454" s="85">
        <v>45796</v>
      </c>
      <c r="O1454" s="85">
        <v>45796</v>
      </c>
      <c r="P1454" s="82" t="str">
        <f ca="1">IF(Proc[[#This Row],[DaysAgeing]]&gt;5,"yep","on track")</f>
        <v>on track</v>
      </c>
      <c r="Q1454" s="3">
        <f ca="1">IF(Proc[[#This Row],[DateClosed]]="",ABS(NETWORKDAYS(Proc[[#This Row],[DateOpened]],TODAY()))-1,ABS(NETWORKDAYS(Proc[[#This Row],[DateOpened]],Proc[[#This Row],[DateClosed]]))-1)</f>
        <v>4</v>
      </c>
      <c r="R1454" s="82" t="s">
        <v>1076</v>
      </c>
      <c r="S1454" s="87"/>
    </row>
    <row r="1455" spans="1:19" hidden="1">
      <c r="A1455" s="86" t="s">
        <v>3202</v>
      </c>
      <c r="B1455" s="87" t="str">
        <f>IFERROR(VLOOKUP(Proc[[#This Row],[App]],Table2[],3,0),"open")</f>
        <v>ok</v>
      </c>
      <c r="C1455" s="86" t="s">
        <v>369</v>
      </c>
      <c r="D1455" t="s">
        <v>3204</v>
      </c>
      <c r="E1455" s="86" t="s">
        <v>3228</v>
      </c>
      <c r="F1455" s="105" t="s">
        <v>3228</v>
      </c>
      <c r="G1455" s="86" t="s">
        <v>406</v>
      </c>
      <c r="H1455" s="87" t="str">
        <f>IF(Proc[[#This Row],[type]]="LFF (MDG-F)",MID(Proc[[#This Row],[Obj]],13,10),"")</f>
        <v>DE04O01001</v>
      </c>
      <c r="I1455" s="86" t="s">
        <v>3286</v>
      </c>
      <c r="J1455" s="87" t="b">
        <f>Proc[[#This Row],[Requested]]=Proc[[#This Row],[CurrentParent]]</f>
        <v>1</v>
      </c>
      <c r="K1455" s="87" t="str">
        <f>IF(Proc[[#This Row],[Author]]="Marcela Urrego",VLOOKUP(LEFT(Proc[[#This Row],[Requested]],1),Table3[#All],2,0),VLOOKUP(Proc[[#This Row],[Author]],Table4[],2,0))</f>
        <v>MGF</v>
      </c>
      <c r="L1455" s="87" t="s">
        <v>2563</v>
      </c>
      <c r="M1455" s="82">
        <v>45790.424861111111</v>
      </c>
      <c r="N1455" s="85">
        <v>45796</v>
      </c>
      <c r="O1455" s="85">
        <v>45796</v>
      </c>
      <c r="P1455" s="82" t="str">
        <f ca="1">IF(Proc[[#This Row],[DaysAgeing]]&gt;5,"yep","on track")</f>
        <v>on track</v>
      </c>
      <c r="Q1455" s="3">
        <f ca="1">IF(Proc[[#This Row],[DateClosed]]="",ABS(NETWORKDAYS(Proc[[#This Row],[DateOpened]],TODAY()))-1,ABS(NETWORKDAYS(Proc[[#This Row],[DateOpened]],Proc[[#This Row],[DateClosed]]))-1)</f>
        <v>4</v>
      </c>
      <c r="R1455" s="82" t="s">
        <v>1076</v>
      </c>
      <c r="S1455" s="87"/>
    </row>
    <row r="1456" spans="1:19" hidden="1">
      <c r="A1456" s="86" t="s">
        <v>3202</v>
      </c>
      <c r="B1456" s="87" t="str">
        <f>IFERROR(VLOOKUP(Proc[[#This Row],[App]],Table2[],3,0),"open")</f>
        <v>ok</v>
      </c>
      <c r="C1456" s="86" t="s">
        <v>369</v>
      </c>
      <c r="D1456" t="s">
        <v>3205</v>
      </c>
      <c r="E1456" t="s">
        <v>3228</v>
      </c>
      <c r="F1456" s="105" t="s">
        <v>3228</v>
      </c>
      <c r="G1456" s="86" t="s">
        <v>406</v>
      </c>
      <c r="H1456" s="87" t="str">
        <f>IF(Proc[[#This Row],[type]]="LFF (MDG-F)",MID(Proc[[#This Row],[Obj]],13,10),"")</f>
        <v>DE04O01002</v>
      </c>
      <c r="I1456" s="86" t="s">
        <v>3286</v>
      </c>
      <c r="J1456" s="87" t="b">
        <f>Proc[[#This Row],[Requested]]=Proc[[#This Row],[CurrentParent]]</f>
        <v>1</v>
      </c>
      <c r="K1456" s="87" t="str">
        <f>IF(Proc[[#This Row],[Author]]="Marcela Urrego",VLOOKUP(LEFT(Proc[[#This Row],[Requested]],1),Table3[#All],2,0),VLOOKUP(Proc[[#This Row],[Author]],Table4[],2,0))</f>
        <v>MGF</v>
      </c>
      <c r="L1456" s="87" t="s">
        <v>2563</v>
      </c>
      <c r="M1456" s="82">
        <v>45790.424861111111</v>
      </c>
      <c r="N1456" s="85">
        <v>45796</v>
      </c>
      <c r="O1456" s="85">
        <v>45796</v>
      </c>
      <c r="P1456" s="82" t="str">
        <f ca="1">IF(Proc[[#This Row],[DaysAgeing]]&gt;5,"yep","on track")</f>
        <v>on track</v>
      </c>
      <c r="Q1456" s="3">
        <f ca="1">IF(Proc[[#This Row],[DateClosed]]="",ABS(NETWORKDAYS(Proc[[#This Row],[DateOpened]],TODAY()))-1,ABS(NETWORKDAYS(Proc[[#This Row],[DateOpened]],Proc[[#This Row],[DateClosed]]))-1)</f>
        <v>4</v>
      </c>
      <c r="R1456" s="82" t="s">
        <v>1076</v>
      </c>
      <c r="S1456" s="87"/>
    </row>
    <row r="1457" spans="1:19" hidden="1">
      <c r="A1457" s="86" t="s">
        <v>3202</v>
      </c>
      <c r="B1457" s="87" t="str">
        <f>IFERROR(VLOOKUP(Proc[[#This Row],[App]],Table2[],3,0),"open")</f>
        <v>ok</v>
      </c>
      <c r="C1457" s="86" t="s">
        <v>369</v>
      </c>
      <c r="D1457" t="s">
        <v>3206</v>
      </c>
      <c r="E1457" t="s">
        <v>3227</v>
      </c>
      <c r="F1457" s="105" t="s">
        <v>3227</v>
      </c>
      <c r="G1457" s="86" t="s">
        <v>406</v>
      </c>
      <c r="H1457" s="87" t="str">
        <f>IF(Proc[[#This Row],[type]]="LFF (MDG-F)",MID(Proc[[#This Row],[Obj]],13,10),"")</f>
        <v>DE04Z03110</v>
      </c>
      <c r="I1457" s="86" t="s">
        <v>3286</v>
      </c>
      <c r="J1457" s="87" t="b">
        <f>Proc[[#This Row],[Requested]]=Proc[[#This Row],[CurrentParent]]</f>
        <v>1</v>
      </c>
      <c r="K1457" s="87" t="str">
        <f>IF(Proc[[#This Row],[Author]]="Marcela Urrego",VLOOKUP(LEFT(Proc[[#This Row],[Requested]],1),Table3[#All],2,0),VLOOKUP(Proc[[#This Row],[Author]],Table4[],2,0))</f>
        <v>MGF</v>
      </c>
      <c r="L1457" s="87" t="s">
        <v>2563</v>
      </c>
      <c r="M1457" s="82">
        <v>45790.424861111111</v>
      </c>
      <c r="N1457" s="85">
        <v>45796</v>
      </c>
      <c r="O1457" s="85">
        <v>45796</v>
      </c>
      <c r="P1457" s="82" t="str">
        <f ca="1">IF(Proc[[#This Row],[DaysAgeing]]&gt;5,"yep","on track")</f>
        <v>on track</v>
      </c>
      <c r="Q1457" s="3">
        <f ca="1">IF(Proc[[#This Row],[DateClosed]]="",ABS(NETWORKDAYS(Proc[[#This Row],[DateOpened]],TODAY()))-1,ABS(NETWORKDAYS(Proc[[#This Row],[DateOpened]],Proc[[#This Row],[DateClosed]]))-1)</f>
        <v>4</v>
      </c>
      <c r="R1457" s="82" t="s">
        <v>1076</v>
      </c>
      <c r="S1457" s="87"/>
    </row>
    <row r="1458" spans="1:19" hidden="1">
      <c r="A1458" s="86" t="s">
        <v>3202</v>
      </c>
      <c r="B1458" s="87" t="str">
        <f>IFERROR(VLOOKUP(Proc[[#This Row],[App]],Table2[],3,0),"open")</f>
        <v>ok</v>
      </c>
      <c r="C1458" s="86" t="s">
        <v>369</v>
      </c>
      <c r="D1458" t="s">
        <v>3207</v>
      </c>
      <c r="E1458" t="s">
        <v>3226</v>
      </c>
      <c r="F1458" s="105" t="s">
        <v>3226</v>
      </c>
      <c r="G1458" t="s">
        <v>400</v>
      </c>
      <c r="H1458" s="87" t="str">
        <f>IF(Proc[[#This Row],[type]]="LFF (MDG-F)",MID(Proc[[#This Row],[Obj]],13,10),"")</f>
        <v/>
      </c>
      <c r="J1458" s="87" t="b">
        <f>Proc[[#This Row],[Requested]]=Proc[[#This Row],[CurrentParent]]</f>
        <v>1</v>
      </c>
      <c r="K1458" s="87" t="str">
        <f>IF(Proc[[#This Row],[Author]]="Marcela Urrego",VLOOKUP(LEFT(Proc[[#This Row],[Requested]],1),Table3[#All],2,0),VLOOKUP(Proc[[#This Row],[Author]],Table4[],2,0))</f>
        <v>MGF</v>
      </c>
      <c r="L1458" s="87" t="s">
        <v>2563</v>
      </c>
      <c r="M1458" s="82">
        <v>45790.424861111111</v>
      </c>
      <c r="N1458" s="85">
        <v>45796</v>
      </c>
      <c r="O1458" s="85">
        <v>45796</v>
      </c>
      <c r="P1458" s="82" t="str">
        <f ca="1">IF(Proc[[#This Row],[DaysAgeing]]&gt;5,"yep","on track")</f>
        <v>on track</v>
      </c>
      <c r="Q1458" s="3">
        <f ca="1">IF(Proc[[#This Row],[DateClosed]]="",ABS(NETWORKDAYS(Proc[[#This Row],[DateOpened]],TODAY()))-1,ABS(NETWORKDAYS(Proc[[#This Row],[DateOpened]],Proc[[#This Row],[DateClosed]]))-1)</f>
        <v>4</v>
      </c>
      <c r="R1458" s="82" t="s">
        <v>1076</v>
      </c>
      <c r="S1458" s="87"/>
    </row>
    <row r="1459" spans="1:19" hidden="1">
      <c r="A1459" s="86" t="s">
        <v>3202</v>
      </c>
      <c r="B1459" s="87" t="str">
        <f>IFERROR(VLOOKUP(Proc[[#This Row],[App]],Table2[],3,0),"open")</f>
        <v>ok</v>
      </c>
      <c r="C1459" s="86" t="s">
        <v>369</v>
      </c>
      <c r="D1459" t="s">
        <v>3208</v>
      </c>
      <c r="E1459" s="86" t="s">
        <v>3226</v>
      </c>
      <c r="F1459" s="105" t="s">
        <v>3226</v>
      </c>
      <c r="G1459" s="86" t="s">
        <v>400</v>
      </c>
      <c r="H1459" s="87" t="str">
        <f>IF(Proc[[#This Row],[type]]="LFF (MDG-F)",MID(Proc[[#This Row],[Obj]],13,10),"")</f>
        <v/>
      </c>
      <c r="J1459" s="87" t="b">
        <f>Proc[[#This Row],[Requested]]=Proc[[#This Row],[CurrentParent]]</f>
        <v>1</v>
      </c>
      <c r="K1459" s="87" t="str">
        <f>IF(Proc[[#This Row],[Author]]="Marcela Urrego",VLOOKUP(LEFT(Proc[[#This Row],[Requested]],1),Table3[#All],2,0),VLOOKUP(Proc[[#This Row],[Author]],Table4[],2,0))</f>
        <v>MGF</v>
      </c>
      <c r="L1459" s="87" t="s">
        <v>2563</v>
      </c>
      <c r="M1459" s="82">
        <v>45790.424861111111</v>
      </c>
      <c r="N1459" s="85">
        <v>45796</v>
      </c>
      <c r="O1459" s="85">
        <v>45796</v>
      </c>
      <c r="P1459" s="82" t="str">
        <f ca="1">IF(Proc[[#This Row],[DaysAgeing]]&gt;5,"yep","on track")</f>
        <v>on track</v>
      </c>
      <c r="Q1459" s="3">
        <f ca="1">IF(Proc[[#This Row],[DateClosed]]="",ABS(NETWORKDAYS(Proc[[#This Row],[DateOpened]],TODAY()))-1,ABS(NETWORKDAYS(Proc[[#This Row],[DateOpened]],Proc[[#This Row],[DateClosed]]))-1)</f>
        <v>4</v>
      </c>
      <c r="R1459" s="82" t="s">
        <v>1076</v>
      </c>
      <c r="S1459" s="87"/>
    </row>
    <row r="1460" spans="1:19" hidden="1">
      <c r="A1460" s="86" t="s">
        <v>3202</v>
      </c>
      <c r="B1460" s="87" t="str">
        <f>IFERROR(VLOOKUP(Proc[[#This Row],[App]],Table2[],3,0),"open")</f>
        <v>ok</v>
      </c>
      <c r="C1460" s="86" t="s">
        <v>369</v>
      </c>
      <c r="D1460" t="s">
        <v>3209</v>
      </c>
      <c r="E1460" s="86" t="s">
        <v>3226</v>
      </c>
      <c r="F1460" s="105" t="s">
        <v>3226</v>
      </c>
      <c r="G1460" t="s">
        <v>406</v>
      </c>
      <c r="H1460" s="87" t="str">
        <f>IF(Proc[[#This Row],[type]]="LFF (MDG-F)",MID(Proc[[#This Row],[Obj]],13,10),"")</f>
        <v>CN01Z03105</v>
      </c>
      <c r="I1460" s="86" t="s">
        <v>3286</v>
      </c>
      <c r="J1460" s="87" t="b">
        <f>Proc[[#This Row],[Requested]]=Proc[[#This Row],[CurrentParent]]</f>
        <v>1</v>
      </c>
      <c r="K1460" s="87" t="str">
        <f>IF(Proc[[#This Row],[Author]]="Marcela Urrego",VLOOKUP(LEFT(Proc[[#This Row],[Requested]],1),Table3[#All],2,0),VLOOKUP(Proc[[#This Row],[Author]],Table4[],2,0))</f>
        <v>MGF</v>
      </c>
      <c r="L1460" s="87" t="s">
        <v>2563</v>
      </c>
      <c r="M1460" s="82">
        <v>45790.424861111111</v>
      </c>
      <c r="N1460" s="85">
        <v>45796</v>
      </c>
      <c r="O1460" s="85">
        <v>45796</v>
      </c>
      <c r="P1460" s="82" t="str">
        <f ca="1">IF(Proc[[#This Row],[DaysAgeing]]&gt;5,"yep","on track")</f>
        <v>on track</v>
      </c>
      <c r="Q1460" s="3">
        <f ca="1">IF(Proc[[#This Row],[DateClosed]]="",ABS(NETWORKDAYS(Proc[[#This Row],[DateOpened]],TODAY()))-1,ABS(NETWORKDAYS(Proc[[#This Row],[DateOpened]],Proc[[#This Row],[DateClosed]]))-1)</f>
        <v>4</v>
      </c>
      <c r="R1460" s="82" t="s">
        <v>1076</v>
      </c>
      <c r="S1460" s="87"/>
    </row>
    <row r="1461" spans="1:19" hidden="1">
      <c r="A1461" s="86" t="s">
        <v>3202</v>
      </c>
      <c r="B1461" s="87" t="str">
        <f>IFERROR(VLOOKUP(Proc[[#This Row],[App]],Table2[],3,0),"open")</f>
        <v>ok</v>
      </c>
      <c r="C1461" s="86" t="s">
        <v>369</v>
      </c>
      <c r="D1461" t="s">
        <v>3210</v>
      </c>
      <c r="E1461" s="86" t="s">
        <v>3226</v>
      </c>
      <c r="F1461" s="105" t="s">
        <v>3226</v>
      </c>
      <c r="G1461" s="86" t="s">
        <v>406</v>
      </c>
      <c r="H1461" s="87" t="str">
        <f>IF(Proc[[#This Row],[type]]="LFF (MDG-F)",MID(Proc[[#This Row],[Obj]],13,10),"")</f>
        <v>DE04Z03108</v>
      </c>
      <c r="I1461" s="86" t="s">
        <v>3286</v>
      </c>
      <c r="J1461" s="87" t="b">
        <f>Proc[[#This Row],[Requested]]=Proc[[#This Row],[CurrentParent]]</f>
        <v>1</v>
      </c>
      <c r="K1461" s="87" t="str">
        <f>IF(Proc[[#This Row],[Author]]="Marcela Urrego",VLOOKUP(LEFT(Proc[[#This Row],[Requested]],1),Table3[#All],2,0),VLOOKUP(Proc[[#This Row],[Author]],Table4[],2,0))</f>
        <v>MGF</v>
      </c>
      <c r="L1461" s="87" t="s">
        <v>2563</v>
      </c>
      <c r="M1461" s="82">
        <v>45790.424861111111</v>
      </c>
      <c r="N1461" s="85">
        <v>45796</v>
      </c>
      <c r="O1461" s="85">
        <v>45796</v>
      </c>
      <c r="P1461" s="82" t="str">
        <f ca="1">IF(Proc[[#This Row],[DaysAgeing]]&gt;5,"yep","on track")</f>
        <v>on track</v>
      </c>
      <c r="Q1461" s="3">
        <f ca="1">IF(Proc[[#This Row],[DateClosed]]="",ABS(NETWORKDAYS(Proc[[#This Row],[DateOpened]],TODAY()))-1,ABS(NETWORKDAYS(Proc[[#This Row],[DateOpened]],Proc[[#This Row],[DateClosed]]))-1)</f>
        <v>4</v>
      </c>
      <c r="R1461" s="82" t="s">
        <v>1076</v>
      </c>
      <c r="S1461" s="87"/>
    </row>
    <row r="1462" spans="1:19" hidden="1">
      <c r="A1462" s="86" t="s">
        <v>3202</v>
      </c>
      <c r="B1462" s="87" t="str">
        <f>IFERROR(VLOOKUP(Proc[[#This Row],[App]],Table2[],3,0),"open")</f>
        <v>ok</v>
      </c>
      <c r="C1462" s="86" t="s">
        <v>369</v>
      </c>
      <c r="D1462" t="s">
        <v>3211</v>
      </c>
      <c r="E1462" s="86" t="s">
        <v>3226</v>
      </c>
      <c r="F1462" s="105" t="s">
        <v>3226</v>
      </c>
      <c r="G1462" s="86" t="s">
        <v>406</v>
      </c>
      <c r="H1462" s="87" t="str">
        <f>IF(Proc[[#This Row],[type]]="LFF (MDG-F)",MID(Proc[[#This Row],[Obj]],13,10),"")</f>
        <v>DE10Z03113</v>
      </c>
      <c r="I1462" s="86" t="s">
        <v>3286</v>
      </c>
      <c r="J1462" s="87" t="b">
        <f>Proc[[#This Row],[Requested]]=Proc[[#This Row],[CurrentParent]]</f>
        <v>1</v>
      </c>
      <c r="K1462" s="87" t="str">
        <f>IF(Proc[[#This Row],[Author]]="Marcela Urrego",VLOOKUP(LEFT(Proc[[#This Row],[Requested]],1),Table3[#All],2,0),VLOOKUP(Proc[[#This Row],[Author]],Table4[],2,0))</f>
        <v>MGF</v>
      </c>
      <c r="L1462" s="87" t="s">
        <v>2563</v>
      </c>
      <c r="M1462" s="82">
        <v>45790.424861111111</v>
      </c>
      <c r="N1462" s="85">
        <v>45796</v>
      </c>
      <c r="O1462" s="85">
        <v>45796</v>
      </c>
      <c r="P1462" s="82" t="str">
        <f ca="1">IF(Proc[[#This Row],[DaysAgeing]]&gt;5,"yep","on track")</f>
        <v>on track</v>
      </c>
      <c r="Q1462" s="3">
        <f ca="1">IF(Proc[[#This Row],[DateClosed]]="",ABS(NETWORKDAYS(Proc[[#This Row],[DateOpened]],TODAY()))-1,ABS(NETWORKDAYS(Proc[[#This Row],[DateOpened]],Proc[[#This Row],[DateClosed]]))-1)</f>
        <v>4</v>
      </c>
      <c r="R1462" s="82" t="s">
        <v>1076</v>
      </c>
      <c r="S1462" s="87"/>
    </row>
    <row r="1463" spans="1:19" hidden="1">
      <c r="A1463" s="86" t="s">
        <v>3202</v>
      </c>
      <c r="B1463" s="87" t="str">
        <f>IFERROR(VLOOKUP(Proc[[#This Row],[App]],Table2[],3,0),"open")</f>
        <v>ok</v>
      </c>
      <c r="C1463" s="86" t="s">
        <v>369</v>
      </c>
      <c r="D1463" t="s">
        <v>3212</v>
      </c>
      <c r="E1463" s="86" t="s">
        <v>3226</v>
      </c>
      <c r="F1463" s="105" t="s">
        <v>3226</v>
      </c>
      <c r="G1463" s="86" t="s">
        <v>406</v>
      </c>
      <c r="H1463" s="87" t="str">
        <f>IF(Proc[[#This Row],[type]]="LFF (MDG-F)",MID(Proc[[#This Row],[Obj]],13,10),"")</f>
        <v>IN01Z03101</v>
      </c>
      <c r="I1463" s="86" t="s">
        <v>3286</v>
      </c>
      <c r="J1463" s="87" t="b">
        <f>Proc[[#This Row],[Requested]]=Proc[[#This Row],[CurrentParent]]</f>
        <v>1</v>
      </c>
      <c r="K1463" s="87" t="str">
        <f>IF(Proc[[#This Row],[Author]]="Marcela Urrego",VLOOKUP(LEFT(Proc[[#This Row],[Requested]],1),Table3[#All],2,0),VLOOKUP(Proc[[#This Row],[Author]],Table4[],2,0))</f>
        <v>MGF</v>
      </c>
      <c r="L1463" s="87" t="s">
        <v>2563</v>
      </c>
      <c r="M1463" s="82">
        <v>45790.424861111111</v>
      </c>
      <c r="N1463" s="85">
        <v>45796</v>
      </c>
      <c r="O1463" s="85">
        <v>45796</v>
      </c>
      <c r="P1463" s="82" t="str">
        <f ca="1">IF(Proc[[#This Row],[DaysAgeing]]&gt;5,"yep","on track")</f>
        <v>on track</v>
      </c>
      <c r="Q1463" s="3">
        <f ca="1">IF(Proc[[#This Row],[DateClosed]]="",ABS(NETWORKDAYS(Proc[[#This Row],[DateOpened]],TODAY()))-1,ABS(NETWORKDAYS(Proc[[#This Row],[DateOpened]],Proc[[#This Row],[DateClosed]]))-1)</f>
        <v>4</v>
      </c>
      <c r="R1463" s="82" t="s">
        <v>1076</v>
      </c>
      <c r="S1463" s="87"/>
    </row>
    <row r="1464" spans="1:19" hidden="1">
      <c r="A1464" s="86" t="s">
        <v>3202</v>
      </c>
      <c r="B1464" s="87" t="str">
        <f>IFERROR(VLOOKUP(Proc[[#This Row],[App]],Table2[],3,0),"open")</f>
        <v>ok</v>
      </c>
      <c r="C1464" s="86" t="s">
        <v>369</v>
      </c>
      <c r="D1464" t="s">
        <v>3213</v>
      </c>
      <c r="E1464" s="86" t="s">
        <v>3226</v>
      </c>
      <c r="F1464" s="105" t="s">
        <v>3226</v>
      </c>
      <c r="G1464" s="86" t="s">
        <v>406</v>
      </c>
      <c r="H1464" s="87" t="str">
        <f>IF(Proc[[#This Row],[type]]="LFF (MDG-F)",MID(Proc[[#This Row],[Obj]],13,10),"")</f>
        <v>JP01Z03103</v>
      </c>
      <c r="I1464" s="86" t="s">
        <v>3286</v>
      </c>
      <c r="J1464" s="87" t="b">
        <f>Proc[[#This Row],[Requested]]=Proc[[#This Row],[CurrentParent]]</f>
        <v>1</v>
      </c>
      <c r="K1464" s="87" t="str">
        <f>IF(Proc[[#This Row],[Author]]="Marcela Urrego",VLOOKUP(LEFT(Proc[[#This Row],[Requested]],1),Table3[#All],2,0),VLOOKUP(Proc[[#This Row],[Author]],Table4[],2,0))</f>
        <v>MGF</v>
      </c>
      <c r="L1464" s="87" t="s">
        <v>2563</v>
      </c>
      <c r="M1464" s="82">
        <v>45790.424861111111</v>
      </c>
      <c r="N1464" s="85">
        <v>45796</v>
      </c>
      <c r="O1464" s="85">
        <v>45796</v>
      </c>
      <c r="P1464" s="82" t="str">
        <f ca="1">IF(Proc[[#This Row],[DaysAgeing]]&gt;5,"yep","on track")</f>
        <v>on track</v>
      </c>
      <c r="Q1464" s="3">
        <f ca="1">IF(Proc[[#This Row],[DateClosed]]="",ABS(NETWORKDAYS(Proc[[#This Row],[DateOpened]],TODAY()))-1,ABS(NETWORKDAYS(Proc[[#This Row],[DateOpened]],Proc[[#This Row],[DateClosed]]))-1)</f>
        <v>4</v>
      </c>
      <c r="R1464" s="82" t="s">
        <v>1076</v>
      </c>
      <c r="S1464" s="87"/>
    </row>
    <row r="1465" spans="1:19" hidden="1">
      <c r="A1465" s="86" t="s">
        <v>3202</v>
      </c>
      <c r="B1465" s="87" t="str">
        <f>IFERROR(VLOOKUP(Proc[[#This Row],[App]],Table2[],3,0),"open")</f>
        <v>ok</v>
      </c>
      <c r="C1465" s="86" t="s">
        <v>369</v>
      </c>
      <c r="D1465" t="s">
        <v>3214</v>
      </c>
      <c r="E1465" s="86" t="s">
        <v>3226</v>
      </c>
      <c r="F1465" s="105" t="s">
        <v>3226</v>
      </c>
      <c r="G1465" s="86" t="s">
        <v>406</v>
      </c>
      <c r="H1465" s="87" t="str">
        <f>IF(Proc[[#This Row],[type]]="LFF (MDG-F)",MID(Proc[[#This Row],[Obj]],13,10),"")</f>
        <v>US01Z03107</v>
      </c>
      <c r="I1465" s="86" t="s">
        <v>3286</v>
      </c>
      <c r="J1465" s="87" t="b">
        <f>Proc[[#This Row],[Requested]]=Proc[[#This Row],[CurrentParent]]</f>
        <v>1</v>
      </c>
      <c r="K1465" s="87" t="str">
        <f>IF(Proc[[#This Row],[Author]]="Marcela Urrego",VLOOKUP(LEFT(Proc[[#This Row],[Requested]],1),Table3[#All],2,0),VLOOKUP(Proc[[#This Row],[Author]],Table4[],2,0))</f>
        <v>MGF</v>
      </c>
      <c r="L1465" s="87" t="s">
        <v>2563</v>
      </c>
      <c r="M1465" s="82">
        <v>45790.424861111111</v>
      </c>
      <c r="N1465" s="85">
        <v>45796</v>
      </c>
      <c r="O1465" s="85">
        <v>45796</v>
      </c>
      <c r="P1465" s="82" t="str">
        <f ca="1">IF(Proc[[#This Row],[DaysAgeing]]&gt;5,"yep","on track")</f>
        <v>on track</v>
      </c>
      <c r="Q1465" s="3">
        <f ca="1">IF(Proc[[#This Row],[DateClosed]]="",ABS(NETWORKDAYS(Proc[[#This Row],[DateOpened]],TODAY()))-1,ABS(NETWORKDAYS(Proc[[#This Row],[DateOpened]],Proc[[#This Row],[DateClosed]]))-1)</f>
        <v>4</v>
      </c>
      <c r="R1465" s="82" t="s">
        <v>1076</v>
      </c>
      <c r="S1465" s="87"/>
    </row>
    <row r="1466" spans="1:19" hidden="1">
      <c r="A1466" s="86" t="s">
        <v>3202</v>
      </c>
      <c r="B1466" s="87" t="str">
        <f>IFERROR(VLOOKUP(Proc[[#This Row],[App]],Table2[],3,0),"open")</f>
        <v>ok</v>
      </c>
      <c r="C1466" s="86" t="s">
        <v>369</v>
      </c>
      <c r="D1466" t="s">
        <v>3215</v>
      </c>
      <c r="E1466" s="86" t="s">
        <v>3226</v>
      </c>
      <c r="F1466" s="105" t="s">
        <v>3226</v>
      </c>
      <c r="G1466" s="86" t="s">
        <v>406</v>
      </c>
      <c r="H1466" s="87" t="str">
        <f>IF(Proc[[#This Row],[type]]="LFF (MDG-F)",MID(Proc[[#This Row],[Obj]],13,10),"")</f>
        <v>KR03Z03104</v>
      </c>
      <c r="I1466" t="s">
        <v>3287</v>
      </c>
      <c r="J1466" s="87" t="b">
        <f>Proc[[#This Row],[Requested]]=Proc[[#This Row],[CurrentParent]]</f>
        <v>1</v>
      </c>
      <c r="K1466" s="87" t="str">
        <f>IF(Proc[[#This Row],[Author]]="Marcela Urrego",VLOOKUP(LEFT(Proc[[#This Row],[Requested]],1),Table3[#All],2,0),VLOOKUP(Proc[[#This Row],[Author]],Table4[],2,0))</f>
        <v>MGF</v>
      </c>
      <c r="L1466" s="87" t="s">
        <v>2563</v>
      </c>
      <c r="M1466" s="82">
        <v>45790.424861111111</v>
      </c>
      <c r="N1466" s="85">
        <v>45796</v>
      </c>
      <c r="O1466" s="85">
        <v>45796</v>
      </c>
      <c r="P1466" s="82" t="str">
        <f ca="1">IF(Proc[[#This Row],[DaysAgeing]]&gt;5,"yep","on track")</f>
        <v>on track</v>
      </c>
      <c r="Q1466" s="3">
        <f ca="1">IF(Proc[[#This Row],[DateClosed]]="",ABS(NETWORKDAYS(Proc[[#This Row],[DateOpened]],TODAY()))-1,ABS(NETWORKDAYS(Proc[[#This Row],[DateOpened]],Proc[[#This Row],[DateClosed]]))-1)</f>
        <v>4</v>
      </c>
      <c r="R1466" s="82" t="s">
        <v>1076</v>
      </c>
      <c r="S1466" s="87"/>
    </row>
    <row r="1467" spans="1:19" hidden="1">
      <c r="A1467" s="86" t="s">
        <v>3202</v>
      </c>
      <c r="B1467" s="87" t="str">
        <f>IFERROR(VLOOKUP(Proc[[#This Row],[App]],Table2[],3,0),"open")</f>
        <v>ok</v>
      </c>
      <c r="C1467" s="86" t="s">
        <v>369</v>
      </c>
      <c r="D1467" t="s">
        <v>3216</v>
      </c>
      <c r="E1467" s="86" t="s">
        <v>3226</v>
      </c>
      <c r="F1467" s="105" t="s">
        <v>3226</v>
      </c>
      <c r="G1467" s="86" t="s">
        <v>406</v>
      </c>
      <c r="H1467" s="87" t="str">
        <f>IF(Proc[[#This Row],[type]]="LFF (MDG-F)",MID(Proc[[#This Row],[Obj]],13,10),"")</f>
        <v>US10Z03102</v>
      </c>
      <c r="I1467" s="86" t="s">
        <v>3286</v>
      </c>
      <c r="J1467" s="87" t="b">
        <f>Proc[[#This Row],[Requested]]=Proc[[#This Row],[CurrentParent]]</f>
        <v>1</v>
      </c>
      <c r="K1467" s="87" t="str">
        <f>IF(Proc[[#This Row],[Author]]="Marcela Urrego",VLOOKUP(LEFT(Proc[[#This Row],[Requested]],1),Table3[#All],2,0),VLOOKUP(Proc[[#This Row],[Author]],Table4[],2,0))</f>
        <v>MGF</v>
      </c>
      <c r="L1467" s="87" t="s">
        <v>2563</v>
      </c>
      <c r="M1467" s="82">
        <v>45790.424861111111</v>
      </c>
      <c r="N1467" s="85">
        <v>45796</v>
      </c>
      <c r="O1467" s="85">
        <v>45796</v>
      </c>
      <c r="P1467" s="82" t="str">
        <f ca="1">IF(Proc[[#This Row],[DaysAgeing]]&gt;5,"yep","on track")</f>
        <v>on track</v>
      </c>
      <c r="Q1467" s="3">
        <f ca="1">IF(Proc[[#This Row],[DateClosed]]="",ABS(NETWORKDAYS(Proc[[#This Row],[DateOpened]],TODAY()))-1,ABS(NETWORKDAYS(Proc[[#This Row],[DateOpened]],Proc[[#This Row],[DateClosed]]))-1)</f>
        <v>4</v>
      </c>
      <c r="R1467" s="82" t="s">
        <v>1076</v>
      </c>
      <c r="S1467" s="87"/>
    </row>
    <row r="1468" spans="1:19" hidden="1">
      <c r="A1468" s="86" t="s">
        <v>3202</v>
      </c>
      <c r="B1468" s="87" t="str">
        <f>IFERROR(VLOOKUP(Proc[[#This Row],[App]],Table2[],3,0),"open")</f>
        <v>ok</v>
      </c>
      <c r="C1468" s="86" t="s">
        <v>369</v>
      </c>
      <c r="D1468" t="s">
        <v>3217</v>
      </c>
      <c r="E1468" s="86" t="s">
        <v>3226</v>
      </c>
      <c r="F1468" s="105" t="s">
        <v>3226</v>
      </c>
      <c r="G1468" t="s">
        <v>400</v>
      </c>
      <c r="H1468" s="87" t="str">
        <f>IF(Proc[[#This Row],[type]]="LFF (MDG-F)",MID(Proc[[#This Row],[Obj]],13,10),"")</f>
        <v/>
      </c>
      <c r="J1468" s="87" t="b">
        <f>Proc[[#This Row],[Requested]]=Proc[[#This Row],[CurrentParent]]</f>
        <v>1</v>
      </c>
      <c r="K1468" s="87" t="str">
        <f>IF(Proc[[#This Row],[Author]]="Marcela Urrego",VLOOKUP(LEFT(Proc[[#This Row],[Requested]],1),Table3[#All],2,0),VLOOKUP(Proc[[#This Row],[Author]],Table4[],2,0))</f>
        <v>MGF</v>
      </c>
      <c r="L1468" s="87" t="s">
        <v>2563</v>
      </c>
      <c r="M1468" s="82">
        <v>45790.424861111111</v>
      </c>
      <c r="N1468" s="85">
        <v>45796</v>
      </c>
      <c r="O1468" s="85">
        <v>45796</v>
      </c>
      <c r="P1468" s="82" t="str">
        <f ca="1">IF(Proc[[#This Row],[DaysAgeing]]&gt;5,"yep","on track")</f>
        <v>on track</v>
      </c>
      <c r="Q1468" s="3">
        <f ca="1">IF(Proc[[#This Row],[DateClosed]]="",ABS(NETWORKDAYS(Proc[[#This Row],[DateOpened]],TODAY()))-1,ABS(NETWORKDAYS(Proc[[#This Row],[DateOpened]],Proc[[#This Row],[DateClosed]]))-1)</f>
        <v>4</v>
      </c>
      <c r="R1468" s="82" t="s">
        <v>1076</v>
      </c>
      <c r="S1468" s="87"/>
    </row>
    <row r="1469" spans="1:19" hidden="1">
      <c r="A1469" s="86" t="s">
        <v>3202</v>
      </c>
      <c r="B1469" s="87" t="str">
        <f>IFERROR(VLOOKUP(Proc[[#This Row],[App]],Table2[],3,0),"open")</f>
        <v>ok</v>
      </c>
      <c r="C1469" s="86" t="s">
        <v>369</v>
      </c>
      <c r="D1469" t="s">
        <v>3218</v>
      </c>
      <c r="E1469" s="86" t="s">
        <v>3226</v>
      </c>
      <c r="F1469" s="105" t="s">
        <v>3226</v>
      </c>
      <c r="G1469" s="86" t="s">
        <v>400</v>
      </c>
      <c r="H1469" s="87" t="str">
        <f>IF(Proc[[#This Row],[type]]="LFF (MDG-F)",MID(Proc[[#This Row],[Obj]],13,10),"")</f>
        <v/>
      </c>
      <c r="J1469" s="87" t="b">
        <f>Proc[[#This Row],[Requested]]=Proc[[#This Row],[CurrentParent]]</f>
        <v>1</v>
      </c>
      <c r="K1469" s="87" t="str">
        <f>IF(Proc[[#This Row],[Author]]="Marcela Urrego",VLOOKUP(LEFT(Proc[[#This Row],[Requested]],1),Table3[#All],2,0),VLOOKUP(Proc[[#This Row],[Author]],Table4[],2,0))</f>
        <v>MGF</v>
      </c>
      <c r="L1469" s="87" t="s">
        <v>2563</v>
      </c>
      <c r="M1469" s="82">
        <v>45790.424861111111</v>
      </c>
      <c r="N1469" s="85">
        <v>45796</v>
      </c>
      <c r="O1469" s="85">
        <v>45796</v>
      </c>
      <c r="P1469" s="82" t="str">
        <f ca="1">IF(Proc[[#This Row],[DaysAgeing]]&gt;5,"yep","on track")</f>
        <v>on track</v>
      </c>
      <c r="Q1469" s="3">
        <f ca="1">IF(Proc[[#This Row],[DateClosed]]="",ABS(NETWORKDAYS(Proc[[#This Row],[DateOpened]],TODAY()))-1,ABS(NETWORKDAYS(Proc[[#This Row],[DateOpened]],Proc[[#This Row],[DateClosed]]))-1)</f>
        <v>4</v>
      </c>
      <c r="R1469" s="82" t="s">
        <v>1076</v>
      </c>
      <c r="S1469" s="87"/>
    </row>
    <row r="1470" spans="1:19" hidden="1">
      <c r="A1470" s="86" t="s">
        <v>3202</v>
      </c>
      <c r="B1470" s="87" t="str">
        <f>IFERROR(VLOOKUP(Proc[[#This Row],[App]],Table2[],3,0),"open")</f>
        <v>ok</v>
      </c>
      <c r="C1470" s="86" t="s">
        <v>369</v>
      </c>
      <c r="D1470" t="s">
        <v>3219</v>
      </c>
      <c r="E1470" s="86" t="s">
        <v>3226</v>
      </c>
      <c r="F1470" s="105" t="s">
        <v>3226</v>
      </c>
      <c r="G1470" s="86" t="s">
        <v>400</v>
      </c>
      <c r="H1470" s="87" t="str">
        <f>IF(Proc[[#This Row],[type]]="LFF (MDG-F)",MID(Proc[[#This Row],[Obj]],13,10),"")</f>
        <v/>
      </c>
      <c r="J1470" s="87" t="b">
        <f>Proc[[#This Row],[Requested]]=Proc[[#This Row],[CurrentParent]]</f>
        <v>1</v>
      </c>
      <c r="K1470" s="87" t="str">
        <f>IF(Proc[[#This Row],[Author]]="Marcela Urrego",VLOOKUP(LEFT(Proc[[#This Row],[Requested]],1),Table3[#All],2,0),VLOOKUP(Proc[[#This Row],[Author]],Table4[],2,0))</f>
        <v>MGF</v>
      </c>
      <c r="L1470" s="87" t="s">
        <v>2563</v>
      </c>
      <c r="M1470" s="82">
        <v>45790.424861111111</v>
      </c>
      <c r="N1470" s="85">
        <v>45796</v>
      </c>
      <c r="O1470" s="85">
        <v>45796</v>
      </c>
      <c r="P1470" s="82" t="str">
        <f ca="1">IF(Proc[[#This Row],[DaysAgeing]]&gt;5,"yep","on track")</f>
        <v>on track</v>
      </c>
      <c r="Q1470" s="3">
        <f ca="1">IF(Proc[[#This Row],[DateClosed]]="",ABS(NETWORKDAYS(Proc[[#This Row],[DateOpened]],TODAY()))-1,ABS(NETWORKDAYS(Proc[[#This Row],[DateOpened]],Proc[[#This Row],[DateClosed]]))-1)</f>
        <v>4</v>
      </c>
      <c r="R1470" s="82" t="s">
        <v>1076</v>
      </c>
      <c r="S1470" s="87"/>
    </row>
    <row r="1471" spans="1:19" hidden="1">
      <c r="A1471" s="86" t="s">
        <v>3202</v>
      </c>
      <c r="B1471" s="87" t="str">
        <f>IFERROR(VLOOKUP(Proc[[#This Row],[App]],Table2[],3,0),"open")</f>
        <v>ok</v>
      </c>
      <c r="C1471" s="86" t="s">
        <v>369</v>
      </c>
      <c r="D1471" t="s">
        <v>3220</v>
      </c>
      <c r="E1471" s="86" t="s">
        <v>3226</v>
      </c>
      <c r="F1471" s="105" t="s">
        <v>3226</v>
      </c>
      <c r="G1471" s="86" t="s">
        <v>400</v>
      </c>
      <c r="H1471" s="87" t="str">
        <f>IF(Proc[[#This Row],[type]]="LFF (MDG-F)",MID(Proc[[#This Row],[Obj]],13,10),"")</f>
        <v/>
      </c>
      <c r="J1471" s="87" t="b">
        <f>Proc[[#This Row],[Requested]]=Proc[[#This Row],[CurrentParent]]</f>
        <v>1</v>
      </c>
      <c r="K1471" s="87" t="str">
        <f>IF(Proc[[#This Row],[Author]]="Marcela Urrego",VLOOKUP(LEFT(Proc[[#This Row],[Requested]],1),Table3[#All],2,0),VLOOKUP(Proc[[#This Row],[Author]],Table4[],2,0))</f>
        <v>MGF</v>
      </c>
      <c r="L1471" s="87" t="s">
        <v>2563</v>
      </c>
      <c r="M1471" s="82">
        <v>45790.424861111111</v>
      </c>
      <c r="N1471" s="85">
        <v>45796</v>
      </c>
      <c r="O1471" s="85">
        <v>45796</v>
      </c>
      <c r="P1471" s="82" t="str">
        <f ca="1">IF(Proc[[#This Row],[DaysAgeing]]&gt;5,"yep","on track")</f>
        <v>on track</v>
      </c>
      <c r="Q1471" s="3">
        <f ca="1">IF(Proc[[#This Row],[DateClosed]]="",ABS(NETWORKDAYS(Proc[[#This Row],[DateOpened]],TODAY()))-1,ABS(NETWORKDAYS(Proc[[#This Row],[DateOpened]],Proc[[#This Row],[DateClosed]]))-1)</f>
        <v>4</v>
      </c>
      <c r="R1471" s="82" t="s">
        <v>1076</v>
      </c>
      <c r="S1471" s="87"/>
    </row>
    <row r="1472" spans="1:19" hidden="1">
      <c r="A1472" s="86" t="s">
        <v>3202</v>
      </c>
      <c r="B1472" s="87" t="str">
        <f>IFERROR(VLOOKUP(Proc[[#This Row],[App]],Table2[],3,0),"open")</f>
        <v>ok</v>
      </c>
      <c r="C1472" s="86" t="s">
        <v>369</v>
      </c>
      <c r="D1472" t="s">
        <v>3221</v>
      </c>
      <c r="E1472" s="86" t="s">
        <v>3226</v>
      </c>
      <c r="F1472" s="105" t="s">
        <v>3226</v>
      </c>
      <c r="G1472" s="86" t="s">
        <v>400</v>
      </c>
      <c r="H1472" s="87" t="str">
        <f>IF(Proc[[#This Row],[type]]="LFF (MDG-F)",MID(Proc[[#This Row],[Obj]],13,10),"")</f>
        <v/>
      </c>
      <c r="J1472" s="87" t="b">
        <f>Proc[[#This Row],[Requested]]=Proc[[#This Row],[CurrentParent]]</f>
        <v>1</v>
      </c>
      <c r="K1472" s="87" t="str">
        <f>IF(Proc[[#This Row],[Author]]="Marcela Urrego",VLOOKUP(LEFT(Proc[[#This Row],[Requested]],1),Table3[#All],2,0),VLOOKUP(Proc[[#This Row],[Author]],Table4[],2,0))</f>
        <v>MGF</v>
      </c>
      <c r="L1472" s="87" t="s">
        <v>2563</v>
      </c>
      <c r="M1472" s="82">
        <v>45790.424861111111</v>
      </c>
      <c r="N1472" s="85">
        <v>45796</v>
      </c>
      <c r="O1472" s="85">
        <v>45796</v>
      </c>
      <c r="P1472" s="82" t="str">
        <f ca="1">IF(Proc[[#This Row],[DaysAgeing]]&gt;5,"yep","on track")</f>
        <v>on track</v>
      </c>
      <c r="Q1472" s="3">
        <f ca="1">IF(Proc[[#This Row],[DateClosed]]="",ABS(NETWORKDAYS(Proc[[#This Row],[DateOpened]],TODAY()))-1,ABS(NETWORKDAYS(Proc[[#This Row],[DateOpened]],Proc[[#This Row],[DateClosed]]))-1)</f>
        <v>4</v>
      </c>
      <c r="R1472" s="82" t="s">
        <v>1076</v>
      </c>
      <c r="S1472" s="87"/>
    </row>
    <row r="1473" spans="1:19" hidden="1">
      <c r="A1473" s="86" t="s">
        <v>3202</v>
      </c>
      <c r="B1473" s="87" t="str">
        <f>IFERROR(VLOOKUP(Proc[[#This Row],[App]],Table2[],3,0),"open")</f>
        <v>ok</v>
      </c>
      <c r="C1473" s="86" t="s">
        <v>369</v>
      </c>
      <c r="D1473" t="s">
        <v>3222</v>
      </c>
      <c r="E1473" s="86" t="s">
        <v>3226</v>
      </c>
      <c r="F1473" s="105" t="s">
        <v>3226</v>
      </c>
      <c r="G1473" s="86" t="s">
        <v>400</v>
      </c>
      <c r="H1473" s="87" t="str">
        <f>IF(Proc[[#This Row],[type]]="LFF (MDG-F)",MID(Proc[[#This Row],[Obj]],13,10),"")</f>
        <v/>
      </c>
      <c r="J1473" s="87" t="b">
        <f>Proc[[#This Row],[Requested]]=Proc[[#This Row],[CurrentParent]]</f>
        <v>1</v>
      </c>
      <c r="K1473" s="87" t="str">
        <f>IF(Proc[[#This Row],[Author]]="Marcela Urrego",VLOOKUP(LEFT(Proc[[#This Row],[Requested]],1),Table3[#All],2,0),VLOOKUP(Proc[[#This Row],[Author]],Table4[],2,0))</f>
        <v>MGF</v>
      </c>
      <c r="L1473" s="87" t="s">
        <v>2563</v>
      </c>
      <c r="M1473" s="82">
        <v>45790.424861111111</v>
      </c>
      <c r="N1473" s="85">
        <v>45796</v>
      </c>
      <c r="O1473" s="85">
        <v>45796</v>
      </c>
      <c r="P1473" s="82" t="str">
        <f ca="1">IF(Proc[[#This Row],[DaysAgeing]]&gt;5,"yep","on track")</f>
        <v>on track</v>
      </c>
      <c r="Q1473" s="3">
        <f ca="1">IF(Proc[[#This Row],[DateClosed]]="",ABS(NETWORKDAYS(Proc[[#This Row],[DateOpened]],TODAY()))-1,ABS(NETWORKDAYS(Proc[[#This Row],[DateOpened]],Proc[[#This Row],[DateClosed]]))-1)</f>
        <v>4</v>
      </c>
      <c r="R1473" s="82" t="s">
        <v>1076</v>
      </c>
      <c r="S1473" s="87"/>
    </row>
    <row r="1474" spans="1:19" hidden="1">
      <c r="A1474" s="86" t="s">
        <v>3202</v>
      </c>
      <c r="B1474" s="87" t="str">
        <f>IFERROR(VLOOKUP(Proc[[#This Row],[App]],Table2[],3,0),"open")</f>
        <v>ok</v>
      </c>
      <c r="C1474" s="86" t="s">
        <v>369</v>
      </c>
      <c r="D1474" t="s">
        <v>3223</v>
      </c>
      <c r="E1474" s="86" t="s">
        <v>3226</v>
      </c>
      <c r="F1474" s="105" t="s">
        <v>3226</v>
      </c>
      <c r="G1474" s="86" t="s">
        <v>400</v>
      </c>
      <c r="H1474" s="87" t="str">
        <f>IF(Proc[[#This Row],[type]]="LFF (MDG-F)",MID(Proc[[#This Row],[Obj]],13,10),"")</f>
        <v/>
      </c>
      <c r="J1474" s="87" t="b">
        <f>Proc[[#This Row],[Requested]]=Proc[[#This Row],[CurrentParent]]</f>
        <v>1</v>
      </c>
      <c r="K1474" s="87" t="str">
        <f>IF(Proc[[#This Row],[Author]]="Marcela Urrego",VLOOKUP(LEFT(Proc[[#This Row],[Requested]],1),Table3[#All],2,0),VLOOKUP(Proc[[#This Row],[Author]],Table4[],2,0))</f>
        <v>MGF</v>
      </c>
      <c r="L1474" s="87" t="s">
        <v>2563</v>
      </c>
      <c r="M1474" s="82">
        <v>45790.424861111111</v>
      </c>
      <c r="N1474" s="85">
        <v>45796</v>
      </c>
      <c r="O1474" s="85">
        <v>45796</v>
      </c>
      <c r="P1474" s="82" t="str">
        <f ca="1">IF(Proc[[#This Row],[DaysAgeing]]&gt;5,"yep","on track")</f>
        <v>on track</v>
      </c>
      <c r="Q1474" s="3">
        <f ca="1">IF(Proc[[#This Row],[DateClosed]]="",ABS(NETWORKDAYS(Proc[[#This Row],[DateOpened]],TODAY()))-1,ABS(NETWORKDAYS(Proc[[#This Row],[DateOpened]],Proc[[#This Row],[DateClosed]]))-1)</f>
        <v>4</v>
      </c>
      <c r="R1474" s="82" t="s">
        <v>1076</v>
      </c>
      <c r="S1474" s="87"/>
    </row>
    <row r="1475" spans="1:19" hidden="1">
      <c r="A1475" s="86" t="s">
        <v>3202</v>
      </c>
      <c r="B1475" s="87" t="str">
        <f>IFERROR(VLOOKUP(Proc[[#This Row],[App]],Table2[],3,0),"open")</f>
        <v>ok</v>
      </c>
      <c r="C1475" s="86" t="s">
        <v>369</v>
      </c>
      <c r="D1475" t="s">
        <v>3224</v>
      </c>
      <c r="E1475" s="86" t="s">
        <v>3226</v>
      </c>
      <c r="F1475" s="105" t="s">
        <v>3226</v>
      </c>
      <c r="G1475" s="86" t="s">
        <v>400</v>
      </c>
      <c r="H1475" s="87" t="str">
        <f>IF(Proc[[#This Row],[type]]="LFF (MDG-F)",MID(Proc[[#This Row],[Obj]],13,10),"")</f>
        <v/>
      </c>
      <c r="J1475" s="87" t="b">
        <f>Proc[[#This Row],[Requested]]=Proc[[#This Row],[CurrentParent]]</f>
        <v>1</v>
      </c>
      <c r="K1475" s="87" t="str">
        <f>IF(Proc[[#This Row],[Author]]="Marcela Urrego",VLOOKUP(LEFT(Proc[[#This Row],[Requested]],1),Table3[#All],2,0),VLOOKUP(Proc[[#This Row],[Author]],Table4[],2,0))</f>
        <v>MGF</v>
      </c>
      <c r="L1475" s="87" t="s">
        <v>2563</v>
      </c>
      <c r="M1475" s="82">
        <v>45790.424861111111</v>
      </c>
      <c r="N1475" s="85">
        <v>45796</v>
      </c>
      <c r="O1475" s="85">
        <v>45796</v>
      </c>
      <c r="P1475" s="82" t="str">
        <f ca="1">IF(Proc[[#This Row],[DaysAgeing]]&gt;5,"yep","on track")</f>
        <v>on track</v>
      </c>
      <c r="Q1475" s="3">
        <f ca="1">IF(Proc[[#This Row],[DateClosed]]="",ABS(NETWORKDAYS(Proc[[#This Row],[DateOpened]],TODAY()))-1,ABS(NETWORKDAYS(Proc[[#This Row],[DateOpened]],Proc[[#This Row],[DateClosed]]))-1)</f>
        <v>4</v>
      </c>
      <c r="R1475" s="82" t="s">
        <v>1076</v>
      </c>
      <c r="S1475" s="87"/>
    </row>
    <row r="1476" spans="1:19" hidden="1">
      <c r="A1476" s="86" t="s">
        <v>3202</v>
      </c>
      <c r="B1476" s="87" t="str">
        <f>IFERROR(VLOOKUP(Proc[[#This Row],[App]],Table2[],3,0),"open")</f>
        <v>ok</v>
      </c>
      <c r="C1476" s="86" t="s">
        <v>369</v>
      </c>
      <c r="D1476" t="s">
        <v>3225</v>
      </c>
      <c r="E1476" s="86" t="s">
        <v>3226</v>
      </c>
      <c r="F1476" s="105" t="s">
        <v>3226</v>
      </c>
      <c r="G1476" s="86" t="s">
        <v>400</v>
      </c>
      <c r="H1476" s="87" t="str">
        <f>IF(Proc[[#This Row],[type]]="LFF (MDG-F)",MID(Proc[[#This Row],[Obj]],13,10),"")</f>
        <v/>
      </c>
      <c r="J1476" s="87" t="b">
        <f>Proc[[#This Row],[Requested]]=Proc[[#This Row],[CurrentParent]]</f>
        <v>1</v>
      </c>
      <c r="K1476" s="87" t="str">
        <f>IF(Proc[[#This Row],[Author]]="Marcela Urrego",VLOOKUP(LEFT(Proc[[#This Row],[Requested]],1),Table3[#All],2,0),VLOOKUP(Proc[[#This Row],[Author]],Table4[],2,0))</f>
        <v>MGF</v>
      </c>
      <c r="L1476" s="87" t="s">
        <v>2563</v>
      </c>
      <c r="M1476" s="82">
        <v>45790.424861111111</v>
      </c>
      <c r="N1476" s="85">
        <v>45796</v>
      </c>
      <c r="O1476" s="85">
        <v>45796</v>
      </c>
      <c r="P1476" s="82" t="str">
        <f ca="1">IF(Proc[[#This Row],[DaysAgeing]]&gt;5,"yep","on track")</f>
        <v>on track</v>
      </c>
      <c r="Q1476" s="3">
        <f ca="1">IF(Proc[[#This Row],[DateClosed]]="",ABS(NETWORKDAYS(Proc[[#This Row],[DateOpened]],TODAY()))-1,ABS(NETWORKDAYS(Proc[[#This Row],[DateOpened]],Proc[[#This Row],[DateClosed]]))-1)</f>
        <v>4</v>
      </c>
      <c r="R1476" s="82" t="s">
        <v>1076</v>
      </c>
      <c r="S1476" s="87"/>
    </row>
    <row r="1477" spans="1:19" hidden="1">
      <c r="A1477" t="s">
        <v>3229</v>
      </c>
      <c r="B1477" s="87" t="str">
        <f>IFERROR(VLOOKUP(Proc[[#This Row],[App]],Table2[],3,0),"open")</f>
        <v>ok</v>
      </c>
      <c r="C1477" s="86" t="s">
        <v>369</v>
      </c>
      <c r="D1477" t="s">
        <v>3230</v>
      </c>
      <c r="E1477" t="s">
        <v>3249</v>
      </c>
      <c r="F1477" s="105" t="s">
        <v>3249</v>
      </c>
      <c r="G1477" t="s">
        <v>406</v>
      </c>
      <c r="H1477" s="87" t="str">
        <f>IF(Proc[[#This Row],[type]]="LFF (MDG-F)",MID(Proc[[#This Row],[Obj]],13,10),"")</f>
        <v>AE50GCO220</v>
      </c>
      <c r="I1477" s="86" t="s">
        <v>3260</v>
      </c>
      <c r="J1477" s="87" t="b">
        <f>Proc[[#This Row],[Requested]]=Proc[[#This Row],[CurrentParent]]</f>
        <v>1</v>
      </c>
      <c r="K1477" s="87" t="str">
        <f>IF(Proc[[#This Row],[Author]]="Marcela Urrego",VLOOKUP(LEFT(Proc[[#This Row],[Requested]],1),Table3[#All],2,0),VLOOKUP(Proc[[#This Row],[Author]],Table4[],2,0))</f>
        <v>MGF</v>
      </c>
      <c r="L1477" s="87" t="s">
        <v>2563</v>
      </c>
      <c r="M1477" s="85">
        <v>45791.342372685183</v>
      </c>
      <c r="N1477" s="85">
        <v>45792</v>
      </c>
      <c r="O1477" s="85">
        <v>45792</v>
      </c>
      <c r="P1477" s="88" t="str">
        <f ca="1">IF(Proc[[#This Row],[DaysAgeing]]&gt;5,"yep","on track")</f>
        <v>on track</v>
      </c>
      <c r="Q1477" s="3">
        <f ca="1">IF(Proc[[#This Row],[DateClosed]]="",ABS(NETWORKDAYS(Proc[[#This Row],[DateOpened]],TODAY()))-1,ABS(NETWORKDAYS(Proc[[#This Row],[DateOpened]],Proc[[#This Row],[DateClosed]]))-1)</f>
        <v>1</v>
      </c>
      <c r="R1477" s="88" t="s">
        <v>515</v>
      </c>
      <c r="S1477" s="87"/>
    </row>
    <row r="1478" spans="1:19" hidden="1">
      <c r="A1478" s="86" t="s">
        <v>3229</v>
      </c>
      <c r="B1478" s="87" t="str">
        <f>IFERROR(VLOOKUP(Proc[[#This Row],[App]],Table2[],3,0),"open")</f>
        <v>ok</v>
      </c>
      <c r="C1478" s="86" t="s">
        <v>369</v>
      </c>
      <c r="D1478" t="s">
        <v>3231</v>
      </c>
      <c r="E1478" t="s">
        <v>3250</v>
      </c>
      <c r="F1478" s="105" t="s">
        <v>3250</v>
      </c>
      <c r="G1478" s="86" t="s">
        <v>406</v>
      </c>
      <c r="H1478" s="87" t="str">
        <f>IF(Proc[[#This Row],[type]]="LFF (MDG-F)",MID(Proc[[#This Row],[Obj]],13,10),"")</f>
        <v>CN90GMK003</v>
      </c>
      <c r="I1478" s="86" t="s">
        <v>3260</v>
      </c>
      <c r="J1478" s="87" t="b">
        <f>Proc[[#This Row],[Requested]]=Proc[[#This Row],[CurrentParent]]</f>
        <v>1</v>
      </c>
      <c r="K1478" s="87" t="str">
        <f>IF(Proc[[#This Row],[Author]]="Marcela Urrego",VLOOKUP(LEFT(Proc[[#This Row],[Requested]],1),Table3[#All],2,0),VLOOKUP(Proc[[#This Row],[Author]],Table4[],2,0))</f>
        <v>MGF</v>
      </c>
      <c r="L1478" s="87" t="s">
        <v>2563</v>
      </c>
      <c r="M1478" s="85">
        <v>45791.342372685183</v>
      </c>
      <c r="N1478" s="85">
        <v>45792</v>
      </c>
      <c r="O1478" s="85">
        <v>45792</v>
      </c>
      <c r="P1478" s="88" t="str">
        <f ca="1">IF(Proc[[#This Row],[DaysAgeing]]&gt;5,"yep","on track")</f>
        <v>on track</v>
      </c>
      <c r="Q1478" s="3">
        <f ca="1">IF(Proc[[#This Row],[DateClosed]]="",ABS(NETWORKDAYS(Proc[[#This Row],[DateOpened]],TODAY()))-1,ABS(NETWORKDAYS(Proc[[#This Row],[DateOpened]],Proc[[#This Row],[DateClosed]]))-1)</f>
        <v>1</v>
      </c>
      <c r="R1478" s="88" t="s">
        <v>515</v>
      </c>
      <c r="S1478" s="87"/>
    </row>
    <row r="1479" spans="1:19" hidden="1">
      <c r="A1479" s="86" t="s">
        <v>3229</v>
      </c>
      <c r="B1479" s="87" t="str">
        <f>IFERROR(VLOOKUP(Proc[[#This Row],[App]],Table2[],3,0),"open")</f>
        <v>ok</v>
      </c>
      <c r="C1479" s="86" t="s">
        <v>369</v>
      </c>
      <c r="D1479" t="s">
        <v>3232</v>
      </c>
      <c r="E1479" t="s">
        <v>3251</v>
      </c>
      <c r="F1479" s="105" t="s">
        <v>3251</v>
      </c>
      <c r="G1479" s="86" t="s">
        <v>406</v>
      </c>
      <c r="H1479" s="87" t="str">
        <f>IF(Proc[[#This Row],[type]]="LFF (MDG-F)",MID(Proc[[#This Row],[Obj]],13,10),"")</f>
        <v>DE10624905</v>
      </c>
      <c r="I1479" s="86" t="s">
        <v>3260</v>
      </c>
      <c r="J1479" s="87" t="b">
        <f>Proc[[#This Row],[Requested]]=Proc[[#This Row],[CurrentParent]]</f>
        <v>1</v>
      </c>
      <c r="K1479" s="87" t="str">
        <f>IF(Proc[[#This Row],[Author]]="Marcela Urrego",VLOOKUP(LEFT(Proc[[#This Row],[Requested]],1),Table3[#All],2,0),VLOOKUP(Proc[[#This Row],[Author]],Table4[],2,0))</f>
        <v>MGF</v>
      </c>
      <c r="L1479" s="87" t="s">
        <v>2563</v>
      </c>
      <c r="M1479" s="85">
        <v>45791.342372685183</v>
      </c>
      <c r="N1479" s="85">
        <v>45792</v>
      </c>
      <c r="O1479" s="85">
        <v>45792</v>
      </c>
      <c r="P1479" s="88" t="str">
        <f ca="1">IF(Proc[[#This Row],[DaysAgeing]]&gt;5,"yep","on track")</f>
        <v>on track</v>
      </c>
      <c r="Q1479" s="3">
        <f ca="1">IF(Proc[[#This Row],[DateClosed]]="",ABS(NETWORKDAYS(Proc[[#This Row],[DateOpened]],TODAY()))-1,ABS(NETWORKDAYS(Proc[[#This Row],[DateOpened]],Proc[[#This Row],[DateClosed]]))-1)</f>
        <v>1</v>
      </c>
      <c r="R1479" s="88" t="s">
        <v>515</v>
      </c>
      <c r="S1479" s="87"/>
    </row>
    <row r="1480" spans="1:19" hidden="1">
      <c r="A1480" s="86" t="s">
        <v>3229</v>
      </c>
      <c r="B1480" s="87" t="str">
        <f>IFERROR(VLOOKUP(Proc[[#This Row],[App]],Table2[],3,0),"open")</f>
        <v>ok</v>
      </c>
      <c r="C1480" s="86" t="s">
        <v>369</v>
      </c>
      <c r="D1480" t="s">
        <v>3233</v>
      </c>
      <c r="E1480" t="s">
        <v>3251</v>
      </c>
      <c r="F1480" s="105" t="s">
        <v>3251</v>
      </c>
      <c r="G1480" s="86" t="s">
        <v>406</v>
      </c>
      <c r="H1480" s="87" t="str">
        <f>IF(Proc[[#This Row],[type]]="LFF (MDG-F)",MID(Proc[[#This Row],[Obj]],13,10),"")</f>
        <v>DE10624906</v>
      </c>
      <c r="I1480" s="86" t="s">
        <v>3260</v>
      </c>
      <c r="J1480" s="87" t="b">
        <f>Proc[[#This Row],[Requested]]=Proc[[#This Row],[CurrentParent]]</f>
        <v>1</v>
      </c>
      <c r="K1480" s="87" t="str">
        <f>IF(Proc[[#This Row],[Author]]="Marcela Urrego",VLOOKUP(LEFT(Proc[[#This Row],[Requested]],1),Table3[#All],2,0),VLOOKUP(Proc[[#This Row],[Author]],Table4[],2,0))</f>
        <v>MGF</v>
      </c>
      <c r="L1480" s="87" t="s">
        <v>2563</v>
      </c>
      <c r="M1480" s="85">
        <v>45791.342372685183</v>
      </c>
      <c r="N1480" s="85">
        <v>45792</v>
      </c>
      <c r="O1480" s="85">
        <v>45792</v>
      </c>
      <c r="P1480" s="88" t="str">
        <f ca="1">IF(Proc[[#This Row],[DaysAgeing]]&gt;5,"yep","on track")</f>
        <v>on track</v>
      </c>
      <c r="Q1480" s="3">
        <f ca="1">IF(Proc[[#This Row],[DateClosed]]="",ABS(NETWORKDAYS(Proc[[#This Row],[DateOpened]],TODAY()))-1,ABS(NETWORKDAYS(Proc[[#This Row],[DateOpened]],Proc[[#This Row],[DateClosed]]))-1)</f>
        <v>1</v>
      </c>
      <c r="R1480" s="88" t="s">
        <v>515</v>
      </c>
      <c r="S1480" s="87"/>
    </row>
    <row r="1481" spans="1:19" hidden="1">
      <c r="A1481" s="86" t="s">
        <v>3229</v>
      </c>
      <c r="B1481" s="87" t="str">
        <f>IFERROR(VLOOKUP(Proc[[#This Row],[App]],Table2[],3,0),"open")</f>
        <v>ok</v>
      </c>
      <c r="C1481" s="86" t="s">
        <v>369</v>
      </c>
      <c r="D1481" t="s">
        <v>3234</v>
      </c>
      <c r="E1481" t="s">
        <v>3250</v>
      </c>
      <c r="F1481" s="105" t="s">
        <v>3250</v>
      </c>
      <c r="G1481" s="86" t="s">
        <v>406</v>
      </c>
      <c r="H1481" s="87" t="str">
        <f>IF(Proc[[#This Row],[type]]="LFF (MDG-F)",MID(Proc[[#This Row],[Obj]],13,10),"")</f>
        <v>DE10GM1057</v>
      </c>
      <c r="I1481" s="86" t="s">
        <v>3260</v>
      </c>
      <c r="J1481" s="87" t="b">
        <f>Proc[[#This Row],[Requested]]=Proc[[#This Row],[CurrentParent]]</f>
        <v>1</v>
      </c>
      <c r="K1481" s="87" t="str">
        <f>IF(Proc[[#This Row],[Author]]="Marcela Urrego",VLOOKUP(LEFT(Proc[[#This Row],[Requested]],1),Table3[#All],2,0),VLOOKUP(Proc[[#This Row],[Author]],Table4[],2,0))</f>
        <v>MGF</v>
      </c>
      <c r="L1481" s="87" t="s">
        <v>2563</v>
      </c>
      <c r="M1481" s="85">
        <v>45791.342372685183</v>
      </c>
      <c r="N1481" s="85">
        <v>45792</v>
      </c>
      <c r="O1481" s="85">
        <v>45792</v>
      </c>
      <c r="P1481" s="88" t="str">
        <f ca="1">IF(Proc[[#This Row],[DaysAgeing]]&gt;5,"yep","on track")</f>
        <v>on track</v>
      </c>
      <c r="Q1481" s="3">
        <f ca="1">IF(Proc[[#This Row],[DateClosed]]="",ABS(NETWORKDAYS(Proc[[#This Row],[DateOpened]],TODAY()))-1,ABS(NETWORKDAYS(Proc[[#This Row],[DateOpened]],Proc[[#This Row],[DateClosed]]))-1)</f>
        <v>1</v>
      </c>
      <c r="R1481" s="88" t="s">
        <v>515</v>
      </c>
      <c r="S1481" s="87"/>
    </row>
    <row r="1482" spans="1:19" hidden="1">
      <c r="A1482" s="86" t="s">
        <v>3229</v>
      </c>
      <c r="B1482" s="87" t="str">
        <f>IFERROR(VLOOKUP(Proc[[#This Row],[App]],Table2[],3,0),"open")</f>
        <v>ok</v>
      </c>
      <c r="C1482" s="86" t="s">
        <v>369</v>
      </c>
      <c r="D1482" t="s">
        <v>3235</v>
      </c>
      <c r="E1482" t="s">
        <v>3252</v>
      </c>
      <c r="F1482" s="105" t="s">
        <v>3252</v>
      </c>
      <c r="G1482" s="86" t="s">
        <v>406</v>
      </c>
      <c r="H1482" s="87" t="str">
        <f>IF(Proc[[#This Row],[type]]="LFF (MDG-F)",MID(Proc[[#This Row],[Obj]],13,10),"")</f>
        <v>DE10GMK003</v>
      </c>
      <c r="I1482" s="86" t="s">
        <v>3260</v>
      </c>
      <c r="J1482" s="87" t="b">
        <f>Proc[[#This Row],[Requested]]=Proc[[#This Row],[CurrentParent]]</f>
        <v>1</v>
      </c>
      <c r="K1482" s="87" t="str">
        <f>IF(Proc[[#This Row],[Author]]="Marcela Urrego",VLOOKUP(LEFT(Proc[[#This Row],[Requested]],1),Table3[#All],2,0),VLOOKUP(Proc[[#This Row],[Author]],Table4[],2,0))</f>
        <v>MGF</v>
      </c>
      <c r="L1482" s="87" t="s">
        <v>2563</v>
      </c>
      <c r="M1482" s="85">
        <v>45791.342372685183</v>
      </c>
      <c r="N1482" s="85">
        <v>45792</v>
      </c>
      <c r="O1482" s="85">
        <v>45792</v>
      </c>
      <c r="P1482" s="88" t="str">
        <f ca="1">IF(Proc[[#This Row],[DaysAgeing]]&gt;5,"yep","on track")</f>
        <v>on track</v>
      </c>
      <c r="Q1482" s="3">
        <f ca="1">IF(Proc[[#This Row],[DateClosed]]="",ABS(NETWORKDAYS(Proc[[#This Row],[DateOpened]],TODAY()))-1,ABS(NETWORKDAYS(Proc[[#This Row],[DateOpened]],Proc[[#This Row],[DateClosed]]))-1)</f>
        <v>1</v>
      </c>
      <c r="R1482" s="88" t="s">
        <v>515</v>
      </c>
      <c r="S1482" s="87"/>
    </row>
    <row r="1483" spans="1:19" hidden="1">
      <c r="A1483" s="86" t="s">
        <v>3229</v>
      </c>
      <c r="B1483" s="87" t="str">
        <f>IFERROR(VLOOKUP(Proc[[#This Row],[App]],Table2[],3,0),"open")</f>
        <v>ok</v>
      </c>
      <c r="C1483" s="86" t="s">
        <v>369</v>
      </c>
      <c r="D1483" t="s">
        <v>3236</v>
      </c>
      <c r="E1483" t="s">
        <v>3253</v>
      </c>
      <c r="F1483" s="105" t="s">
        <v>3253</v>
      </c>
      <c r="G1483" s="86" t="s">
        <v>406</v>
      </c>
      <c r="H1483" s="87" t="str">
        <f>IF(Proc[[#This Row],[type]]="LFF (MDG-F)",MID(Proc[[#This Row],[Obj]],13,10),"")</f>
        <v>DE10GMK004</v>
      </c>
      <c r="I1483" s="86" t="s">
        <v>3260</v>
      </c>
      <c r="J1483" s="87" t="b">
        <f>Proc[[#This Row],[Requested]]=Proc[[#This Row],[CurrentParent]]</f>
        <v>1</v>
      </c>
      <c r="K1483" s="87" t="str">
        <f>IF(Proc[[#This Row],[Author]]="Marcela Urrego",VLOOKUP(LEFT(Proc[[#This Row],[Requested]],1),Table3[#All],2,0),VLOOKUP(Proc[[#This Row],[Author]],Table4[],2,0))</f>
        <v>MGF</v>
      </c>
      <c r="L1483" s="87" t="s">
        <v>2563</v>
      </c>
      <c r="M1483" s="85">
        <v>45791.342372685183</v>
      </c>
      <c r="N1483" s="85">
        <v>45792</v>
      </c>
      <c r="O1483" s="85">
        <v>45792</v>
      </c>
      <c r="P1483" s="88" t="str">
        <f ca="1">IF(Proc[[#This Row],[DaysAgeing]]&gt;5,"yep","on track")</f>
        <v>on track</v>
      </c>
      <c r="Q1483" s="3">
        <f ca="1">IF(Proc[[#This Row],[DateClosed]]="",ABS(NETWORKDAYS(Proc[[#This Row],[DateOpened]],TODAY()))-1,ABS(NETWORKDAYS(Proc[[#This Row],[DateOpened]],Proc[[#This Row],[DateClosed]]))-1)</f>
        <v>1</v>
      </c>
      <c r="R1483" s="88" t="s">
        <v>515</v>
      </c>
      <c r="S1483" s="87"/>
    </row>
    <row r="1484" spans="1:19" hidden="1">
      <c r="A1484" s="86" t="s">
        <v>3229</v>
      </c>
      <c r="B1484" s="87" t="str">
        <f>IFERROR(VLOOKUP(Proc[[#This Row],[App]],Table2[],3,0),"open")</f>
        <v>ok</v>
      </c>
      <c r="C1484" s="86" t="s">
        <v>369</v>
      </c>
      <c r="D1484" t="s">
        <v>3237</v>
      </c>
      <c r="E1484" t="s">
        <v>3254</v>
      </c>
      <c r="F1484" s="105" t="s">
        <v>3254</v>
      </c>
      <c r="G1484" s="86" t="s">
        <v>406</v>
      </c>
      <c r="H1484" s="87" t="str">
        <f>IF(Proc[[#This Row],[type]]="LFF (MDG-F)",MID(Proc[[#This Row],[Obj]],13,10),"")</f>
        <v>DE10Z03107</v>
      </c>
      <c r="I1484" s="86" t="s">
        <v>3260</v>
      </c>
      <c r="J1484" s="87" t="b">
        <f>Proc[[#This Row],[Requested]]=Proc[[#This Row],[CurrentParent]]</f>
        <v>1</v>
      </c>
      <c r="K1484" s="87" t="str">
        <f>IF(Proc[[#This Row],[Author]]="Marcela Urrego",VLOOKUP(LEFT(Proc[[#This Row],[Requested]],1),Table3[#All],2,0),VLOOKUP(Proc[[#This Row],[Author]],Table4[],2,0))</f>
        <v>MGF</v>
      </c>
      <c r="L1484" s="87" t="s">
        <v>2563</v>
      </c>
      <c r="M1484" s="85">
        <v>45791.342372685183</v>
      </c>
      <c r="N1484" s="85">
        <v>45792</v>
      </c>
      <c r="O1484" s="85">
        <v>45792</v>
      </c>
      <c r="P1484" s="88" t="str">
        <f ca="1">IF(Proc[[#This Row],[DaysAgeing]]&gt;5,"yep","on track")</f>
        <v>on track</v>
      </c>
      <c r="Q1484" s="3">
        <f ca="1">IF(Proc[[#This Row],[DateClosed]]="",ABS(NETWORKDAYS(Proc[[#This Row],[DateOpened]],TODAY()))-1,ABS(NETWORKDAYS(Proc[[#This Row],[DateOpened]],Proc[[#This Row],[DateClosed]]))-1)</f>
        <v>1</v>
      </c>
      <c r="R1484" s="88" t="s">
        <v>515</v>
      </c>
      <c r="S1484" s="87"/>
    </row>
    <row r="1485" spans="1:19" hidden="1">
      <c r="A1485" s="86" t="s">
        <v>3229</v>
      </c>
      <c r="B1485" s="87" t="str">
        <f>IFERROR(VLOOKUP(Proc[[#This Row],[App]],Table2[],3,0),"open")</f>
        <v>ok</v>
      </c>
      <c r="C1485" s="86" t="s">
        <v>369</v>
      </c>
      <c r="D1485" t="s">
        <v>3238</v>
      </c>
      <c r="E1485" t="s">
        <v>3250</v>
      </c>
      <c r="F1485" s="105" t="s">
        <v>3250</v>
      </c>
      <c r="G1485" s="86" t="s">
        <v>406</v>
      </c>
      <c r="H1485" s="87" t="str">
        <f>IF(Proc[[#This Row],[type]]="LFF (MDG-F)",MID(Proc[[#This Row],[Obj]],13,10),"")</f>
        <v>DE10Z03108</v>
      </c>
      <c r="I1485" s="86" t="s">
        <v>3260</v>
      </c>
      <c r="J1485" s="87" t="b">
        <f>Proc[[#This Row],[Requested]]=Proc[[#This Row],[CurrentParent]]</f>
        <v>1</v>
      </c>
      <c r="K1485" s="87" t="str">
        <f>IF(Proc[[#This Row],[Author]]="Marcela Urrego",VLOOKUP(LEFT(Proc[[#This Row],[Requested]],1),Table3[#All],2,0),VLOOKUP(Proc[[#This Row],[Author]],Table4[],2,0))</f>
        <v>MGF</v>
      </c>
      <c r="L1485" s="87" t="s">
        <v>2563</v>
      </c>
      <c r="M1485" s="85">
        <v>45791.342372685183</v>
      </c>
      <c r="N1485" s="85">
        <v>45792</v>
      </c>
      <c r="O1485" s="85">
        <v>45792</v>
      </c>
      <c r="P1485" s="88" t="str">
        <f ca="1">IF(Proc[[#This Row],[DaysAgeing]]&gt;5,"yep","on track")</f>
        <v>on track</v>
      </c>
      <c r="Q1485" s="3">
        <f ca="1">IF(Proc[[#This Row],[DateClosed]]="",ABS(NETWORKDAYS(Proc[[#This Row],[DateOpened]],TODAY()))-1,ABS(NETWORKDAYS(Proc[[#This Row],[DateOpened]],Proc[[#This Row],[DateClosed]]))-1)</f>
        <v>1</v>
      </c>
      <c r="R1485" s="88" t="s">
        <v>515</v>
      </c>
      <c r="S1485" s="87"/>
    </row>
    <row r="1486" spans="1:19" hidden="1">
      <c r="A1486" s="86" t="s">
        <v>3229</v>
      </c>
      <c r="B1486" s="87" t="str">
        <f>IFERROR(VLOOKUP(Proc[[#This Row],[App]],Table2[],3,0),"open")</f>
        <v>ok</v>
      </c>
      <c r="C1486" s="86" t="s">
        <v>369</v>
      </c>
      <c r="D1486" t="s">
        <v>3239</v>
      </c>
      <c r="E1486" t="s">
        <v>3249</v>
      </c>
      <c r="F1486" s="105" t="s">
        <v>3249</v>
      </c>
      <c r="G1486" s="86" t="s">
        <v>406</v>
      </c>
      <c r="H1486" s="87" t="str">
        <f>IF(Proc[[#This Row],[type]]="LFF (MDG-F)",MID(Proc[[#This Row],[Obj]],13,10),"")</f>
        <v>DE10Z03109</v>
      </c>
      <c r="I1486" s="86" t="s">
        <v>3260</v>
      </c>
      <c r="J1486" s="87" t="b">
        <f>Proc[[#This Row],[Requested]]=Proc[[#This Row],[CurrentParent]]</f>
        <v>1</v>
      </c>
      <c r="K1486" s="87" t="str">
        <f>IF(Proc[[#This Row],[Author]]="Marcela Urrego",VLOOKUP(LEFT(Proc[[#This Row],[Requested]],1),Table3[#All],2,0),VLOOKUP(Proc[[#This Row],[Author]],Table4[],2,0))</f>
        <v>MGF</v>
      </c>
      <c r="L1486" s="87" t="s">
        <v>2563</v>
      </c>
      <c r="M1486" s="85">
        <v>45791.342372685183</v>
      </c>
      <c r="N1486" s="85">
        <v>45792</v>
      </c>
      <c r="O1486" s="85">
        <v>45792</v>
      </c>
      <c r="P1486" s="88" t="str">
        <f ca="1">IF(Proc[[#This Row],[DaysAgeing]]&gt;5,"yep","on track")</f>
        <v>on track</v>
      </c>
      <c r="Q1486" s="3">
        <f ca="1">IF(Proc[[#This Row],[DateClosed]]="",ABS(NETWORKDAYS(Proc[[#This Row],[DateOpened]],TODAY()))-1,ABS(NETWORKDAYS(Proc[[#This Row],[DateOpened]],Proc[[#This Row],[DateClosed]]))-1)</f>
        <v>1</v>
      </c>
      <c r="R1486" s="88" t="s">
        <v>515</v>
      </c>
      <c r="S1486" s="87"/>
    </row>
    <row r="1487" spans="1:19" hidden="1">
      <c r="A1487" s="86" t="s">
        <v>3229</v>
      </c>
      <c r="B1487" s="87" t="str">
        <f>IFERROR(VLOOKUP(Proc[[#This Row],[App]],Table2[],3,0),"open")</f>
        <v>ok</v>
      </c>
      <c r="C1487" s="86" t="s">
        <v>369</v>
      </c>
      <c r="D1487" t="s">
        <v>3240</v>
      </c>
      <c r="E1487" t="s">
        <v>3255</v>
      </c>
      <c r="F1487" s="105" t="s">
        <v>3255</v>
      </c>
      <c r="G1487" s="86" t="s">
        <v>406</v>
      </c>
      <c r="H1487" s="87" t="str">
        <f>IF(Proc[[#This Row],[type]]="LFF (MDG-F)",MID(Proc[[#This Row],[Obj]],13,10),"")</f>
        <v>DE10Z03110</v>
      </c>
      <c r="I1487" s="86" t="s">
        <v>3260</v>
      </c>
      <c r="J1487" s="87" t="b">
        <f>Proc[[#This Row],[Requested]]=Proc[[#This Row],[CurrentParent]]</f>
        <v>1</v>
      </c>
      <c r="K1487" s="87" t="str">
        <f>IF(Proc[[#This Row],[Author]]="Marcela Urrego",VLOOKUP(LEFT(Proc[[#This Row],[Requested]],1),Table3[#All],2,0),VLOOKUP(Proc[[#This Row],[Author]],Table4[],2,0))</f>
        <v>MGF</v>
      </c>
      <c r="L1487" s="87" t="s">
        <v>2563</v>
      </c>
      <c r="M1487" s="85">
        <v>45791.342372685183</v>
      </c>
      <c r="N1487" s="85">
        <v>45792</v>
      </c>
      <c r="O1487" s="85">
        <v>45792</v>
      </c>
      <c r="P1487" s="88" t="str">
        <f ca="1">IF(Proc[[#This Row],[DaysAgeing]]&gt;5,"yep","on track")</f>
        <v>on track</v>
      </c>
      <c r="Q1487" s="3">
        <f ca="1">IF(Proc[[#This Row],[DateClosed]]="",ABS(NETWORKDAYS(Proc[[#This Row],[DateOpened]],TODAY()))-1,ABS(NETWORKDAYS(Proc[[#This Row],[DateOpened]],Proc[[#This Row],[DateClosed]]))-1)</f>
        <v>1</v>
      </c>
      <c r="R1487" s="88" t="s">
        <v>515</v>
      </c>
      <c r="S1487" s="87"/>
    </row>
    <row r="1488" spans="1:19" hidden="1">
      <c r="A1488" s="86" t="s">
        <v>3229</v>
      </c>
      <c r="B1488" s="87" t="str">
        <f>IFERROR(VLOOKUP(Proc[[#This Row],[App]],Table2[],3,0),"open")</f>
        <v>ok</v>
      </c>
      <c r="C1488" s="86" t="s">
        <v>369</v>
      </c>
      <c r="D1488" t="s">
        <v>3241</v>
      </c>
      <c r="E1488" t="s">
        <v>3254</v>
      </c>
      <c r="F1488" s="105" t="s">
        <v>3254</v>
      </c>
      <c r="G1488" s="86" t="s">
        <v>406</v>
      </c>
      <c r="H1488" s="87" t="str">
        <f>IF(Proc[[#This Row],[type]]="LFF (MDG-F)",MID(Proc[[#This Row],[Obj]],13,10),"")</f>
        <v>1937GMK003</v>
      </c>
      <c r="I1488" s="86" t="s">
        <v>3260</v>
      </c>
      <c r="J1488" s="87" t="b">
        <f>Proc[[#This Row],[Requested]]=Proc[[#This Row],[CurrentParent]]</f>
        <v>1</v>
      </c>
      <c r="K1488" s="87" t="str">
        <f>IF(Proc[[#This Row],[Author]]="Marcela Urrego",VLOOKUP(LEFT(Proc[[#This Row],[Requested]],1),Table3[#All],2,0),VLOOKUP(Proc[[#This Row],[Author]],Table4[],2,0))</f>
        <v>MGF</v>
      </c>
      <c r="L1488" s="87" t="s">
        <v>2563</v>
      </c>
      <c r="M1488" s="85">
        <v>45791.342372685183</v>
      </c>
      <c r="N1488" s="85">
        <v>45792</v>
      </c>
      <c r="O1488" s="85">
        <v>45792</v>
      </c>
      <c r="P1488" s="88" t="str">
        <f ca="1">IF(Proc[[#This Row],[DaysAgeing]]&gt;5,"yep","on track")</f>
        <v>on track</v>
      </c>
      <c r="Q1488" s="3">
        <f ca="1">IF(Proc[[#This Row],[DateClosed]]="",ABS(NETWORKDAYS(Proc[[#This Row],[DateOpened]],TODAY()))-1,ABS(NETWORKDAYS(Proc[[#This Row],[DateOpened]],Proc[[#This Row],[DateClosed]]))-1)</f>
        <v>1</v>
      </c>
      <c r="R1488" s="88" t="s">
        <v>515</v>
      </c>
      <c r="S1488" s="87"/>
    </row>
    <row r="1489" spans="1:19" hidden="1">
      <c r="A1489" s="86" t="s">
        <v>3229</v>
      </c>
      <c r="B1489" s="87" t="str">
        <f>IFERROR(VLOOKUP(Proc[[#This Row],[App]],Table2[],3,0),"open")</f>
        <v>ok</v>
      </c>
      <c r="C1489" s="86" t="s">
        <v>369</v>
      </c>
      <c r="D1489" t="s">
        <v>3242</v>
      </c>
      <c r="E1489" t="s">
        <v>3249</v>
      </c>
      <c r="F1489" s="105" t="s">
        <v>3249</v>
      </c>
      <c r="G1489" s="86" t="s">
        <v>406</v>
      </c>
      <c r="H1489" s="87" t="str">
        <f>IF(Proc[[#This Row],[type]]="LFF (MDG-F)",MID(Proc[[#This Row],[Obj]],13,10),"")</f>
        <v>2025GMK003</v>
      </c>
      <c r="I1489" s="86" t="s">
        <v>3260</v>
      </c>
      <c r="J1489" s="87" t="b">
        <f>Proc[[#This Row],[Requested]]=Proc[[#This Row],[CurrentParent]]</f>
        <v>1</v>
      </c>
      <c r="K1489" s="87" t="str">
        <f>IF(Proc[[#This Row],[Author]]="Marcela Urrego",VLOOKUP(LEFT(Proc[[#This Row],[Requested]],1),Table3[#All],2,0),VLOOKUP(Proc[[#This Row],[Author]],Table4[],2,0))</f>
        <v>MGF</v>
      </c>
      <c r="L1489" s="87" t="s">
        <v>2563</v>
      </c>
      <c r="M1489" s="85">
        <v>45791.342372685183</v>
      </c>
      <c r="N1489" s="85">
        <v>45792</v>
      </c>
      <c r="O1489" s="85">
        <v>45792</v>
      </c>
      <c r="P1489" s="88" t="str">
        <f ca="1">IF(Proc[[#This Row],[DaysAgeing]]&gt;5,"yep","on track")</f>
        <v>on track</v>
      </c>
      <c r="Q1489" s="3">
        <f ca="1">IF(Proc[[#This Row],[DateClosed]]="",ABS(NETWORKDAYS(Proc[[#This Row],[DateOpened]],TODAY()))-1,ABS(NETWORKDAYS(Proc[[#This Row],[DateOpened]],Proc[[#This Row],[DateClosed]]))-1)</f>
        <v>1</v>
      </c>
      <c r="R1489" s="88" t="s">
        <v>515</v>
      </c>
      <c r="S1489" s="87"/>
    </row>
    <row r="1490" spans="1:19" hidden="1">
      <c r="A1490" s="86" t="s">
        <v>3229</v>
      </c>
      <c r="B1490" s="87" t="str">
        <f>IFERROR(VLOOKUP(Proc[[#This Row],[App]],Table2[],3,0),"open")</f>
        <v>ok</v>
      </c>
      <c r="C1490" s="86" t="s">
        <v>369</v>
      </c>
      <c r="D1490" t="s">
        <v>3243</v>
      </c>
      <c r="E1490" t="s">
        <v>3250</v>
      </c>
      <c r="F1490" s="105" t="s">
        <v>3250</v>
      </c>
      <c r="G1490" s="86" t="s">
        <v>406</v>
      </c>
      <c r="H1490" s="87" t="str">
        <f>IF(Proc[[#This Row],[type]]="LFF (MDG-F)",MID(Proc[[#This Row],[Obj]],13,10),"")</f>
        <v>2123Z03104</v>
      </c>
      <c r="I1490" t="s">
        <v>3260</v>
      </c>
      <c r="J1490" s="87" t="b">
        <f>Proc[[#This Row],[Requested]]=Proc[[#This Row],[CurrentParent]]</f>
        <v>1</v>
      </c>
      <c r="K1490" s="87" t="str">
        <f>IF(Proc[[#This Row],[Author]]="Marcela Urrego",VLOOKUP(LEFT(Proc[[#This Row],[Requested]],1),Table3[#All],2,0),VLOOKUP(Proc[[#This Row],[Author]],Table4[],2,0))</f>
        <v>MGF</v>
      </c>
      <c r="L1490" s="87" t="s">
        <v>2563</v>
      </c>
      <c r="M1490" s="85">
        <v>45791.342372685183</v>
      </c>
      <c r="N1490" s="85">
        <v>45792</v>
      </c>
      <c r="O1490" s="85">
        <v>45792</v>
      </c>
      <c r="P1490" s="88" t="str">
        <f ca="1">IF(Proc[[#This Row],[DaysAgeing]]&gt;5,"yep","on track")</f>
        <v>on track</v>
      </c>
      <c r="Q1490" s="3">
        <f ca="1">IF(Proc[[#This Row],[DateClosed]]="",ABS(NETWORKDAYS(Proc[[#This Row],[DateOpened]],TODAY()))-1,ABS(NETWORKDAYS(Proc[[#This Row],[DateOpened]],Proc[[#This Row],[DateClosed]]))-1)</f>
        <v>1</v>
      </c>
      <c r="R1490" s="88" t="s">
        <v>515</v>
      </c>
      <c r="S1490" s="87"/>
    </row>
    <row r="1491" spans="1:19" hidden="1">
      <c r="A1491" s="86" t="s">
        <v>3229</v>
      </c>
      <c r="B1491" s="87" t="str">
        <f>IFERROR(VLOOKUP(Proc[[#This Row],[App]],Table2[],3,0),"open")</f>
        <v>ok</v>
      </c>
      <c r="C1491" s="86" t="s">
        <v>369</v>
      </c>
      <c r="D1491" t="s">
        <v>3244</v>
      </c>
      <c r="E1491" t="s">
        <v>3249</v>
      </c>
      <c r="F1491" s="105" t="s">
        <v>3249</v>
      </c>
      <c r="G1491" t="s">
        <v>400</v>
      </c>
      <c r="H1491" s="87" t="str">
        <f>IF(Proc[[#This Row],[type]]="LFF (MDG-F)",MID(Proc[[#This Row],[Obj]],13,10),"")</f>
        <v/>
      </c>
      <c r="J1491" s="87" t="b">
        <f>Proc[[#This Row],[Requested]]=Proc[[#This Row],[CurrentParent]]</f>
        <v>1</v>
      </c>
      <c r="K1491" s="87" t="str">
        <f>IF(Proc[[#This Row],[Author]]="Marcela Urrego",VLOOKUP(LEFT(Proc[[#This Row],[Requested]],1),Table3[#All],2,0),VLOOKUP(Proc[[#This Row],[Author]],Table4[],2,0))</f>
        <v>MGF</v>
      </c>
      <c r="L1491" s="87" t="s">
        <v>2563</v>
      </c>
      <c r="M1491" s="85">
        <v>45791.342372685183</v>
      </c>
      <c r="N1491" s="85">
        <v>45792</v>
      </c>
      <c r="O1491" s="85">
        <v>45792</v>
      </c>
      <c r="P1491" s="88" t="str">
        <f ca="1">IF(Proc[[#This Row],[DaysAgeing]]&gt;5,"yep","on track")</f>
        <v>on track</v>
      </c>
      <c r="Q1491" s="3">
        <f ca="1">IF(Proc[[#This Row],[DateClosed]]="",ABS(NETWORKDAYS(Proc[[#This Row],[DateOpened]],TODAY()))-1,ABS(NETWORKDAYS(Proc[[#This Row],[DateOpened]],Proc[[#This Row],[DateClosed]]))-1)</f>
        <v>1</v>
      </c>
      <c r="R1491" s="88" t="s">
        <v>515</v>
      </c>
      <c r="S1491" s="87"/>
    </row>
    <row r="1492" spans="1:19" hidden="1">
      <c r="A1492" s="86" t="s">
        <v>3229</v>
      </c>
      <c r="B1492" s="87" t="str">
        <f>IFERROR(VLOOKUP(Proc[[#This Row],[App]],Table2[],3,0),"open")</f>
        <v>ok</v>
      </c>
      <c r="C1492" s="86" t="s">
        <v>369</v>
      </c>
      <c r="D1492" t="s">
        <v>3245</v>
      </c>
      <c r="E1492" t="s">
        <v>3250</v>
      </c>
      <c r="F1492" s="105" t="s">
        <v>3250</v>
      </c>
      <c r="G1492" s="86" t="s">
        <v>400</v>
      </c>
      <c r="H1492" s="87" t="str">
        <f>IF(Proc[[#This Row],[type]]="LFF (MDG-F)",MID(Proc[[#This Row],[Obj]],13,10),"")</f>
        <v/>
      </c>
      <c r="J1492" s="87" t="b">
        <f>Proc[[#This Row],[Requested]]=Proc[[#This Row],[CurrentParent]]</f>
        <v>1</v>
      </c>
      <c r="K1492" s="87" t="str">
        <f>IF(Proc[[#This Row],[Author]]="Marcela Urrego",VLOOKUP(LEFT(Proc[[#This Row],[Requested]],1),Table3[#All],2,0),VLOOKUP(Proc[[#This Row],[Author]],Table4[],2,0))</f>
        <v>MGF</v>
      </c>
      <c r="L1492" s="87" t="s">
        <v>2563</v>
      </c>
      <c r="M1492" s="85">
        <v>45791.342372685183</v>
      </c>
      <c r="N1492" s="85">
        <v>45792</v>
      </c>
      <c r="O1492" s="85">
        <v>45792</v>
      </c>
      <c r="P1492" s="88" t="str">
        <f ca="1">IF(Proc[[#This Row],[DaysAgeing]]&gt;5,"yep","on track")</f>
        <v>on track</v>
      </c>
      <c r="Q1492" s="3">
        <f ca="1">IF(Proc[[#This Row],[DateClosed]]="",ABS(NETWORKDAYS(Proc[[#This Row],[DateOpened]],TODAY()))-1,ABS(NETWORKDAYS(Proc[[#This Row],[DateOpened]],Proc[[#This Row],[DateClosed]]))-1)</f>
        <v>1</v>
      </c>
      <c r="R1492" s="88" t="s">
        <v>515</v>
      </c>
      <c r="S1492" s="87"/>
    </row>
    <row r="1493" spans="1:19" hidden="1">
      <c r="A1493" s="86" t="s">
        <v>3229</v>
      </c>
      <c r="B1493" s="87" t="str">
        <f>IFERROR(VLOOKUP(Proc[[#This Row],[App]],Table2[],3,0),"open")</f>
        <v>ok</v>
      </c>
      <c r="C1493" s="86" t="s">
        <v>369</v>
      </c>
      <c r="D1493" t="s">
        <v>3246</v>
      </c>
      <c r="E1493" t="s">
        <v>3253</v>
      </c>
      <c r="F1493" s="105" t="s">
        <v>3253</v>
      </c>
      <c r="G1493" s="86" t="s">
        <v>400</v>
      </c>
      <c r="H1493" s="87" t="str">
        <f>IF(Proc[[#This Row],[type]]="LFF (MDG-F)",MID(Proc[[#This Row],[Obj]],13,10),"")</f>
        <v/>
      </c>
      <c r="J1493" s="87" t="b">
        <f>Proc[[#This Row],[Requested]]=Proc[[#This Row],[CurrentParent]]</f>
        <v>1</v>
      </c>
      <c r="K1493" s="87" t="str">
        <f>IF(Proc[[#This Row],[Author]]="Marcela Urrego",VLOOKUP(LEFT(Proc[[#This Row],[Requested]],1),Table3[#All],2,0),VLOOKUP(Proc[[#This Row],[Author]],Table4[],2,0))</f>
        <v>MGF</v>
      </c>
      <c r="L1493" s="87" t="s">
        <v>2563</v>
      </c>
      <c r="M1493" s="85">
        <v>45791.342372685183</v>
      </c>
      <c r="N1493" s="85">
        <v>45792</v>
      </c>
      <c r="O1493" s="85">
        <v>45792</v>
      </c>
      <c r="P1493" s="88" t="str">
        <f ca="1">IF(Proc[[#This Row],[DaysAgeing]]&gt;5,"yep","on track")</f>
        <v>on track</v>
      </c>
      <c r="Q1493" s="3">
        <f ca="1">IF(Proc[[#This Row],[DateClosed]]="",ABS(NETWORKDAYS(Proc[[#This Row],[DateOpened]],TODAY()))-1,ABS(NETWORKDAYS(Proc[[#This Row],[DateOpened]],Proc[[#This Row],[DateClosed]]))-1)</f>
        <v>1</v>
      </c>
      <c r="R1493" s="88" t="s">
        <v>515</v>
      </c>
      <c r="S1493" s="87"/>
    </row>
    <row r="1494" spans="1:19" hidden="1">
      <c r="A1494" s="86" t="s">
        <v>3229</v>
      </c>
      <c r="B1494" s="87" t="str">
        <f>IFERROR(VLOOKUP(Proc[[#This Row],[App]],Table2[],3,0),"open")</f>
        <v>ok</v>
      </c>
      <c r="C1494" s="86" t="s">
        <v>369</v>
      </c>
      <c r="D1494" t="s">
        <v>3247</v>
      </c>
      <c r="E1494" t="s">
        <v>3249</v>
      </c>
      <c r="F1494" s="105" t="s">
        <v>3249</v>
      </c>
      <c r="G1494" s="86" t="s">
        <v>400</v>
      </c>
      <c r="H1494" s="87" t="str">
        <f>IF(Proc[[#This Row],[type]]="LFF (MDG-F)",MID(Proc[[#This Row],[Obj]],13,10),"")</f>
        <v/>
      </c>
      <c r="J1494" s="87" t="b">
        <f>Proc[[#This Row],[Requested]]=Proc[[#This Row],[CurrentParent]]</f>
        <v>1</v>
      </c>
      <c r="K1494" s="87" t="str">
        <f>IF(Proc[[#This Row],[Author]]="Marcela Urrego",VLOOKUP(LEFT(Proc[[#This Row],[Requested]],1),Table3[#All],2,0),VLOOKUP(Proc[[#This Row],[Author]],Table4[],2,0))</f>
        <v>MGF</v>
      </c>
      <c r="L1494" s="87" t="s">
        <v>2563</v>
      </c>
      <c r="M1494" s="85">
        <v>45791.342372685183</v>
      </c>
      <c r="N1494" s="85">
        <v>45792</v>
      </c>
      <c r="O1494" s="85">
        <v>45792</v>
      </c>
      <c r="P1494" s="88" t="str">
        <f ca="1">IF(Proc[[#This Row],[DaysAgeing]]&gt;5,"yep","on track")</f>
        <v>on track</v>
      </c>
      <c r="Q1494" s="3">
        <f ca="1">IF(Proc[[#This Row],[DateClosed]]="",ABS(NETWORKDAYS(Proc[[#This Row],[DateOpened]],TODAY()))-1,ABS(NETWORKDAYS(Proc[[#This Row],[DateOpened]],Proc[[#This Row],[DateClosed]]))-1)</f>
        <v>1</v>
      </c>
      <c r="R1494" s="88" t="s">
        <v>515</v>
      </c>
      <c r="S1494" s="87"/>
    </row>
    <row r="1495" spans="1:19" hidden="1">
      <c r="A1495" s="86" t="s">
        <v>3229</v>
      </c>
      <c r="B1495" s="87" t="str">
        <f>IFERROR(VLOOKUP(Proc[[#This Row],[App]],Table2[],3,0),"open")</f>
        <v>ok</v>
      </c>
      <c r="C1495" s="86" t="s">
        <v>369</v>
      </c>
      <c r="D1495" t="s">
        <v>3248</v>
      </c>
      <c r="E1495" t="s">
        <v>3250</v>
      </c>
      <c r="F1495" s="105" t="s">
        <v>3250</v>
      </c>
      <c r="G1495" s="86" t="s">
        <v>400</v>
      </c>
      <c r="H1495" s="87" t="str">
        <f>IF(Proc[[#This Row],[type]]="LFF (MDG-F)",MID(Proc[[#This Row],[Obj]],13,10),"")</f>
        <v/>
      </c>
      <c r="J1495" s="87" t="b">
        <f>Proc[[#This Row],[Requested]]=Proc[[#This Row],[CurrentParent]]</f>
        <v>1</v>
      </c>
      <c r="K1495" s="87" t="str">
        <f>IF(Proc[[#This Row],[Author]]="Marcela Urrego",VLOOKUP(LEFT(Proc[[#This Row],[Requested]],1),Table3[#All],2,0),VLOOKUP(Proc[[#This Row],[Author]],Table4[],2,0))</f>
        <v>MGF</v>
      </c>
      <c r="L1495" s="87" t="s">
        <v>2563</v>
      </c>
      <c r="M1495" s="85">
        <v>45791.342372685183</v>
      </c>
      <c r="N1495" s="85">
        <v>45792</v>
      </c>
      <c r="O1495" s="85">
        <v>45792</v>
      </c>
      <c r="P1495" s="88" t="str">
        <f ca="1">IF(Proc[[#This Row],[DaysAgeing]]&gt;5,"yep","on track")</f>
        <v>on track</v>
      </c>
      <c r="Q1495" s="3">
        <f ca="1">IF(Proc[[#This Row],[DateClosed]]="",ABS(NETWORKDAYS(Proc[[#This Row],[DateOpened]],TODAY()))-1,ABS(NETWORKDAYS(Proc[[#This Row],[DateOpened]],Proc[[#This Row],[DateClosed]]))-1)</f>
        <v>1</v>
      </c>
      <c r="R1495" s="88" t="s">
        <v>515</v>
      </c>
      <c r="S1495" s="87"/>
    </row>
    <row r="1496" spans="1:19" hidden="1">
      <c r="A1496" t="s">
        <v>3256</v>
      </c>
      <c r="B1496" s="87" t="str">
        <f>IFERROR(VLOOKUP(Proc[[#This Row],[App]],Table2[],3,0),"open")</f>
        <v>ok</v>
      </c>
      <c r="C1496" s="86" t="s">
        <v>369</v>
      </c>
      <c r="D1496" t="s">
        <v>2601</v>
      </c>
      <c r="E1496" t="s">
        <v>3258</v>
      </c>
      <c r="F1496" s="105" t="s">
        <v>3258</v>
      </c>
      <c r="G1496" s="86" t="s">
        <v>400</v>
      </c>
      <c r="H1496" s="87" t="str">
        <f>IF(Proc[[#This Row],[type]]="LFF (MDG-F)",MID(Proc[[#This Row],[Obj]],13,10),"")</f>
        <v/>
      </c>
      <c r="J1496" s="87" t="b">
        <f>Proc[[#This Row],[Requested]]=Proc[[#This Row],[CurrentParent]]</f>
        <v>1</v>
      </c>
      <c r="K1496" s="87" t="str">
        <f>IF(Proc[[#This Row],[Author]]="Marcela Urrego",VLOOKUP(LEFT(Proc[[#This Row],[Requested]],1),Table3[#All],2,0),VLOOKUP(Proc[[#This Row],[Author]],Table4[],2,0))</f>
        <v>MGF</v>
      </c>
      <c r="L1496" s="87" t="s">
        <v>2563</v>
      </c>
      <c r="M1496" s="85">
        <v>45791.326874999999</v>
      </c>
      <c r="N1496" s="85">
        <v>45792</v>
      </c>
      <c r="O1496" s="85">
        <v>45792</v>
      </c>
      <c r="P1496" s="88" t="str">
        <f ca="1">IF(Proc[[#This Row],[DaysAgeing]]&gt;5,"yep","on track")</f>
        <v>on track</v>
      </c>
      <c r="Q1496" s="3">
        <f ca="1">IF(Proc[[#This Row],[DateClosed]]="",ABS(NETWORKDAYS(Proc[[#This Row],[DateOpened]],TODAY()))-1,ABS(NETWORKDAYS(Proc[[#This Row],[DateOpened]],Proc[[#This Row],[DateClosed]]))-1)</f>
        <v>1</v>
      </c>
      <c r="R1496" s="88" t="s">
        <v>515</v>
      </c>
      <c r="S1496" s="87"/>
    </row>
    <row r="1497" spans="1:19" hidden="1">
      <c r="A1497" s="86" t="s">
        <v>3256</v>
      </c>
      <c r="B1497" s="87" t="str">
        <f>IFERROR(VLOOKUP(Proc[[#This Row],[App]],Table2[],3,0),"open")</f>
        <v>ok</v>
      </c>
      <c r="C1497" s="86" t="s">
        <v>369</v>
      </c>
      <c r="D1497" t="s">
        <v>3257</v>
      </c>
      <c r="E1497" t="s">
        <v>3259</v>
      </c>
      <c r="F1497" s="105" t="s">
        <v>3259</v>
      </c>
      <c r="G1497" s="86" t="s">
        <v>400</v>
      </c>
      <c r="H1497" s="87" t="str">
        <f>IF(Proc[[#This Row],[type]]="LFF (MDG-F)",MID(Proc[[#This Row],[Obj]],13,10),"")</f>
        <v/>
      </c>
      <c r="J1497" s="87" t="b">
        <f>Proc[[#This Row],[Requested]]=Proc[[#This Row],[CurrentParent]]</f>
        <v>1</v>
      </c>
      <c r="K1497" s="87" t="str">
        <f>IF(Proc[[#This Row],[Author]]="Marcela Urrego",VLOOKUP(LEFT(Proc[[#This Row],[Requested]],1),Table3[#All],2,0),VLOOKUP(Proc[[#This Row],[Author]],Table4[],2,0))</f>
        <v>MGF</v>
      </c>
      <c r="L1497" s="87" t="s">
        <v>2563</v>
      </c>
      <c r="M1497" s="85">
        <v>45791.326874999999</v>
      </c>
      <c r="N1497" s="85">
        <v>45792</v>
      </c>
      <c r="O1497" s="85">
        <v>45792</v>
      </c>
      <c r="P1497" s="88" t="str">
        <f ca="1">IF(Proc[[#This Row],[DaysAgeing]]&gt;5,"yep","on track")</f>
        <v>on track</v>
      </c>
      <c r="Q1497" s="3">
        <f ca="1">IF(Proc[[#This Row],[DateClosed]]="",ABS(NETWORKDAYS(Proc[[#This Row],[DateOpened]],TODAY()))-1,ABS(NETWORKDAYS(Proc[[#This Row],[DateOpened]],Proc[[#This Row],[DateClosed]]))-1)</f>
        <v>1</v>
      </c>
      <c r="R1497" s="88" t="s">
        <v>515</v>
      </c>
      <c r="S1497" s="87"/>
    </row>
    <row r="1498" spans="1:19" hidden="1">
      <c r="A1498" t="s">
        <v>3261</v>
      </c>
      <c r="B1498" s="87" t="str">
        <f>IFERROR(VLOOKUP(Proc[[#This Row],[App]],Table2[],3,0),"open")</f>
        <v>ok</v>
      </c>
      <c r="C1498" s="86" t="s">
        <v>369</v>
      </c>
      <c r="D1498" t="s">
        <v>3262</v>
      </c>
      <c r="E1498" t="s">
        <v>3265</v>
      </c>
      <c r="F1498" s="105" t="s">
        <v>3265</v>
      </c>
      <c r="G1498" s="86" t="s">
        <v>400</v>
      </c>
      <c r="H1498" s="87" t="str">
        <f>IF(Proc[[#This Row],[type]]="LFF (MDG-F)",MID(Proc[[#This Row],[Obj]],13,10),"")</f>
        <v/>
      </c>
      <c r="J1498" s="87" t="b">
        <f>Proc[[#This Row],[Requested]]=Proc[[#This Row],[CurrentParent]]</f>
        <v>1</v>
      </c>
      <c r="K1498" s="87" t="str">
        <f>IF(Proc[[#This Row],[Author]]="Marcela Urrego",VLOOKUP(LEFT(Proc[[#This Row],[Requested]],1),Table3[#All],2,0),VLOOKUP(Proc[[#This Row],[Author]],Table4[],2,0))</f>
        <v>LS</v>
      </c>
      <c r="L1498" s="87" t="s">
        <v>2563</v>
      </c>
      <c r="M1498" s="85">
        <v>45792.391504629632</v>
      </c>
      <c r="N1498" s="85">
        <v>45796</v>
      </c>
      <c r="O1498" s="85">
        <v>45796</v>
      </c>
      <c r="P1498" s="88" t="str">
        <f ca="1">IF(Proc[[#This Row],[DaysAgeing]]&gt;5,"yep","on track")</f>
        <v>on track</v>
      </c>
      <c r="Q1498" s="3">
        <f ca="1">IF(Proc[[#This Row],[DateClosed]]="",ABS(NETWORKDAYS(Proc[[#This Row],[DateOpened]],TODAY()))-1,ABS(NETWORKDAYS(Proc[[#This Row],[DateOpened]],Proc[[#This Row],[DateClosed]]))-1)</f>
        <v>2</v>
      </c>
      <c r="R1498" s="88" t="s">
        <v>489</v>
      </c>
      <c r="S1498" s="87"/>
    </row>
    <row r="1499" spans="1:19" hidden="1">
      <c r="A1499" s="86" t="s">
        <v>3261</v>
      </c>
      <c r="B1499" s="87" t="str">
        <f>IFERROR(VLOOKUP(Proc[[#This Row],[App]],Table2[],3,0),"open")</f>
        <v>ok</v>
      </c>
      <c r="C1499" s="86" t="s">
        <v>369</v>
      </c>
      <c r="D1499" t="s">
        <v>3263</v>
      </c>
      <c r="E1499" t="s">
        <v>3266</v>
      </c>
      <c r="F1499" s="105" t="s">
        <v>3266</v>
      </c>
      <c r="G1499" s="86" t="s">
        <v>400</v>
      </c>
      <c r="H1499" s="87" t="str">
        <f>IF(Proc[[#This Row],[type]]="LFF (MDG-F)",MID(Proc[[#This Row],[Obj]],13,10),"")</f>
        <v/>
      </c>
      <c r="J1499" s="87" t="b">
        <f>Proc[[#This Row],[Requested]]=Proc[[#This Row],[CurrentParent]]</f>
        <v>1</v>
      </c>
      <c r="K1499" s="87" t="str">
        <f>IF(Proc[[#This Row],[Author]]="Marcela Urrego",VLOOKUP(LEFT(Proc[[#This Row],[Requested]],1),Table3[#All],2,0),VLOOKUP(Proc[[#This Row],[Author]],Table4[],2,0))</f>
        <v>LS</v>
      </c>
      <c r="L1499" s="87" t="s">
        <v>2563</v>
      </c>
      <c r="M1499" s="85">
        <v>45792.391504629632</v>
      </c>
      <c r="N1499" s="85">
        <v>45796</v>
      </c>
      <c r="O1499" s="85">
        <v>45796</v>
      </c>
      <c r="P1499" s="88" t="str">
        <f ca="1">IF(Proc[[#This Row],[DaysAgeing]]&gt;5,"yep","on track")</f>
        <v>on track</v>
      </c>
      <c r="Q1499" s="3">
        <f ca="1">IF(Proc[[#This Row],[DateClosed]]="",ABS(NETWORKDAYS(Proc[[#This Row],[DateOpened]],TODAY()))-1,ABS(NETWORKDAYS(Proc[[#This Row],[DateOpened]],Proc[[#This Row],[DateClosed]]))-1)</f>
        <v>2</v>
      </c>
      <c r="R1499" s="88" t="s">
        <v>489</v>
      </c>
      <c r="S1499" s="87"/>
    </row>
    <row r="1500" spans="1:19" hidden="1">
      <c r="A1500" s="86" t="s">
        <v>3261</v>
      </c>
      <c r="B1500" s="87" t="str">
        <f>IFERROR(VLOOKUP(Proc[[#This Row],[App]],Table2[],3,0),"open")</f>
        <v>ok</v>
      </c>
      <c r="C1500" s="86" t="s">
        <v>369</v>
      </c>
      <c r="D1500" t="s">
        <v>3264</v>
      </c>
      <c r="E1500" t="s">
        <v>3267</v>
      </c>
      <c r="F1500" s="105" t="s">
        <v>3267</v>
      </c>
      <c r="G1500" s="86" t="s">
        <v>400</v>
      </c>
      <c r="H1500" s="87" t="str">
        <f>IF(Proc[[#This Row],[type]]="LFF (MDG-F)",MID(Proc[[#This Row],[Obj]],13,10),"")</f>
        <v/>
      </c>
      <c r="J1500" s="87" t="b">
        <f>Proc[[#This Row],[Requested]]=Proc[[#This Row],[CurrentParent]]</f>
        <v>1</v>
      </c>
      <c r="K1500" s="87" t="str">
        <f>IF(Proc[[#This Row],[Author]]="Marcela Urrego",VLOOKUP(LEFT(Proc[[#This Row],[Requested]],1),Table3[#All],2,0),VLOOKUP(Proc[[#This Row],[Author]],Table4[],2,0))</f>
        <v>LS</v>
      </c>
      <c r="L1500" s="87" t="s">
        <v>2563</v>
      </c>
      <c r="M1500" s="85">
        <v>45792.391504629632</v>
      </c>
      <c r="N1500" s="85">
        <v>45796</v>
      </c>
      <c r="O1500" s="85">
        <v>45796</v>
      </c>
      <c r="P1500" s="88" t="str">
        <f ca="1">IF(Proc[[#This Row],[DaysAgeing]]&gt;5,"yep","on track")</f>
        <v>on track</v>
      </c>
      <c r="Q1500" s="3">
        <f ca="1">IF(Proc[[#This Row],[DateClosed]]="",ABS(NETWORKDAYS(Proc[[#This Row],[DateOpened]],TODAY()))-1,ABS(NETWORKDAYS(Proc[[#This Row],[DateOpened]],Proc[[#This Row],[DateClosed]]))-1)</f>
        <v>2</v>
      </c>
      <c r="R1500" s="88" t="s">
        <v>489</v>
      </c>
      <c r="S1500" s="87"/>
    </row>
    <row r="1501" spans="1:19" hidden="1">
      <c r="A1501" t="s">
        <v>3268</v>
      </c>
      <c r="B1501" s="87" t="str">
        <f>IFERROR(VLOOKUP(Proc[[#This Row],[App]],Table2[],3,0),"open")</f>
        <v>ok</v>
      </c>
      <c r="C1501" s="86" t="s">
        <v>369</v>
      </c>
      <c r="D1501" t="s">
        <v>3269</v>
      </c>
      <c r="E1501" t="s">
        <v>3280</v>
      </c>
      <c r="F1501" s="105" t="s">
        <v>3280</v>
      </c>
      <c r="G1501" s="86" t="s">
        <v>400</v>
      </c>
      <c r="H1501" s="87" t="str">
        <f>IF(Proc[[#This Row],[type]]="LFF (MDG-F)",MID(Proc[[#This Row],[Obj]],13,10),"")</f>
        <v/>
      </c>
      <c r="J1501" s="87" t="b">
        <f>Proc[[#This Row],[Requested]]=Proc[[#This Row],[CurrentParent]]</f>
        <v>1</v>
      </c>
      <c r="K1501" s="87" t="str">
        <f>IF(Proc[[#This Row],[Author]]="Marcela Urrego",VLOOKUP(LEFT(Proc[[#This Row],[Requested]],1),Table3[#All],2,0),VLOOKUP(Proc[[#This Row],[Author]],Table4[],2,0))</f>
        <v>HC</v>
      </c>
      <c r="L1501" s="87" t="s">
        <v>2563</v>
      </c>
      <c r="M1501" s="85">
        <v>45791.7815162037</v>
      </c>
      <c r="N1501" s="85">
        <v>45796</v>
      </c>
      <c r="O1501" s="85">
        <v>45796</v>
      </c>
      <c r="P1501" s="88" t="str">
        <f ca="1">IF(Proc[[#This Row],[DaysAgeing]]&gt;5,"yep","on track")</f>
        <v>on track</v>
      </c>
      <c r="Q1501" s="3">
        <f ca="1">IF(Proc[[#This Row],[DateClosed]]="",ABS(NETWORKDAYS(Proc[[#This Row],[DateOpened]],TODAY()))-1,ABS(NETWORKDAYS(Proc[[#This Row],[DateOpened]],Proc[[#This Row],[DateClosed]]))-1)</f>
        <v>3</v>
      </c>
      <c r="R1501" s="88" t="s">
        <v>3285</v>
      </c>
      <c r="S1501" s="87"/>
    </row>
    <row r="1502" spans="1:19" hidden="1">
      <c r="A1502" s="86" t="s">
        <v>3268</v>
      </c>
      <c r="B1502" s="87" t="str">
        <f>IFERROR(VLOOKUP(Proc[[#This Row],[App]],Table2[],3,0),"open")</f>
        <v>ok</v>
      </c>
      <c r="C1502" s="86" t="s">
        <v>369</v>
      </c>
      <c r="D1502" t="s">
        <v>3270</v>
      </c>
      <c r="E1502" t="s">
        <v>3281</v>
      </c>
      <c r="F1502" s="105" t="s">
        <v>3281</v>
      </c>
      <c r="G1502" s="86" t="s">
        <v>400</v>
      </c>
      <c r="H1502" s="87" t="str">
        <f>IF(Proc[[#This Row],[type]]="LFF (MDG-F)",MID(Proc[[#This Row],[Obj]],13,10),"")</f>
        <v/>
      </c>
      <c r="J1502" s="87" t="b">
        <f>Proc[[#This Row],[Requested]]=Proc[[#This Row],[CurrentParent]]</f>
        <v>1</v>
      </c>
      <c r="K1502" s="87" t="str">
        <f>IF(Proc[[#This Row],[Author]]="Marcela Urrego",VLOOKUP(LEFT(Proc[[#This Row],[Requested]],1),Table3[#All],2,0),VLOOKUP(Proc[[#This Row],[Author]],Table4[],2,0))</f>
        <v>HC</v>
      </c>
      <c r="L1502" s="87" t="s">
        <v>2563</v>
      </c>
      <c r="M1502" s="85">
        <v>45791.7815162037</v>
      </c>
      <c r="N1502" s="85">
        <v>45796</v>
      </c>
      <c r="O1502" s="85">
        <v>45796</v>
      </c>
      <c r="P1502" s="88" t="str">
        <f ca="1">IF(Proc[[#This Row],[DaysAgeing]]&gt;5,"yep","on track")</f>
        <v>on track</v>
      </c>
      <c r="Q1502" s="3">
        <f ca="1">IF(Proc[[#This Row],[DateClosed]]="",ABS(NETWORKDAYS(Proc[[#This Row],[DateOpened]],TODAY()))-1,ABS(NETWORKDAYS(Proc[[#This Row],[DateOpened]],Proc[[#This Row],[DateClosed]]))-1)</f>
        <v>3</v>
      </c>
      <c r="R1502" s="88" t="s">
        <v>3285</v>
      </c>
      <c r="S1502" s="87"/>
    </row>
    <row r="1503" spans="1:19" hidden="1">
      <c r="A1503" s="86" t="s">
        <v>3268</v>
      </c>
      <c r="B1503" s="87" t="str">
        <f>IFERROR(VLOOKUP(Proc[[#This Row],[App]],Table2[],3,0),"open")</f>
        <v>ok</v>
      </c>
      <c r="C1503" s="86" t="s">
        <v>369</v>
      </c>
      <c r="D1503" t="s">
        <v>3271</v>
      </c>
      <c r="E1503" t="s">
        <v>3282</v>
      </c>
      <c r="F1503" s="105" t="s">
        <v>3282</v>
      </c>
      <c r="G1503" s="86" t="s">
        <v>400</v>
      </c>
      <c r="H1503" s="87" t="str">
        <f>IF(Proc[[#This Row],[type]]="LFF (MDG-F)",MID(Proc[[#This Row],[Obj]],13,10),"")</f>
        <v/>
      </c>
      <c r="J1503" s="87" t="b">
        <f>Proc[[#This Row],[Requested]]=Proc[[#This Row],[CurrentParent]]</f>
        <v>1</v>
      </c>
      <c r="K1503" s="87" t="str">
        <f>IF(Proc[[#This Row],[Author]]="Marcela Urrego",VLOOKUP(LEFT(Proc[[#This Row],[Requested]],1),Table3[#All],2,0),VLOOKUP(Proc[[#This Row],[Author]],Table4[],2,0))</f>
        <v>HC</v>
      </c>
      <c r="L1503" s="87" t="s">
        <v>2563</v>
      </c>
      <c r="M1503" s="85">
        <v>45791.7815162037</v>
      </c>
      <c r="N1503" s="85">
        <v>45796</v>
      </c>
      <c r="O1503" s="85">
        <v>45796</v>
      </c>
      <c r="P1503" s="88" t="str">
        <f ca="1">IF(Proc[[#This Row],[DaysAgeing]]&gt;5,"yep","on track")</f>
        <v>on track</v>
      </c>
      <c r="Q1503" s="3">
        <f ca="1">IF(Proc[[#This Row],[DateClosed]]="",ABS(NETWORKDAYS(Proc[[#This Row],[DateOpened]],TODAY()))-1,ABS(NETWORKDAYS(Proc[[#This Row],[DateOpened]],Proc[[#This Row],[DateClosed]]))-1)</f>
        <v>3</v>
      </c>
      <c r="R1503" s="88" t="s">
        <v>3285</v>
      </c>
      <c r="S1503" s="87"/>
    </row>
    <row r="1504" spans="1:19" hidden="1">
      <c r="A1504" s="86" t="s">
        <v>3268</v>
      </c>
      <c r="B1504" s="87" t="str">
        <f>IFERROR(VLOOKUP(Proc[[#This Row],[App]],Table2[],3,0),"open")</f>
        <v>ok</v>
      </c>
      <c r="C1504" s="86" t="s">
        <v>369</v>
      </c>
      <c r="D1504" t="s">
        <v>3272</v>
      </c>
      <c r="E1504" t="s">
        <v>3283</v>
      </c>
      <c r="F1504" s="105" t="s">
        <v>3283</v>
      </c>
      <c r="G1504" s="86" t="s">
        <v>400</v>
      </c>
      <c r="H1504" s="87" t="str">
        <f>IF(Proc[[#This Row],[type]]="LFF (MDG-F)",MID(Proc[[#This Row],[Obj]],13,10),"")</f>
        <v/>
      </c>
      <c r="J1504" s="87" t="b">
        <f>Proc[[#This Row],[Requested]]=Proc[[#This Row],[CurrentParent]]</f>
        <v>1</v>
      </c>
      <c r="K1504" s="87" t="str">
        <f>IF(Proc[[#This Row],[Author]]="Marcela Urrego",VLOOKUP(LEFT(Proc[[#This Row],[Requested]],1),Table3[#All],2,0),VLOOKUP(Proc[[#This Row],[Author]],Table4[],2,0))</f>
        <v>HC</v>
      </c>
      <c r="L1504" s="87" t="s">
        <v>2563</v>
      </c>
      <c r="M1504" s="85">
        <v>45791.7815162037</v>
      </c>
      <c r="N1504" s="85">
        <v>45796</v>
      </c>
      <c r="O1504" s="85">
        <v>45796</v>
      </c>
      <c r="P1504" s="88" t="str">
        <f ca="1">IF(Proc[[#This Row],[DaysAgeing]]&gt;5,"yep","on track")</f>
        <v>on track</v>
      </c>
      <c r="Q1504" s="3">
        <f ca="1">IF(Proc[[#This Row],[DateClosed]]="",ABS(NETWORKDAYS(Proc[[#This Row],[DateOpened]],TODAY()))-1,ABS(NETWORKDAYS(Proc[[#This Row],[DateOpened]],Proc[[#This Row],[DateClosed]]))-1)</f>
        <v>3</v>
      </c>
      <c r="R1504" s="88" t="s">
        <v>3285</v>
      </c>
      <c r="S1504" s="87"/>
    </row>
    <row r="1505" spans="1:19" hidden="1">
      <c r="A1505" s="86" t="s">
        <v>3268</v>
      </c>
      <c r="B1505" s="87" t="str">
        <f>IFERROR(VLOOKUP(Proc[[#This Row],[App]],Table2[],3,0),"open")</f>
        <v>ok</v>
      </c>
      <c r="C1505" s="86" t="s">
        <v>369</v>
      </c>
      <c r="D1505" t="s">
        <v>3273</v>
      </c>
      <c r="E1505" t="s">
        <v>3284</v>
      </c>
      <c r="F1505" s="105" t="s">
        <v>3284</v>
      </c>
      <c r="G1505" s="86" t="s">
        <v>400</v>
      </c>
      <c r="H1505" s="87" t="str">
        <f>IF(Proc[[#This Row],[type]]="LFF (MDG-F)",MID(Proc[[#This Row],[Obj]],13,10),"")</f>
        <v/>
      </c>
      <c r="J1505" s="87" t="b">
        <f>Proc[[#This Row],[Requested]]=Proc[[#This Row],[CurrentParent]]</f>
        <v>1</v>
      </c>
      <c r="K1505" s="87" t="str">
        <f>IF(Proc[[#This Row],[Author]]="Marcela Urrego",VLOOKUP(LEFT(Proc[[#This Row],[Requested]],1),Table3[#All],2,0),VLOOKUP(Proc[[#This Row],[Author]],Table4[],2,0))</f>
        <v>HC</v>
      </c>
      <c r="L1505" s="87" t="s">
        <v>2563</v>
      </c>
      <c r="M1505" s="85">
        <v>45791.7815162037</v>
      </c>
      <c r="N1505" s="85">
        <v>45796</v>
      </c>
      <c r="O1505" s="85">
        <v>45796</v>
      </c>
      <c r="P1505" s="88" t="str">
        <f ca="1">IF(Proc[[#This Row],[DaysAgeing]]&gt;5,"yep","on track")</f>
        <v>on track</v>
      </c>
      <c r="Q1505" s="3">
        <f ca="1">IF(Proc[[#This Row],[DateClosed]]="",ABS(NETWORKDAYS(Proc[[#This Row],[DateOpened]],TODAY()))-1,ABS(NETWORKDAYS(Proc[[#This Row],[DateOpened]],Proc[[#This Row],[DateClosed]]))-1)</f>
        <v>3</v>
      </c>
      <c r="R1505" s="88" t="s">
        <v>3285</v>
      </c>
      <c r="S1505" s="87"/>
    </row>
    <row r="1506" spans="1:19" hidden="1">
      <c r="A1506" s="86" t="s">
        <v>3268</v>
      </c>
      <c r="B1506" s="87" t="str">
        <f>IFERROR(VLOOKUP(Proc[[#This Row],[App]],Table2[],3,0),"open")</f>
        <v>ok</v>
      </c>
      <c r="C1506" s="86" t="s">
        <v>369</v>
      </c>
      <c r="D1506" t="s">
        <v>3274</v>
      </c>
      <c r="E1506" t="s">
        <v>3284</v>
      </c>
      <c r="F1506" s="105" t="s">
        <v>3284</v>
      </c>
      <c r="G1506" s="86" t="s">
        <v>400</v>
      </c>
      <c r="H1506" s="87" t="str">
        <f>IF(Proc[[#This Row],[type]]="LFF (MDG-F)",MID(Proc[[#This Row],[Obj]],13,10),"")</f>
        <v/>
      </c>
      <c r="J1506" s="87" t="b">
        <f>Proc[[#This Row],[Requested]]=Proc[[#This Row],[CurrentParent]]</f>
        <v>1</v>
      </c>
      <c r="K1506" s="87" t="str">
        <f>IF(Proc[[#This Row],[Author]]="Marcela Urrego",VLOOKUP(LEFT(Proc[[#This Row],[Requested]],1),Table3[#All],2,0),VLOOKUP(Proc[[#This Row],[Author]],Table4[],2,0))</f>
        <v>HC</v>
      </c>
      <c r="L1506" s="87" t="s">
        <v>2563</v>
      </c>
      <c r="M1506" s="85">
        <v>45791.7815162037</v>
      </c>
      <c r="N1506" s="85">
        <v>45796</v>
      </c>
      <c r="O1506" s="85">
        <v>45796</v>
      </c>
      <c r="P1506" s="88" t="str">
        <f ca="1">IF(Proc[[#This Row],[DaysAgeing]]&gt;5,"yep","on track")</f>
        <v>on track</v>
      </c>
      <c r="Q1506" s="3">
        <f ca="1">IF(Proc[[#This Row],[DateClosed]]="",ABS(NETWORKDAYS(Proc[[#This Row],[DateOpened]],TODAY()))-1,ABS(NETWORKDAYS(Proc[[#This Row],[DateOpened]],Proc[[#This Row],[DateClosed]]))-1)</f>
        <v>3</v>
      </c>
      <c r="R1506" s="88" t="s">
        <v>3285</v>
      </c>
      <c r="S1506" s="87"/>
    </row>
    <row r="1507" spans="1:19" hidden="1">
      <c r="A1507" s="86" t="s">
        <v>3268</v>
      </c>
      <c r="B1507" s="87" t="str">
        <f>IFERROR(VLOOKUP(Proc[[#This Row],[App]],Table2[],3,0),"open")</f>
        <v>ok</v>
      </c>
      <c r="C1507" s="86" t="s">
        <v>369</v>
      </c>
      <c r="D1507" t="s">
        <v>3275</v>
      </c>
      <c r="E1507" t="s">
        <v>3281</v>
      </c>
      <c r="F1507" s="105" t="s">
        <v>3281</v>
      </c>
      <c r="G1507" s="86" t="s">
        <v>400</v>
      </c>
      <c r="H1507" s="87" t="str">
        <f>IF(Proc[[#This Row],[type]]="LFF (MDG-F)",MID(Proc[[#This Row],[Obj]],13,10),"")</f>
        <v/>
      </c>
      <c r="J1507" s="87" t="b">
        <f>Proc[[#This Row],[Requested]]=Proc[[#This Row],[CurrentParent]]</f>
        <v>1</v>
      </c>
      <c r="K1507" s="87" t="str">
        <f>IF(Proc[[#This Row],[Author]]="Marcela Urrego",VLOOKUP(LEFT(Proc[[#This Row],[Requested]],1),Table3[#All],2,0),VLOOKUP(Proc[[#This Row],[Author]],Table4[],2,0))</f>
        <v>HC</v>
      </c>
      <c r="L1507" s="87" t="s">
        <v>2563</v>
      </c>
      <c r="M1507" s="85">
        <v>45791.7815162037</v>
      </c>
      <c r="N1507" s="85">
        <v>45796</v>
      </c>
      <c r="O1507" s="85">
        <v>45796</v>
      </c>
      <c r="P1507" s="88" t="str">
        <f ca="1">IF(Proc[[#This Row],[DaysAgeing]]&gt;5,"yep","on track")</f>
        <v>on track</v>
      </c>
      <c r="Q1507" s="3">
        <f ca="1">IF(Proc[[#This Row],[DateClosed]]="",ABS(NETWORKDAYS(Proc[[#This Row],[DateOpened]],TODAY()))-1,ABS(NETWORKDAYS(Proc[[#This Row],[DateOpened]],Proc[[#This Row],[DateClosed]]))-1)</f>
        <v>3</v>
      </c>
      <c r="R1507" s="88" t="s">
        <v>3285</v>
      </c>
      <c r="S1507" s="87"/>
    </row>
    <row r="1508" spans="1:19" hidden="1">
      <c r="A1508" s="86" t="s">
        <v>3268</v>
      </c>
      <c r="B1508" s="87" t="str">
        <f>IFERROR(VLOOKUP(Proc[[#This Row],[App]],Table2[],3,0),"open")</f>
        <v>ok</v>
      </c>
      <c r="C1508" s="86" t="s">
        <v>369</v>
      </c>
      <c r="D1508" t="s">
        <v>3276</v>
      </c>
      <c r="E1508" t="s">
        <v>3281</v>
      </c>
      <c r="F1508" s="105" t="s">
        <v>3281</v>
      </c>
      <c r="G1508" s="86" t="s">
        <v>400</v>
      </c>
      <c r="H1508" s="87" t="str">
        <f>IF(Proc[[#This Row],[type]]="LFF (MDG-F)",MID(Proc[[#This Row],[Obj]],13,10),"")</f>
        <v/>
      </c>
      <c r="J1508" s="87" t="b">
        <f>Proc[[#This Row],[Requested]]=Proc[[#This Row],[CurrentParent]]</f>
        <v>1</v>
      </c>
      <c r="K1508" s="87" t="str">
        <f>IF(Proc[[#This Row],[Author]]="Marcela Urrego",VLOOKUP(LEFT(Proc[[#This Row],[Requested]],1),Table3[#All],2,0),VLOOKUP(Proc[[#This Row],[Author]],Table4[],2,0))</f>
        <v>HC</v>
      </c>
      <c r="L1508" s="87" t="s">
        <v>2563</v>
      </c>
      <c r="M1508" s="85">
        <v>45791.7815162037</v>
      </c>
      <c r="N1508" s="85">
        <v>45796</v>
      </c>
      <c r="O1508" s="85">
        <v>45796</v>
      </c>
      <c r="P1508" s="88" t="str">
        <f ca="1">IF(Proc[[#This Row],[DaysAgeing]]&gt;5,"yep","on track")</f>
        <v>on track</v>
      </c>
      <c r="Q1508" s="3">
        <f ca="1">IF(Proc[[#This Row],[DateClosed]]="",ABS(NETWORKDAYS(Proc[[#This Row],[DateOpened]],TODAY()))-1,ABS(NETWORKDAYS(Proc[[#This Row],[DateOpened]],Proc[[#This Row],[DateClosed]]))-1)</f>
        <v>3</v>
      </c>
      <c r="R1508" s="88" t="s">
        <v>3285</v>
      </c>
      <c r="S1508" s="87"/>
    </row>
    <row r="1509" spans="1:19" hidden="1">
      <c r="A1509" s="86" t="s">
        <v>3268</v>
      </c>
      <c r="B1509" s="87" t="str">
        <f>IFERROR(VLOOKUP(Proc[[#This Row],[App]],Table2[],3,0),"open")</f>
        <v>ok</v>
      </c>
      <c r="C1509" s="86" t="s">
        <v>369</v>
      </c>
      <c r="D1509" t="s">
        <v>3277</v>
      </c>
      <c r="E1509" t="s">
        <v>3281</v>
      </c>
      <c r="F1509" s="105" t="s">
        <v>3281</v>
      </c>
      <c r="G1509" s="86" t="s">
        <v>400</v>
      </c>
      <c r="H1509" s="87" t="str">
        <f>IF(Proc[[#This Row],[type]]="LFF (MDG-F)",MID(Proc[[#This Row],[Obj]],13,10),"")</f>
        <v/>
      </c>
      <c r="J1509" s="87" t="b">
        <f>Proc[[#This Row],[Requested]]=Proc[[#This Row],[CurrentParent]]</f>
        <v>1</v>
      </c>
      <c r="K1509" s="87" t="str">
        <f>IF(Proc[[#This Row],[Author]]="Marcela Urrego",VLOOKUP(LEFT(Proc[[#This Row],[Requested]],1),Table3[#All],2,0),VLOOKUP(Proc[[#This Row],[Author]],Table4[],2,0))</f>
        <v>HC</v>
      </c>
      <c r="L1509" s="87" t="s">
        <v>2563</v>
      </c>
      <c r="M1509" s="85">
        <v>45791.7815162037</v>
      </c>
      <c r="N1509" s="85">
        <v>45796</v>
      </c>
      <c r="O1509" s="85">
        <v>45796</v>
      </c>
      <c r="P1509" s="88" t="str">
        <f ca="1">IF(Proc[[#This Row],[DaysAgeing]]&gt;5,"yep","on track")</f>
        <v>on track</v>
      </c>
      <c r="Q1509" s="3">
        <f ca="1">IF(Proc[[#This Row],[DateClosed]]="",ABS(NETWORKDAYS(Proc[[#This Row],[DateOpened]],TODAY()))-1,ABS(NETWORKDAYS(Proc[[#This Row],[DateOpened]],Proc[[#This Row],[DateClosed]]))-1)</f>
        <v>3</v>
      </c>
      <c r="R1509" s="88" t="s">
        <v>3285</v>
      </c>
      <c r="S1509" s="87"/>
    </row>
    <row r="1510" spans="1:19" hidden="1">
      <c r="A1510" s="86" t="s">
        <v>3268</v>
      </c>
      <c r="B1510" s="87" t="str">
        <f>IFERROR(VLOOKUP(Proc[[#This Row],[App]],Table2[],3,0),"open")</f>
        <v>ok</v>
      </c>
      <c r="C1510" s="86" t="s">
        <v>369</v>
      </c>
      <c r="D1510" t="s">
        <v>3278</v>
      </c>
      <c r="E1510" t="s">
        <v>3281</v>
      </c>
      <c r="F1510" s="105" t="s">
        <v>3281</v>
      </c>
      <c r="G1510" s="86" t="s">
        <v>400</v>
      </c>
      <c r="H1510" s="87" t="str">
        <f>IF(Proc[[#This Row],[type]]="LFF (MDG-F)",MID(Proc[[#This Row],[Obj]],13,10),"")</f>
        <v/>
      </c>
      <c r="J1510" s="87" t="b">
        <f>Proc[[#This Row],[Requested]]=Proc[[#This Row],[CurrentParent]]</f>
        <v>1</v>
      </c>
      <c r="K1510" s="87" t="str">
        <f>IF(Proc[[#This Row],[Author]]="Marcela Urrego",VLOOKUP(LEFT(Proc[[#This Row],[Requested]],1),Table3[#All],2,0),VLOOKUP(Proc[[#This Row],[Author]],Table4[],2,0))</f>
        <v>HC</v>
      </c>
      <c r="L1510" s="87" t="s">
        <v>2563</v>
      </c>
      <c r="M1510" s="85">
        <v>45791.7815162037</v>
      </c>
      <c r="N1510" s="85">
        <v>45796</v>
      </c>
      <c r="O1510" s="85">
        <v>45796</v>
      </c>
      <c r="P1510" s="88" t="str">
        <f ca="1">IF(Proc[[#This Row],[DaysAgeing]]&gt;5,"yep","on track")</f>
        <v>on track</v>
      </c>
      <c r="Q1510" s="3">
        <f ca="1">IF(Proc[[#This Row],[DateClosed]]="",ABS(NETWORKDAYS(Proc[[#This Row],[DateOpened]],TODAY()))-1,ABS(NETWORKDAYS(Proc[[#This Row],[DateOpened]],Proc[[#This Row],[DateClosed]]))-1)</f>
        <v>3</v>
      </c>
      <c r="R1510" s="88" t="s">
        <v>3285</v>
      </c>
      <c r="S1510" s="87"/>
    </row>
    <row r="1511" spans="1:19" hidden="1">
      <c r="A1511" s="86" t="s">
        <v>3268</v>
      </c>
      <c r="B1511" s="87" t="str">
        <f>IFERROR(VLOOKUP(Proc[[#This Row],[App]],Table2[],3,0),"open")</f>
        <v>ok</v>
      </c>
      <c r="C1511" s="86" t="s">
        <v>369</v>
      </c>
      <c r="D1511" t="s">
        <v>3279</v>
      </c>
      <c r="E1511" t="s">
        <v>3280</v>
      </c>
      <c r="F1511" s="105" t="s">
        <v>3280</v>
      </c>
      <c r="G1511" s="86" t="s">
        <v>400</v>
      </c>
      <c r="H1511" s="87" t="str">
        <f>IF(Proc[[#This Row],[type]]="LFF (MDG-F)",MID(Proc[[#This Row],[Obj]],13,10),"")</f>
        <v/>
      </c>
      <c r="J1511" s="87" t="b">
        <f>Proc[[#This Row],[Requested]]=Proc[[#This Row],[CurrentParent]]</f>
        <v>1</v>
      </c>
      <c r="K1511" s="87" t="str">
        <f>IF(Proc[[#This Row],[Author]]="Marcela Urrego",VLOOKUP(LEFT(Proc[[#This Row],[Requested]],1),Table3[#All],2,0),VLOOKUP(Proc[[#This Row],[Author]],Table4[],2,0))</f>
        <v>HC</v>
      </c>
      <c r="L1511" s="87" t="s">
        <v>2563</v>
      </c>
      <c r="M1511" s="85">
        <v>45791.7815162037</v>
      </c>
      <c r="N1511" s="85">
        <v>45796</v>
      </c>
      <c r="O1511" s="85">
        <v>45796</v>
      </c>
      <c r="P1511" s="88" t="str">
        <f ca="1">IF(Proc[[#This Row],[DaysAgeing]]&gt;5,"yep","on track")</f>
        <v>on track</v>
      </c>
      <c r="Q1511" s="3">
        <f ca="1">IF(Proc[[#This Row],[DateClosed]]="",ABS(NETWORKDAYS(Proc[[#This Row],[DateOpened]],TODAY()))-1,ABS(NETWORKDAYS(Proc[[#This Row],[DateOpened]],Proc[[#This Row],[DateClosed]]))-1)</f>
        <v>3</v>
      </c>
      <c r="R1511" s="88" t="s">
        <v>3285</v>
      </c>
      <c r="S1511" s="87"/>
    </row>
    <row r="1512" spans="1:19" hidden="1">
      <c r="A1512" t="s">
        <v>3290</v>
      </c>
      <c r="B1512" s="87" t="str">
        <f>IFERROR(VLOOKUP(Proc[[#This Row],[App]],Table2[],3,0),"open")</f>
        <v>ok</v>
      </c>
      <c r="C1512" s="86" t="s">
        <v>369</v>
      </c>
      <c r="D1512" t="s">
        <v>3288</v>
      </c>
      <c r="E1512" t="s">
        <v>3289</v>
      </c>
      <c r="F1512" s="105" t="s">
        <v>3289</v>
      </c>
      <c r="G1512" s="86" t="s">
        <v>400</v>
      </c>
      <c r="H1512" s="87" t="str">
        <f>IF(Proc[[#This Row],[type]]="LFF (MDG-F)",MID(Proc[[#This Row],[Obj]],13,10),"")</f>
        <v/>
      </c>
      <c r="J1512" s="87" t="b">
        <f>Proc[[#This Row],[Requested]]=Proc[[#This Row],[CurrentParent]]</f>
        <v>1</v>
      </c>
      <c r="K1512" s="87" t="str">
        <f>IF(Proc[[#This Row],[Author]]="Marcela Urrego",VLOOKUP(LEFT(Proc[[#This Row],[Requested]],1),Table3[#All],2,0),VLOOKUP(Proc[[#This Row],[Author]],Table4[],2,0))</f>
        <v>LS</v>
      </c>
      <c r="L1512" s="87" t="s">
        <v>2563</v>
      </c>
      <c r="M1512" s="85">
        <v>45792.60396990741</v>
      </c>
      <c r="N1512" s="85">
        <v>45796</v>
      </c>
      <c r="O1512" s="85">
        <v>45796</v>
      </c>
      <c r="P1512" s="88" t="str">
        <f ca="1">IF(Proc[[#This Row],[DaysAgeing]]&gt;5,"yep","on track")</f>
        <v>on track</v>
      </c>
      <c r="Q1512" s="3">
        <f ca="1">IF(Proc[[#This Row],[DateClosed]]="",ABS(NETWORKDAYS(Proc[[#This Row],[DateOpened]],TODAY()))-1,ABS(NETWORKDAYS(Proc[[#This Row],[DateOpened]],Proc[[#This Row],[DateClosed]]))-1)</f>
        <v>2</v>
      </c>
      <c r="R1512" s="88" t="s">
        <v>3291</v>
      </c>
      <c r="S1512" s="87"/>
    </row>
    <row r="1513" spans="1:19" hidden="1">
      <c r="A1513" t="s">
        <v>3292</v>
      </c>
      <c r="B1513" s="87" t="str">
        <f>IFERROR(VLOOKUP(Proc[[#This Row],[App]],Table2[],3,0),"open")</f>
        <v>ok</v>
      </c>
      <c r="C1513" s="86" t="s">
        <v>369</v>
      </c>
      <c r="D1513" t="s">
        <v>4136</v>
      </c>
      <c r="E1513" t="s">
        <v>2417</v>
      </c>
      <c r="F1513" s="105" t="s">
        <v>2417</v>
      </c>
      <c r="G1513" s="105" t="s">
        <v>406</v>
      </c>
      <c r="H1513" s="87" t="str">
        <f>IF(Proc[[#This Row],[type]]="LFF (MDG-F)",MID(Proc[[#This Row],[Obj]],13,10),"")</f>
        <v>DZ50GM1100</v>
      </c>
      <c r="I1513" t="s">
        <v>4138</v>
      </c>
      <c r="J1513" s="87" t="b">
        <f>Proc[[#This Row],[Requested]]=Proc[[#This Row],[CurrentParent]]</f>
        <v>1</v>
      </c>
      <c r="K1513" s="87" t="str">
        <f>IF(Proc[[#This Row],[Author]]="Marcela Urrego",VLOOKUP(LEFT(Proc[[#This Row],[Requested]],1),Table3[#All],2,0),VLOOKUP(Proc[[#This Row],[Author]],Table4[],2,0))</f>
        <v>MGF</v>
      </c>
      <c r="L1513" s="87" t="s">
        <v>2563</v>
      </c>
      <c r="M1513" s="85">
        <v>45793.36509259259</v>
      </c>
      <c r="N1513" s="85"/>
      <c r="O1513" s="85"/>
      <c r="P1513" s="88" t="str">
        <f ca="1">IF(Proc[[#This Row],[DaysAgeing]]&gt;5,"yep","on track")</f>
        <v>yep</v>
      </c>
      <c r="Q1513" s="3">
        <f ca="1">IF(Proc[[#This Row],[DateClosed]]="",ABS(NETWORKDAYS(Proc[[#This Row],[DateOpened]],TODAY()))-1,ABS(NETWORKDAYS(Proc[[#This Row],[DateOpened]],Proc[[#This Row],[DateClosed]]))-1)</f>
        <v>32</v>
      </c>
      <c r="R1513" s="88" t="s">
        <v>515</v>
      </c>
      <c r="S1513" s="87"/>
    </row>
    <row r="1514" spans="1:19" hidden="1">
      <c r="A1514" s="86" t="s">
        <v>3292</v>
      </c>
      <c r="B1514" s="87" t="str">
        <f>IFERROR(VLOOKUP(Proc[[#This Row],[App]],Table2[],3,0),"open")</f>
        <v>ok</v>
      </c>
      <c r="C1514" s="105" t="s">
        <v>369</v>
      </c>
      <c r="D1514" t="s">
        <v>4137</v>
      </c>
      <c r="E1514" t="s">
        <v>2417</v>
      </c>
      <c r="F1514" s="105" t="s">
        <v>2417</v>
      </c>
      <c r="G1514" s="105" t="s">
        <v>406</v>
      </c>
      <c r="H1514" s="87" t="str">
        <f>IF(Proc[[#This Row],[type]]="LFF (MDG-F)",MID(Proc[[#This Row],[Obj]],13,10),"")</f>
        <v>ZA50GM2100</v>
      </c>
      <c r="I1514" s="105" t="s">
        <v>4138</v>
      </c>
      <c r="J1514" s="87" t="b">
        <f>Proc[[#This Row],[Requested]]=Proc[[#This Row],[CurrentParent]]</f>
        <v>1</v>
      </c>
      <c r="K1514" s="87" t="str">
        <f>IF(Proc[[#This Row],[Author]]="Marcela Urrego",VLOOKUP(LEFT(Proc[[#This Row],[Requested]],1),Table3[#All],2,0),VLOOKUP(Proc[[#This Row],[Author]],Table4[],2,0))</f>
        <v>MGF</v>
      </c>
      <c r="L1514" s="87" t="s">
        <v>2563</v>
      </c>
      <c r="M1514" s="85">
        <v>45793.36509259259</v>
      </c>
      <c r="N1514" s="85"/>
      <c r="O1514" s="85"/>
      <c r="P1514" s="88" t="str">
        <f ca="1">IF(Proc[[#This Row],[DaysAgeing]]&gt;5,"yep","on track")</f>
        <v>yep</v>
      </c>
      <c r="Q1514" s="3">
        <f ca="1">IF(Proc[[#This Row],[DateClosed]]="",ABS(NETWORKDAYS(Proc[[#This Row],[DateOpened]],TODAY()))-1,ABS(NETWORKDAYS(Proc[[#This Row],[DateOpened]],Proc[[#This Row],[DateClosed]]))-1)</f>
        <v>32</v>
      </c>
      <c r="R1514" s="88" t="s">
        <v>515</v>
      </c>
      <c r="S1514" s="87"/>
    </row>
    <row r="1515" spans="1:19" s="105" customFormat="1" hidden="1">
      <c r="A1515" s="105" t="s">
        <v>3292</v>
      </c>
      <c r="B1515" s="96" t="str">
        <f>IFERROR(VLOOKUP(Proc[[#This Row],[App]],Table2[],3,0),"open")</f>
        <v>ok</v>
      </c>
      <c r="C1515" s="65" t="s">
        <v>369</v>
      </c>
      <c r="D1515" s="105" t="s">
        <v>4135</v>
      </c>
      <c r="E1515" s="105" t="s">
        <v>476</v>
      </c>
      <c r="F1515" s="105" t="s">
        <v>476</v>
      </c>
      <c r="G1515" s="105" t="s">
        <v>406</v>
      </c>
      <c r="H1515" s="96" t="str">
        <f>IF(Proc[[#This Row],[type]]="LFF (MDG-F)",MID(Proc[[#This Row],[Obj]],13,10),"")</f>
        <v>2053OF0000</v>
      </c>
      <c r="I1515" s="105" t="s">
        <v>4138</v>
      </c>
      <c r="J1515" s="96" t="b">
        <f>Proc[[#This Row],[Requested]]=Proc[[#This Row],[CurrentParent]]</f>
        <v>1</v>
      </c>
      <c r="K1515" s="96" t="str">
        <f>IF(Proc[[#This Row],[Author]]="Marcela Urrego",VLOOKUP(LEFT(Proc[[#This Row],[Requested]],1),Table3[#All],2,0),VLOOKUP(Proc[[#This Row],[Author]],Table4[],2,0))</f>
        <v>MGF</v>
      </c>
      <c r="L1515" s="96" t="s">
        <v>2563</v>
      </c>
      <c r="M1515" s="102">
        <v>45793.36509259259</v>
      </c>
      <c r="N1515" s="102">
        <v>45825</v>
      </c>
      <c r="O1515" s="102">
        <v>45825</v>
      </c>
      <c r="P1515" s="102" t="str">
        <f ca="1">IF(Proc[[#This Row],[DaysAgeing]]&gt;5,"yep","on track")</f>
        <v>yep</v>
      </c>
      <c r="Q1515" s="3">
        <f ca="1">IF(Proc[[#This Row],[DateClosed]]="",ABS(NETWORKDAYS(Proc[[#This Row],[DateOpened]],TODAY()))-1,ABS(NETWORKDAYS(Proc[[#This Row],[DateOpened]],Proc[[#This Row],[DateClosed]]))-1)</f>
        <v>22</v>
      </c>
      <c r="R1515" s="102" t="s">
        <v>515</v>
      </c>
      <c r="S1515" s="96"/>
    </row>
    <row r="1516" spans="1:19" s="105" customFormat="1" hidden="1">
      <c r="A1516" s="105" t="s">
        <v>3292</v>
      </c>
      <c r="B1516" s="96" t="str">
        <f>IFERROR(VLOOKUP(Proc[[#This Row],[App]],Table2[],3,0),"open")</f>
        <v>ok</v>
      </c>
      <c r="C1516" s="105" t="s">
        <v>369</v>
      </c>
      <c r="D1516" s="105" t="s">
        <v>2445</v>
      </c>
      <c r="E1516" s="105" t="s">
        <v>540</v>
      </c>
      <c r="F1516" s="105" t="s">
        <v>540</v>
      </c>
      <c r="G1516" s="105" t="s">
        <v>400</v>
      </c>
      <c r="H1516" s="96" t="str">
        <f>IF(Proc[[#This Row],[type]]="LFF (MDG-F)",MID(Proc[[#This Row],[Obj]],13,10),"")</f>
        <v/>
      </c>
      <c r="I1516" s="105" t="s">
        <v>4139</v>
      </c>
      <c r="J1516" s="96" t="b">
        <f>Proc[[#This Row],[Requested]]=Proc[[#This Row],[CurrentParent]]</f>
        <v>1</v>
      </c>
      <c r="K1516" s="96" t="str">
        <f>IF(Proc[[#This Row],[Author]]="Marcela Urrego",VLOOKUP(LEFT(Proc[[#This Row],[Requested]],1),Table3[#All],2,0),VLOOKUP(Proc[[#This Row],[Author]],Table4[],2,0))</f>
        <v>MGF</v>
      </c>
      <c r="L1516" s="96" t="s">
        <v>2563</v>
      </c>
      <c r="M1516" s="102">
        <v>45793.36509259259</v>
      </c>
      <c r="N1516" s="102">
        <v>45825</v>
      </c>
      <c r="O1516" s="102">
        <v>45825</v>
      </c>
      <c r="P1516" s="102" t="str">
        <f ca="1">IF(Proc[[#This Row],[DaysAgeing]]&gt;5,"yep","on track")</f>
        <v>yep</v>
      </c>
      <c r="Q1516" s="3">
        <f ca="1">IF(Proc[[#This Row],[DateClosed]]="",ABS(NETWORKDAYS(Proc[[#This Row],[DateOpened]],TODAY()))-1,ABS(NETWORKDAYS(Proc[[#This Row],[DateOpened]],Proc[[#This Row],[DateClosed]]))-1)</f>
        <v>22</v>
      </c>
      <c r="R1516" s="102" t="s">
        <v>515</v>
      </c>
      <c r="S1516" s="96"/>
    </row>
    <row r="1517" spans="1:19" hidden="1">
      <c r="A1517" t="s">
        <v>3293</v>
      </c>
      <c r="B1517" s="87" t="str">
        <f>IFERROR(VLOOKUP(Proc[[#This Row],[App]],Table2[],3,0),"open")</f>
        <v>ok</v>
      </c>
      <c r="C1517" s="86" t="s">
        <v>369</v>
      </c>
      <c r="D1517" t="s">
        <v>3294</v>
      </c>
      <c r="E1517" t="s">
        <v>3295</v>
      </c>
      <c r="F1517" s="105" t="s">
        <v>3295</v>
      </c>
      <c r="G1517" s="86" t="s">
        <v>400</v>
      </c>
      <c r="H1517" s="87" t="str">
        <f>IF(Proc[[#This Row],[type]]="LFF (MDG-F)",MID(Proc[[#This Row],[Obj]],13,10),"")</f>
        <v/>
      </c>
      <c r="J1517" s="87" t="b">
        <f>Proc[[#This Row],[Requested]]=Proc[[#This Row],[CurrentParent]]</f>
        <v>1</v>
      </c>
      <c r="K1517" s="87" t="str">
        <f>IF(Proc[[#This Row],[Author]]="Marcela Urrego",VLOOKUP(LEFT(Proc[[#This Row],[Requested]],1),Table3[#All],2,0),VLOOKUP(Proc[[#This Row],[Author]],Table4[],2,0))</f>
        <v>LS</v>
      </c>
      <c r="L1517" s="87" t="s">
        <v>2563</v>
      </c>
      <c r="M1517" s="85">
        <v>45793.901400462964</v>
      </c>
      <c r="N1517" s="85"/>
      <c r="O1517" s="85"/>
      <c r="P1517" s="88" t="str">
        <f ca="1">IF(Proc[[#This Row],[DaysAgeing]]&gt;5,"yep","on track")</f>
        <v>yep</v>
      </c>
      <c r="Q1517" s="3">
        <f ca="1">IF(Proc[[#This Row],[DateClosed]]="",ABS(NETWORKDAYS(Proc[[#This Row],[DateOpened]],TODAY()))-1,ABS(NETWORKDAYS(Proc[[#This Row],[DateOpened]],Proc[[#This Row],[DateClosed]]))-1)</f>
        <v>32</v>
      </c>
      <c r="R1517" s="88" t="s">
        <v>3291</v>
      </c>
      <c r="S1517" s="87"/>
    </row>
    <row r="1518" spans="1:19" hidden="1">
      <c r="A1518" t="s">
        <v>3298</v>
      </c>
      <c r="B1518" s="87" t="str">
        <f>IFERROR(VLOOKUP(Proc[[#This Row],[App]],Table2[],3,0),"open")</f>
        <v>ok</v>
      </c>
      <c r="C1518" s="91" t="s">
        <v>369</v>
      </c>
      <c r="D1518" t="s">
        <v>3296</v>
      </c>
      <c r="E1518" t="s">
        <v>3297</v>
      </c>
      <c r="F1518" s="105" t="s">
        <v>3297</v>
      </c>
      <c r="G1518" t="s">
        <v>406</v>
      </c>
      <c r="H1518" s="87" t="str">
        <f>IF(Proc[[#This Row],[type]]="LFF (MDG-F)",MID(Proc[[#This Row],[Obj]],13,10),"")</f>
        <v>2137C00001</v>
      </c>
      <c r="I1518" t="s">
        <v>3330</v>
      </c>
      <c r="J1518" s="87" t="b">
        <f>Proc[[#This Row],[Requested]]=Proc[[#This Row],[CurrentParent]]</f>
        <v>1</v>
      </c>
      <c r="K1518" s="87" t="str">
        <f>IF(Proc[[#This Row],[Author]]="Marcela Urrego",VLOOKUP(LEFT(Proc[[#This Row],[Requested]],1),Table3[#All],2,0),VLOOKUP(Proc[[#This Row],[Author]],Table4[],2,0))</f>
        <v>LS</v>
      </c>
      <c r="L1518" s="87" t="s">
        <v>2563</v>
      </c>
      <c r="M1518" s="85">
        <v>45793.901643518519</v>
      </c>
      <c r="N1518" s="85"/>
      <c r="O1518" s="85"/>
      <c r="P1518" s="88" t="str">
        <f ca="1">IF(Proc[[#This Row],[DaysAgeing]]&gt;5,"yep","on track")</f>
        <v>yep</v>
      </c>
      <c r="Q1518" s="3">
        <f ca="1">IF(Proc[[#This Row],[DateClosed]]="",ABS(NETWORKDAYS(Proc[[#This Row],[DateOpened]],TODAY()))-1,ABS(NETWORKDAYS(Proc[[#This Row],[DateOpened]],Proc[[#This Row],[DateClosed]]))-1)</f>
        <v>32</v>
      </c>
      <c r="R1518" s="88" t="s">
        <v>3291</v>
      </c>
      <c r="S1518" s="87"/>
    </row>
    <row r="1519" spans="1:19" hidden="1">
      <c r="A1519" t="s">
        <v>3327</v>
      </c>
      <c r="B1519" s="87" t="str">
        <f>IFERROR(VLOOKUP(Proc[[#This Row],[App]],Table2[],3,0),"open")</f>
        <v>ok</v>
      </c>
      <c r="C1519" s="86" t="s">
        <v>369</v>
      </c>
      <c r="D1519" t="s">
        <v>3299</v>
      </c>
      <c r="E1519" t="s">
        <v>2161</v>
      </c>
      <c r="F1519" s="105" t="s">
        <v>2161</v>
      </c>
      <c r="G1519" s="86" t="s">
        <v>400</v>
      </c>
      <c r="H1519" s="87" t="str">
        <f>IF(Proc[[#This Row],[type]]="LFF (MDG-F)",MID(Proc[[#This Row],[Obj]],13,10),"")</f>
        <v/>
      </c>
      <c r="J1519" s="87" t="b">
        <f>Proc[[#This Row],[Requested]]=Proc[[#This Row],[CurrentParent]]</f>
        <v>1</v>
      </c>
      <c r="K1519" s="87" t="str">
        <f>IF(Proc[[#This Row],[Author]]="Marcela Urrego",VLOOKUP(LEFT(Proc[[#This Row],[Requested]],1),Table3[#All],2,0),VLOOKUP(Proc[[#This Row],[Author]],Table4[],2,0))</f>
        <v>HC</v>
      </c>
      <c r="L1519" s="87" t="s">
        <v>2563</v>
      </c>
      <c r="M1519" s="85">
        <v>45796.393090277779</v>
      </c>
      <c r="N1519" s="85"/>
      <c r="O1519" s="85"/>
      <c r="P1519" s="88" t="str">
        <f ca="1">IF(Proc[[#This Row],[DaysAgeing]]&gt;5,"yep","on track")</f>
        <v>yep</v>
      </c>
      <c r="Q1519" s="3">
        <f ca="1">IF(Proc[[#This Row],[DateClosed]]="",ABS(NETWORKDAYS(Proc[[#This Row],[DateOpened]],TODAY()))-1,ABS(NETWORKDAYS(Proc[[#This Row],[DateOpened]],Proc[[#This Row],[DateClosed]]))-1)</f>
        <v>31</v>
      </c>
      <c r="R1519" s="88" t="s">
        <v>478</v>
      </c>
      <c r="S1519" s="87"/>
    </row>
    <row r="1520" spans="1:19" hidden="1">
      <c r="A1520" s="86" t="s">
        <v>3327</v>
      </c>
      <c r="B1520" s="87" t="str">
        <f>IFERROR(VLOOKUP(Proc[[#This Row],[App]],Table2[],3,0),"open")</f>
        <v>ok</v>
      </c>
      <c r="C1520" s="86" t="s">
        <v>369</v>
      </c>
      <c r="D1520" t="s">
        <v>3300</v>
      </c>
      <c r="E1520" t="s">
        <v>2161</v>
      </c>
      <c r="F1520" s="105" t="s">
        <v>2161</v>
      </c>
      <c r="G1520" s="86" t="s">
        <v>400</v>
      </c>
      <c r="H1520" s="87" t="str">
        <f>IF(Proc[[#This Row],[type]]="LFF (MDG-F)",MID(Proc[[#This Row],[Obj]],13,10),"")</f>
        <v/>
      </c>
      <c r="J1520" s="87" t="b">
        <f>Proc[[#This Row],[Requested]]=Proc[[#This Row],[CurrentParent]]</f>
        <v>1</v>
      </c>
      <c r="K1520" s="87" t="str">
        <f>IF(Proc[[#This Row],[Author]]="Marcela Urrego",VLOOKUP(LEFT(Proc[[#This Row],[Requested]],1),Table3[#All],2,0),VLOOKUP(Proc[[#This Row],[Author]],Table4[],2,0))</f>
        <v>HC</v>
      </c>
      <c r="L1520" s="87" t="s">
        <v>2563</v>
      </c>
      <c r="M1520" s="85">
        <v>45796.393090277779</v>
      </c>
      <c r="N1520" s="85"/>
      <c r="O1520" s="85"/>
      <c r="P1520" s="88" t="str">
        <f ca="1">IF(Proc[[#This Row],[DaysAgeing]]&gt;5,"yep","on track")</f>
        <v>yep</v>
      </c>
      <c r="Q1520" s="3">
        <f ca="1">IF(Proc[[#This Row],[DateClosed]]="",ABS(NETWORKDAYS(Proc[[#This Row],[DateOpened]],TODAY()))-1,ABS(NETWORKDAYS(Proc[[#This Row],[DateOpened]],Proc[[#This Row],[DateClosed]]))-1)</f>
        <v>31</v>
      </c>
      <c r="R1520" s="88" t="s">
        <v>478</v>
      </c>
      <c r="S1520" s="87"/>
    </row>
    <row r="1521" spans="1:19" hidden="1">
      <c r="A1521" s="86" t="s">
        <v>3327</v>
      </c>
      <c r="B1521" s="87" t="str">
        <f>IFERROR(VLOOKUP(Proc[[#This Row],[App]],Table2[],3,0),"open")</f>
        <v>ok</v>
      </c>
      <c r="C1521" s="86" t="s">
        <v>369</v>
      </c>
      <c r="D1521" t="s">
        <v>3301</v>
      </c>
      <c r="E1521" t="s">
        <v>2161</v>
      </c>
      <c r="F1521" s="105" t="s">
        <v>2161</v>
      </c>
      <c r="G1521" s="86" t="s">
        <v>400</v>
      </c>
      <c r="H1521" s="87" t="str">
        <f>IF(Proc[[#This Row],[type]]="LFF (MDG-F)",MID(Proc[[#This Row],[Obj]],13,10),"")</f>
        <v/>
      </c>
      <c r="J1521" s="87" t="b">
        <f>Proc[[#This Row],[Requested]]=Proc[[#This Row],[CurrentParent]]</f>
        <v>1</v>
      </c>
      <c r="K1521" s="87" t="str">
        <f>IF(Proc[[#This Row],[Author]]="Marcela Urrego",VLOOKUP(LEFT(Proc[[#This Row],[Requested]],1),Table3[#All],2,0),VLOOKUP(Proc[[#This Row],[Author]],Table4[],2,0))</f>
        <v>HC</v>
      </c>
      <c r="L1521" s="87" t="s">
        <v>2563</v>
      </c>
      <c r="M1521" s="85">
        <v>45796.393090277779</v>
      </c>
      <c r="N1521" s="85"/>
      <c r="O1521" s="85"/>
      <c r="P1521" s="88" t="str">
        <f ca="1">IF(Proc[[#This Row],[DaysAgeing]]&gt;5,"yep","on track")</f>
        <v>yep</v>
      </c>
      <c r="Q1521" s="3">
        <f ca="1">IF(Proc[[#This Row],[DateClosed]]="",ABS(NETWORKDAYS(Proc[[#This Row],[DateOpened]],TODAY()))-1,ABS(NETWORKDAYS(Proc[[#This Row],[DateOpened]],Proc[[#This Row],[DateClosed]]))-1)</f>
        <v>31</v>
      </c>
      <c r="R1521" s="88" t="s">
        <v>478</v>
      </c>
      <c r="S1521" s="87"/>
    </row>
    <row r="1522" spans="1:19" hidden="1">
      <c r="A1522" s="86" t="s">
        <v>3327</v>
      </c>
      <c r="B1522" s="87" t="str">
        <f>IFERROR(VLOOKUP(Proc[[#This Row],[App]],Table2[],3,0),"open")</f>
        <v>ok</v>
      </c>
      <c r="C1522" s="86" t="s">
        <v>369</v>
      </c>
      <c r="D1522" t="s">
        <v>3302</v>
      </c>
      <c r="E1522" t="s">
        <v>2161</v>
      </c>
      <c r="F1522" s="105" t="s">
        <v>2161</v>
      </c>
      <c r="G1522" s="86" t="s">
        <v>400</v>
      </c>
      <c r="H1522" s="87" t="str">
        <f>IF(Proc[[#This Row],[type]]="LFF (MDG-F)",MID(Proc[[#This Row],[Obj]],13,10),"")</f>
        <v/>
      </c>
      <c r="J1522" s="87" t="b">
        <f>Proc[[#This Row],[Requested]]=Proc[[#This Row],[CurrentParent]]</f>
        <v>1</v>
      </c>
      <c r="K1522" s="87" t="str">
        <f>IF(Proc[[#This Row],[Author]]="Marcela Urrego",VLOOKUP(LEFT(Proc[[#This Row],[Requested]],1),Table3[#All],2,0),VLOOKUP(Proc[[#This Row],[Author]],Table4[],2,0))</f>
        <v>HC</v>
      </c>
      <c r="L1522" s="87" t="s">
        <v>2563</v>
      </c>
      <c r="M1522" s="85">
        <v>45796.393090277779</v>
      </c>
      <c r="N1522" s="85"/>
      <c r="O1522" s="85"/>
      <c r="P1522" s="88" t="str">
        <f ca="1">IF(Proc[[#This Row],[DaysAgeing]]&gt;5,"yep","on track")</f>
        <v>yep</v>
      </c>
      <c r="Q1522" s="3">
        <f ca="1">IF(Proc[[#This Row],[DateClosed]]="",ABS(NETWORKDAYS(Proc[[#This Row],[DateOpened]],TODAY()))-1,ABS(NETWORKDAYS(Proc[[#This Row],[DateOpened]],Proc[[#This Row],[DateClosed]]))-1)</f>
        <v>31</v>
      </c>
      <c r="R1522" s="88" t="s">
        <v>478</v>
      </c>
      <c r="S1522" s="87"/>
    </row>
    <row r="1523" spans="1:19" hidden="1">
      <c r="A1523" s="86" t="s">
        <v>3327</v>
      </c>
      <c r="B1523" s="87" t="str">
        <f>IFERROR(VLOOKUP(Proc[[#This Row],[App]],Table2[],3,0),"open")</f>
        <v>ok</v>
      </c>
      <c r="C1523" s="86" t="s">
        <v>369</v>
      </c>
      <c r="D1523" t="s">
        <v>3303</v>
      </c>
      <c r="E1523" t="s">
        <v>2161</v>
      </c>
      <c r="F1523" s="105" t="s">
        <v>2161</v>
      </c>
      <c r="G1523" s="86" t="s">
        <v>400</v>
      </c>
      <c r="H1523" s="87" t="str">
        <f>IF(Proc[[#This Row],[type]]="LFF (MDG-F)",MID(Proc[[#This Row],[Obj]],13,10),"")</f>
        <v/>
      </c>
      <c r="J1523" s="87" t="b">
        <f>Proc[[#This Row],[Requested]]=Proc[[#This Row],[CurrentParent]]</f>
        <v>1</v>
      </c>
      <c r="K1523" s="87" t="str">
        <f>IF(Proc[[#This Row],[Author]]="Marcela Urrego",VLOOKUP(LEFT(Proc[[#This Row],[Requested]],1),Table3[#All],2,0),VLOOKUP(Proc[[#This Row],[Author]],Table4[],2,0))</f>
        <v>HC</v>
      </c>
      <c r="L1523" s="87" t="s">
        <v>2563</v>
      </c>
      <c r="M1523" s="85">
        <v>45796.393090277779</v>
      </c>
      <c r="N1523" s="85"/>
      <c r="O1523" s="85"/>
      <c r="P1523" s="88" t="str">
        <f ca="1">IF(Proc[[#This Row],[DaysAgeing]]&gt;5,"yep","on track")</f>
        <v>yep</v>
      </c>
      <c r="Q1523" s="3">
        <f ca="1">IF(Proc[[#This Row],[DateClosed]]="",ABS(NETWORKDAYS(Proc[[#This Row],[DateOpened]],TODAY()))-1,ABS(NETWORKDAYS(Proc[[#This Row],[DateOpened]],Proc[[#This Row],[DateClosed]]))-1)</f>
        <v>31</v>
      </c>
      <c r="R1523" s="88" t="s">
        <v>478</v>
      </c>
      <c r="S1523" s="87"/>
    </row>
    <row r="1524" spans="1:19" hidden="1">
      <c r="A1524" s="86" t="s">
        <v>3327</v>
      </c>
      <c r="B1524" s="87" t="str">
        <f>IFERROR(VLOOKUP(Proc[[#This Row],[App]],Table2[],3,0),"open")</f>
        <v>ok</v>
      </c>
      <c r="C1524" s="86" t="s">
        <v>369</v>
      </c>
      <c r="D1524" t="s">
        <v>3304</v>
      </c>
      <c r="E1524" t="s">
        <v>2161</v>
      </c>
      <c r="F1524" s="105" t="s">
        <v>2161</v>
      </c>
      <c r="G1524" s="86" t="s">
        <v>400</v>
      </c>
      <c r="H1524" s="87" t="str">
        <f>IF(Proc[[#This Row],[type]]="LFF (MDG-F)",MID(Proc[[#This Row],[Obj]],13,10),"")</f>
        <v/>
      </c>
      <c r="J1524" s="87" t="b">
        <f>Proc[[#This Row],[Requested]]=Proc[[#This Row],[CurrentParent]]</f>
        <v>1</v>
      </c>
      <c r="K1524" s="87" t="str">
        <f>IF(Proc[[#This Row],[Author]]="Marcela Urrego",VLOOKUP(LEFT(Proc[[#This Row],[Requested]],1),Table3[#All],2,0),VLOOKUP(Proc[[#This Row],[Author]],Table4[],2,0))</f>
        <v>HC</v>
      </c>
      <c r="L1524" s="87" t="s">
        <v>2563</v>
      </c>
      <c r="M1524" s="85">
        <v>45796.393090277779</v>
      </c>
      <c r="N1524" s="85"/>
      <c r="O1524" s="85"/>
      <c r="P1524" s="88" t="str">
        <f ca="1">IF(Proc[[#This Row],[DaysAgeing]]&gt;5,"yep","on track")</f>
        <v>yep</v>
      </c>
      <c r="Q1524" s="3">
        <f ca="1">IF(Proc[[#This Row],[DateClosed]]="",ABS(NETWORKDAYS(Proc[[#This Row],[DateOpened]],TODAY()))-1,ABS(NETWORKDAYS(Proc[[#This Row],[DateOpened]],Proc[[#This Row],[DateClosed]]))-1)</f>
        <v>31</v>
      </c>
      <c r="R1524" s="88" t="s">
        <v>478</v>
      </c>
      <c r="S1524" s="87"/>
    </row>
    <row r="1525" spans="1:19" hidden="1">
      <c r="A1525" s="86" t="s">
        <v>3327</v>
      </c>
      <c r="B1525" s="87" t="str">
        <f>IFERROR(VLOOKUP(Proc[[#This Row],[App]],Table2[],3,0),"open")</f>
        <v>ok</v>
      </c>
      <c r="C1525" s="86" t="s">
        <v>369</v>
      </c>
      <c r="D1525" t="s">
        <v>3305</v>
      </c>
      <c r="E1525" t="s">
        <v>2161</v>
      </c>
      <c r="F1525" s="105" t="s">
        <v>2161</v>
      </c>
      <c r="G1525" s="86" t="s">
        <v>400</v>
      </c>
      <c r="H1525" s="87" t="str">
        <f>IF(Proc[[#This Row],[type]]="LFF (MDG-F)",MID(Proc[[#This Row],[Obj]],13,10),"")</f>
        <v/>
      </c>
      <c r="J1525" s="87" t="b">
        <f>Proc[[#This Row],[Requested]]=Proc[[#This Row],[CurrentParent]]</f>
        <v>1</v>
      </c>
      <c r="K1525" s="87" t="str">
        <f>IF(Proc[[#This Row],[Author]]="Marcela Urrego",VLOOKUP(LEFT(Proc[[#This Row],[Requested]],1),Table3[#All],2,0),VLOOKUP(Proc[[#This Row],[Author]],Table4[],2,0))</f>
        <v>HC</v>
      </c>
      <c r="L1525" s="87" t="s">
        <v>2563</v>
      </c>
      <c r="M1525" s="85">
        <v>45796.393090277779</v>
      </c>
      <c r="N1525" s="85"/>
      <c r="O1525" s="85"/>
      <c r="P1525" s="88" t="str">
        <f ca="1">IF(Proc[[#This Row],[DaysAgeing]]&gt;5,"yep","on track")</f>
        <v>yep</v>
      </c>
      <c r="Q1525" s="3">
        <f ca="1">IF(Proc[[#This Row],[DateClosed]]="",ABS(NETWORKDAYS(Proc[[#This Row],[DateOpened]],TODAY()))-1,ABS(NETWORKDAYS(Proc[[#This Row],[DateOpened]],Proc[[#This Row],[DateClosed]]))-1)</f>
        <v>31</v>
      </c>
      <c r="R1525" s="88" t="s">
        <v>478</v>
      </c>
      <c r="S1525" s="87"/>
    </row>
    <row r="1526" spans="1:19" hidden="1">
      <c r="A1526" s="86" t="s">
        <v>3327</v>
      </c>
      <c r="B1526" s="87" t="str">
        <f>IFERROR(VLOOKUP(Proc[[#This Row],[App]],Table2[],3,0),"open")</f>
        <v>ok</v>
      </c>
      <c r="C1526" s="86" t="s">
        <v>369</v>
      </c>
      <c r="D1526" t="s">
        <v>3306</v>
      </c>
      <c r="E1526" t="s">
        <v>2161</v>
      </c>
      <c r="F1526" s="105" t="s">
        <v>2161</v>
      </c>
      <c r="G1526" s="86" t="s">
        <v>400</v>
      </c>
      <c r="H1526" s="87" t="str">
        <f>IF(Proc[[#This Row],[type]]="LFF (MDG-F)",MID(Proc[[#This Row],[Obj]],13,10),"")</f>
        <v/>
      </c>
      <c r="J1526" s="87" t="b">
        <f>Proc[[#This Row],[Requested]]=Proc[[#This Row],[CurrentParent]]</f>
        <v>1</v>
      </c>
      <c r="K1526" s="87" t="str">
        <f>IF(Proc[[#This Row],[Author]]="Marcela Urrego",VLOOKUP(LEFT(Proc[[#This Row],[Requested]],1),Table3[#All],2,0),VLOOKUP(Proc[[#This Row],[Author]],Table4[],2,0))</f>
        <v>HC</v>
      </c>
      <c r="L1526" s="87" t="s">
        <v>2563</v>
      </c>
      <c r="M1526" s="85">
        <v>45796.393090277779</v>
      </c>
      <c r="N1526" s="85"/>
      <c r="O1526" s="85"/>
      <c r="P1526" s="88" t="str">
        <f ca="1">IF(Proc[[#This Row],[DaysAgeing]]&gt;5,"yep","on track")</f>
        <v>yep</v>
      </c>
      <c r="Q1526" s="3">
        <f ca="1">IF(Proc[[#This Row],[DateClosed]]="",ABS(NETWORKDAYS(Proc[[#This Row],[DateOpened]],TODAY()))-1,ABS(NETWORKDAYS(Proc[[#This Row],[DateOpened]],Proc[[#This Row],[DateClosed]]))-1)</f>
        <v>31</v>
      </c>
      <c r="R1526" s="88" t="s">
        <v>478</v>
      </c>
      <c r="S1526" s="87"/>
    </row>
    <row r="1527" spans="1:19" hidden="1">
      <c r="A1527" s="86" t="s">
        <v>3327</v>
      </c>
      <c r="B1527" s="87" t="str">
        <f>IFERROR(VLOOKUP(Proc[[#This Row],[App]],Table2[],3,0),"open")</f>
        <v>ok</v>
      </c>
      <c r="C1527" s="86" t="s">
        <v>369</v>
      </c>
      <c r="D1527" t="s">
        <v>3307</v>
      </c>
      <c r="E1527" t="s">
        <v>2161</v>
      </c>
      <c r="F1527" s="105" t="s">
        <v>2161</v>
      </c>
      <c r="G1527" s="86" t="s">
        <v>400</v>
      </c>
      <c r="H1527" s="87" t="str">
        <f>IF(Proc[[#This Row],[type]]="LFF (MDG-F)",MID(Proc[[#This Row],[Obj]],13,10),"")</f>
        <v/>
      </c>
      <c r="J1527" s="87" t="b">
        <f>Proc[[#This Row],[Requested]]=Proc[[#This Row],[CurrentParent]]</f>
        <v>1</v>
      </c>
      <c r="K1527" s="87" t="str">
        <f>IF(Proc[[#This Row],[Author]]="Marcela Urrego",VLOOKUP(LEFT(Proc[[#This Row],[Requested]],1),Table3[#All],2,0),VLOOKUP(Proc[[#This Row],[Author]],Table4[],2,0))</f>
        <v>HC</v>
      </c>
      <c r="L1527" s="87" t="s">
        <v>2563</v>
      </c>
      <c r="M1527" s="85">
        <v>45796.393090277779</v>
      </c>
      <c r="N1527" s="85"/>
      <c r="O1527" s="85"/>
      <c r="P1527" s="88" t="str">
        <f ca="1">IF(Proc[[#This Row],[DaysAgeing]]&gt;5,"yep","on track")</f>
        <v>yep</v>
      </c>
      <c r="Q1527" s="3">
        <f ca="1">IF(Proc[[#This Row],[DateClosed]]="",ABS(NETWORKDAYS(Proc[[#This Row],[DateOpened]],TODAY()))-1,ABS(NETWORKDAYS(Proc[[#This Row],[DateOpened]],Proc[[#This Row],[DateClosed]]))-1)</f>
        <v>31</v>
      </c>
      <c r="R1527" s="88" t="s">
        <v>478</v>
      </c>
      <c r="S1527" s="87"/>
    </row>
    <row r="1528" spans="1:19" hidden="1">
      <c r="A1528" s="86" t="s">
        <v>3327</v>
      </c>
      <c r="B1528" s="87" t="str">
        <f>IFERROR(VLOOKUP(Proc[[#This Row],[App]],Table2[],3,0),"open")</f>
        <v>ok</v>
      </c>
      <c r="C1528" s="86" t="s">
        <v>369</v>
      </c>
      <c r="D1528" t="s">
        <v>3308</v>
      </c>
      <c r="E1528" t="s">
        <v>2161</v>
      </c>
      <c r="F1528" s="105" t="s">
        <v>2161</v>
      </c>
      <c r="G1528" s="86" t="s">
        <v>400</v>
      </c>
      <c r="H1528" s="87" t="str">
        <f>IF(Proc[[#This Row],[type]]="LFF (MDG-F)",MID(Proc[[#This Row],[Obj]],13,10),"")</f>
        <v/>
      </c>
      <c r="J1528" s="87" t="b">
        <f>Proc[[#This Row],[Requested]]=Proc[[#This Row],[CurrentParent]]</f>
        <v>1</v>
      </c>
      <c r="K1528" s="87" t="str">
        <f>IF(Proc[[#This Row],[Author]]="Marcela Urrego",VLOOKUP(LEFT(Proc[[#This Row],[Requested]],1),Table3[#All],2,0),VLOOKUP(Proc[[#This Row],[Author]],Table4[],2,0))</f>
        <v>HC</v>
      </c>
      <c r="L1528" s="87" t="s">
        <v>2563</v>
      </c>
      <c r="M1528" s="85">
        <v>45796.393090277779</v>
      </c>
      <c r="N1528" s="85"/>
      <c r="O1528" s="85"/>
      <c r="P1528" s="88" t="str">
        <f ca="1">IF(Proc[[#This Row],[DaysAgeing]]&gt;5,"yep","on track")</f>
        <v>yep</v>
      </c>
      <c r="Q1528" s="3">
        <f ca="1">IF(Proc[[#This Row],[DateClosed]]="",ABS(NETWORKDAYS(Proc[[#This Row],[DateOpened]],TODAY()))-1,ABS(NETWORKDAYS(Proc[[#This Row],[DateOpened]],Proc[[#This Row],[DateClosed]]))-1)</f>
        <v>31</v>
      </c>
      <c r="R1528" s="88" t="s">
        <v>478</v>
      </c>
      <c r="S1528" s="87"/>
    </row>
    <row r="1529" spans="1:19" hidden="1">
      <c r="A1529" s="86" t="s">
        <v>3327</v>
      </c>
      <c r="B1529" s="87" t="str">
        <f>IFERROR(VLOOKUP(Proc[[#This Row],[App]],Table2[],3,0),"open")</f>
        <v>ok</v>
      </c>
      <c r="C1529" s="86" t="s">
        <v>369</v>
      </c>
      <c r="D1529" t="s">
        <v>3309</v>
      </c>
      <c r="E1529" t="s">
        <v>2161</v>
      </c>
      <c r="F1529" s="105" t="s">
        <v>2161</v>
      </c>
      <c r="G1529" s="86" t="s">
        <v>400</v>
      </c>
      <c r="H1529" s="87" t="str">
        <f>IF(Proc[[#This Row],[type]]="LFF (MDG-F)",MID(Proc[[#This Row],[Obj]],13,10),"")</f>
        <v/>
      </c>
      <c r="J1529" s="87" t="b">
        <f>Proc[[#This Row],[Requested]]=Proc[[#This Row],[CurrentParent]]</f>
        <v>1</v>
      </c>
      <c r="K1529" s="87" t="str">
        <f>IF(Proc[[#This Row],[Author]]="Marcela Urrego",VLOOKUP(LEFT(Proc[[#This Row],[Requested]],1),Table3[#All],2,0),VLOOKUP(Proc[[#This Row],[Author]],Table4[],2,0))</f>
        <v>HC</v>
      </c>
      <c r="L1529" s="87" t="s">
        <v>2563</v>
      </c>
      <c r="M1529" s="85">
        <v>45796.393090277779</v>
      </c>
      <c r="N1529" s="85"/>
      <c r="O1529" s="85"/>
      <c r="P1529" s="88" t="str">
        <f ca="1">IF(Proc[[#This Row],[DaysAgeing]]&gt;5,"yep","on track")</f>
        <v>yep</v>
      </c>
      <c r="Q1529" s="3">
        <f ca="1">IF(Proc[[#This Row],[DateClosed]]="",ABS(NETWORKDAYS(Proc[[#This Row],[DateOpened]],TODAY()))-1,ABS(NETWORKDAYS(Proc[[#This Row],[DateOpened]],Proc[[#This Row],[DateClosed]]))-1)</f>
        <v>31</v>
      </c>
      <c r="R1529" s="88" t="s">
        <v>478</v>
      </c>
      <c r="S1529" s="87"/>
    </row>
    <row r="1530" spans="1:19" hidden="1">
      <c r="A1530" s="86" t="s">
        <v>3327</v>
      </c>
      <c r="B1530" s="87" t="str">
        <f>IFERROR(VLOOKUP(Proc[[#This Row],[App]],Table2[],3,0),"open")</f>
        <v>ok</v>
      </c>
      <c r="C1530" s="86" t="s">
        <v>369</v>
      </c>
      <c r="D1530" t="s">
        <v>3310</v>
      </c>
      <c r="E1530" t="s">
        <v>2161</v>
      </c>
      <c r="F1530" s="105" t="s">
        <v>2161</v>
      </c>
      <c r="G1530" s="86" t="s">
        <v>400</v>
      </c>
      <c r="H1530" s="87" t="str">
        <f>IF(Proc[[#This Row],[type]]="LFF (MDG-F)",MID(Proc[[#This Row],[Obj]],13,10),"")</f>
        <v/>
      </c>
      <c r="J1530" s="87" t="b">
        <f>Proc[[#This Row],[Requested]]=Proc[[#This Row],[CurrentParent]]</f>
        <v>1</v>
      </c>
      <c r="K1530" s="87" t="str">
        <f>IF(Proc[[#This Row],[Author]]="Marcela Urrego",VLOOKUP(LEFT(Proc[[#This Row],[Requested]],1),Table3[#All],2,0),VLOOKUP(Proc[[#This Row],[Author]],Table4[],2,0))</f>
        <v>HC</v>
      </c>
      <c r="L1530" s="87" t="s">
        <v>2563</v>
      </c>
      <c r="M1530" s="85">
        <v>45796.393090277779</v>
      </c>
      <c r="N1530" s="85"/>
      <c r="O1530" s="85"/>
      <c r="P1530" s="88" t="str">
        <f ca="1">IF(Proc[[#This Row],[DaysAgeing]]&gt;5,"yep","on track")</f>
        <v>yep</v>
      </c>
      <c r="Q1530" s="3">
        <f ca="1">IF(Proc[[#This Row],[DateClosed]]="",ABS(NETWORKDAYS(Proc[[#This Row],[DateOpened]],TODAY()))-1,ABS(NETWORKDAYS(Proc[[#This Row],[DateOpened]],Proc[[#This Row],[DateClosed]]))-1)</f>
        <v>31</v>
      </c>
      <c r="R1530" s="88" t="s">
        <v>478</v>
      </c>
      <c r="S1530" s="87"/>
    </row>
    <row r="1531" spans="1:19" hidden="1">
      <c r="A1531" s="86" t="s">
        <v>3327</v>
      </c>
      <c r="B1531" s="87" t="str">
        <f>IFERROR(VLOOKUP(Proc[[#This Row],[App]],Table2[],3,0),"open")</f>
        <v>ok</v>
      </c>
      <c r="C1531" s="86" t="s">
        <v>369</v>
      </c>
      <c r="D1531" t="s">
        <v>3311</v>
      </c>
      <c r="E1531" t="s">
        <v>2161</v>
      </c>
      <c r="F1531" s="105" t="s">
        <v>2161</v>
      </c>
      <c r="G1531" s="86" t="s">
        <v>400</v>
      </c>
      <c r="H1531" s="87" t="str">
        <f>IF(Proc[[#This Row],[type]]="LFF (MDG-F)",MID(Proc[[#This Row],[Obj]],13,10),"")</f>
        <v/>
      </c>
      <c r="J1531" s="87" t="b">
        <f>Proc[[#This Row],[Requested]]=Proc[[#This Row],[CurrentParent]]</f>
        <v>1</v>
      </c>
      <c r="K1531" s="87" t="str">
        <f>IF(Proc[[#This Row],[Author]]="Marcela Urrego",VLOOKUP(LEFT(Proc[[#This Row],[Requested]],1),Table3[#All],2,0),VLOOKUP(Proc[[#This Row],[Author]],Table4[],2,0))</f>
        <v>HC</v>
      </c>
      <c r="L1531" s="87" t="s">
        <v>2563</v>
      </c>
      <c r="M1531" s="85">
        <v>45796.393090277779</v>
      </c>
      <c r="N1531" s="85"/>
      <c r="O1531" s="85"/>
      <c r="P1531" s="88" t="str">
        <f ca="1">IF(Proc[[#This Row],[DaysAgeing]]&gt;5,"yep","on track")</f>
        <v>yep</v>
      </c>
      <c r="Q1531" s="3">
        <f ca="1">IF(Proc[[#This Row],[DateClosed]]="",ABS(NETWORKDAYS(Proc[[#This Row],[DateOpened]],TODAY()))-1,ABS(NETWORKDAYS(Proc[[#This Row],[DateOpened]],Proc[[#This Row],[DateClosed]]))-1)</f>
        <v>31</v>
      </c>
      <c r="R1531" s="88" t="s">
        <v>478</v>
      </c>
      <c r="S1531" s="87"/>
    </row>
    <row r="1532" spans="1:19" hidden="1">
      <c r="A1532" s="86" t="s">
        <v>3327</v>
      </c>
      <c r="B1532" s="87" t="str">
        <f>IFERROR(VLOOKUP(Proc[[#This Row],[App]],Table2[],3,0),"open")</f>
        <v>ok</v>
      </c>
      <c r="C1532" s="86" t="s">
        <v>369</v>
      </c>
      <c r="D1532" t="s">
        <v>3312</v>
      </c>
      <c r="E1532" t="s">
        <v>2161</v>
      </c>
      <c r="F1532" s="105" t="s">
        <v>2161</v>
      </c>
      <c r="G1532" s="86" t="s">
        <v>400</v>
      </c>
      <c r="H1532" s="87" t="str">
        <f>IF(Proc[[#This Row],[type]]="LFF (MDG-F)",MID(Proc[[#This Row],[Obj]],13,10),"")</f>
        <v/>
      </c>
      <c r="J1532" s="87" t="b">
        <f>Proc[[#This Row],[Requested]]=Proc[[#This Row],[CurrentParent]]</f>
        <v>1</v>
      </c>
      <c r="K1532" s="87" t="str">
        <f>IF(Proc[[#This Row],[Author]]="Marcela Urrego",VLOOKUP(LEFT(Proc[[#This Row],[Requested]],1),Table3[#All],2,0),VLOOKUP(Proc[[#This Row],[Author]],Table4[],2,0))</f>
        <v>HC</v>
      </c>
      <c r="L1532" s="87" t="s">
        <v>2563</v>
      </c>
      <c r="M1532" s="85">
        <v>45796.393090277779</v>
      </c>
      <c r="N1532" s="85"/>
      <c r="O1532" s="85"/>
      <c r="P1532" s="88" t="str">
        <f ca="1">IF(Proc[[#This Row],[DaysAgeing]]&gt;5,"yep","on track")</f>
        <v>yep</v>
      </c>
      <c r="Q1532" s="3">
        <f ca="1">IF(Proc[[#This Row],[DateClosed]]="",ABS(NETWORKDAYS(Proc[[#This Row],[DateOpened]],TODAY()))-1,ABS(NETWORKDAYS(Proc[[#This Row],[DateOpened]],Proc[[#This Row],[DateClosed]]))-1)</f>
        <v>31</v>
      </c>
      <c r="R1532" s="88" t="s">
        <v>478</v>
      </c>
      <c r="S1532" s="87"/>
    </row>
    <row r="1533" spans="1:19" hidden="1">
      <c r="A1533" s="86" t="s">
        <v>3327</v>
      </c>
      <c r="B1533" s="87" t="str">
        <f>IFERROR(VLOOKUP(Proc[[#This Row],[App]],Table2[],3,0),"open")</f>
        <v>ok</v>
      </c>
      <c r="C1533" s="86" t="s">
        <v>369</v>
      </c>
      <c r="D1533" t="s">
        <v>3313</v>
      </c>
      <c r="E1533" t="s">
        <v>2161</v>
      </c>
      <c r="F1533" s="105" t="s">
        <v>2161</v>
      </c>
      <c r="G1533" s="86" t="s">
        <v>400</v>
      </c>
      <c r="H1533" s="87" t="str">
        <f>IF(Proc[[#This Row],[type]]="LFF (MDG-F)",MID(Proc[[#This Row],[Obj]],13,10),"")</f>
        <v/>
      </c>
      <c r="J1533" s="87" t="b">
        <f>Proc[[#This Row],[Requested]]=Proc[[#This Row],[CurrentParent]]</f>
        <v>1</v>
      </c>
      <c r="K1533" s="87" t="str">
        <f>IF(Proc[[#This Row],[Author]]="Marcela Urrego",VLOOKUP(LEFT(Proc[[#This Row],[Requested]],1),Table3[#All],2,0),VLOOKUP(Proc[[#This Row],[Author]],Table4[],2,0))</f>
        <v>HC</v>
      </c>
      <c r="L1533" s="87" t="s">
        <v>2563</v>
      </c>
      <c r="M1533" s="85">
        <v>45796.393090277779</v>
      </c>
      <c r="N1533" s="85"/>
      <c r="O1533" s="85"/>
      <c r="P1533" s="88" t="str">
        <f ca="1">IF(Proc[[#This Row],[DaysAgeing]]&gt;5,"yep","on track")</f>
        <v>yep</v>
      </c>
      <c r="Q1533" s="3">
        <f ca="1">IF(Proc[[#This Row],[DateClosed]]="",ABS(NETWORKDAYS(Proc[[#This Row],[DateOpened]],TODAY()))-1,ABS(NETWORKDAYS(Proc[[#This Row],[DateOpened]],Proc[[#This Row],[DateClosed]]))-1)</f>
        <v>31</v>
      </c>
      <c r="R1533" s="88" t="s">
        <v>478</v>
      </c>
      <c r="S1533" s="87"/>
    </row>
    <row r="1534" spans="1:19" hidden="1">
      <c r="A1534" s="86" t="s">
        <v>3327</v>
      </c>
      <c r="B1534" s="87" t="str">
        <f>IFERROR(VLOOKUP(Proc[[#This Row],[App]],Table2[],3,0),"open")</f>
        <v>ok</v>
      </c>
      <c r="C1534" s="86" t="s">
        <v>369</v>
      </c>
      <c r="D1534" t="s">
        <v>3314</v>
      </c>
      <c r="E1534" t="s">
        <v>2161</v>
      </c>
      <c r="F1534" s="105" t="s">
        <v>2161</v>
      </c>
      <c r="G1534" s="86" t="s">
        <v>400</v>
      </c>
      <c r="H1534" s="87" t="str">
        <f>IF(Proc[[#This Row],[type]]="LFF (MDG-F)",MID(Proc[[#This Row],[Obj]],13,10),"")</f>
        <v/>
      </c>
      <c r="J1534" s="87" t="b">
        <f>Proc[[#This Row],[Requested]]=Proc[[#This Row],[CurrentParent]]</f>
        <v>1</v>
      </c>
      <c r="K1534" s="87" t="str">
        <f>IF(Proc[[#This Row],[Author]]="Marcela Urrego",VLOOKUP(LEFT(Proc[[#This Row],[Requested]],1),Table3[#All],2,0),VLOOKUP(Proc[[#This Row],[Author]],Table4[],2,0))</f>
        <v>HC</v>
      </c>
      <c r="L1534" s="87" t="s">
        <v>2563</v>
      </c>
      <c r="M1534" s="85">
        <v>45796.393090277779</v>
      </c>
      <c r="N1534" s="85"/>
      <c r="O1534" s="85"/>
      <c r="P1534" s="88" t="str">
        <f ca="1">IF(Proc[[#This Row],[DaysAgeing]]&gt;5,"yep","on track")</f>
        <v>yep</v>
      </c>
      <c r="Q1534" s="3">
        <f ca="1">IF(Proc[[#This Row],[DateClosed]]="",ABS(NETWORKDAYS(Proc[[#This Row],[DateOpened]],TODAY()))-1,ABS(NETWORKDAYS(Proc[[#This Row],[DateOpened]],Proc[[#This Row],[DateClosed]]))-1)</f>
        <v>31</v>
      </c>
      <c r="R1534" s="88" t="s">
        <v>478</v>
      </c>
      <c r="S1534" s="87"/>
    </row>
    <row r="1535" spans="1:19" hidden="1">
      <c r="A1535" s="86" t="s">
        <v>3327</v>
      </c>
      <c r="B1535" s="87" t="str">
        <f>IFERROR(VLOOKUP(Proc[[#This Row],[App]],Table2[],3,0),"open")</f>
        <v>ok</v>
      </c>
      <c r="C1535" s="86" t="s">
        <v>369</v>
      </c>
      <c r="D1535" t="s">
        <v>3315</v>
      </c>
      <c r="E1535" t="s">
        <v>2161</v>
      </c>
      <c r="F1535" s="105" t="s">
        <v>2161</v>
      </c>
      <c r="G1535" s="86" t="s">
        <v>400</v>
      </c>
      <c r="H1535" s="87" t="str">
        <f>IF(Proc[[#This Row],[type]]="LFF (MDG-F)",MID(Proc[[#This Row],[Obj]],13,10),"")</f>
        <v/>
      </c>
      <c r="J1535" s="87" t="b">
        <f>Proc[[#This Row],[Requested]]=Proc[[#This Row],[CurrentParent]]</f>
        <v>1</v>
      </c>
      <c r="K1535" s="87" t="str">
        <f>IF(Proc[[#This Row],[Author]]="Marcela Urrego",VLOOKUP(LEFT(Proc[[#This Row],[Requested]],1),Table3[#All],2,0),VLOOKUP(Proc[[#This Row],[Author]],Table4[],2,0))</f>
        <v>HC</v>
      </c>
      <c r="L1535" s="87" t="s">
        <v>2563</v>
      </c>
      <c r="M1535" s="85">
        <v>45796.393090277779</v>
      </c>
      <c r="N1535" s="85"/>
      <c r="O1535" s="85"/>
      <c r="P1535" s="88" t="str">
        <f ca="1">IF(Proc[[#This Row],[DaysAgeing]]&gt;5,"yep","on track")</f>
        <v>yep</v>
      </c>
      <c r="Q1535" s="3">
        <f ca="1">IF(Proc[[#This Row],[DateClosed]]="",ABS(NETWORKDAYS(Proc[[#This Row],[DateOpened]],TODAY()))-1,ABS(NETWORKDAYS(Proc[[#This Row],[DateOpened]],Proc[[#This Row],[DateClosed]]))-1)</f>
        <v>31</v>
      </c>
      <c r="R1535" s="88" t="s">
        <v>478</v>
      </c>
      <c r="S1535" s="87"/>
    </row>
    <row r="1536" spans="1:19" hidden="1">
      <c r="A1536" s="86" t="s">
        <v>3327</v>
      </c>
      <c r="B1536" s="87" t="str">
        <f>IFERROR(VLOOKUP(Proc[[#This Row],[App]],Table2[],3,0),"open")</f>
        <v>ok</v>
      </c>
      <c r="C1536" s="86" t="s">
        <v>369</v>
      </c>
      <c r="D1536" t="s">
        <v>3316</v>
      </c>
      <c r="E1536" t="s">
        <v>2161</v>
      </c>
      <c r="F1536" s="105" t="s">
        <v>2161</v>
      </c>
      <c r="G1536" s="86" t="s">
        <v>400</v>
      </c>
      <c r="H1536" s="87" t="str">
        <f>IF(Proc[[#This Row],[type]]="LFF (MDG-F)",MID(Proc[[#This Row],[Obj]],13,10),"")</f>
        <v/>
      </c>
      <c r="J1536" s="87" t="b">
        <f>Proc[[#This Row],[Requested]]=Proc[[#This Row],[CurrentParent]]</f>
        <v>1</v>
      </c>
      <c r="K1536" s="87" t="str">
        <f>IF(Proc[[#This Row],[Author]]="Marcela Urrego",VLOOKUP(LEFT(Proc[[#This Row],[Requested]],1),Table3[#All],2,0),VLOOKUP(Proc[[#This Row],[Author]],Table4[],2,0))</f>
        <v>HC</v>
      </c>
      <c r="L1536" s="87" t="s">
        <v>2563</v>
      </c>
      <c r="M1536" s="85">
        <v>45796.393090277779</v>
      </c>
      <c r="N1536" s="85"/>
      <c r="O1536" s="85"/>
      <c r="P1536" s="88" t="str">
        <f ca="1">IF(Proc[[#This Row],[DaysAgeing]]&gt;5,"yep","on track")</f>
        <v>yep</v>
      </c>
      <c r="Q1536" s="3">
        <f ca="1">IF(Proc[[#This Row],[DateClosed]]="",ABS(NETWORKDAYS(Proc[[#This Row],[DateOpened]],TODAY()))-1,ABS(NETWORKDAYS(Proc[[#This Row],[DateOpened]],Proc[[#This Row],[DateClosed]]))-1)</f>
        <v>31</v>
      </c>
      <c r="R1536" s="88" t="s">
        <v>478</v>
      </c>
      <c r="S1536" s="87"/>
    </row>
    <row r="1537" spans="1:19" hidden="1">
      <c r="A1537" s="86" t="s">
        <v>3327</v>
      </c>
      <c r="B1537" s="87" t="str">
        <f>IFERROR(VLOOKUP(Proc[[#This Row],[App]],Table2[],3,0),"open")</f>
        <v>ok</v>
      </c>
      <c r="C1537" s="86" t="s">
        <v>369</v>
      </c>
      <c r="D1537" t="s">
        <v>3317</v>
      </c>
      <c r="E1537" t="s">
        <v>2161</v>
      </c>
      <c r="F1537" s="105" t="s">
        <v>2161</v>
      </c>
      <c r="G1537" s="86" t="s">
        <v>400</v>
      </c>
      <c r="H1537" s="87" t="str">
        <f>IF(Proc[[#This Row],[type]]="LFF (MDG-F)",MID(Proc[[#This Row],[Obj]],13,10),"")</f>
        <v/>
      </c>
      <c r="J1537" s="87" t="b">
        <f>Proc[[#This Row],[Requested]]=Proc[[#This Row],[CurrentParent]]</f>
        <v>1</v>
      </c>
      <c r="K1537" s="87" t="str">
        <f>IF(Proc[[#This Row],[Author]]="Marcela Urrego",VLOOKUP(LEFT(Proc[[#This Row],[Requested]],1),Table3[#All],2,0),VLOOKUP(Proc[[#This Row],[Author]],Table4[],2,0))</f>
        <v>HC</v>
      </c>
      <c r="L1537" s="87" t="s">
        <v>2563</v>
      </c>
      <c r="M1537" s="85">
        <v>45796.393090277779</v>
      </c>
      <c r="N1537" s="85"/>
      <c r="O1537" s="85"/>
      <c r="P1537" s="88" t="str">
        <f ca="1">IF(Proc[[#This Row],[DaysAgeing]]&gt;5,"yep","on track")</f>
        <v>yep</v>
      </c>
      <c r="Q1537" s="3">
        <f ca="1">IF(Proc[[#This Row],[DateClosed]]="",ABS(NETWORKDAYS(Proc[[#This Row],[DateOpened]],TODAY()))-1,ABS(NETWORKDAYS(Proc[[#This Row],[DateOpened]],Proc[[#This Row],[DateClosed]]))-1)</f>
        <v>31</v>
      </c>
      <c r="R1537" s="88" t="s">
        <v>478</v>
      </c>
      <c r="S1537" s="87"/>
    </row>
    <row r="1538" spans="1:19" hidden="1">
      <c r="A1538" s="86" t="s">
        <v>3327</v>
      </c>
      <c r="B1538" s="87" t="str">
        <f>IFERROR(VLOOKUP(Proc[[#This Row],[App]],Table2[],3,0),"open")</f>
        <v>ok</v>
      </c>
      <c r="C1538" s="86" t="s">
        <v>369</v>
      </c>
      <c r="D1538" t="s">
        <v>3318</v>
      </c>
      <c r="E1538" t="s">
        <v>2161</v>
      </c>
      <c r="F1538" s="105" t="s">
        <v>2161</v>
      </c>
      <c r="G1538" s="86" t="s">
        <v>400</v>
      </c>
      <c r="H1538" s="87" t="str">
        <f>IF(Proc[[#This Row],[type]]="LFF (MDG-F)",MID(Proc[[#This Row],[Obj]],13,10),"")</f>
        <v/>
      </c>
      <c r="J1538" s="87" t="b">
        <f>Proc[[#This Row],[Requested]]=Proc[[#This Row],[CurrentParent]]</f>
        <v>1</v>
      </c>
      <c r="K1538" s="87" t="str">
        <f>IF(Proc[[#This Row],[Author]]="Marcela Urrego",VLOOKUP(LEFT(Proc[[#This Row],[Requested]],1),Table3[#All],2,0),VLOOKUP(Proc[[#This Row],[Author]],Table4[],2,0))</f>
        <v>HC</v>
      </c>
      <c r="L1538" s="87" t="s">
        <v>2563</v>
      </c>
      <c r="M1538" s="85">
        <v>45796.393090277779</v>
      </c>
      <c r="N1538" s="85"/>
      <c r="O1538" s="85"/>
      <c r="P1538" s="88" t="str">
        <f ca="1">IF(Proc[[#This Row],[DaysAgeing]]&gt;5,"yep","on track")</f>
        <v>yep</v>
      </c>
      <c r="Q1538" s="3">
        <f ca="1">IF(Proc[[#This Row],[DateClosed]]="",ABS(NETWORKDAYS(Proc[[#This Row],[DateOpened]],TODAY()))-1,ABS(NETWORKDAYS(Proc[[#This Row],[DateOpened]],Proc[[#This Row],[DateClosed]]))-1)</f>
        <v>31</v>
      </c>
      <c r="R1538" s="88" t="s">
        <v>478</v>
      </c>
      <c r="S1538" s="87"/>
    </row>
    <row r="1539" spans="1:19" hidden="1">
      <c r="A1539" s="86" t="s">
        <v>3327</v>
      </c>
      <c r="B1539" s="87" t="str">
        <f>IFERROR(VLOOKUP(Proc[[#This Row],[App]],Table2[],3,0),"open")</f>
        <v>ok</v>
      </c>
      <c r="C1539" s="86" t="s">
        <v>369</v>
      </c>
      <c r="D1539" t="s">
        <v>3319</v>
      </c>
      <c r="E1539" t="s">
        <v>2161</v>
      </c>
      <c r="F1539" s="105" t="s">
        <v>2161</v>
      </c>
      <c r="G1539" s="86" t="s">
        <v>400</v>
      </c>
      <c r="H1539" s="87" t="str">
        <f>IF(Proc[[#This Row],[type]]="LFF (MDG-F)",MID(Proc[[#This Row],[Obj]],13,10),"")</f>
        <v/>
      </c>
      <c r="J1539" s="87" t="b">
        <f>Proc[[#This Row],[Requested]]=Proc[[#This Row],[CurrentParent]]</f>
        <v>1</v>
      </c>
      <c r="K1539" s="87" t="str">
        <f>IF(Proc[[#This Row],[Author]]="Marcela Urrego",VLOOKUP(LEFT(Proc[[#This Row],[Requested]],1),Table3[#All],2,0),VLOOKUP(Proc[[#This Row],[Author]],Table4[],2,0))</f>
        <v>HC</v>
      </c>
      <c r="L1539" s="87" t="s">
        <v>2563</v>
      </c>
      <c r="M1539" s="85">
        <v>45796.393090277779</v>
      </c>
      <c r="N1539" s="85"/>
      <c r="O1539" s="85"/>
      <c r="P1539" s="88" t="str">
        <f ca="1">IF(Proc[[#This Row],[DaysAgeing]]&gt;5,"yep","on track")</f>
        <v>yep</v>
      </c>
      <c r="Q1539" s="3">
        <f ca="1">IF(Proc[[#This Row],[DateClosed]]="",ABS(NETWORKDAYS(Proc[[#This Row],[DateOpened]],TODAY()))-1,ABS(NETWORKDAYS(Proc[[#This Row],[DateOpened]],Proc[[#This Row],[DateClosed]]))-1)</f>
        <v>31</v>
      </c>
      <c r="R1539" s="88" t="s">
        <v>478</v>
      </c>
      <c r="S1539" s="87"/>
    </row>
    <row r="1540" spans="1:19" hidden="1">
      <c r="A1540" s="86" t="s">
        <v>3327</v>
      </c>
      <c r="B1540" s="87" t="str">
        <f>IFERROR(VLOOKUP(Proc[[#This Row],[App]],Table2[],3,0),"open")</f>
        <v>ok</v>
      </c>
      <c r="C1540" s="86" t="s">
        <v>369</v>
      </c>
      <c r="D1540" t="s">
        <v>3320</v>
      </c>
      <c r="E1540" t="s">
        <v>2161</v>
      </c>
      <c r="F1540" s="105" t="s">
        <v>2161</v>
      </c>
      <c r="G1540" s="86" t="s">
        <v>400</v>
      </c>
      <c r="H1540" s="87" t="str">
        <f>IF(Proc[[#This Row],[type]]="LFF (MDG-F)",MID(Proc[[#This Row],[Obj]],13,10),"")</f>
        <v/>
      </c>
      <c r="J1540" s="87" t="b">
        <f>Proc[[#This Row],[Requested]]=Proc[[#This Row],[CurrentParent]]</f>
        <v>1</v>
      </c>
      <c r="K1540" s="87" t="str">
        <f>IF(Proc[[#This Row],[Author]]="Marcela Urrego",VLOOKUP(LEFT(Proc[[#This Row],[Requested]],1),Table3[#All],2,0),VLOOKUP(Proc[[#This Row],[Author]],Table4[],2,0))</f>
        <v>HC</v>
      </c>
      <c r="L1540" s="87" t="s">
        <v>2563</v>
      </c>
      <c r="M1540" s="85">
        <v>45796.393090277779</v>
      </c>
      <c r="N1540" s="85"/>
      <c r="O1540" s="85"/>
      <c r="P1540" s="88" t="str">
        <f ca="1">IF(Proc[[#This Row],[DaysAgeing]]&gt;5,"yep","on track")</f>
        <v>yep</v>
      </c>
      <c r="Q1540" s="3">
        <f ca="1">IF(Proc[[#This Row],[DateClosed]]="",ABS(NETWORKDAYS(Proc[[#This Row],[DateOpened]],TODAY()))-1,ABS(NETWORKDAYS(Proc[[#This Row],[DateOpened]],Proc[[#This Row],[DateClosed]]))-1)</f>
        <v>31</v>
      </c>
      <c r="R1540" s="88" t="s">
        <v>478</v>
      </c>
      <c r="S1540" s="87"/>
    </row>
    <row r="1541" spans="1:19" hidden="1">
      <c r="A1541" s="86" t="s">
        <v>3327</v>
      </c>
      <c r="B1541" s="87" t="str">
        <f>IFERROR(VLOOKUP(Proc[[#This Row],[App]],Table2[],3,0),"open")</f>
        <v>ok</v>
      </c>
      <c r="C1541" s="86" t="s">
        <v>369</v>
      </c>
      <c r="D1541" t="s">
        <v>3321</v>
      </c>
      <c r="E1541" t="s">
        <v>2161</v>
      </c>
      <c r="F1541" s="105" t="s">
        <v>2161</v>
      </c>
      <c r="G1541" s="86" t="s">
        <v>400</v>
      </c>
      <c r="H1541" s="87" t="str">
        <f>IF(Proc[[#This Row],[type]]="LFF (MDG-F)",MID(Proc[[#This Row],[Obj]],13,10),"")</f>
        <v/>
      </c>
      <c r="J1541" s="87" t="b">
        <f>Proc[[#This Row],[Requested]]=Proc[[#This Row],[CurrentParent]]</f>
        <v>1</v>
      </c>
      <c r="K1541" s="87" t="str">
        <f>IF(Proc[[#This Row],[Author]]="Marcela Urrego",VLOOKUP(LEFT(Proc[[#This Row],[Requested]],1),Table3[#All],2,0),VLOOKUP(Proc[[#This Row],[Author]],Table4[],2,0))</f>
        <v>HC</v>
      </c>
      <c r="L1541" s="87" t="s">
        <v>2563</v>
      </c>
      <c r="M1541" s="85">
        <v>45796.393090277779</v>
      </c>
      <c r="N1541" s="85"/>
      <c r="O1541" s="85"/>
      <c r="P1541" s="88" t="str">
        <f ca="1">IF(Proc[[#This Row],[DaysAgeing]]&gt;5,"yep","on track")</f>
        <v>yep</v>
      </c>
      <c r="Q1541" s="3">
        <f ca="1">IF(Proc[[#This Row],[DateClosed]]="",ABS(NETWORKDAYS(Proc[[#This Row],[DateOpened]],TODAY()))-1,ABS(NETWORKDAYS(Proc[[#This Row],[DateOpened]],Proc[[#This Row],[DateClosed]]))-1)</f>
        <v>31</v>
      </c>
      <c r="R1541" s="88" t="s">
        <v>478</v>
      </c>
      <c r="S1541" s="87"/>
    </row>
    <row r="1542" spans="1:19" hidden="1">
      <c r="A1542" s="86" t="s">
        <v>3327</v>
      </c>
      <c r="B1542" s="87" t="str">
        <f>IFERROR(VLOOKUP(Proc[[#This Row],[App]],Table2[],3,0),"open")</f>
        <v>ok</v>
      </c>
      <c r="C1542" s="86" t="s">
        <v>369</v>
      </c>
      <c r="D1542" t="s">
        <v>3322</v>
      </c>
      <c r="E1542" t="s">
        <v>2161</v>
      </c>
      <c r="F1542" s="105" t="s">
        <v>2161</v>
      </c>
      <c r="G1542" s="86" t="s">
        <v>400</v>
      </c>
      <c r="H1542" s="87" t="str">
        <f>IF(Proc[[#This Row],[type]]="LFF (MDG-F)",MID(Proc[[#This Row],[Obj]],13,10),"")</f>
        <v/>
      </c>
      <c r="J1542" s="87" t="b">
        <f>Proc[[#This Row],[Requested]]=Proc[[#This Row],[CurrentParent]]</f>
        <v>1</v>
      </c>
      <c r="K1542" s="87" t="str">
        <f>IF(Proc[[#This Row],[Author]]="Marcela Urrego",VLOOKUP(LEFT(Proc[[#This Row],[Requested]],1),Table3[#All],2,0),VLOOKUP(Proc[[#This Row],[Author]],Table4[],2,0))</f>
        <v>HC</v>
      </c>
      <c r="L1542" s="87" t="s">
        <v>2563</v>
      </c>
      <c r="M1542" s="85">
        <v>45796.393090277779</v>
      </c>
      <c r="N1542" s="85"/>
      <c r="O1542" s="85"/>
      <c r="P1542" s="88" t="str">
        <f ca="1">IF(Proc[[#This Row],[DaysAgeing]]&gt;5,"yep","on track")</f>
        <v>yep</v>
      </c>
      <c r="Q1542" s="3">
        <f ca="1">IF(Proc[[#This Row],[DateClosed]]="",ABS(NETWORKDAYS(Proc[[#This Row],[DateOpened]],TODAY()))-1,ABS(NETWORKDAYS(Proc[[#This Row],[DateOpened]],Proc[[#This Row],[DateClosed]]))-1)</f>
        <v>31</v>
      </c>
      <c r="R1542" s="88" t="s">
        <v>478</v>
      </c>
      <c r="S1542" s="87"/>
    </row>
    <row r="1543" spans="1:19" hidden="1">
      <c r="A1543" s="86" t="s">
        <v>3327</v>
      </c>
      <c r="B1543" s="87" t="str">
        <f>IFERROR(VLOOKUP(Proc[[#This Row],[App]],Table2[],3,0),"open")</f>
        <v>ok</v>
      </c>
      <c r="C1543" s="86" t="s">
        <v>369</v>
      </c>
      <c r="D1543" t="s">
        <v>3323</v>
      </c>
      <c r="E1543" t="s">
        <v>2161</v>
      </c>
      <c r="F1543" s="105" t="s">
        <v>2161</v>
      </c>
      <c r="G1543" s="86" t="s">
        <v>400</v>
      </c>
      <c r="H1543" s="87" t="str">
        <f>IF(Proc[[#This Row],[type]]="LFF (MDG-F)",MID(Proc[[#This Row],[Obj]],13,10),"")</f>
        <v/>
      </c>
      <c r="J1543" s="87" t="b">
        <f>Proc[[#This Row],[Requested]]=Proc[[#This Row],[CurrentParent]]</f>
        <v>1</v>
      </c>
      <c r="K1543" s="87" t="str">
        <f>IF(Proc[[#This Row],[Author]]="Marcela Urrego",VLOOKUP(LEFT(Proc[[#This Row],[Requested]],1),Table3[#All],2,0),VLOOKUP(Proc[[#This Row],[Author]],Table4[],2,0))</f>
        <v>HC</v>
      </c>
      <c r="L1543" s="87" t="s">
        <v>2563</v>
      </c>
      <c r="M1543" s="85">
        <v>45796.393090277779</v>
      </c>
      <c r="N1543" s="85"/>
      <c r="O1543" s="85"/>
      <c r="P1543" s="88" t="str">
        <f ca="1">IF(Proc[[#This Row],[DaysAgeing]]&gt;5,"yep","on track")</f>
        <v>yep</v>
      </c>
      <c r="Q1543" s="3">
        <f ca="1">IF(Proc[[#This Row],[DateClosed]]="",ABS(NETWORKDAYS(Proc[[#This Row],[DateOpened]],TODAY()))-1,ABS(NETWORKDAYS(Proc[[#This Row],[DateOpened]],Proc[[#This Row],[DateClosed]]))-1)</f>
        <v>31</v>
      </c>
      <c r="R1543" s="88" t="s">
        <v>478</v>
      </c>
      <c r="S1543" s="87"/>
    </row>
    <row r="1544" spans="1:19" hidden="1">
      <c r="A1544" s="86" t="s">
        <v>3327</v>
      </c>
      <c r="B1544" s="87" t="str">
        <f>IFERROR(VLOOKUP(Proc[[#This Row],[App]],Table2[],3,0),"open")</f>
        <v>ok</v>
      </c>
      <c r="C1544" s="86" t="s">
        <v>369</v>
      </c>
      <c r="D1544" t="s">
        <v>3324</v>
      </c>
      <c r="E1544" t="s">
        <v>2161</v>
      </c>
      <c r="F1544" s="105" t="s">
        <v>2161</v>
      </c>
      <c r="G1544" s="86" t="s">
        <v>400</v>
      </c>
      <c r="H1544" s="87" t="str">
        <f>IF(Proc[[#This Row],[type]]="LFF (MDG-F)",MID(Proc[[#This Row],[Obj]],13,10),"")</f>
        <v/>
      </c>
      <c r="J1544" s="87" t="b">
        <f>Proc[[#This Row],[Requested]]=Proc[[#This Row],[CurrentParent]]</f>
        <v>1</v>
      </c>
      <c r="K1544" s="87" t="str">
        <f>IF(Proc[[#This Row],[Author]]="Marcela Urrego",VLOOKUP(LEFT(Proc[[#This Row],[Requested]],1),Table3[#All],2,0),VLOOKUP(Proc[[#This Row],[Author]],Table4[],2,0))</f>
        <v>HC</v>
      </c>
      <c r="L1544" s="87" t="s">
        <v>2563</v>
      </c>
      <c r="M1544" s="85">
        <v>45796.393090277779</v>
      </c>
      <c r="N1544" s="85"/>
      <c r="O1544" s="85"/>
      <c r="P1544" s="88" t="str">
        <f ca="1">IF(Proc[[#This Row],[DaysAgeing]]&gt;5,"yep","on track")</f>
        <v>yep</v>
      </c>
      <c r="Q1544" s="3">
        <f ca="1">IF(Proc[[#This Row],[DateClosed]]="",ABS(NETWORKDAYS(Proc[[#This Row],[DateOpened]],TODAY()))-1,ABS(NETWORKDAYS(Proc[[#This Row],[DateOpened]],Proc[[#This Row],[DateClosed]]))-1)</f>
        <v>31</v>
      </c>
      <c r="R1544" s="88" t="s">
        <v>478</v>
      </c>
      <c r="S1544" s="87"/>
    </row>
    <row r="1545" spans="1:19" hidden="1">
      <c r="A1545" s="86" t="s">
        <v>3327</v>
      </c>
      <c r="B1545" s="87" t="str">
        <f>IFERROR(VLOOKUP(Proc[[#This Row],[App]],Table2[],3,0),"open")</f>
        <v>ok</v>
      </c>
      <c r="C1545" s="86" t="s">
        <v>369</v>
      </c>
      <c r="D1545" t="s">
        <v>3325</v>
      </c>
      <c r="E1545" t="s">
        <v>2161</v>
      </c>
      <c r="F1545" s="105" t="s">
        <v>2161</v>
      </c>
      <c r="G1545" s="86" t="s">
        <v>400</v>
      </c>
      <c r="H1545" s="87" t="str">
        <f>IF(Proc[[#This Row],[type]]="LFF (MDG-F)",MID(Proc[[#This Row],[Obj]],13,10),"")</f>
        <v/>
      </c>
      <c r="J1545" s="87" t="b">
        <f>Proc[[#This Row],[Requested]]=Proc[[#This Row],[CurrentParent]]</f>
        <v>1</v>
      </c>
      <c r="K1545" s="87" t="str">
        <f>IF(Proc[[#This Row],[Author]]="Marcela Urrego",VLOOKUP(LEFT(Proc[[#This Row],[Requested]],1),Table3[#All],2,0),VLOOKUP(Proc[[#This Row],[Author]],Table4[],2,0))</f>
        <v>HC</v>
      </c>
      <c r="L1545" s="87" t="s">
        <v>2563</v>
      </c>
      <c r="M1545" s="85">
        <v>45796.393090277779</v>
      </c>
      <c r="N1545" s="85"/>
      <c r="O1545" s="85"/>
      <c r="P1545" s="88" t="str">
        <f ca="1">IF(Proc[[#This Row],[DaysAgeing]]&gt;5,"yep","on track")</f>
        <v>yep</v>
      </c>
      <c r="Q1545" s="3">
        <f ca="1">IF(Proc[[#This Row],[DateClosed]]="",ABS(NETWORKDAYS(Proc[[#This Row],[DateOpened]],TODAY()))-1,ABS(NETWORKDAYS(Proc[[#This Row],[DateOpened]],Proc[[#This Row],[DateClosed]]))-1)</f>
        <v>31</v>
      </c>
      <c r="R1545" s="88" t="s">
        <v>478</v>
      </c>
      <c r="S1545" s="87"/>
    </row>
    <row r="1546" spans="1:19" hidden="1">
      <c r="A1546" s="86" t="s">
        <v>3327</v>
      </c>
      <c r="B1546" s="87" t="str">
        <f>IFERROR(VLOOKUP(Proc[[#This Row],[App]],Table2[],3,0),"open")</f>
        <v>ok</v>
      </c>
      <c r="C1546" s="86" t="s">
        <v>369</v>
      </c>
      <c r="D1546" t="s">
        <v>3326</v>
      </c>
      <c r="E1546" t="s">
        <v>2161</v>
      </c>
      <c r="F1546" s="105" t="s">
        <v>2161</v>
      </c>
      <c r="G1546" s="86" t="s">
        <v>400</v>
      </c>
      <c r="H1546" s="87" t="str">
        <f>IF(Proc[[#This Row],[type]]="LFF (MDG-F)",MID(Proc[[#This Row],[Obj]],13,10),"")</f>
        <v/>
      </c>
      <c r="J1546" s="87" t="b">
        <f>Proc[[#This Row],[Requested]]=Proc[[#This Row],[CurrentParent]]</f>
        <v>1</v>
      </c>
      <c r="K1546" s="87" t="str">
        <f>IF(Proc[[#This Row],[Author]]="Marcela Urrego",VLOOKUP(LEFT(Proc[[#This Row],[Requested]],1),Table3[#All],2,0),VLOOKUP(Proc[[#This Row],[Author]],Table4[],2,0))</f>
        <v>HC</v>
      </c>
      <c r="L1546" s="87" t="s">
        <v>2563</v>
      </c>
      <c r="M1546" s="85">
        <v>45796.393090277779</v>
      </c>
      <c r="N1546" s="85"/>
      <c r="O1546" s="85"/>
      <c r="P1546" s="88" t="str">
        <f ca="1">IF(Proc[[#This Row],[DaysAgeing]]&gt;5,"yep","on track")</f>
        <v>yep</v>
      </c>
      <c r="Q1546" s="3">
        <f ca="1">IF(Proc[[#This Row],[DateClosed]]="",ABS(NETWORKDAYS(Proc[[#This Row],[DateOpened]],TODAY()))-1,ABS(NETWORKDAYS(Proc[[#This Row],[DateOpened]],Proc[[#This Row],[DateClosed]]))-1)</f>
        <v>31</v>
      </c>
      <c r="R1546" s="88" t="s">
        <v>478</v>
      </c>
      <c r="S1546" s="87"/>
    </row>
    <row r="1547" spans="1:19" hidden="1">
      <c r="A1547" t="s">
        <v>3328</v>
      </c>
      <c r="B1547" s="87" t="str">
        <f>IFERROR(VLOOKUP(Proc[[#This Row],[App]],Table2[],3,0),"open")</f>
        <v>ok</v>
      </c>
      <c r="C1547" s="86" t="s">
        <v>369</v>
      </c>
      <c r="D1547" t="s">
        <v>3329</v>
      </c>
      <c r="E1547" t="s">
        <v>2174</v>
      </c>
      <c r="F1547" s="105" t="s">
        <v>2174</v>
      </c>
      <c r="G1547" s="86" t="s">
        <v>400</v>
      </c>
      <c r="H1547" s="87" t="str">
        <f>IF(Proc[[#This Row],[type]]="LFF (MDG-F)",MID(Proc[[#This Row],[Obj]],13,10),"")</f>
        <v/>
      </c>
      <c r="J1547" s="87" t="b">
        <f>Proc[[#This Row],[Requested]]=Proc[[#This Row],[CurrentParent]]</f>
        <v>1</v>
      </c>
      <c r="K1547" s="87" t="str">
        <f>IF(Proc[[#This Row],[Author]]="Marcela Urrego",VLOOKUP(LEFT(Proc[[#This Row],[Requested]],1),Table3[#All],2,0),VLOOKUP(Proc[[#This Row],[Author]],Table4[],2,0))</f>
        <v>HC</v>
      </c>
      <c r="L1547" s="87" t="s">
        <v>2563</v>
      </c>
      <c r="M1547" s="85">
        <v>45796.395428240743</v>
      </c>
      <c r="N1547" s="85"/>
      <c r="O1547" s="85"/>
      <c r="P1547" s="88" t="str">
        <f ca="1">IF(Proc[[#This Row],[DaysAgeing]]&gt;5,"yep","on track")</f>
        <v>yep</v>
      </c>
      <c r="Q1547" s="3">
        <f ca="1">IF(Proc[[#This Row],[DateClosed]]="",ABS(NETWORKDAYS(Proc[[#This Row],[DateOpened]],TODAY()))-1,ABS(NETWORKDAYS(Proc[[#This Row],[DateOpened]],Proc[[#This Row],[DateClosed]]))-1)</f>
        <v>31</v>
      </c>
      <c r="R1547" s="88" t="s">
        <v>478</v>
      </c>
      <c r="S1547" s="87"/>
    </row>
    <row r="1548" spans="1:19" hidden="1">
      <c r="A1548" t="s">
        <v>3332</v>
      </c>
      <c r="B1548" s="87" t="str">
        <f>IFERROR(VLOOKUP(Proc[[#This Row],[App]],Table2[],3,0),"open")</f>
        <v>ok</v>
      </c>
      <c r="C1548" s="91" t="s">
        <v>369</v>
      </c>
      <c r="D1548" t="s">
        <v>3331</v>
      </c>
      <c r="E1548" t="s">
        <v>3281</v>
      </c>
      <c r="F1548" s="105" t="s">
        <v>3281</v>
      </c>
      <c r="G1548" t="s">
        <v>400</v>
      </c>
      <c r="H1548" s="87" t="str">
        <f>IF(Proc[[#This Row],[type]]="LFF (MDG-F)",MID(Proc[[#This Row],[Obj]],13,10),"")</f>
        <v/>
      </c>
      <c r="J1548" s="87" t="b">
        <f>Proc[[#This Row],[Requested]]=Proc[[#This Row],[CurrentParent]]</f>
        <v>1</v>
      </c>
      <c r="K1548" s="87" t="str">
        <f>IF(Proc[[#This Row],[Author]]="Marcela Urrego",VLOOKUP(LEFT(Proc[[#This Row],[Requested]],1),Table3[#All],2,0),VLOOKUP(Proc[[#This Row],[Author]],Table4[],2,0))</f>
        <v>HC</v>
      </c>
      <c r="L1548" s="87" t="s">
        <v>2563</v>
      </c>
      <c r="M1548" s="85">
        <v>45796.761319444442</v>
      </c>
      <c r="N1548" s="85"/>
      <c r="O1548" s="85"/>
      <c r="P1548" s="88" t="str">
        <f ca="1">IF(Proc[[#This Row],[DaysAgeing]]&gt;5,"yep","on track")</f>
        <v>yep</v>
      </c>
      <c r="Q1548" s="3">
        <f ca="1">IF(Proc[[#This Row],[DateClosed]]="",ABS(NETWORKDAYS(Proc[[#This Row],[DateOpened]],TODAY()))-1,ABS(NETWORKDAYS(Proc[[#This Row],[DateOpened]],Proc[[#This Row],[DateClosed]]))-1)</f>
        <v>31</v>
      </c>
      <c r="R1548" s="88" t="s">
        <v>3285</v>
      </c>
      <c r="S1548" s="87"/>
    </row>
    <row r="1549" spans="1:19" hidden="1">
      <c r="A1549" t="s">
        <v>3333</v>
      </c>
      <c r="B1549" s="87" t="str">
        <f>IFERROR(VLOOKUP(Proc[[#This Row],[App]],Table2[],3,0),"open")</f>
        <v>ok</v>
      </c>
      <c r="C1549" s="91" t="s">
        <v>369</v>
      </c>
      <c r="D1549" t="s">
        <v>3334</v>
      </c>
      <c r="E1549" t="s">
        <v>1830</v>
      </c>
      <c r="F1549" s="105" t="s">
        <v>1830</v>
      </c>
      <c r="G1549" s="86" t="s">
        <v>400</v>
      </c>
      <c r="H1549" s="87" t="str">
        <f>IF(Proc[[#This Row],[type]]="LFF (MDG-F)",MID(Proc[[#This Row],[Obj]],13,10),"")</f>
        <v/>
      </c>
      <c r="J1549" s="87" t="b">
        <f>Proc[[#This Row],[Requested]]=Proc[[#This Row],[CurrentParent]]</f>
        <v>1</v>
      </c>
      <c r="K1549" s="87" t="str">
        <f>IF(Proc[[#This Row],[Author]]="Marcela Urrego",VLOOKUP(LEFT(Proc[[#This Row],[Requested]],1),Table3[#All],2,0),VLOOKUP(Proc[[#This Row],[Author]],Table4[],2,0))</f>
        <v>LS</v>
      </c>
      <c r="L1549" s="87" t="s">
        <v>2563</v>
      </c>
      <c r="M1549" s="85">
        <v>45797.153009259258</v>
      </c>
      <c r="N1549" s="85"/>
      <c r="O1549" s="85"/>
      <c r="P1549" s="88" t="str">
        <f ca="1">IF(Proc[[#This Row],[DaysAgeing]]&gt;5,"yep","on track")</f>
        <v>yep</v>
      </c>
      <c r="Q1549" s="3">
        <f ca="1">IF(Proc[[#This Row],[DateClosed]]="",ABS(NETWORKDAYS(Proc[[#This Row],[DateOpened]],TODAY()))-1,ABS(NETWORKDAYS(Proc[[#This Row],[DateOpened]],Proc[[#This Row],[DateClosed]]))-1)</f>
        <v>30</v>
      </c>
      <c r="R1549" s="88" t="s">
        <v>972</v>
      </c>
      <c r="S1549" s="87"/>
    </row>
    <row r="1550" spans="1:19" hidden="1">
      <c r="A1550" s="86" t="s">
        <v>3333</v>
      </c>
      <c r="B1550" s="87" t="str">
        <f>IFERROR(VLOOKUP(Proc[[#This Row],[App]],Table2[],3,0),"open")</f>
        <v>ok</v>
      </c>
      <c r="C1550" s="91" t="s">
        <v>369</v>
      </c>
      <c r="D1550" t="s">
        <v>3335</v>
      </c>
      <c r="E1550" t="s">
        <v>1830</v>
      </c>
      <c r="F1550" s="105" t="s">
        <v>1830</v>
      </c>
      <c r="G1550" s="86" t="s">
        <v>400</v>
      </c>
      <c r="H1550" s="87" t="str">
        <f>IF(Proc[[#This Row],[type]]="LFF (MDG-F)",MID(Proc[[#This Row],[Obj]],13,10),"")</f>
        <v/>
      </c>
      <c r="J1550" s="87" t="b">
        <f>Proc[[#This Row],[Requested]]=Proc[[#This Row],[CurrentParent]]</f>
        <v>1</v>
      </c>
      <c r="K1550" s="87" t="str">
        <f>IF(Proc[[#This Row],[Author]]="Marcela Urrego",VLOOKUP(LEFT(Proc[[#This Row],[Requested]],1),Table3[#All],2,0),VLOOKUP(Proc[[#This Row],[Author]],Table4[],2,0))</f>
        <v>LS</v>
      </c>
      <c r="L1550" s="87" t="s">
        <v>2563</v>
      </c>
      <c r="M1550" s="85">
        <v>45797.153009259258</v>
      </c>
      <c r="N1550" s="85"/>
      <c r="O1550" s="85"/>
      <c r="P1550" s="88" t="str">
        <f ca="1">IF(Proc[[#This Row],[DaysAgeing]]&gt;5,"yep","on track")</f>
        <v>yep</v>
      </c>
      <c r="Q1550" s="3">
        <f ca="1">IF(Proc[[#This Row],[DateClosed]]="",ABS(NETWORKDAYS(Proc[[#This Row],[DateOpened]],TODAY()))-1,ABS(NETWORKDAYS(Proc[[#This Row],[DateOpened]],Proc[[#This Row],[DateClosed]]))-1)</f>
        <v>30</v>
      </c>
      <c r="R1550" s="88" t="s">
        <v>972</v>
      </c>
      <c r="S1550" s="87"/>
    </row>
    <row r="1551" spans="1:19" hidden="1">
      <c r="A1551" s="86" t="s">
        <v>3333</v>
      </c>
      <c r="B1551" s="87" t="str">
        <f>IFERROR(VLOOKUP(Proc[[#This Row],[App]],Table2[],3,0),"open")</f>
        <v>ok</v>
      </c>
      <c r="C1551" s="91" t="s">
        <v>369</v>
      </c>
      <c r="D1551" t="s">
        <v>3336</v>
      </c>
      <c r="E1551" t="s">
        <v>1830</v>
      </c>
      <c r="F1551" s="105" t="s">
        <v>1830</v>
      </c>
      <c r="G1551" s="86" t="s">
        <v>400</v>
      </c>
      <c r="H1551" s="87" t="str">
        <f>IF(Proc[[#This Row],[type]]="LFF (MDG-F)",MID(Proc[[#This Row],[Obj]],13,10),"")</f>
        <v/>
      </c>
      <c r="J1551" s="87" t="b">
        <f>Proc[[#This Row],[Requested]]=Proc[[#This Row],[CurrentParent]]</f>
        <v>1</v>
      </c>
      <c r="K1551" s="87" t="str">
        <f>IF(Proc[[#This Row],[Author]]="Marcela Urrego",VLOOKUP(LEFT(Proc[[#This Row],[Requested]],1),Table3[#All],2,0),VLOOKUP(Proc[[#This Row],[Author]],Table4[],2,0))</f>
        <v>LS</v>
      </c>
      <c r="L1551" s="87" t="s">
        <v>2563</v>
      </c>
      <c r="M1551" s="85">
        <v>45797.153009259258</v>
      </c>
      <c r="N1551" s="85"/>
      <c r="O1551" s="85"/>
      <c r="P1551" s="88" t="str">
        <f ca="1">IF(Proc[[#This Row],[DaysAgeing]]&gt;5,"yep","on track")</f>
        <v>yep</v>
      </c>
      <c r="Q1551" s="3">
        <f ca="1">IF(Proc[[#This Row],[DateClosed]]="",ABS(NETWORKDAYS(Proc[[#This Row],[DateOpened]],TODAY()))-1,ABS(NETWORKDAYS(Proc[[#This Row],[DateOpened]],Proc[[#This Row],[DateClosed]]))-1)</f>
        <v>30</v>
      </c>
      <c r="R1551" s="88" t="s">
        <v>972</v>
      </c>
      <c r="S1551" s="87"/>
    </row>
    <row r="1552" spans="1:19" hidden="1">
      <c r="A1552" s="86" t="s">
        <v>3333</v>
      </c>
      <c r="B1552" s="87" t="str">
        <f>IFERROR(VLOOKUP(Proc[[#This Row],[App]],Table2[],3,0),"open")</f>
        <v>ok</v>
      </c>
      <c r="C1552" s="91" t="s">
        <v>369</v>
      </c>
      <c r="D1552" t="s">
        <v>3337</v>
      </c>
      <c r="E1552" t="s">
        <v>1830</v>
      </c>
      <c r="F1552" s="105" t="s">
        <v>1830</v>
      </c>
      <c r="G1552" s="86" t="s">
        <v>400</v>
      </c>
      <c r="H1552" s="87" t="str">
        <f>IF(Proc[[#This Row],[type]]="LFF (MDG-F)",MID(Proc[[#This Row],[Obj]],13,10),"")</f>
        <v/>
      </c>
      <c r="J1552" s="87" t="b">
        <f>Proc[[#This Row],[Requested]]=Proc[[#This Row],[CurrentParent]]</f>
        <v>1</v>
      </c>
      <c r="K1552" s="87" t="str">
        <f>IF(Proc[[#This Row],[Author]]="Marcela Urrego",VLOOKUP(LEFT(Proc[[#This Row],[Requested]],1),Table3[#All],2,0),VLOOKUP(Proc[[#This Row],[Author]],Table4[],2,0))</f>
        <v>LS</v>
      </c>
      <c r="L1552" s="87" t="s">
        <v>2563</v>
      </c>
      <c r="M1552" s="85">
        <v>45797.153009259258</v>
      </c>
      <c r="N1552" s="85"/>
      <c r="O1552" s="85"/>
      <c r="P1552" s="88" t="str">
        <f ca="1">IF(Proc[[#This Row],[DaysAgeing]]&gt;5,"yep","on track")</f>
        <v>yep</v>
      </c>
      <c r="Q1552" s="3">
        <f ca="1">IF(Proc[[#This Row],[DateClosed]]="",ABS(NETWORKDAYS(Proc[[#This Row],[DateOpened]],TODAY()))-1,ABS(NETWORKDAYS(Proc[[#This Row],[DateOpened]],Proc[[#This Row],[DateClosed]]))-1)</f>
        <v>30</v>
      </c>
      <c r="R1552" s="88" t="s">
        <v>972</v>
      </c>
      <c r="S1552" s="87"/>
    </row>
    <row r="1553" spans="1:19" hidden="1">
      <c r="A1553" s="86" t="s">
        <v>3333</v>
      </c>
      <c r="B1553" s="87" t="str">
        <f>IFERROR(VLOOKUP(Proc[[#This Row],[App]],Table2[],3,0),"open")</f>
        <v>ok</v>
      </c>
      <c r="C1553" s="91" t="s">
        <v>369</v>
      </c>
      <c r="D1553" t="s">
        <v>3338</v>
      </c>
      <c r="E1553" t="s">
        <v>1830</v>
      </c>
      <c r="F1553" s="105" t="s">
        <v>1830</v>
      </c>
      <c r="G1553" s="86" t="s">
        <v>400</v>
      </c>
      <c r="H1553" s="87" t="str">
        <f>IF(Proc[[#This Row],[type]]="LFF (MDG-F)",MID(Proc[[#This Row],[Obj]],13,10),"")</f>
        <v/>
      </c>
      <c r="J1553" s="87" t="b">
        <f>Proc[[#This Row],[Requested]]=Proc[[#This Row],[CurrentParent]]</f>
        <v>1</v>
      </c>
      <c r="K1553" s="87" t="str">
        <f>IF(Proc[[#This Row],[Author]]="Marcela Urrego",VLOOKUP(LEFT(Proc[[#This Row],[Requested]],1),Table3[#All],2,0),VLOOKUP(Proc[[#This Row],[Author]],Table4[],2,0))</f>
        <v>LS</v>
      </c>
      <c r="L1553" s="87" t="s">
        <v>2563</v>
      </c>
      <c r="M1553" s="85">
        <v>45797.153009259258</v>
      </c>
      <c r="N1553" s="85"/>
      <c r="O1553" s="85"/>
      <c r="P1553" s="88" t="str">
        <f ca="1">IF(Proc[[#This Row],[DaysAgeing]]&gt;5,"yep","on track")</f>
        <v>yep</v>
      </c>
      <c r="Q1553" s="3">
        <f ca="1">IF(Proc[[#This Row],[DateClosed]]="",ABS(NETWORKDAYS(Proc[[#This Row],[DateOpened]],TODAY()))-1,ABS(NETWORKDAYS(Proc[[#This Row],[DateOpened]],Proc[[#This Row],[DateClosed]]))-1)</f>
        <v>30</v>
      </c>
      <c r="R1553" s="88" t="s">
        <v>972</v>
      </c>
      <c r="S1553" s="87"/>
    </row>
    <row r="1554" spans="1:19" hidden="1">
      <c r="A1554" s="86" t="s">
        <v>3333</v>
      </c>
      <c r="B1554" s="87" t="str">
        <f>IFERROR(VLOOKUP(Proc[[#This Row],[App]],Table2[],3,0),"open")</f>
        <v>ok</v>
      </c>
      <c r="C1554" s="91" t="s">
        <v>369</v>
      </c>
      <c r="D1554" t="s">
        <v>3339</v>
      </c>
      <c r="E1554" t="s">
        <v>1830</v>
      </c>
      <c r="F1554" s="105" t="s">
        <v>1830</v>
      </c>
      <c r="G1554" s="86" t="s">
        <v>400</v>
      </c>
      <c r="H1554" s="87" t="str">
        <f>IF(Proc[[#This Row],[type]]="LFF (MDG-F)",MID(Proc[[#This Row],[Obj]],13,10),"")</f>
        <v/>
      </c>
      <c r="J1554" s="87" t="b">
        <f>Proc[[#This Row],[Requested]]=Proc[[#This Row],[CurrentParent]]</f>
        <v>1</v>
      </c>
      <c r="K1554" s="87" t="str">
        <f>IF(Proc[[#This Row],[Author]]="Marcela Urrego",VLOOKUP(LEFT(Proc[[#This Row],[Requested]],1),Table3[#All],2,0),VLOOKUP(Proc[[#This Row],[Author]],Table4[],2,0))</f>
        <v>LS</v>
      </c>
      <c r="L1554" s="87" t="s">
        <v>2563</v>
      </c>
      <c r="M1554" s="85">
        <v>45797.153009259258</v>
      </c>
      <c r="N1554" s="85"/>
      <c r="O1554" s="85"/>
      <c r="P1554" s="88" t="str">
        <f ca="1">IF(Proc[[#This Row],[DaysAgeing]]&gt;5,"yep","on track")</f>
        <v>yep</v>
      </c>
      <c r="Q1554" s="3">
        <f ca="1">IF(Proc[[#This Row],[DateClosed]]="",ABS(NETWORKDAYS(Proc[[#This Row],[DateOpened]],TODAY()))-1,ABS(NETWORKDAYS(Proc[[#This Row],[DateOpened]],Proc[[#This Row],[DateClosed]]))-1)</f>
        <v>30</v>
      </c>
      <c r="R1554" s="88" t="s">
        <v>972</v>
      </c>
      <c r="S1554" s="87"/>
    </row>
    <row r="1555" spans="1:19" hidden="1">
      <c r="A1555" s="86" t="s">
        <v>3333</v>
      </c>
      <c r="B1555" s="87" t="str">
        <f>IFERROR(VLOOKUP(Proc[[#This Row],[App]],Table2[],3,0),"open")</f>
        <v>ok</v>
      </c>
      <c r="C1555" s="91" t="s">
        <v>369</v>
      </c>
      <c r="D1555" t="s">
        <v>3340</v>
      </c>
      <c r="E1555" t="s">
        <v>3344</v>
      </c>
      <c r="F1555" s="105" t="s">
        <v>3344</v>
      </c>
      <c r="G1555" s="86" t="s">
        <v>400</v>
      </c>
      <c r="H1555" s="87" t="str">
        <f>IF(Proc[[#This Row],[type]]="LFF (MDG-F)",MID(Proc[[#This Row],[Obj]],13,10),"")</f>
        <v/>
      </c>
      <c r="J1555" s="87" t="b">
        <f>Proc[[#This Row],[Requested]]=Proc[[#This Row],[CurrentParent]]</f>
        <v>1</v>
      </c>
      <c r="K1555" s="87" t="str">
        <f>IF(Proc[[#This Row],[Author]]="Marcela Urrego",VLOOKUP(LEFT(Proc[[#This Row],[Requested]],1),Table3[#All],2,0),VLOOKUP(Proc[[#This Row],[Author]],Table4[],2,0))</f>
        <v>LS</v>
      </c>
      <c r="L1555" s="87" t="s">
        <v>2563</v>
      </c>
      <c r="M1555" s="85">
        <v>45797.153009259258</v>
      </c>
      <c r="N1555" s="85"/>
      <c r="O1555" s="85"/>
      <c r="P1555" s="88" t="str">
        <f ca="1">IF(Proc[[#This Row],[DaysAgeing]]&gt;5,"yep","on track")</f>
        <v>yep</v>
      </c>
      <c r="Q1555" s="3">
        <f ca="1">IF(Proc[[#This Row],[DateClosed]]="",ABS(NETWORKDAYS(Proc[[#This Row],[DateOpened]],TODAY()))-1,ABS(NETWORKDAYS(Proc[[#This Row],[DateOpened]],Proc[[#This Row],[DateClosed]]))-1)</f>
        <v>30</v>
      </c>
      <c r="R1555" s="88" t="s">
        <v>972</v>
      </c>
      <c r="S1555" s="87"/>
    </row>
    <row r="1556" spans="1:19" hidden="1">
      <c r="A1556" s="86" t="s">
        <v>3333</v>
      </c>
      <c r="B1556" s="87" t="str">
        <f>IFERROR(VLOOKUP(Proc[[#This Row],[App]],Table2[],3,0),"open")</f>
        <v>ok</v>
      </c>
      <c r="C1556" s="91" t="s">
        <v>369</v>
      </c>
      <c r="D1556" t="s">
        <v>3341</v>
      </c>
      <c r="E1556" t="s">
        <v>1044</v>
      </c>
      <c r="F1556" s="105" t="s">
        <v>1044</v>
      </c>
      <c r="G1556" s="86" t="s">
        <v>400</v>
      </c>
      <c r="H1556" s="87" t="str">
        <f>IF(Proc[[#This Row],[type]]="LFF (MDG-F)",MID(Proc[[#This Row],[Obj]],13,10),"")</f>
        <v/>
      </c>
      <c r="J1556" s="87" t="b">
        <f>Proc[[#This Row],[Requested]]=Proc[[#This Row],[CurrentParent]]</f>
        <v>1</v>
      </c>
      <c r="K1556" s="87" t="str">
        <f>IF(Proc[[#This Row],[Author]]="Marcela Urrego",VLOOKUP(LEFT(Proc[[#This Row],[Requested]],1),Table3[#All],2,0),VLOOKUP(Proc[[#This Row],[Author]],Table4[],2,0))</f>
        <v>LS</v>
      </c>
      <c r="L1556" s="87" t="s">
        <v>2563</v>
      </c>
      <c r="M1556" s="85">
        <v>45797.153009259258</v>
      </c>
      <c r="N1556" s="85"/>
      <c r="O1556" s="85"/>
      <c r="P1556" s="88" t="str">
        <f ca="1">IF(Proc[[#This Row],[DaysAgeing]]&gt;5,"yep","on track")</f>
        <v>yep</v>
      </c>
      <c r="Q1556" s="3">
        <f ca="1">IF(Proc[[#This Row],[DateClosed]]="",ABS(NETWORKDAYS(Proc[[#This Row],[DateOpened]],TODAY()))-1,ABS(NETWORKDAYS(Proc[[#This Row],[DateOpened]],Proc[[#This Row],[DateClosed]]))-1)</f>
        <v>30</v>
      </c>
      <c r="R1556" s="88" t="s">
        <v>972</v>
      </c>
      <c r="S1556" s="87"/>
    </row>
    <row r="1557" spans="1:19" hidden="1">
      <c r="A1557" s="86" t="s">
        <v>3333</v>
      </c>
      <c r="B1557" s="87" t="str">
        <f>IFERROR(VLOOKUP(Proc[[#This Row],[App]],Table2[],3,0),"open")</f>
        <v>ok</v>
      </c>
      <c r="C1557" s="91" t="s">
        <v>369</v>
      </c>
      <c r="D1557" t="s">
        <v>3342</v>
      </c>
      <c r="E1557" t="s">
        <v>2376</v>
      </c>
      <c r="F1557" s="105" t="s">
        <v>2376</v>
      </c>
      <c r="G1557" s="86" t="s">
        <v>400</v>
      </c>
      <c r="H1557" s="87" t="str">
        <f>IF(Proc[[#This Row],[type]]="LFF (MDG-F)",MID(Proc[[#This Row],[Obj]],13,10),"")</f>
        <v/>
      </c>
      <c r="J1557" s="87" t="b">
        <f>Proc[[#This Row],[Requested]]=Proc[[#This Row],[CurrentParent]]</f>
        <v>1</v>
      </c>
      <c r="K1557" s="87" t="str">
        <f>IF(Proc[[#This Row],[Author]]="Marcela Urrego",VLOOKUP(LEFT(Proc[[#This Row],[Requested]],1),Table3[#All],2,0),VLOOKUP(Proc[[#This Row],[Author]],Table4[],2,0))</f>
        <v>LS</v>
      </c>
      <c r="L1557" s="87" t="s">
        <v>2563</v>
      </c>
      <c r="M1557" s="85">
        <v>45797.153009259258</v>
      </c>
      <c r="N1557" s="85"/>
      <c r="O1557" s="85"/>
      <c r="P1557" s="88" t="str">
        <f ca="1">IF(Proc[[#This Row],[DaysAgeing]]&gt;5,"yep","on track")</f>
        <v>yep</v>
      </c>
      <c r="Q1557" s="3">
        <f ca="1">IF(Proc[[#This Row],[DateClosed]]="",ABS(NETWORKDAYS(Proc[[#This Row],[DateOpened]],TODAY()))-1,ABS(NETWORKDAYS(Proc[[#This Row],[DateOpened]],Proc[[#This Row],[DateClosed]]))-1)</f>
        <v>30</v>
      </c>
      <c r="R1557" s="88" t="s">
        <v>972</v>
      </c>
      <c r="S1557" s="87"/>
    </row>
    <row r="1558" spans="1:19" hidden="1">
      <c r="A1558" s="86" t="s">
        <v>3333</v>
      </c>
      <c r="B1558" s="87" t="str">
        <f>IFERROR(VLOOKUP(Proc[[#This Row],[App]],Table2[],3,0),"open")</f>
        <v>ok</v>
      </c>
      <c r="C1558" s="91" t="s">
        <v>369</v>
      </c>
      <c r="D1558" t="s">
        <v>3343</v>
      </c>
      <c r="E1558" t="s">
        <v>3345</v>
      </c>
      <c r="F1558" s="105" t="s">
        <v>3345</v>
      </c>
      <c r="G1558" s="86" t="s">
        <v>400</v>
      </c>
      <c r="H1558" s="87" t="str">
        <f>IF(Proc[[#This Row],[type]]="LFF (MDG-F)",MID(Proc[[#This Row],[Obj]],13,10),"")</f>
        <v/>
      </c>
      <c r="J1558" s="87" t="b">
        <f>Proc[[#This Row],[Requested]]=Proc[[#This Row],[CurrentParent]]</f>
        <v>1</v>
      </c>
      <c r="K1558" s="87" t="str">
        <f>IF(Proc[[#This Row],[Author]]="Marcela Urrego",VLOOKUP(LEFT(Proc[[#This Row],[Requested]],1),Table3[#All],2,0),VLOOKUP(Proc[[#This Row],[Author]],Table4[],2,0))</f>
        <v>LS</v>
      </c>
      <c r="L1558" s="87" t="s">
        <v>2563</v>
      </c>
      <c r="M1558" s="85">
        <v>45797.153009259258</v>
      </c>
      <c r="N1558" s="85"/>
      <c r="O1558" s="85"/>
      <c r="P1558" s="88" t="str">
        <f ca="1">IF(Proc[[#This Row],[DaysAgeing]]&gt;5,"yep","on track")</f>
        <v>yep</v>
      </c>
      <c r="Q1558" s="3">
        <f ca="1">IF(Proc[[#This Row],[DateClosed]]="",ABS(NETWORKDAYS(Proc[[#This Row],[DateOpened]],TODAY()))-1,ABS(NETWORKDAYS(Proc[[#This Row],[DateOpened]],Proc[[#This Row],[DateClosed]]))-1)</f>
        <v>30</v>
      </c>
      <c r="R1558" s="88" t="s">
        <v>972</v>
      </c>
      <c r="S1558" s="87"/>
    </row>
    <row r="1559" spans="1:19" hidden="1">
      <c r="A1559" t="s">
        <v>3346</v>
      </c>
      <c r="B1559" s="87" t="str">
        <f>IFERROR(VLOOKUP(Proc[[#This Row],[App]],Table2[],3,0),"open")</f>
        <v>ok</v>
      </c>
      <c r="C1559" s="91" t="s">
        <v>369</v>
      </c>
      <c r="D1559" t="s">
        <v>3360</v>
      </c>
      <c r="E1559" t="s">
        <v>3347</v>
      </c>
      <c r="F1559" s="105" t="s">
        <v>3347</v>
      </c>
      <c r="G1559" s="90" t="s">
        <v>400</v>
      </c>
      <c r="H1559" s="87" t="str">
        <f>IF(Proc[[#This Row],[type]]="LFF (MDG-F)",MID(Proc[[#This Row],[Obj]],13,10),"")</f>
        <v/>
      </c>
      <c r="J1559" s="87" t="b">
        <f>Proc[[#This Row],[Requested]]=Proc[[#This Row],[CurrentParent]]</f>
        <v>1</v>
      </c>
      <c r="K1559" s="87" t="str">
        <f>IF(Proc[[#This Row],[Author]]="Marcela Urrego",VLOOKUP(LEFT(Proc[[#This Row],[Requested]],1),Table3[#All],2,0),VLOOKUP(Proc[[#This Row],[Author]],Table4[],2,0))</f>
        <v>LS</v>
      </c>
      <c r="L1559" s="87" t="s">
        <v>2563</v>
      </c>
      <c r="M1559" s="88">
        <v>45797.153009259258</v>
      </c>
      <c r="N1559" s="89"/>
      <c r="O1559" s="89"/>
      <c r="P1559" s="88" t="str">
        <f ca="1">IF(Proc[[#This Row],[DaysAgeing]]&gt;5,"yep","on track")</f>
        <v>yep</v>
      </c>
      <c r="Q1559" s="3">
        <f ca="1">IF(Proc[[#This Row],[DateClosed]]="",ABS(NETWORKDAYS(Proc[[#This Row],[DateOpened]],TODAY()))-1,ABS(NETWORKDAYS(Proc[[#This Row],[DateOpened]],Proc[[#This Row],[DateClosed]]))-1)</f>
        <v>30</v>
      </c>
      <c r="R1559" s="88" t="s">
        <v>551</v>
      </c>
      <c r="S1559" s="87"/>
    </row>
    <row r="1560" spans="1:19" hidden="1">
      <c r="A1560" s="90" t="s">
        <v>3346</v>
      </c>
      <c r="B1560" s="87" t="str">
        <f>IFERROR(VLOOKUP(Proc[[#This Row],[App]],Table2[],3,0),"open")</f>
        <v>ok</v>
      </c>
      <c r="C1560" s="91" t="s">
        <v>369</v>
      </c>
      <c r="D1560" t="s">
        <v>3361</v>
      </c>
      <c r="E1560" t="s">
        <v>3347</v>
      </c>
      <c r="F1560" s="105" t="s">
        <v>3347</v>
      </c>
      <c r="G1560" s="90" t="s">
        <v>400</v>
      </c>
      <c r="H1560" s="87" t="str">
        <f>IF(Proc[[#This Row],[type]]="LFF (MDG-F)",MID(Proc[[#This Row],[Obj]],13,10),"")</f>
        <v/>
      </c>
      <c r="I1560" s="91"/>
      <c r="J1560" s="87" t="b">
        <f>Proc[[#This Row],[Requested]]=Proc[[#This Row],[CurrentParent]]</f>
        <v>1</v>
      </c>
      <c r="K1560" s="87" t="str">
        <f>IF(Proc[[#This Row],[Author]]="Marcela Urrego",VLOOKUP(LEFT(Proc[[#This Row],[Requested]],1),Table3[#All],2,0),VLOOKUP(Proc[[#This Row],[Author]],Table4[],2,0))</f>
        <v>LS</v>
      </c>
      <c r="L1560" s="87" t="s">
        <v>2563</v>
      </c>
      <c r="M1560" s="88">
        <v>45797.153009259258</v>
      </c>
      <c r="N1560" s="89"/>
      <c r="O1560" s="89"/>
      <c r="P1560" s="88" t="str">
        <f ca="1">IF(Proc[[#This Row],[DaysAgeing]]&gt;5,"yep","on track")</f>
        <v>yep</v>
      </c>
      <c r="Q1560" s="3">
        <f ca="1">IF(Proc[[#This Row],[DateClosed]]="",ABS(NETWORKDAYS(Proc[[#This Row],[DateOpened]],TODAY()))-1,ABS(NETWORKDAYS(Proc[[#This Row],[DateOpened]],Proc[[#This Row],[DateClosed]]))-1)</f>
        <v>30</v>
      </c>
      <c r="R1560" s="88" t="s">
        <v>551</v>
      </c>
      <c r="S1560" s="87"/>
    </row>
    <row r="1561" spans="1:19" hidden="1">
      <c r="A1561" s="90" t="s">
        <v>3346</v>
      </c>
      <c r="B1561" s="87" t="str">
        <f>IFERROR(VLOOKUP(Proc[[#This Row],[App]],Table2[],3,0),"open")</f>
        <v>ok</v>
      </c>
      <c r="C1561" s="91" t="s">
        <v>369</v>
      </c>
      <c r="D1561" t="s">
        <v>3362</v>
      </c>
      <c r="E1561" t="s">
        <v>3347</v>
      </c>
      <c r="F1561" s="105" t="s">
        <v>3347</v>
      </c>
      <c r="G1561" s="90" t="s">
        <v>400</v>
      </c>
      <c r="H1561" s="87" t="str">
        <f>IF(Proc[[#This Row],[type]]="LFF (MDG-F)",MID(Proc[[#This Row],[Obj]],13,10),"")</f>
        <v/>
      </c>
      <c r="I1561" s="91"/>
      <c r="J1561" s="87" t="b">
        <f>Proc[[#This Row],[Requested]]=Proc[[#This Row],[CurrentParent]]</f>
        <v>1</v>
      </c>
      <c r="K1561" s="87" t="str">
        <f>IF(Proc[[#This Row],[Author]]="Marcela Urrego",VLOOKUP(LEFT(Proc[[#This Row],[Requested]],1),Table3[#All],2,0),VLOOKUP(Proc[[#This Row],[Author]],Table4[],2,0))</f>
        <v>LS</v>
      </c>
      <c r="L1561" s="87" t="s">
        <v>2563</v>
      </c>
      <c r="M1561" s="88">
        <v>45797.153009259258</v>
      </c>
      <c r="N1561" s="89"/>
      <c r="O1561" s="89"/>
      <c r="P1561" s="88" t="str">
        <f ca="1">IF(Proc[[#This Row],[DaysAgeing]]&gt;5,"yep","on track")</f>
        <v>yep</v>
      </c>
      <c r="Q1561" s="3">
        <f ca="1">IF(Proc[[#This Row],[DateClosed]]="",ABS(NETWORKDAYS(Proc[[#This Row],[DateOpened]],TODAY()))-1,ABS(NETWORKDAYS(Proc[[#This Row],[DateOpened]],Proc[[#This Row],[DateClosed]]))-1)</f>
        <v>30</v>
      </c>
      <c r="R1561" s="88" t="s">
        <v>551</v>
      </c>
      <c r="S1561" s="87"/>
    </row>
    <row r="1562" spans="1:19" hidden="1">
      <c r="A1562" t="s">
        <v>3348</v>
      </c>
      <c r="B1562" s="87" t="str">
        <f>IFERROR(VLOOKUP(Proc[[#This Row],[App]],Table2[],3,0),"open")</f>
        <v>ok</v>
      </c>
      <c r="C1562" t="s">
        <v>369</v>
      </c>
      <c r="D1562" t="s">
        <v>3349</v>
      </c>
      <c r="E1562" t="s">
        <v>3350</v>
      </c>
      <c r="F1562" s="105" t="s">
        <v>3350</v>
      </c>
      <c r="G1562" t="s">
        <v>400</v>
      </c>
      <c r="H1562" s="87" t="str">
        <f>IF(Proc[[#This Row],[type]]="LFF (MDG-F)",MID(Proc[[#This Row],[Obj]],13,10),"")</f>
        <v/>
      </c>
      <c r="J1562" s="87" t="b">
        <f>Proc[[#This Row],[Requested]]=Proc[[#This Row],[CurrentParent]]</f>
        <v>1</v>
      </c>
      <c r="K1562" s="87" t="str">
        <f>IF(Proc[[#This Row],[Author]]="Marcela Urrego",VLOOKUP(LEFT(Proc[[#This Row],[Requested]],1),Table3[#All],2,0),VLOOKUP(Proc[[#This Row],[Author]],Table4[],2,0))</f>
        <v>MGF</v>
      </c>
      <c r="L1562" s="87" t="s">
        <v>2563</v>
      </c>
      <c r="M1562" s="88">
        <v>45786.153009259258</v>
      </c>
      <c r="N1562" s="89">
        <v>45807</v>
      </c>
      <c r="O1562" s="89">
        <v>45807</v>
      </c>
      <c r="P1562" s="88" t="str">
        <f ca="1">IF(Proc[[#This Row],[DaysAgeing]]&gt;5,"yep","on track")</f>
        <v>yep</v>
      </c>
      <c r="Q1562" s="3">
        <f ca="1">IF(Proc[[#This Row],[DateClosed]]="",ABS(NETWORKDAYS(Proc[[#This Row],[DateOpened]],TODAY()))-1,ABS(NETWORKDAYS(Proc[[#This Row],[DateOpened]],Proc[[#This Row],[DateClosed]]))-1)</f>
        <v>15</v>
      </c>
      <c r="R1562" s="90" t="s">
        <v>515</v>
      </c>
      <c r="S1562" s="87"/>
    </row>
    <row r="1563" spans="1:19" hidden="1">
      <c r="A1563" t="s">
        <v>3348</v>
      </c>
      <c r="B1563" s="87" t="str">
        <f>IFERROR(VLOOKUP(Proc[[#This Row],[App]],Table2[],3,0),"open")</f>
        <v>ok</v>
      </c>
      <c r="C1563" s="90" t="s">
        <v>369</v>
      </c>
      <c r="D1563" t="s">
        <v>3351</v>
      </c>
      <c r="E1563" t="s">
        <v>3350</v>
      </c>
      <c r="F1563" s="105" t="s">
        <v>3350</v>
      </c>
      <c r="G1563" s="90" t="s">
        <v>400</v>
      </c>
      <c r="H1563" s="87" t="str">
        <f>IF(Proc[[#This Row],[type]]="LFF (MDG-F)",MID(Proc[[#This Row],[Obj]],13,10),"")</f>
        <v/>
      </c>
      <c r="J1563" s="87" t="b">
        <f>Proc[[#This Row],[Requested]]=Proc[[#This Row],[CurrentParent]]</f>
        <v>1</v>
      </c>
      <c r="K1563" s="87" t="str">
        <f>IF(Proc[[#This Row],[Author]]="Marcela Urrego",VLOOKUP(LEFT(Proc[[#This Row],[Requested]],1),Table3[#All],2,0),VLOOKUP(Proc[[#This Row],[Author]],Table4[],2,0))</f>
        <v>MGF</v>
      </c>
      <c r="L1563" s="87" t="s">
        <v>2563</v>
      </c>
      <c r="M1563" s="88">
        <v>45786.153009259258</v>
      </c>
      <c r="N1563" s="89">
        <v>45807</v>
      </c>
      <c r="O1563" s="89">
        <v>45807</v>
      </c>
      <c r="P1563" s="88" t="str">
        <f ca="1">IF(Proc[[#This Row],[DaysAgeing]]&gt;5,"yep","on track")</f>
        <v>yep</v>
      </c>
      <c r="Q1563" s="3">
        <f ca="1">IF(Proc[[#This Row],[DateClosed]]="",ABS(NETWORKDAYS(Proc[[#This Row],[DateOpened]],TODAY()))-1,ABS(NETWORKDAYS(Proc[[#This Row],[DateOpened]],Proc[[#This Row],[DateClosed]]))-1)</f>
        <v>15</v>
      </c>
      <c r="R1563" s="90" t="s">
        <v>515</v>
      </c>
      <c r="S1563" s="87"/>
    </row>
    <row r="1564" spans="1:19" hidden="1">
      <c r="A1564" t="s">
        <v>3348</v>
      </c>
      <c r="B1564" s="87" t="str">
        <f>IFERROR(VLOOKUP(Proc[[#This Row],[App]],Table2[],3,0),"open")</f>
        <v>ok</v>
      </c>
      <c r="C1564" s="91" t="s">
        <v>369</v>
      </c>
      <c r="D1564" t="s">
        <v>3352</v>
      </c>
      <c r="E1564" t="s">
        <v>3350</v>
      </c>
      <c r="F1564" s="105" t="s">
        <v>3350</v>
      </c>
      <c r="G1564" s="90" t="s">
        <v>406</v>
      </c>
      <c r="H1564" s="87" t="str">
        <f>IF(Proc[[#This Row],[type]]="LFF (MDG-F)",MID(Proc[[#This Row],[Obj]],13,10),"")</f>
        <v>DE10GMW030</v>
      </c>
      <c r="I1564" t="s">
        <v>3368</v>
      </c>
      <c r="J1564" s="87" t="b">
        <f>Proc[[#This Row],[Requested]]=Proc[[#This Row],[CurrentParent]]</f>
        <v>1</v>
      </c>
      <c r="K1564" s="87" t="str">
        <f>IF(Proc[[#This Row],[Author]]="Marcela Urrego",VLOOKUP(LEFT(Proc[[#This Row],[Requested]],1),Table3[#All],2,0),VLOOKUP(Proc[[#This Row],[Author]],Table4[],2,0))</f>
        <v>MGF</v>
      </c>
      <c r="L1564" s="87" t="s">
        <v>2563</v>
      </c>
      <c r="M1564" s="88">
        <v>45786.153009259258</v>
      </c>
      <c r="N1564" s="89">
        <v>45807</v>
      </c>
      <c r="O1564" s="89">
        <v>45807</v>
      </c>
      <c r="P1564" s="88" t="str">
        <f ca="1">IF(Proc[[#This Row],[DaysAgeing]]&gt;5,"yep","on track")</f>
        <v>yep</v>
      </c>
      <c r="Q1564" s="3">
        <f ca="1">IF(Proc[[#This Row],[DateClosed]]="",ABS(NETWORKDAYS(Proc[[#This Row],[DateOpened]],TODAY()))-1,ABS(NETWORKDAYS(Proc[[#This Row],[DateOpened]],Proc[[#This Row],[DateClosed]]))-1)</f>
        <v>15</v>
      </c>
      <c r="R1564" s="90" t="s">
        <v>515</v>
      </c>
      <c r="S1564" s="87"/>
    </row>
    <row r="1565" spans="1:19" hidden="1">
      <c r="A1565" t="s">
        <v>3348</v>
      </c>
      <c r="B1565" s="87" t="str">
        <f>IFERROR(VLOOKUP(Proc[[#This Row],[App]],Table2[],3,0),"open")</f>
        <v>ok</v>
      </c>
      <c r="C1565" s="90" t="s">
        <v>369</v>
      </c>
      <c r="D1565" t="s">
        <v>3353</v>
      </c>
      <c r="E1565" t="s">
        <v>3350</v>
      </c>
      <c r="F1565" s="105" t="s">
        <v>3350</v>
      </c>
      <c r="G1565" s="90" t="s">
        <v>400</v>
      </c>
      <c r="H1565" s="87" t="str">
        <f>IF(Proc[[#This Row],[type]]="LFF (MDG-F)",MID(Proc[[#This Row],[Obj]],13,10),"")</f>
        <v/>
      </c>
      <c r="J1565" s="87" t="b">
        <f>Proc[[#This Row],[Requested]]=Proc[[#This Row],[CurrentParent]]</f>
        <v>1</v>
      </c>
      <c r="K1565" s="87" t="str">
        <f>IF(Proc[[#This Row],[Author]]="Marcela Urrego",VLOOKUP(LEFT(Proc[[#This Row],[Requested]],1),Table3[#All],2,0),VLOOKUP(Proc[[#This Row],[Author]],Table4[],2,0))</f>
        <v>MGF</v>
      </c>
      <c r="L1565" s="87" t="s">
        <v>2563</v>
      </c>
      <c r="M1565" s="88">
        <v>45786.153009259258</v>
      </c>
      <c r="N1565" s="89">
        <v>45807</v>
      </c>
      <c r="O1565" s="89">
        <v>45807</v>
      </c>
      <c r="P1565" s="88" t="str">
        <f ca="1">IF(Proc[[#This Row],[DaysAgeing]]&gt;5,"yep","on track")</f>
        <v>yep</v>
      </c>
      <c r="Q1565" s="3">
        <f ca="1">IF(Proc[[#This Row],[DateClosed]]="",ABS(NETWORKDAYS(Proc[[#This Row],[DateOpened]],TODAY()))-1,ABS(NETWORKDAYS(Proc[[#This Row],[DateOpened]],Proc[[#This Row],[DateClosed]]))-1)</f>
        <v>15</v>
      </c>
      <c r="R1565" s="90" t="s">
        <v>515</v>
      </c>
      <c r="S1565" s="87"/>
    </row>
    <row r="1566" spans="1:19" hidden="1">
      <c r="A1566" t="s">
        <v>3348</v>
      </c>
      <c r="B1566" s="87" t="str">
        <f>IFERROR(VLOOKUP(Proc[[#This Row],[App]],Table2[],3,0),"open")</f>
        <v>ok</v>
      </c>
      <c r="C1566" s="90" t="s">
        <v>369</v>
      </c>
      <c r="D1566" t="s">
        <v>3354</v>
      </c>
      <c r="E1566" t="s">
        <v>3350</v>
      </c>
      <c r="F1566" s="105" t="s">
        <v>3350</v>
      </c>
      <c r="G1566" s="90" t="s">
        <v>400</v>
      </c>
      <c r="H1566" s="87" t="str">
        <f>IF(Proc[[#This Row],[type]]="LFF (MDG-F)",MID(Proc[[#This Row],[Obj]],13,10),"")</f>
        <v/>
      </c>
      <c r="J1566" s="87" t="b">
        <f>Proc[[#This Row],[Requested]]=Proc[[#This Row],[CurrentParent]]</f>
        <v>1</v>
      </c>
      <c r="K1566" s="87" t="str">
        <f>IF(Proc[[#This Row],[Author]]="Marcela Urrego",VLOOKUP(LEFT(Proc[[#This Row],[Requested]],1),Table3[#All],2,0),VLOOKUP(Proc[[#This Row],[Author]],Table4[],2,0))</f>
        <v>MGF</v>
      </c>
      <c r="L1566" s="87" t="s">
        <v>2563</v>
      </c>
      <c r="M1566" s="88">
        <v>45786.153009259258</v>
      </c>
      <c r="N1566" s="89">
        <v>45807</v>
      </c>
      <c r="O1566" s="89">
        <v>45807</v>
      </c>
      <c r="P1566" s="88" t="str">
        <f ca="1">IF(Proc[[#This Row],[DaysAgeing]]&gt;5,"yep","on track")</f>
        <v>yep</v>
      </c>
      <c r="Q1566" s="3">
        <f ca="1">IF(Proc[[#This Row],[DateClosed]]="",ABS(NETWORKDAYS(Proc[[#This Row],[DateOpened]],TODAY()))-1,ABS(NETWORKDAYS(Proc[[#This Row],[DateOpened]],Proc[[#This Row],[DateClosed]]))-1)</f>
        <v>15</v>
      </c>
      <c r="R1566" s="90" t="s">
        <v>515</v>
      </c>
      <c r="S1566" s="87"/>
    </row>
    <row r="1567" spans="1:19" hidden="1">
      <c r="A1567" t="s">
        <v>3348</v>
      </c>
      <c r="B1567" s="87" t="str">
        <f>IFERROR(VLOOKUP(Proc[[#This Row],[App]],Table2[],3,0),"open")</f>
        <v>ok</v>
      </c>
      <c r="C1567" s="91" t="s">
        <v>369</v>
      </c>
      <c r="D1567" t="s">
        <v>3355</v>
      </c>
      <c r="E1567" t="s">
        <v>3350</v>
      </c>
      <c r="F1567" s="105" t="s">
        <v>3350</v>
      </c>
      <c r="G1567" s="90" t="s">
        <v>406</v>
      </c>
      <c r="H1567" s="87" t="str">
        <f>IF(Proc[[#This Row],[type]]="LFF (MDG-F)",MID(Proc[[#This Row],[Obj]],13,10),"")</f>
        <v>CN90GHR110</v>
      </c>
      <c r="I1567" s="91" t="s">
        <v>3368</v>
      </c>
      <c r="J1567" s="87" t="b">
        <f>Proc[[#This Row],[Requested]]=Proc[[#This Row],[CurrentParent]]</f>
        <v>1</v>
      </c>
      <c r="K1567" s="87" t="str">
        <f>IF(Proc[[#This Row],[Author]]="Marcela Urrego",VLOOKUP(LEFT(Proc[[#This Row],[Requested]],1),Table3[#All],2,0),VLOOKUP(Proc[[#This Row],[Author]],Table4[],2,0))</f>
        <v>MGF</v>
      </c>
      <c r="L1567" s="87" t="s">
        <v>2563</v>
      </c>
      <c r="M1567" s="88">
        <v>45786.153009259258</v>
      </c>
      <c r="N1567" s="89">
        <v>45807</v>
      </c>
      <c r="O1567" s="89">
        <v>45807</v>
      </c>
      <c r="P1567" s="88" t="str">
        <f ca="1">IF(Proc[[#This Row],[DaysAgeing]]&gt;5,"yep","on track")</f>
        <v>yep</v>
      </c>
      <c r="Q1567" s="3">
        <f ca="1">IF(Proc[[#This Row],[DateClosed]]="",ABS(NETWORKDAYS(Proc[[#This Row],[DateOpened]],TODAY()))-1,ABS(NETWORKDAYS(Proc[[#This Row],[DateOpened]],Proc[[#This Row],[DateClosed]]))-1)</f>
        <v>15</v>
      </c>
      <c r="R1567" s="90" t="s">
        <v>515</v>
      </c>
      <c r="S1567" s="87"/>
    </row>
    <row r="1568" spans="1:19" hidden="1">
      <c r="A1568" t="s">
        <v>3356</v>
      </c>
      <c r="B1568" s="87" t="str">
        <f>IFERROR(VLOOKUP(Proc[[#This Row],[App]],Table2[],3,0),"open")</f>
        <v>ok</v>
      </c>
      <c r="C1568" s="91" t="s">
        <v>369</v>
      </c>
      <c r="D1568" s="91" t="s">
        <v>3363</v>
      </c>
      <c r="E1568" t="s">
        <v>3357</v>
      </c>
      <c r="F1568" s="105" t="s">
        <v>3357</v>
      </c>
      <c r="G1568" s="91" t="s">
        <v>400</v>
      </c>
      <c r="H1568" s="87" t="str">
        <f>IF(Proc[[#This Row],[type]]="LFF (MDG-F)",MID(Proc[[#This Row],[Obj]],13,10),"")</f>
        <v/>
      </c>
      <c r="I1568" s="91"/>
      <c r="J1568" s="87" t="b">
        <f>Proc[[#This Row],[Requested]]=Proc[[#This Row],[CurrentParent]]</f>
        <v>1</v>
      </c>
      <c r="K1568" s="87" t="str">
        <f>IF(Proc[[#This Row],[Author]]="Marcela Urrego",VLOOKUP(LEFT(Proc[[#This Row],[Requested]],1),Table3[#All],2,0),VLOOKUP(Proc[[#This Row],[Author]],Table4[],2,0))</f>
        <v>LS</v>
      </c>
      <c r="L1568" s="87" t="s">
        <v>2563</v>
      </c>
      <c r="M1568" s="88">
        <v>45797.153009259258</v>
      </c>
      <c r="N1568" s="89"/>
      <c r="O1568" s="89"/>
      <c r="P1568" s="88" t="str">
        <f ca="1">IF(Proc[[#This Row],[DaysAgeing]]&gt;5,"yep","on track")</f>
        <v>yep</v>
      </c>
      <c r="Q1568" s="3">
        <f ca="1">IF(Proc[[#This Row],[DateClosed]]="",ABS(NETWORKDAYS(Proc[[#This Row],[DateOpened]],TODAY()))-1,ABS(NETWORKDAYS(Proc[[#This Row],[DateOpened]],Proc[[#This Row],[DateClosed]]))-1)</f>
        <v>30</v>
      </c>
      <c r="R1568" s="88" t="s">
        <v>551</v>
      </c>
      <c r="S1568" s="87"/>
    </row>
    <row r="1569" spans="1:19" hidden="1">
      <c r="A1569" t="s">
        <v>3358</v>
      </c>
      <c r="B1569" s="87" t="str">
        <f>IFERROR(VLOOKUP(Proc[[#This Row],[App]],Table2[],3,0),"open")</f>
        <v>ok</v>
      </c>
      <c r="C1569" s="91" t="s">
        <v>369</v>
      </c>
      <c r="D1569" t="s">
        <v>3364</v>
      </c>
      <c r="E1569" t="s">
        <v>3359</v>
      </c>
      <c r="F1569" s="105" t="s">
        <v>3359</v>
      </c>
      <c r="G1569" s="91" t="s">
        <v>400</v>
      </c>
      <c r="H1569" s="87" t="str">
        <f>IF(Proc[[#This Row],[type]]="LFF (MDG-F)",MID(Proc[[#This Row],[Obj]],13,10),"")</f>
        <v/>
      </c>
      <c r="I1569" s="91"/>
      <c r="J1569" s="87" t="b">
        <f>Proc[[#This Row],[Requested]]=Proc[[#This Row],[CurrentParent]]</f>
        <v>1</v>
      </c>
      <c r="K1569" s="87" t="str">
        <f>IF(Proc[[#This Row],[Author]]="Marcela Urrego",VLOOKUP(LEFT(Proc[[#This Row],[Requested]],1),Table3[#All],2,0),VLOOKUP(Proc[[#This Row],[Author]],Table4[],2,0))</f>
        <v>LS</v>
      </c>
      <c r="L1569" s="87" t="s">
        <v>2563</v>
      </c>
      <c r="M1569" s="88">
        <v>45797.153009259258</v>
      </c>
      <c r="N1569" s="89"/>
      <c r="O1569" s="89"/>
      <c r="P1569" s="88" t="str">
        <f ca="1">IF(Proc[[#This Row],[DaysAgeing]]&gt;5,"yep","on track")</f>
        <v>yep</v>
      </c>
      <c r="Q1569" s="3">
        <f ca="1">IF(Proc[[#This Row],[DateClosed]]="",ABS(NETWORKDAYS(Proc[[#This Row],[DateOpened]],TODAY()))-1,ABS(NETWORKDAYS(Proc[[#This Row],[DateOpened]],Proc[[#This Row],[DateClosed]]))-1)</f>
        <v>30</v>
      </c>
      <c r="R1569" s="88" t="s">
        <v>551</v>
      </c>
      <c r="S1569" s="87"/>
    </row>
    <row r="1570" spans="1:19" hidden="1">
      <c r="A1570" s="91" t="s">
        <v>3358</v>
      </c>
      <c r="B1570" s="87" t="str">
        <f>IFERROR(VLOOKUP(Proc[[#This Row],[App]],Table2[],3,0),"open")</f>
        <v>ok</v>
      </c>
      <c r="C1570" s="91" t="s">
        <v>369</v>
      </c>
      <c r="D1570" t="s">
        <v>3365</v>
      </c>
      <c r="E1570" s="91" t="s">
        <v>3359</v>
      </c>
      <c r="F1570" s="105" t="s">
        <v>3359</v>
      </c>
      <c r="G1570" s="91" t="s">
        <v>400</v>
      </c>
      <c r="H1570" s="87" t="str">
        <f>IF(Proc[[#This Row],[type]]="LFF (MDG-F)",MID(Proc[[#This Row],[Obj]],13,10),"")</f>
        <v/>
      </c>
      <c r="I1570" s="91"/>
      <c r="J1570" s="87" t="b">
        <f>Proc[[#This Row],[Requested]]=Proc[[#This Row],[CurrentParent]]</f>
        <v>1</v>
      </c>
      <c r="K1570" s="87" t="str">
        <f>IF(Proc[[#This Row],[Author]]="Marcela Urrego",VLOOKUP(LEFT(Proc[[#This Row],[Requested]],1),Table3[#All],2,0),VLOOKUP(Proc[[#This Row],[Author]],Table4[],2,0))</f>
        <v>LS</v>
      </c>
      <c r="L1570" s="87" t="s">
        <v>2563</v>
      </c>
      <c r="M1570" s="88">
        <v>45797.153009259258</v>
      </c>
      <c r="N1570" s="89"/>
      <c r="O1570" s="89"/>
      <c r="P1570" s="88" t="str">
        <f ca="1">IF(Proc[[#This Row],[DaysAgeing]]&gt;5,"yep","on track")</f>
        <v>yep</v>
      </c>
      <c r="Q1570" s="3">
        <f ca="1">IF(Proc[[#This Row],[DateClosed]]="",ABS(NETWORKDAYS(Proc[[#This Row],[DateOpened]],TODAY()))-1,ABS(NETWORKDAYS(Proc[[#This Row],[DateOpened]],Proc[[#This Row],[DateClosed]]))-1)</f>
        <v>30</v>
      </c>
      <c r="R1570" s="88" t="s">
        <v>551</v>
      </c>
      <c r="S1570" s="87"/>
    </row>
    <row r="1571" spans="1:19" hidden="1">
      <c r="A1571" s="91" t="s">
        <v>3358</v>
      </c>
      <c r="B1571" s="87" t="str">
        <f>IFERROR(VLOOKUP(Proc[[#This Row],[App]],Table2[],3,0),"open")</f>
        <v>ok</v>
      </c>
      <c r="C1571" s="91" t="s">
        <v>369</v>
      </c>
      <c r="D1571" t="s">
        <v>3366</v>
      </c>
      <c r="E1571" s="91" t="s">
        <v>3359</v>
      </c>
      <c r="F1571" s="105" t="s">
        <v>3359</v>
      </c>
      <c r="G1571" s="91" t="s">
        <v>400</v>
      </c>
      <c r="H1571" s="87" t="str">
        <f>IF(Proc[[#This Row],[type]]="LFF (MDG-F)",MID(Proc[[#This Row],[Obj]],13,10),"")</f>
        <v/>
      </c>
      <c r="I1571" s="91"/>
      <c r="J1571" s="87" t="b">
        <f>Proc[[#This Row],[Requested]]=Proc[[#This Row],[CurrentParent]]</f>
        <v>1</v>
      </c>
      <c r="K1571" s="87" t="str">
        <f>IF(Proc[[#This Row],[Author]]="Marcela Urrego",VLOOKUP(LEFT(Proc[[#This Row],[Requested]],1),Table3[#All],2,0),VLOOKUP(Proc[[#This Row],[Author]],Table4[],2,0))</f>
        <v>LS</v>
      </c>
      <c r="L1571" s="87" t="s">
        <v>2563</v>
      </c>
      <c r="M1571" s="88">
        <v>45797.153009259258</v>
      </c>
      <c r="N1571" s="89"/>
      <c r="O1571" s="89"/>
      <c r="P1571" s="88" t="str">
        <f ca="1">IF(Proc[[#This Row],[DaysAgeing]]&gt;5,"yep","on track")</f>
        <v>yep</v>
      </c>
      <c r="Q1571" s="3">
        <f ca="1">IF(Proc[[#This Row],[DateClosed]]="",ABS(NETWORKDAYS(Proc[[#This Row],[DateOpened]],TODAY()))-1,ABS(NETWORKDAYS(Proc[[#This Row],[DateOpened]],Proc[[#This Row],[DateClosed]]))-1)</f>
        <v>30</v>
      </c>
      <c r="R1571" s="88" t="s">
        <v>551</v>
      </c>
      <c r="S1571" s="87"/>
    </row>
    <row r="1572" spans="1:19" hidden="1">
      <c r="A1572" s="91" t="s">
        <v>3358</v>
      </c>
      <c r="B1572" s="87" t="str">
        <f>IFERROR(VLOOKUP(Proc[[#This Row],[App]],Table2[],3,0),"open")</f>
        <v>ok</v>
      </c>
      <c r="C1572" s="91" t="s">
        <v>369</v>
      </c>
      <c r="D1572" t="s">
        <v>3367</v>
      </c>
      <c r="E1572" s="91" t="s">
        <v>3359</v>
      </c>
      <c r="F1572" s="105" t="s">
        <v>3359</v>
      </c>
      <c r="G1572" s="91" t="s">
        <v>400</v>
      </c>
      <c r="H1572" s="87" t="str">
        <f>IF(Proc[[#This Row],[type]]="LFF (MDG-F)",MID(Proc[[#This Row],[Obj]],13,10),"")</f>
        <v/>
      </c>
      <c r="I1572" s="91"/>
      <c r="J1572" s="87" t="b">
        <f>Proc[[#This Row],[Requested]]=Proc[[#This Row],[CurrentParent]]</f>
        <v>1</v>
      </c>
      <c r="K1572" s="87" t="str">
        <f>IF(Proc[[#This Row],[Author]]="Marcela Urrego",VLOOKUP(LEFT(Proc[[#This Row],[Requested]],1),Table3[#All],2,0),VLOOKUP(Proc[[#This Row],[Author]],Table4[],2,0))</f>
        <v>LS</v>
      </c>
      <c r="L1572" s="87" t="s">
        <v>2563</v>
      </c>
      <c r="M1572" s="88">
        <v>45797.153009259258</v>
      </c>
      <c r="N1572" s="89"/>
      <c r="O1572" s="89"/>
      <c r="P1572" s="88" t="str">
        <f ca="1">IF(Proc[[#This Row],[DaysAgeing]]&gt;5,"yep","on track")</f>
        <v>yep</v>
      </c>
      <c r="Q1572" s="3">
        <f ca="1">IF(Proc[[#This Row],[DateClosed]]="",ABS(NETWORKDAYS(Proc[[#This Row],[DateOpened]],TODAY()))-1,ABS(NETWORKDAYS(Proc[[#This Row],[DateOpened]],Proc[[#This Row],[DateClosed]]))-1)</f>
        <v>30</v>
      </c>
      <c r="R1572" s="88" t="s">
        <v>551</v>
      </c>
      <c r="S1572" s="87"/>
    </row>
    <row r="1573" spans="1:19" hidden="1">
      <c r="A1573" t="s">
        <v>3369</v>
      </c>
      <c r="B1573" s="87" t="str">
        <f>IFERROR(VLOOKUP(Proc[[#This Row],[App]],Table2[],3,0),"open")</f>
        <v>ok</v>
      </c>
      <c r="C1573" s="91" t="s">
        <v>369</v>
      </c>
      <c r="D1573" t="s">
        <v>3370</v>
      </c>
      <c r="E1573" t="s">
        <v>3372</v>
      </c>
      <c r="F1573" s="105" t="s">
        <v>3372</v>
      </c>
      <c r="G1573" s="91" t="s">
        <v>400</v>
      </c>
      <c r="H1573" s="87" t="str">
        <f>IF(Proc[[#This Row],[type]]="LFF (MDG-F)",MID(Proc[[#This Row],[Obj]],13,10),"")</f>
        <v/>
      </c>
      <c r="J1573" s="87" t="b">
        <f>Proc[[#This Row],[Requested]]=Proc[[#This Row],[CurrentParent]]</f>
        <v>1</v>
      </c>
      <c r="K1573" s="87" t="str">
        <f>IF(Proc[[#This Row],[Author]]="Marcela Urrego",VLOOKUP(LEFT(Proc[[#This Row],[Requested]],1),Table3[#All],2,0),VLOOKUP(Proc[[#This Row],[Author]],Table4[],2,0))</f>
        <v>MGF</v>
      </c>
      <c r="L1573" s="87" t="s">
        <v>2563</v>
      </c>
      <c r="M1573" s="89">
        <v>45798.525590277779</v>
      </c>
      <c r="N1573" s="89">
        <v>45804</v>
      </c>
      <c r="O1573" s="89">
        <v>45804</v>
      </c>
      <c r="P1573" s="92" t="str">
        <f ca="1">IF(Proc[[#This Row],[DaysAgeing]]&gt;5,"yep","on track")</f>
        <v>on track</v>
      </c>
      <c r="Q1573" s="3">
        <f ca="1">IF(Proc[[#This Row],[DateClosed]]="",ABS(NETWORKDAYS(Proc[[#This Row],[DateOpened]],TODAY()))-1,ABS(NETWORKDAYS(Proc[[#This Row],[DateOpened]],Proc[[#This Row],[DateClosed]]))-1)</f>
        <v>4</v>
      </c>
      <c r="R1573" s="91" t="s">
        <v>515</v>
      </c>
      <c r="S1573" s="87"/>
    </row>
    <row r="1574" spans="1:19" hidden="1">
      <c r="A1574" s="91" t="s">
        <v>3369</v>
      </c>
      <c r="B1574" s="87" t="str">
        <f>IFERROR(VLOOKUP(Proc[[#This Row],[App]],Table2[],3,0),"open")</f>
        <v>ok</v>
      </c>
      <c r="C1574" s="91" t="s">
        <v>369</v>
      </c>
      <c r="D1574" t="s">
        <v>3371</v>
      </c>
      <c r="E1574" t="s">
        <v>3373</v>
      </c>
      <c r="F1574" s="105" t="s">
        <v>3373</v>
      </c>
      <c r="G1574" s="91" t="s">
        <v>400</v>
      </c>
      <c r="H1574" s="87" t="str">
        <f>IF(Proc[[#This Row],[type]]="LFF (MDG-F)",MID(Proc[[#This Row],[Obj]],13,10),"")</f>
        <v/>
      </c>
      <c r="J1574" s="87" t="b">
        <f>Proc[[#This Row],[Requested]]=Proc[[#This Row],[CurrentParent]]</f>
        <v>1</v>
      </c>
      <c r="K1574" s="87" t="str">
        <f>IF(Proc[[#This Row],[Author]]="Marcela Urrego",VLOOKUP(LEFT(Proc[[#This Row],[Requested]],1),Table3[#All],2,0),VLOOKUP(Proc[[#This Row],[Author]],Table4[],2,0))</f>
        <v>MGF</v>
      </c>
      <c r="L1574" s="87" t="s">
        <v>2563</v>
      </c>
      <c r="M1574" s="89">
        <v>45798.525590277779</v>
      </c>
      <c r="N1574" s="89">
        <v>45804</v>
      </c>
      <c r="O1574" s="89">
        <v>45804</v>
      </c>
      <c r="P1574" s="92" t="str">
        <f ca="1">IF(Proc[[#This Row],[DaysAgeing]]&gt;5,"yep","on track")</f>
        <v>on track</v>
      </c>
      <c r="Q1574" s="3">
        <f ca="1">IF(Proc[[#This Row],[DateClosed]]="",ABS(NETWORKDAYS(Proc[[#This Row],[DateOpened]],TODAY()))-1,ABS(NETWORKDAYS(Proc[[#This Row],[DateOpened]],Proc[[#This Row],[DateClosed]]))-1)</f>
        <v>4</v>
      </c>
      <c r="R1574" s="91" t="s">
        <v>515</v>
      </c>
      <c r="S1574" s="87"/>
    </row>
    <row r="1575" spans="1:19" hidden="1">
      <c r="A1575" t="s">
        <v>3375</v>
      </c>
      <c r="B1575" s="87" t="str">
        <f>IFERROR(VLOOKUP(Proc[[#This Row],[App]],Table2[],3,0),"open")</f>
        <v>ok</v>
      </c>
      <c r="C1575" s="91" t="s">
        <v>369</v>
      </c>
      <c r="D1575" t="s">
        <v>3374</v>
      </c>
      <c r="E1575" t="s">
        <v>480</v>
      </c>
      <c r="F1575" s="105" t="s">
        <v>480</v>
      </c>
      <c r="G1575" t="s">
        <v>400</v>
      </c>
      <c r="H1575" s="87" t="str">
        <f>IF(Proc[[#This Row],[type]]="LFF (MDG-F)",MID(Proc[[#This Row],[Obj]],13,10),"")</f>
        <v/>
      </c>
      <c r="J1575" s="87" t="b">
        <f>Proc[[#This Row],[Requested]]=Proc[[#This Row],[CurrentParent]]</f>
        <v>1</v>
      </c>
      <c r="K1575" s="87" t="str">
        <f>IF(Proc[[#This Row],[Author]]="Marcela Urrego",VLOOKUP(LEFT(Proc[[#This Row],[Requested]],1),Table3[#All],2,0),VLOOKUP(Proc[[#This Row],[Author]],Table4[],2,0))</f>
        <v>LS</v>
      </c>
      <c r="L1575" s="87" t="s">
        <v>2563</v>
      </c>
      <c r="M1575" s="89">
        <v>45798.593923611108</v>
      </c>
      <c r="N1575" s="89">
        <v>45804</v>
      </c>
      <c r="O1575" s="89">
        <v>45804</v>
      </c>
      <c r="P1575" s="92" t="str">
        <f ca="1">IF(Proc[[#This Row],[DaysAgeing]]&gt;5,"yep","on track")</f>
        <v>on track</v>
      </c>
      <c r="Q1575" s="3">
        <f ca="1">IF(Proc[[#This Row],[DateClosed]]="",ABS(NETWORKDAYS(Proc[[#This Row],[DateOpened]],TODAY()))-1,ABS(NETWORKDAYS(Proc[[#This Row],[DateOpened]],Proc[[#This Row],[DateClosed]]))-1)</f>
        <v>4</v>
      </c>
      <c r="R1575" s="92" t="s">
        <v>972</v>
      </c>
      <c r="S1575" s="87"/>
    </row>
    <row r="1576" spans="1:19" hidden="1">
      <c r="A1576" t="s">
        <v>3376</v>
      </c>
      <c r="B1576" s="87" t="str">
        <f>IFERROR(VLOOKUP(Proc[[#This Row],[App]],Table2[],3,0),"open")</f>
        <v>ok</v>
      </c>
      <c r="C1576" s="91" t="s">
        <v>369</v>
      </c>
      <c r="D1576" t="s">
        <v>3377</v>
      </c>
      <c r="E1576" t="s">
        <v>3378</v>
      </c>
      <c r="F1576" s="105" t="s">
        <v>3378</v>
      </c>
      <c r="G1576" t="s">
        <v>400</v>
      </c>
      <c r="H1576" s="87" t="str">
        <f>IF(Proc[[#This Row],[type]]="LFF (MDG-F)",MID(Proc[[#This Row],[Obj]],13,10),"")</f>
        <v/>
      </c>
      <c r="J1576" s="87" t="b">
        <f>Proc[[#This Row],[Requested]]=Proc[[#This Row],[CurrentParent]]</f>
        <v>1</v>
      </c>
      <c r="K1576" s="87" t="str">
        <f>IF(Proc[[#This Row],[Author]]="Marcela Urrego",VLOOKUP(LEFT(Proc[[#This Row],[Requested]],1),Table3[#All],2,0),VLOOKUP(Proc[[#This Row],[Author]],Table4[],2,0))</f>
        <v>HC</v>
      </c>
      <c r="L1576" s="87" t="s">
        <v>2563</v>
      </c>
      <c r="M1576" s="89">
        <v>45800.417442129627</v>
      </c>
      <c r="N1576" s="89">
        <v>45806</v>
      </c>
      <c r="O1576" s="89">
        <v>45806</v>
      </c>
      <c r="P1576" s="92" t="str">
        <f ca="1">IF(Proc[[#This Row],[DaysAgeing]]&gt;5,"yep","on track")</f>
        <v>on track</v>
      </c>
      <c r="Q1576" s="3">
        <f ca="1">IF(Proc[[#This Row],[DateClosed]]="",ABS(NETWORKDAYS(Proc[[#This Row],[DateOpened]],TODAY()))-1,ABS(NETWORKDAYS(Proc[[#This Row],[DateOpened]],Proc[[#This Row],[DateClosed]]))-1)</f>
        <v>4</v>
      </c>
      <c r="R1576" s="92" t="s">
        <v>410</v>
      </c>
      <c r="S1576" s="87"/>
    </row>
    <row r="1577" spans="1:19" hidden="1">
      <c r="A1577" t="s">
        <v>3381</v>
      </c>
      <c r="B1577" s="87" t="str">
        <f>IFERROR(VLOOKUP(Proc[[#This Row],[App]],Table2[],3,0),"open")</f>
        <v>ok</v>
      </c>
      <c r="C1577" s="91" t="s">
        <v>369</v>
      </c>
      <c r="D1577" t="s">
        <v>3379</v>
      </c>
      <c r="E1577" t="s">
        <v>2509</v>
      </c>
      <c r="F1577" s="105" t="s">
        <v>2509</v>
      </c>
      <c r="G1577" t="s">
        <v>406</v>
      </c>
      <c r="H1577" s="87" t="str">
        <f>IF(Proc[[#This Row],[type]]="LFF (MDG-F)",MID(Proc[[#This Row],[Obj]],13,10),"")</f>
        <v>DE20538638</v>
      </c>
      <c r="I1577" t="s">
        <v>3384</v>
      </c>
      <c r="J1577" s="87" t="b">
        <f>Proc[[#This Row],[Requested]]=Proc[[#This Row],[CurrentParent]]</f>
        <v>1</v>
      </c>
      <c r="K1577" s="87" t="str">
        <f>IF(Proc[[#This Row],[Author]]="Marcela Urrego",VLOOKUP(LEFT(Proc[[#This Row],[Requested]],1),Table3[#All],2,0),VLOOKUP(Proc[[#This Row],[Author]],Table4[],2,0))</f>
        <v>MGF</v>
      </c>
      <c r="L1577" s="87" t="s">
        <v>2563</v>
      </c>
      <c r="M1577" s="89">
        <v>45800.33829861111</v>
      </c>
      <c r="N1577" s="89">
        <v>45806</v>
      </c>
      <c r="O1577" s="89">
        <v>45806</v>
      </c>
      <c r="P1577" s="92" t="str">
        <f ca="1">IF(Proc[[#This Row],[DaysAgeing]]&gt;5,"yep","on track")</f>
        <v>on track</v>
      </c>
      <c r="Q1577" s="3">
        <f ca="1">IF(Proc[[#This Row],[DateClosed]]="",ABS(NETWORKDAYS(Proc[[#This Row],[DateOpened]],TODAY()))-1,ABS(NETWORKDAYS(Proc[[#This Row],[DateOpened]],Proc[[#This Row],[DateClosed]]))-1)</f>
        <v>4</v>
      </c>
      <c r="R1577" s="92" t="s">
        <v>481</v>
      </c>
      <c r="S1577" s="87"/>
    </row>
    <row r="1578" spans="1:19" hidden="1">
      <c r="A1578" s="91" t="s">
        <v>3381</v>
      </c>
      <c r="B1578" s="87" t="str">
        <f>IFERROR(VLOOKUP(Proc[[#This Row],[App]],Table2[],3,0),"open")</f>
        <v>ok</v>
      </c>
      <c r="C1578" s="91" t="s">
        <v>369</v>
      </c>
      <c r="D1578" t="s">
        <v>3380</v>
      </c>
      <c r="E1578" t="s">
        <v>2509</v>
      </c>
      <c r="F1578" s="105" t="s">
        <v>2509</v>
      </c>
      <c r="G1578" s="91" t="s">
        <v>406</v>
      </c>
      <c r="H1578" s="87" t="str">
        <f>IF(Proc[[#This Row],[type]]="LFF (MDG-F)",MID(Proc[[#This Row],[Obj]],13,10),"")</f>
        <v>DE10538638</v>
      </c>
      <c r="I1578" s="91" t="s">
        <v>3384</v>
      </c>
      <c r="J1578" s="87" t="b">
        <f>Proc[[#This Row],[Requested]]=Proc[[#This Row],[CurrentParent]]</f>
        <v>1</v>
      </c>
      <c r="K1578" s="87" t="str">
        <f>IF(Proc[[#This Row],[Author]]="Marcela Urrego",VLOOKUP(LEFT(Proc[[#This Row],[Requested]],1),Table3[#All],2,0),VLOOKUP(Proc[[#This Row],[Author]],Table4[],2,0))</f>
        <v>MGF</v>
      </c>
      <c r="L1578" s="87" t="s">
        <v>2563</v>
      </c>
      <c r="M1578" s="89">
        <v>45800.33829861111</v>
      </c>
      <c r="N1578" s="89">
        <v>45806</v>
      </c>
      <c r="O1578" s="89">
        <v>45806</v>
      </c>
      <c r="P1578" s="92" t="str">
        <f ca="1">IF(Proc[[#This Row],[DaysAgeing]]&gt;5,"yep","on track")</f>
        <v>on track</v>
      </c>
      <c r="Q1578" s="3">
        <f ca="1">IF(Proc[[#This Row],[DateClosed]]="",ABS(NETWORKDAYS(Proc[[#This Row],[DateOpened]],TODAY()))-1,ABS(NETWORKDAYS(Proc[[#This Row],[DateOpened]],Proc[[#This Row],[DateClosed]]))-1)</f>
        <v>4</v>
      </c>
      <c r="R1578" s="92" t="s">
        <v>481</v>
      </c>
      <c r="S1578" s="87"/>
    </row>
    <row r="1579" spans="1:19" hidden="1">
      <c r="A1579" t="s">
        <v>3385</v>
      </c>
      <c r="B1579" s="87" t="str">
        <f>IFERROR(VLOOKUP(Proc[[#This Row],[App]],Table2[],3,0),"open")</f>
        <v>ok</v>
      </c>
      <c r="C1579" s="91" t="s">
        <v>369</v>
      </c>
      <c r="D1579" t="s">
        <v>3386</v>
      </c>
      <c r="E1579" t="s">
        <v>3395</v>
      </c>
      <c r="F1579" s="105" t="s">
        <v>3395</v>
      </c>
      <c r="G1579" s="91" t="s">
        <v>400</v>
      </c>
      <c r="H1579" s="87" t="str">
        <f>IF(Proc[[#This Row],[type]]="LFF (MDG-F)",MID(Proc[[#This Row],[Obj]],13,10),"")</f>
        <v/>
      </c>
      <c r="J1579" s="87" t="b">
        <f>Proc[[#This Row],[Requested]]=Proc[[#This Row],[CurrentParent]]</f>
        <v>1</v>
      </c>
      <c r="K1579" s="87" t="str">
        <f>IF(Proc[[#This Row],[Author]]="Marcela Urrego",VLOOKUP(LEFT(Proc[[#This Row],[Requested]],1),Table3[#All],2,0),VLOOKUP(Proc[[#This Row],[Author]],Table4[],2,0))</f>
        <v>HC</v>
      </c>
      <c r="L1579" s="87" t="s">
        <v>2563</v>
      </c>
      <c r="M1579" s="89">
        <v>45800.37945601852</v>
      </c>
      <c r="N1579" s="89">
        <v>45804</v>
      </c>
      <c r="O1579" s="89">
        <v>45804</v>
      </c>
      <c r="P1579" s="92" t="str">
        <f ca="1">IF(Proc[[#This Row],[DaysAgeing]]&gt;5,"yep","on track")</f>
        <v>on track</v>
      </c>
      <c r="Q1579" s="3">
        <f ca="1">IF(Proc[[#This Row],[DateClosed]]="",ABS(NETWORKDAYS(Proc[[#This Row],[DateOpened]],TODAY()))-1,ABS(NETWORKDAYS(Proc[[#This Row],[DateOpened]],Proc[[#This Row],[DateClosed]]))-1)</f>
        <v>2</v>
      </c>
      <c r="R1579" s="92" t="s">
        <v>410</v>
      </c>
      <c r="S1579" s="87"/>
    </row>
    <row r="1580" spans="1:19" hidden="1">
      <c r="A1580" s="91" t="s">
        <v>3385</v>
      </c>
      <c r="B1580" s="87" t="str">
        <f>IFERROR(VLOOKUP(Proc[[#This Row],[App]],Table2[],3,0),"open")</f>
        <v>ok</v>
      </c>
      <c r="C1580" s="91" t="s">
        <v>369</v>
      </c>
      <c r="D1580" t="s">
        <v>3387</v>
      </c>
      <c r="E1580" t="s">
        <v>3378</v>
      </c>
      <c r="F1580" s="105" t="s">
        <v>3378</v>
      </c>
      <c r="G1580" s="91" t="s">
        <v>400</v>
      </c>
      <c r="H1580" s="87" t="str">
        <f>IF(Proc[[#This Row],[type]]="LFF (MDG-F)",MID(Proc[[#This Row],[Obj]],13,10),"")</f>
        <v/>
      </c>
      <c r="J1580" s="87" t="b">
        <f>Proc[[#This Row],[Requested]]=Proc[[#This Row],[CurrentParent]]</f>
        <v>1</v>
      </c>
      <c r="K1580" s="87" t="str">
        <f>IF(Proc[[#This Row],[Author]]="Marcela Urrego",VLOOKUP(LEFT(Proc[[#This Row],[Requested]],1),Table3[#All],2,0),VLOOKUP(Proc[[#This Row],[Author]],Table4[],2,0))</f>
        <v>HC</v>
      </c>
      <c r="L1580" s="87" t="s">
        <v>2563</v>
      </c>
      <c r="M1580" s="89">
        <v>45800.37945601852</v>
      </c>
      <c r="N1580" s="89">
        <v>45804</v>
      </c>
      <c r="O1580" s="89">
        <v>45804</v>
      </c>
      <c r="P1580" s="92" t="str">
        <f ca="1">IF(Proc[[#This Row],[DaysAgeing]]&gt;5,"yep","on track")</f>
        <v>on track</v>
      </c>
      <c r="Q1580" s="3">
        <f ca="1">IF(Proc[[#This Row],[DateClosed]]="",ABS(NETWORKDAYS(Proc[[#This Row],[DateOpened]],TODAY()))-1,ABS(NETWORKDAYS(Proc[[#This Row],[DateOpened]],Proc[[#This Row],[DateClosed]]))-1)</f>
        <v>2</v>
      </c>
      <c r="R1580" s="92" t="s">
        <v>410</v>
      </c>
      <c r="S1580" s="87"/>
    </row>
    <row r="1581" spans="1:19" hidden="1">
      <c r="A1581" s="91" t="s">
        <v>3385</v>
      </c>
      <c r="B1581" s="87" t="str">
        <f>IFERROR(VLOOKUP(Proc[[#This Row],[App]],Table2[],3,0),"open")</f>
        <v>ok</v>
      </c>
      <c r="C1581" s="91" t="s">
        <v>369</v>
      </c>
      <c r="D1581" t="s">
        <v>3388</v>
      </c>
      <c r="E1581" t="s">
        <v>3378</v>
      </c>
      <c r="F1581" s="105" t="s">
        <v>3378</v>
      </c>
      <c r="G1581" s="91" t="s">
        <v>400</v>
      </c>
      <c r="H1581" s="87" t="str">
        <f>IF(Proc[[#This Row],[type]]="LFF (MDG-F)",MID(Proc[[#This Row],[Obj]],13,10),"")</f>
        <v/>
      </c>
      <c r="J1581" s="87" t="b">
        <f>Proc[[#This Row],[Requested]]=Proc[[#This Row],[CurrentParent]]</f>
        <v>1</v>
      </c>
      <c r="K1581" s="87" t="str">
        <f>IF(Proc[[#This Row],[Author]]="Marcela Urrego",VLOOKUP(LEFT(Proc[[#This Row],[Requested]],1),Table3[#All],2,0),VLOOKUP(Proc[[#This Row],[Author]],Table4[],2,0))</f>
        <v>HC</v>
      </c>
      <c r="L1581" s="87" t="s">
        <v>2563</v>
      </c>
      <c r="M1581" s="89">
        <v>45800.37945601852</v>
      </c>
      <c r="N1581" s="89">
        <v>45804</v>
      </c>
      <c r="O1581" s="89">
        <v>45804</v>
      </c>
      <c r="P1581" s="92" t="str">
        <f ca="1">IF(Proc[[#This Row],[DaysAgeing]]&gt;5,"yep","on track")</f>
        <v>on track</v>
      </c>
      <c r="Q1581" s="3">
        <f ca="1">IF(Proc[[#This Row],[DateClosed]]="",ABS(NETWORKDAYS(Proc[[#This Row],[DateOpened]],TODAY()))-1,ABS(NETWORKDAYS(Proc[[#This Row],[DateOpened]],Proc[[#This Row],[DateClosed]]))-1)</f>
        <v>2</v>
      </c>
      <c r="R1581" s="92" t="s">
        <v>410</v>
      </c>
      <c r="S1581" s="87"/>
    </row>
    <row r="1582" spans="1:19" hidden="1">
      <c r="A1582" s="91" t="s">
        <v>3385</v>
      </c>
      <c r="B1582" s="87" t="str">
        <f>IFERROR(VLOOKUP(Proc[[#This Row],[App]],Table2[],3,0),"open")</f>
        <v>ok</v>
      </c>
      <c r="C1582" s="91" t="s">
        <v>369</v>
      </c>
      <c r="D1582" t="s">
        <v>3389</v>
      </c>
      <c r="E1582" t="s">
        <v>3378</v>
      </c>
      <c r="F1582" s="105" t="s">
        <v>3378</v>
      </c>
      <c r="G1582" s="91" t="s">
        <v>400</v>
      </c>
      <c r="H1582" s="87" t="str">
        <f>IF(Proc[[#This Row],[type]]="LFF (MDG-F)",MID(Proc[[#This Row],[Obj]],13,10),"")</f>
        <v/>
      </c>
      <c r="J1582" s="87" t="b">
        <f>Proc[[#This Row],[Requested]]=Proc[[#This Row],[CurrentParent]]</f>
        <v>1</v>
      </c>
      <c r="K1582" s="87" t="str">
        <f>IF(Proc[[#This Row],[Author]]="Marcela Urrego",VLOOKUP(LEFT(Proc[[#This Row],[Requested]],1),Table3[#All],2,0),VLOOKUP(Proc[[#This Row],[Author]],Table4[],2,0))</f>
        <v>HC</v>
      </c>
      <c r="L1582" s="87" t="s">
        <v>2563</v>
      </c>
      <c r="M1582" s="89">
        <v>45800.37945601852</v>
      </c>
      <c r="N1582" s="89">
        <v>45804</v>
      </c>
      <c r="O1582" s="89">
        <v>45804</v>
      </c>
      <c r="P1582" s="92" t="str">
        <f ca="1">IF(Proc[[#This Row],[DaysAgeing]]&gt;5,"yep","on track")</f>
        <v>on track</v>
      </c>
      <c r="Q1582" s="3">
        <f ca="1">IF(Proc[[#This Row],[DateClosed]]="",ABS(NETWORKDAYS(Proc[[#This Row],[DateOpened]],TODAY()))-1,ABS(NETWORKDAYS(Proc[[#This Row],[DateOpened]],Proc[[#This Row],[DateClosed]]))-1)</f>
        <v>2</v>
      </c>
      <c r="R1582" s="92" t="s">
        <v>410</v>
      </c>
      <c r="S1582" s="87"/>
    </row>
    <row r="1583" spans="1:19" hidden="1">
      <c r="A1583" s="91" t="s">
        <v>3385</v>
      </c>
      <c r="B1583" s="87" t="str">
        <f>IFERROR(VLOOKUP(Proc[[#This Row],[App]],Table2[],3,0),"open")</f>
        <v>ok</v>
      </c>
      <c r="C1583" s="91" t="s">
        <v>369</v>
      </c>
      <c r="D1583" t="s">
        <v>3390</v>
      </c>
      <c r="E1583" t="s">
        <v>3378</v>
      </c>
      <c r="F1583" s="105" t="s">
        <v>3378</v>
      </c>
      <c r="G1583" s="91" t="s">
        <v>400</v>
      </c>
      <c r="H1583" s="87" t="str">
        <f>IF(Proc[[#This Row],[type]]="LFF (MDG-F)",MID(Proc[[#This Row],[Obj]],13,10),"")</f>
        <v/>
      </c>
      <c r="J1583" s="87" t="b">
        <f>Proc[[#This Row],[Requested]]=Proc[[#This Row],[CurrentParent]]</f>
        <v>1</v>
      </c>
      <c r="K1583" s="87" t="str">
        <f>IF(Proc[[#This Row],[Author]]="Marcela Urrego",VLOOKUP(LEFT(Proc[[#This Row],[Requested]],1),Table3[#All],2,0),VLOOKUP(Proc[[#This Row],[Author]],Table4[],2,0))</f>
        <v>HC</v>
      </c>
      <c r="L1583" s="87" t="s">
        <v>2563</v>
      </c>
      <c r="M1583" s="89">
        <v>45800.37945601852</v>
      </c>
      <c r="N1583" s="89">
        <v>45804</v>
      </c>
      <c r="O1583" s="89">
        <v>45804</v>
      </c>
      <c r="P1583" s="92" t="str">
        <f ca="1">IF(Proc[[#This Row],[DaysAgeing]]&gt;5,"yep","on track")</f>
        <v>on track</v>
      </c>
      <c r="Q1583" s="3">
        <f ca="1">IF(Proc[[#This Row],[DateClosed]]="",ABS(NETWORKDAYS(Proc[[#This Row],[DateOpened]],TODAY()))-1,ABS(NETWORKDAYS(Proc[[#This Row],[DateOpened]],Proc[[#This Row],[DateClosed]]))-1)</f>
        <v>2</v>
      </c>
      <c r="R1583" s="92" t="s">
        <v>410</v>
      </c>
      <c r="S1583" s="87"/>
    </row>
    <row r="1584" spans="1:19" hidden="1">
      <c r="A1584" s="91" t="s">
        <v>3385</v>
      </c>
      <c r="B1584" s="87" t="str">
        <f>IFERROR(VLOOKUP(Proc[[#This Row],[App]],Table2[],3,0),"open")</f>
        <v>ok</v>
      </c>
      <c r="C1584" s="91" t="s">
        <v>369</v>
      </c>
      <c r="D1584" t="s">
        <v>3391</v>
      </c>
      <c r="E1584" t="s">
        <v>3378</v>
      </c>
      <c r="F1584" s="105" t="s">
        <v>3378</v>
      </c>
      <c r="G1584" s="91" t="s">
        <v>400</v>
      </c>
      <c r="H1584" s="87" t="str">
        <f>IF(Proc[[#This Row],[type]]="LFF (MDG-F)",MID(Proc[[#This Row],[Obj]],13,10),"")</f>
        <v/>
      </c>
      <c r="J1584" s="87" t="b">
        <f>Proc[[#This Row],[Requested]]=Proc[[#This Row],[CurrentParent]]</f>
        <v>1</v>
      </c>
      <c r="K1584" s="87" t="str">
        <f>IF(Proc[[#This Row],[Author]]="Marcela Urrego",VLOOKUP(LEFT(Proc[[#This Row],[Requested]],1),Table3[#All],2,0),VLOOKUP(Proc[[#This Row],[Author]],Table4[],2,0))</f>
        <v>HC</v>
      </c>
      <c r="L1584" s="87" t="s">
        <v>2563</v>
      </c>
      <c r="M1584" s="89">
        <v>45800.37945601852</v>
      </c>
      <c r="N1584" s="89">
        <v>45804</v>
      </c>
      <c r="O1584" s="89">
        <v>45804</v>
      </c>
      <c r="P1584" s="92" t="str">
        <f ca="1">IF(Proc[[#This Row],[DaysAgeing]]&gt;5,"yep","on track")</f>
        <v>on track</v>
      </c>
      <c r="Q1584" s="3">
        <f ca="1">IF(Proc[[#This Row],[DateClosed]]="",ABS(NETWORKDAYS(Proc[[#This Row],[DateOpened]],TODAY()))-1,ABS(NETWORKDAYS(Proc[[#This Row],[DateOpened]],Proc[[#This Row],[DateClosed]]))-1)</f>
        <v>2</v>
      </c>
      <c r="R1584" s="92" t="s">
        <v>410</v>
      </c>
      <c r="S1584" s="87"/>
    </row>
    <row r="1585" spans="1:19" hidden="1">
      <c r="A1585" s="91" t="s">
        <v>3385</v>
      </c>
      <c r="B1585" s="87" t="str">
        <f>IFERROR(VLOOKUP(Proc[[#This Row],[App]],Table2[],3,0),"open")</f>
        <v>ok</v>
      </c>
      <c r="C1585" s="91" t="s">
        <v>369</v>
      </c>
      <c r="D1585" t="s">
        <v>3392</v>
      </c>
      <c r="E1585" t="s">
        <v>3378</v>
      </c>
      <c r="F1585" s="105" t="s">
        <v>3378</v>
      </c>
      <c r="G1585" s="91" t="s">
        <v>400</v>
      </c>
      <c r="H1585" s="87" t="str">
        <f>IF(Proc[[#This Row],[type]]="LFF (MDG-F)",MID(Proc[[#This Row],[Obj]],13,10),"")</f>
        <v/>
      </c>
      <c r="J1585" s="87" t="b">
        <f>Proc[[#This Row],[Requested]]=Proc[[#This Row],[CurrentParent]]</f>
        <v>1</v>
      </c>
      <c r="K1585" s="87" t="str">
        <f>IF(Proc[[#This Row],[Author]]="Marcela Urrego",VLOOKUP(LEFT(Proc[[#This Row],[Requested]],1),Table3[#All],2,0),VLOOKUP(Proc[[#This Row],[Author]],Table4[],2,0))</f>
        <v>HC</v>
      </c>
      <c r="L1585" s="87" t="s">
        <v>2563</v>
      </c>
      <c r="M1585" s="89">
        <v>45800.37945601852</v>
      </c>
      <c r="N1585" s="89">
        <v>45804</v>
      </c>
      <c r="O1585" s="89">
        <v>45804</v>
      </c>
      <c r="P1585" s="92" t="str">
        <f ca="1">IF(Proc[[#This Row],[DaysAgeing]]&gt;5,"yep","on track")</f>
        <v>on track</v>
      </c>
      <c r="Q1585" s="3">
        <f ca="1">IF(Proc[[#This Row],[DateClosed]]="",ABS(NETWORKDAYS(Proc[[#This Row],[DateOpened]],TODAY()))-1,ABS(NETWORKDAYS(Proc[[#This Row],[DateOpened]],Proc[[#This Row],[DateClosed]]))-1)</f>
        <v>2</v>
      </c>
      <c r="R1585" s="92" t="s">
        <v>410</v>
      </c>
      <c r="S1585" s="87"/>
    </row>
    <row r="1586" spans="1:19" hidden="1">
      <c r="A1586" s="91" t="s">
        <v>3385</v>
      </c>
      <c r="B1586" s="87" t="str">
        <f>IFERROR(VLOOKUP(Proc[[#This Row],[App]],Table2[],3,0),"open")</f>
        <v>ok</v>
      </c>
      <c r="C1586" s="91" t="s">
        <v>369</v>
      </c>
      <c r="D1586" t="s">
        <v>3393</v>
      </c>
      <c r="E1586" t="s">
        <v>3378</v>
      </c>
      <c r="F1586" s="105" t="s">
        <v>3378</v>
      </c>
      <c r="G1586" s="91" t="s">
        <v>400</v>
      </c>
      <c r="H1586" s="87" t="str">
        <f>IF(Proc[[#This Row],[type]]="LFF (MDG-F)",MID(Proc[[#This Row],[Obj]],13,10),"")</f>
        <v/>
      </c>
      <c r="J1586" s="87" t="b">
        <f>Proc[[#This Row],[Requested]]=Proc[[#This Row],[CurrentParent]]</f>
        <v>1</v>
      </c>
      <c r="K1586" s="87" t="str">
        <f>IF(Proc[[#This Row],[Author]]="Marcela Urrego",VLOOKUP(LEFT(Proc[[#This Row],[Requested]],1),Table3[#All],2,0),VLOOKUP(Proc[[#This Row],[Author]],Table4[],2,0))</f>
        <v>HC</v>
      </c>
      <c r="L1586" s="87" t="s">
        <v>2563</v>
      </c>
      <c r="M1586" s="89">
        <v>45800.37945601852</v>
      </c>
      <c r="N1586" s="89">
        <v>45804</v>
      </c>
      <c r="O1586" s="89">
        <v>45804</v>
      </c>
      <c r="P1586" s="92" t="str">
        <f ca="1">IF(Proc[[#This Row],[DaysAgeing]]&gt;5,"yep","on track")</f>
        <v>on track</v>
      </c>
      <c r="Q1586" s="3">
        <f ca="1">IF(Proc[[#This Row],[DateClosed]]="",ABS(NETWORKDAYS(Proc[[#This Row],[DateOpened]],TODAY()))-1,ABS(NETWORKDAYS(Proc[[#This Row],[DateOpened]],Proc[[#This Row],[DateClosed]]))-1)</f>
        <v>2</v>
      </c>
      <c r="R1586" s="92" t="s">
        <v>410</v>
      </c>
      <c r="S1586" s="87"/>
    </row>
    <row r="1587" spans="1:19" hidden="1">
      <c r="A1587" s="91" t="s">
        <v>3385</v>
      </c>
      <c r="B1587" s="87" t="str">
        <f>IFERROR(VLOOKUP(Proc[[#This Row],[App]],Table2[],3,0),"open")</f>
        <v>ok</v>
      </c>
      <c r="C1587" s="91" t="s">
        <v>369</v>
      </c>
      <c r="D1587" t="s">
        <v>3394</v>
      </c>
      <c r="E1587" t="s">
        <v>3378</v>
      </c>
      <c r="F1587" s="105" t="s">
        <v>3378</v>
      </c>
      <c r="G1587" s="91" t="s">
        <v>400</v>
      </c>
      <c r="H1587" s="87" t="str">
        <f>IF(Proc[[#This Row],[type]]="LFF (MDG-F)",MID(Proc[[#This Row],[Obj]],13,10),"")</f>
        <v/>
      </c>
      <c r="J1587" s="87" t="b">
        <f>Proc[[#This Row],[Requested]]=Proc[[#This Row],[CurrentParent]]</f>
        <v>1</v>
      </c>
      <c r="K1587" s="87" t="str">
        <f>IF(Proc[[#This Row],[Author]]="Marcela Urrego",VLOOKUP(LEFT(Proc[[#This Row],[Requested]],1),Table3[#All],2,0),VLOOKUP(Proc[[#This Row],[Author]],Table4[],2,0))</f>
        <v>HC</v>
      </c>
      <c r="L1587" s="87" t="s">
        <v>2563</v>
      </c>
      <c r="M1587" s="89">
        <v>45800.37945601852</v>
      </c>
      <c r="N1587" s="89">
        <v>45804</v>
      </c>
      <c r="O1587" s="89">
        <v>45804</v>
      </c>
      <c r="P1587" s="92" t="str">
        <f ca="1">IF(Proc[[#This Row],[DaysAgeing]]&gt;5,"yep","on track")</f>
        <v>on track</v>
      </c>
      <c r="Q1587" s="3">
        <f ca="1">IF(Proc[[#This Row],[DateClosed]]="",ABS(NETWORKDAYS(Proc[[#This Row],[DateOpened]],TODAY()))-1,ABS(NETWORKDAYS(Proc[[#This Row],[DateOpened]],Proc[[#This Row],[DateClosed]]))-1)</f>
        <v>2</v>
      </c>
      <c r="R1587" s="92" t="s">
        <v>410</v>
      </c>
      <c r="S1587" s="87"/>
    </row>
    <row r="1588" spans="1:19" hidden="1">
      <c r="A1588" t="s">
        <v>3396</v>
      </c>
      <c r="B1588" s="87" t="str">
        <f>IFERROR(VLOOKUP(Proc[[#This Row],[App]],Table2[],3,0),"open")</f>
        <v>ok</v>
      </c>
      <c r="C1588" s="91" t="s">
        <v>369</v>
      </c>
      <c r="D1588" t="s">
        <v>2948</v>
      </c>
      <c r="E1588" t="s">
        <v>3397</v>
      </c>
      <c r="F1588" s="105" t="s">
        <v>3397</v>
      </c>
      <c r="G1588" s="91" t="s">
        <v>400</v>
      </c>
      <c r="H1588" s="87" t="str">
        <f>IF(Proc[[#This Row],[type]]="LFF (MDG-F)",MID(Proc[[#This Row],[Obj]],13,10),"")</f>
        <v/>
      </c>
      <c r="J1588" s="87" t="b">
        <f>Proc[[#This Row],[Requested]]=Proc[[#This Row],[CurrentParent]]</f>
        <v>1</v>
      </c>
      <c r="K1588" s="87" t="str">
        <f>IF(Proc[[#This Row],[Author]]="Marcela Urrego",VLOOKUP(LEFT(Proc[[#This Row],[Requested]],1),Table3[#All],2,0),VLOOKUP(Proc[[#This Row],[Author]],Table4[],2,0))</f>
        <v>HC</v>
      </c>
      <c r="L1588" s="87" t="s">
        <v>2563</v>
      </c>
      <c r="M1588" s="89">
        <v>45800.450960648152</v>
      </c>
      <c r="N1588" s="89">
        <v>45804</v>
      </c>
      <c r="O1588" s="89">
        <v>45804</v>
      </c>
      <c r="P1588" s="92" t="str">
        <f ca="1">IF(Proc[[#This Row],[DaysAgeing]]&gt;5,"yep","on track")</f>
        <v>on track</v>
      </c>
      <c r="Q1588" s="3">
        <f ca="1">IF(Proc[[#This Row],[DateClosed]]="",ABS(NETWORKDAYS(Proc[[#This Row],[DateOpened]],TODAY()))-1,ABS(NETWORKDAYS(Proc[[#This Row],[DateOpened]],Proc[[#This Row],[DateClosed]]))-1)</f>
        <v>2</v>
      </c>
      <c r="R1588" s="92" t="s">
        <v>410</v>
      </c>
      <c r="S1588" s="87"/>
    </row>
    <row r="1589" spans="1:19" hidden="1">
      <c r="A1589" s="91" t="s">
        <v>3396</v>
      </c>
      <c r="B1589" s="87" t="str">
        <f>IFERROR(VLOOKUP(Proc[[#This Row],[App]],Table2[],3,0),"open")</f>
        <v>ok</v>
      </c>
      <c r="C1589" s="91" t="s">
        <v>369</v>
      </c>
      <c r="D1589" t="s">
        <v>2949</v>
      </c>
      <c r="E1589" t="s">
        <v>3397</v>
      </c>
      <c r="F1589" s="105" t="s">
        <v>3397</v>
      </c>
      <c r="G1589" s="91" t="s">
        <v>400</v>
      </c>
      <c r="H1589" s="87" t="str">
        <f>IF(Proc[[#This Row],[type]]="LFF (MDG-F)",MID(Proc[[#This Row],[Obj]],13,10),"")</f>
        <v/>
      </c>
      <c r="J1589" s="87" t="b">
        <f>Proc[[#This Row],[Requested]]=Proc[[#This Row],[CurrentParent]]</f>
        <v>1</v>
      </c>
      <c r="K1589" s="87" t="str">
        <f>IF(Proc[[#This Row],[Author]]="Marcela Urrego",VLOOKUP(LEFT(Proc[[#This Row],[Requested]],1),Table3[#All],2,0),VLOOKUP(Proc[[#This Row],[Author]],Table4[],2,0))</f>
        <v>HC</v>
      </c>
      <c r="L1589" s="87" t="s">
        <v>2563</v>
      </c>
      <c r="M1589" s="89">
        <v>45800.450960648152</v>
      </c>
      <c r="N1589" s="89">
        <v>45804</v>
      </c>
      <c r="O1589" s="89">
        <v>45804</v>
      </c>
      <c r="P1589" s="92" t="str">
        <f ca="1">IF(Proc[[#This Row],[DaysAgeing]]&gt;5,"yep","on track")</f>
        <v>on track</v>
      </c>
      <c r="Q1589" s="3">
        <f ca="1">IF(Proc[[#This Row],[DateClosed]]="",ABS(NETWORKDAYS(Proc[[#This Row],[DateOpened]],TODAY()))-1,ABS(NETWORKDAYS(Proc[[#This Row],[DateOpened]],Proc[[#This Row],[DateClosed]]))-1)</f>
        <v>2</v>
      </c>
      <c r="R1589" s="92" t="s">
        <v>410</v>
      </c>
      <c r="S1589" s="87"/>
    </row>
    <row r="1590" spans="1:19" hidden="1">
      <c r="A1590" s="91" t="s">
        <v>3396</v>
      </c>
      <c r="B1590" s="87" t="str">
        <f>IFERROR(VLOOKUP(Proc[[#This Row],[App]],Table2[],3,0),"open")</f>
        <v>ok</v>
      </c>
      <c r="C1590" s="91" t="s">
        <v>369</v>
      </c>
      <c r="D1590" t="s">
        <v>2950</v>
      </c>
      <c r="E1590" t="s">
        <v>3398</v>
      </c>
      <c r="F1590" s="105" t="s">
        <v>3398</v>
      </c>
      <c r="G1590" s="91" t="s">
        <v>400</v>
      </c>
      <c r="H1590" s="87" t="str">
        <f>IF(Proc[[#This Row],[type]]="LFF (MDG-F)",MID(Proc[[#This Row],[Obj]],13,10),"")</f>
        <v/>
      </c>
      <c r="J1590" s="87" t="b">
        <f>Proc[[#This Row],[Requested]]=Proc[[#This Row],[CurrentParent]]</f>
        <v>1</v>
      </c>
      <c r="K1590" s="87" t="str">
        <f>IF(Proc[[#This Row],[Author]]="Marcela Urrego",VLOOKUP(LEFT(Proc[[#This Row],[Requested]],1),Table3[#All],2,0),VLOOKUP(Proc[[#This Row],[Author]],Table4[],2,0))</f>
        <v>HC</v>
      </c>
      <c r="L1590" s="87" t="s">
        <v>2563</v>
      </c>
      <c r="M1590" s="89">
        <v>45800.450960648152</v>
      </c>
      <c r="N1590" s="89">
        <v>45804</v>
      </c>
      <c r="O1590" s="89">
        <v>45804</v>
      </c>
      <c r="P1590" s="92" t="str">
        <f ca="1">IF(Proc[[#This Row],[DaysAgeing]]&gt;5,"yep","on track")</f>
        <v>on track</v>
      </c>
      <c r="Q1590" s="3">
        <f ca="1">IF(Proc[[#This Row],[DateClosed]]="",ABS(NETWORKDAYS(Proc[[#This Row],[DateOpened]],TODAY()))-1,ABS(NETWORKDAYS(Proc[[#This Row],[DateOpened]],Proc[[#This Row],[DateClosed]]))-1)</f>
        <v>2</v>
      </c>
      <c r="R1590" s="92" t="s">
        <v>410</v>
      </c>
      <c r="S1590" s="87"/>
    </row>
    <row r="1591" spans="1:19" hidden="1">
      <c r="A1591" s="91" t="s">
        <v>3396</v>
      </c>
      <c r="B1591" s="87" t="str">
        <f>IFERROR(VLOOKUP(Proc[[#This Row],[App]],Table2[],3,0),"open")</f>
        <v>ok</v>
      </c>
      <c r="C1591" s="91" t="s">
        <v>369</v>
      </c>
      <c r="D1591" t="s">
        <v>2951</v>
      </c>
      <c r="E1591" t="s">
        <v>3398</v>
      </c>
      <c r="F1591" s="105" t="s">
        <v>3398</v>
      </c>
      <c r="G1591" s="91" t="s">
        <v>400</v>
      </c>
      <c r="H1591" s="87" t="str">
        <f>IF(Proc[[#This Row],[type]]="LFF (MDG-F)",MID(Proc[[#This Row],[Obj]],13,10),"")</f>
        <v/>
      </c>
      <c r="J1591" s="87" t="b">
        <f>Proc[[#This Row],[Requested]]=Proc[[#This Row],[CurrentParent]]</f>
        <v>1</v>
      </c>
      <c r="K1591" s="87" t="str">
        <f>IF(Proc[[#This Row],[Author]]="Marcela Urrego",VLOOKUP(LEFT(Proc[[#This Row],[Requested]],1),Table3[#All],2,0),VLOOKUP(Proc[[#This Row],[Author]],Table4[],2,0))</f>
        <v>HC</v>
      </c>
      <c r="L1591" s="87" t="s">
        <v>2563</v>
      </c>
      <c r="M1591" s="89">
        <v>45800.450960648152</v>
      </c>
      <c r="N1591" s="89">
        <v>45804</v>
      </c>
      <c r="O1591" s="89">
        <v>45804</v>
      </c>
      <c r="P1591" s="92" t="str">
        <f ca="1">IF(Proc[[#This Row],[DaysAgeing]]&gt;5,"yep","on track")</f>
        <v>on track</v>
      </c>
      <c r="Q1591" s="3">
        <f ca="1">IF(Proc[[#This Row],[DateClosed]]="",ABS(NETWORKDAYS(Proc[[#This Row],[DateOpened]],TODAY()))-1,ABS(NETWORKDAYS(Proc[[#This Row],[DateOpened]],Proc[[#This Row],[DateClosed]]))-1)</f>
        <v>2</v>
      </c>
      <c r="R1591" s="92" t="s">
        <v>410</v>
      </c>
      <c r="S1591" s="87"/>
    </row>
    <row r="1592" spans="1:19" hidden="1">
      <c r="A1592" s="91" t="s">
        <v>3396</v>
      </c>
      <c r="B1592" s="87" t="str">
        <f>IFERROR(VLOOKUP(Proc[[#This Row],[App]],Table2[],3,0),"open")</f>
        <v>ok</v>
      </c>
      <c r="C1592" s="91" t="s">
        <v>369</v>
      </c>
      <c r="D1592" t="s">
        <v>2952</v>
      </c>
      <c r="E1592" t="s">
        <v>3398</v>
      </c>
      <c r="F1592" s="105" t="s">
        <v>3398</v>
      </c>
      <c r="G1592" s="91" t="s">
        <v>400</v>
      </c>
      <c r="H1592" s="87" t="str">
        <f>IF(Proc[[#This Row],[type]]="LFF (MDG-F)",MID(Proc[[#This Row],[Obj]],13,10),"")</f>
        <v/>
      </c>
      <c r="J1592" s="87" t="b">
        <f>Proc[[#This Row],[Requested]]=Proc[[#This Row],[CurrentParent]]</f>
        <v>1</v>
      </c>
      <c r="K1592" s="87" t="str">
        <f>IF(Proc[[#This Row],[Author]]="Marcela Urrego",VLOOKUP(LEFT(Proc[[#This Row],[Requested]],1),Table3[#All],2,0),VLOOKUP(Proc[[#This Row],[Author]],Table4[],2,0))</f>
        <v>HC</v>
      </c>
      <c r="L1592" s="87" t="s">
        <v>2563</v>
      </c>
      <c r="M1592" s="89">
        <v>45800.450960648152</v>
      </c>
      <c r="N1592" s="89">
        <v>45804</v>
      </c>
      <c r="O1592" s="89">
        <v>45804</v>
      </c>
      <c r="P1592" s="92" t="str">
        <f ca="1">IF(Proc[[#This Row],[DaysAgeing]]&gt;5,"yep","on track")</f>
        <v>on track</v>
      </c>
      <c r="Q1592" s="3">
        <f ca="1">IF(Proc[[#This Row],[DateClosed]]="",ABS(NETWORKDAYS(Proc[[#This Row],[DateOpened]],TODAY()))-1,ABS(NETWORKDAYS(Proc[[#This Row],[DateOpened]],Proc[[#This Row],[DateClosed]]))-1)</f>
        <v>2</v>
      </c>
      <c r="R1592" s="92" t="s">
        <v>410</v>
      </c>
      <c r="S1592" s="87"/>
    </row>
    <row r="1593" spans="1:19" hidden="1">
      <c r="A1593" s="91" t="s">
        <v>3396</v>
      </c>
      <c r="B1593" s="87" t="str">
        <f>IFERROR(VLOOKUP(Proc[[#This Row],[App]],Table2[],3,0),"open")</f>
        <v>ok</v>
      </c>
      <c r="C1593" s="91" t="s">
        <v>369</v>
      </c>
      <c r="D1593" t="s">
        <v>2953</v>
      </c>
      <c r="E1593" t="s">
        <v>3399</v>
      </c>
      <c r="F1593" s="105" t="s">
        <v>3399</v>
      </c>
      <c r="G1593" s="91" t="s">
        <v>400</v>
      </c>
      <c r="H1593" s="87" t="str">
        <f>IF(Proc[[#This Row],[type]]="LFF (MDG-F)",MID(Proc[[#This Row],[Obj]],13,10),"")</f>
        <v/>
      </c>
      <c r="J1593" s="87" t="b">
        <f>Proc[[#This Row],[Requested]]=Proc[[#This Row],[CurrentParent]]</f>
        <v>1</v>
      </c>
      <c r="K1593" s="87" t="str">
        <f>IF(Proc[[#This Row],[Author]]="Marcela Urrego",VLOOKUP(LEFT(Proc[[#This Row],[Requested]],1),Table3[#All],2,0),VLOOKUP(Proc[[#This Row],[Author]],Table4[],2,0))</f>
        <v>HC</v>
      </c>
      <c r="L1593" s="87" t="s">
        <v>2563</v>
      </c>
      <c r="M1593" s="89">
        <v>45800.450960648152</v>
      </c>
      <c r="N1593" s="89">
        <v>45804</v>
      </c>
      <c r="O1593" s="89">
        <v>45804</v>
      </c>
      <c r="P1593" s="92" t="str">
        <f ca="1">IF(Proc[[#This Row],[DaysAgeing]]&gt;5,"yep","on track")</f>
        <v>on track</v>
      </c>
      <c r="Q1593" s="3">
        <f ca="1">IF(Proc[[#This Row],[DateClosed]]="",ABS(NETWORKDAYS(Proc[[#This Row],[DateOpened]],TODAY()))-1,ABS(NETWORKDAYS(Proc[[#This Row],[DateOpened]],Proc[[#This Row],[DateClosed]]))-1)</f>
        <v>2</v>
      </c>
      <c r="R1593" s="92" t="s">
        <v>410</v>
      </c>
      <c r="S1593" s="87"/>
    </row>
    <row r="1594" spans="1:19" hidden="1">
      <c r="A1594" s="91" t="s">
        <v>3396</v>
      </c>
      <c r="B1594" s="87" t="str">
        <f>IFERROR(VLOOKUP(Proc[[#This Row],[App]],Table2[],3,0),"open")</f>
        <v>ok</v>
      </c>
      <c r="C1594" s="91" t="s">
        <v>369</v>
      </c>
      <c r="D1594" t="s">
        <v>2954</v>
      </c>
      <c r="E1594" t="s">
        <v>3397</v>
      </c>
      <c r="F1594" s="105" t="s">
        <v>3397</v>
      </c>
      <c r="G1594" s="91" t="s">
        <v>400</v>
      </c>
      <c r="H1594" s="87" t="str">
        <f>IF(Proc[[#This Row],[type]]="LFF (MDG-F)",MID(Proc[[#This Row],[Obj]],13,10),"")</f>
        <v/>
      </c>
      <c r="J1594" s="87" t="b">
        <f>Proc[[#This Row],[Requested]]=Proc[[#This Row],[CurrentParent]]</f>
        <v>1</v>
      </c>
      <c r="K1594" s="87" t="str">
        <f>IF(Proc[[#This Row],[Author]]="Marcela Urrego",VLOOKUP(LEFT(Proc[[#This Row],[Requested]],1),Table3[#All],2,0),VLOOKUP(Proc[[#This Row],[Author]],Table4[],2,0))</f>
        <v>HC</v>
      </c>
      <c r="L1594" s="87" t="s">
        <v>2563</v>
      </c>
      <c r="M1594" s="89">
        <v>45800.450960648152</v>
      </c>
      <c r="N1594" s="89">
        <v>45804</v>
      </c>
      <c r="O1594" s="89">
        <v>45804</v>
      </c>
      <c r="P1594" s="92" t="str">
        <f ca="1">IF(Proc[[#This Row],[DaysAgeing]]&gt;5,"yep","on track")</f>
        <v>on track</v>
      </c>
      <c r="Q1594" s="3">
        <f ca="1">IF(Proc[[#This Row],[DateClosed]]="",ABS(NETWORKDAYS(Proc[[#This Row],[DateOpened]],TODAY()))-1,ABS(NETWORKDAYS(Proc[[#This Row],[DateOpened]],Proc[[#This Row],[DateClosed]]))-1)</f>
        <v>2</v>
      </c>
      <c r="R1594" s="92" t="s">
        <v>410</v>
      </c>
      <c r="S1594" s="87"/>
    </row>
    <row r="1595" spans="1:19" hidden="1">
      <c r="A1595" s="91" t="s">
        <v>3396</v>
      </c>
      <c r="B1595" s="87" t="str">
        <f>IFERROR(VLOOKUP(Proc[[#This Row],[App]],Table2[],3,0),"open")</f>
        <v>ok</v>
      </c>
      <c r="C1595" s="91" t="s">
        <v>369</v>
      </c>
      <c r="D1595" t="s">
        <v>2955</v>
      </c>
      <c r="E1595" t="s">
        <v>3397</v>
      </c>
      <c r="F1595" s="105" t="s">
        <v>3397</v>
      </c>
      <c r="G1595" s="91" t="s">
        <v>400</v>
      </c>
      <c r="H1595" s="87" t="str">
        <f>IF(Proc[[#This Row],[type]]="LFF (MDG-F)",MID(Proc[[#This Row],[Obj]],13,10),"")</f>
        <v/>
      </c>
      <c r="J1595" s="87" t="b">
        <f>Proc[[#This Row],[Requested]]=Proc[[#This Row],[CurrentParent]]</f>
        <v>1</v>
      </c>
      <c r="K1595" s="87" t="str">
        <f>IF(Proc[[#This Row],[Author]]="Marcela Urrego",VLOOKUP(LEFT(Proc[[#This Row],[Requested]],1),Table3[#All],2,0),VLOOKUP(Proc[[#This Row],[Author]],Table4[],2,0))</f>
        <v>HC</v>
      </c>
      <c r="L1595" s="87" t="s">
        <v>2563</v>
      </c>
      <c r="M1595" s="89">
        <v>45800.450960648152</v>
      </c>
      <c r="N1595" s="89">
        <v>45804</v>
      </c>
      <c r="O1595" s="89">
        <v>45804</v>
      </c>
      <c r="P1595" s="92" t="str">
        <f ca="1">IF(Proc[[#This Row],[DaysAgeing]]&gt;5,"yep","on track")</f>
        <v>on track</v>
      </c>
      <c r="Q1595" s="3">
        <f ca="1">IF(Proc[[#This Row],[DateClosed]]="",ABS(NETWORKDAYS(Proc[[#This Row],[DateOpened]],TODAY()))-1,ABS(NETWORKDAYS(Proc[[#This Row],[DateOpened]],Proc[[#This Row],[DateClosed]]))-1)</f>
        <v>2</v>
      </c>
      <c r="R1595" s="92" t="s">
        <v>410</v>
      </c>
      <c r="S1595" s="87"/>
    </row>
    <row r="1596" spans="1:19" hidden="1">
      <c r="A1596" s="91" t="s">
        <v>3396</v>
      </c>
      <c r="B1596" s="87" t="str">
        <f>IFERROR(VLOOKUP(Proc[[#This Row],[App]],Table2[],3,0),"open")</f>
        <v>ok</v>
      </c>
      <c r="C1596" s="91" t="s">
        <v>369</v>
      </c>
      <c r="D1596" t="s">
        <v>2956</v>
      </c>
      <c r="E1596" t="s">
        <v>3400</v>
      </c>
      <c r="F1596" s="105" t="s">
        <v>3400</v>
      </c>
      <c r="G1596" s="91" t="s">
        <v>400</v>
      </c>
      <c r="H1596" s="87" t="str">
        <f>IF(Proc[[#This Row],[type]]="LFF (MDG-F)",MID(Proc[[#This Row],[Obj]],13,10),"")</f>
        <v/>
      </c>
      <c r="J1596" s="87" t="b">
        <f>Proc[[#This Row],[Requested]]=Proc[[#This Row],[CurrentParent]]</f>
        <v>1</v>
      </c>
      <c r="K1596" s="87" t="str">
        <f>IF(Proc[[#This Row],[Author]]="Marcela Urrego",VLOOKUP(LEFT(Proc[[#This Row],[Requested]],1),Table3[#All],2,0),VLOOKUP(Proc[[#This Row],[Author]],Table4[],2,0))</f>
        <v>HC</v>
      </c>
      <c r="L1596" s="87" t="s">
        <v>2563</v>
      </c>
      <c r="M1596" s="89">
        <v>45800.450960648152</v>
      </c>
      <c r="N1596" s="89">
        <v>45804</v>
      </c>
      <c r="O1596" s="89">
        <v>45804</v>
      </c>
      <c r="P1596" s="92" t="str">
        <f ca="1">IF(Proc[[#This Row],[DaysAgeing]]&gt;5,"yep","on track")</f>
        <v>on track</v>
      </c>
      <c r="Q1596" s="3">
        <f ca="1">IF(Proc[[#This Row],[DateClosed]]="",ABS(NETWORKDAYS(Proc[[#This Row],[DateOpened]],TODAY()))-1,ABS(NETWORKDAYS(Proc[[#This Row],[DateOpened]],Proc[[#This Row],[DateClosed]]))-1)</f>
        <v>2</v>
      </c>
      <c r="R1596" s="92" t="s">
        <v>410</v>
      </c>
      <c r="S1596" s="87"/>
    </row>
    <row r="1597" spans="1:19" hidden="1">
      <c r="A1597" s="91" t="s">
        <v>3396</v>
      </c>
      <c r="B1597" s="87" t="str">
        <f>IFERROR(VLOOKUP(Proc[[#This Row],[App]],Table2[],3,0),"open")</f>
        <v>ok</v>
      </c>
      <c r="C1597" s="91" t="s">
        <v>369</v>
      </c>
      <c r="D1597" t="s">
        <v>2957</v>
      </c>
      <c r="E1597" t="s">
        <v>3400</v>
      </c>
      <c r="F1597" s="105" t="s">
        <v>3400</v>
      </c>
      <c r="G1597" s="91" t="s">
        <v>400</v>
      </c>
      <c r="H1597" s="87" t="str">
        <f>IF(Proc[[#This Row],[type]]="LFF (MDG-F)",MID(Proc[[#This Row],[Obj]],13,10),"")</f>
        <v/>
      </c>
      <c r="J1597" s="87" t="b">
        <f>Proc[[#This Row],[Requested]]=Proc[[#This Row],[CurrentParent]]</f>
        <v>1</v>
      </c>
      <c r="K1597" s="87" t="str">
        <f>IF(Proc[[#This Row],[Author]]="Marcela Urrego",VLOOKUP(LEFT(Proc[[#This Row],[Requested]],1),Table3[#All],2,0),VLOOKUP(Proc[[#This Row],[Author]],Table4[],2,0))</f>
        <v>HC</v>
      </c>
      <c r="L1597" s="87" t="s">
        <v>2563</v>
      </c>
      <c r="M1597" s="89">
        <v>45800.450960648152</v>
      </c>
      <c r="N1597" s="89">
        <v>45804</v>
      </c>
      <c r="O1597" s="89">
        <v>45804</v>
      </c>
      <c r="P1597" s="92" t="str">
        <f ca="1">IF(Proc[[#This Row],[DaysAgeing]]&gt;5,"yep","on track")</f>
        <v>on track</v>
      </c>
      <c r="Q1597" s="3">
        <f ca="1">IF(Proc[[#This Row],[DateClosed]]="",ABS(NETWORKDAYS(Proc[[#This Row],[DateOpened]],TODAY()))-1,ABS(NETWORKDAYS(Proc[[#This Row],[DateOpened]],Proc[[#This Row],[DateClosed]]))-1)</f>
        <v>2</v>
      </c>
      <c r="R1597" s="92" t="s">
        <v>410</v>
      </c>
      <c r="S1597" s="87"/>
    </row>
    <row r="1598" spans="1:19" hidden="1">
      <c r="A1598" s="91" t="s">
        <v>3396</v>
      </c>
      <c r="B1598" s="87" t="str">
        <f>IFERROR(VLOOKUP(Proc[[#This Row],[App]],Table2[],3,0),"open")</f>
        <v>ok</v>
      </c>
      <c r="C1598" s="91" t="s">
        <v>369</v>
      </c>
      <c r="D1598" t="s">
        <v>2958</v>
      </c>
      <c r="E1598" t="s">
        <v>3401</v>
      </c>
      <c r="F1598" s="105" t="s">
        <v>3401</v>
      </c>
      <c r="G1598" s="91" t="s">
        <v>400</v>
      </c>
      <c r="H1598" s="87" t="str">
        <f>IF(Proc[[#This Row],[type]]="LFF (MDG-F)",MID(Proc[[#This Row],[Obj]],13,10),"")</f>
        <v/>
      </c>
      <c r="J1598" s="87" t="b">
        <f>Proc[[#This Row],[Requested]]=Proc[[#This Row],[CurrentParent]]</f>
        <v>1</v>
      </c>
      <c r="K1598" s="87" t="str">
        <f>IF(Proc[[#This Row],[Author]]="Marcela Urrego",VLOOKUP(LEFT(Proc[[#This Row],[Requested]],1),Table3[#All],2,0),VLOOKUP(Proc[[#This Row],[Author]],Table4[],2,0))</f>
        <v>HC</v>
      </c>
      <c r="L1598" s="87" t="s">
        <v>2563</v>
      </c>
      <c r="M1598" s="89">
        <v>45800.450960648152</v>
      </c>
      <c r="N1598" s="89">
        <v>45804</v>
      </c>
      <c r="O1598" s="89">
        <v>45804</v>
      </c>
      <c r="P1598" s="92" t="str">
        <f ca="1">IF(Proc[[#This Row],[DaysAgeing]]&gt;5,"yep","on track")</f>
        <v>on track</v>
      </c>
      <c r="Q1598" s="3">
        <f ca="1">IF(Proc[[#This Row],[DateClosed]]="",ABS(NETWORKDAYS(Proc[[#This Row],[DateOpened]],TODAY()))-1,ABS(NETWORKDAYS(Proc[[#This Row],[DateOpened]],Proc[[#This Row],[DateClosed]]))-1)</f>
        <v>2</v>
      </c>
      <c r="R1598" s="92" t="s">
        <v>410</v>
      </c>
      <c r="S1598" s="87"/>
    </row>
    <row r="1599" spans="1:19" hidden="1">
      <c r="A1599" s="91" t="s">
        <v>3396</v>
      </c>
      <c r="B1599" s="87" t="str">
        <f>IFERROR(VLOOKUP(Proc[[#This Row],[App]],Table2[],3,0),"open")</f>
        <v>ok</v>
      </c>
      <c r="C1599" s="91" t="s">
        <v>369</v>
      </c>
      <c r="D1599" t="s">
        <v>2959</v>
      </c>
      <c r="E1599" t="s">
        <v>3401</v>
      </c>
      <c r="F1599" s="105" t="s">
        <v>3401</v>
      </c>
      <c r="G1599" s="91" t="s">
        <v>400</v>
      </c>
      <c r="H1599" s="87" t="str">
        <f>IF(Proc[[#This Row],[type]]="LFF (MDG-F)",MID(Proc[[#This Row],[Obj]],13,10),"")</f>
        <v/>
      </c>
      <c r="J1599" s="87" t="b">
        <f>Proc[[#This Row],[Requested]]=Proc[[#This Row],[CurrentParent]]</f>
        <v>1</v>
      </c>
      <c r="K1599" s="87" t="str">
        <f>IF(Proc[[#This Row],[Author]]="Marcela Urrego",VLOOKUP(LEFT(Proc[[#This Row],[Requested]],1),Table3[#All],2,0),VLOOKUP(Proc[[#This Row],[Author]],Table4[],2,0))</f>
        <v>HC</v>
      </c>
      <c r="L1599" s="87" t="s">
        <v>2563</v>
      </c>
      <c r="M1599" s="89">
        <v>45800.450960648152</v>
      </c>
      <c r="N1599" s="89">
        <v>45804</v>
      </c>
      <c r="O1599" s="89">
        <v>45804</v>
      </c>
      <c r="P1599" s="92" t="str">
        <f ca="1">IF(Proc[[#This Row],[DaysAgeing]]&gt;5,"yep","on track")</f>
        <v>on track</v>
      </c>
      <c r="Q1599" s="3">
        <f ca="1">IF(Proc[[#This Row],[DateClosed]]="",ABS(NETWORKDAYS(Proc[[#This Row],[DateOpened]],TODAY()))-1,ABS(NETWORKDAYS(Proc[[#This Row],[DateOpened]],Proc[[#This Row],[DateClosed]]))-1)</f>
        <v>2</v>
      </c>
      <c r="R1599" s="92" t="s">
        <v>410</v>
      </c>
      <c r="S1599" s="87"/>
    </row>
    <row r="1600" spans="1:19" hidden="1">
      <c r="A1600" s="91" t="s">
        <v>3396</v>
      </c>
      <c r="B1600" s="87" t="str">
        <f>IFERROR(VLOOKUP(Proc[[#This Row],[App]],Table2[],3,0),"open")</f>
        <v>ok</v>
      </c>
      <c r="C1600" s="91" t="s">
        <v>369</v>
      </c>
      <c r="D1600" t="s">
        <v>2960</v>
      </c>
      <c r="E1600" t="s">
        <v>3401</v>
      </c>
      <c r="F1600" s="105" t="s">
        <v>3401</v>
      </c>
      <c r="G1600" s="91" t="s">
        <v>400</v>
      </c>
      <c r="H1600" s="87" t="str">
        <f>IF(Proc[[#This Row],[type]]="LFF (MDG-F)",MID(Proc[[#This Row],[Obj]],13,10),"")</f>
        <v/>
      </c>
      <c r="J1600" s="87" t="b">
        <f>Proc[[#This Row],[Requested]]=Proc[[#This Row],[CurrentParent]]</f>
        <v>1</v>
      </c>
      <c r="K1600" s="87" t="str">
        <f>IF(Proc[[#This Row],[Author]]="Marcela Urrego",VLOOKUP(LEFT(Proc[[#This Row],[Requested]],1),Table3[#All],2,0),VLOOKUP(Proc[[#This Row],[Author]],Table4[],2,0))</f>
        <v>HC</v>
      </c>
      <c r="L1600" s="87" t="s">
        <v>2563</v>
      </c>
      <c r="M1600" s="89">
        <v>45800.450960648152</v>
      </c>
      <c r="N1600" s="89">
        <v>45804</v>
      </c>
      <c r="O1600" s="89">
        <v>45804</v>
      </c>
      <c r="P1600" s="92" t="str">
        <f ca="1">IF(Proc[[#This Row],[DaysAgeing]]&gt;5,"yep","on track")</f>
        <v>on track</v>
      </c>
      <c r="Q1600" s="3">
        <f ca="1">IF(Proc[[#This Row],[DateClosed]]="",ABS(NETWORKDAYS(Proc[[#This Row],[DateOpened]],TODAY()))-1,ABS(NETWORKDAYS(Proc[[#This Row],[DateOpened]],Proc[[#This Row],[DateClosed]]))-1)</f>
        <v>2</v>
      </c>
      <c r="R1600" s="92" t="s">
        <v>410</v>
      </c>
      <c r="S1600" s="87"/>
    </row>
    <row r="1601" spans="1:19" hidden="1">
      <c r="A1601" s="91" t="s">
        <v>3396</v>
      </c>
      <c r="B1601" s="87" t="str">
        <f>IFERROR(VLOOKUP(Proc[[#This Row],[App]],Table2[],3,0),"open")</f>
        <v>ok</v>
      </c>
      <c r="C1601" s="91" t="s">
        <v>369</v>
      </c>
      <c r="D1601" t="s">
        <v>2961</v>
      </c>
      <c r="E1601" t="s">
        <v>3401</v>
      </c>
      <c r="F1601" s="105" t="s">
        <v>3401</v>
      </c>
      <c r="G1601" s="91" t="s">
        <v>400</v>
      </c>
      <c r="H1601" s="87" t="str">
        <f>IF(Proc[[#This Row],[type]]="LFF (MDG-F)",MID(Proc[[#This Row],[Obj]],13,10),"")</f>
        <v/>
      </c>
      <c r="J1601" s="87" t="b">
        <f>Proc[[#This Row],[Requested]]=Proc[[#This Row],[CurrentParent]]</f>
        <v>1</v>
      </c>
      <c r="K1601" s="87" t="str">
        <f>IF(Proc[[#This Row],[Author]]="Marcela Urrego",VLOOKUP(LEFT(Proc[[#This Row],[Requested]],1),Table3[#All],2,0),VLOOKUP(Proc[[#This Row],[Author]],Table4[],2,0))</f>
        <v>HC</v>
      </c>
      <c r="L1601" s="87" t="s">
        <v>2563</v>
      </c>
      <c r="M1601" s="89">
        <v>45800.450960648152</v>
      </c>
      <c r="N1601" s="89">
        <v>45804</v>
      </c>
      <c r="O1601" s="89">
        <v>45804</v>
      </c>
      <c r="P1601" s="92" t="str">
        <f ca="1">IF(Proc[[#This Row],[DaysAgeing]]&gt;5,"yep","on track")</f>
        <v>on track</v>
      </c>
      <c r="Q1601" s="3">
        <f ca="1">IF(Proc[[#This Row],[DateClosed]]="",ABS(NETWORKDAYS(Proc[[#This Row],[DateOpened]],TODAY()))-1,ABS(NETWORKDAYS(Proc[[#This Row],[DateOpened]],Proc[[#This Row],[DateClosed]]))-1)</f>
        <v>2</v>
      </c>
      <c r="R1601" s="92" t="s">
        <v>410</v>
      </c>
      <c r="S1601" s="87"/>
    </row>
    <row r="1602" spans="1:19" hidden="1">
      <c r="A1602" s="91" t="s">
        <v>3396</v>
      </c>
      <c r="B1602" s="87" t="str">
        <f>IFERROR(VLOOKUP(Proc[[#This Row],[App]],Table2[],3,0),"open")</f>
        <v>ok</v>
      </c>
      <c r="C1602" s="91" t="s">
        <v>369</v>
      </c>
      <c r="D1602" t="s">
        <v>2962</v>
      </c>
      <c r="E1602" t="s">
        <v>3398</v>
      </c>
      <c r="F1602" s="105" t="s">
        <v>3398</v>
      </c>
      <c r="G1602" s="91" t="s">
        <v>400</v>
      </c>
      <c r="H1602" s="87" t="str">
        <f>IF(Proc[[#This Row],[type]]="LFF (MDG-F)",MID(Proc[[#This Row],[Obj]],13,10),"")</f>
        <v/>
      </c>
      <c r="J1602" s="87" t="b">
        <f>Proc[[#This Row],[Requested]]=Proc[[#This Row],[CurrentParent]]</f>
        <v>1</v>
      </c>
      <c r="K1602" s="87" t="str">
        <f>IF(Proc[[#This Row],[Author]]="Marcela Urrego",VLOOKUP(LEFT(Proc[[#This Row],[Requested]],1),Table3[#All],2,0),VLOOKUP(Proc[[#This Row],[Author]],Table4[],2,0))</f>
        <v>HC</v>
      </c>
      <c r="L1602" s="87" t="s">
        <v>2563</v>
      </c>
      <c r="M1602" s="89">
        <v>45800.450960648152</v>
      </c>
      <c r="N1602" s="89">
        <v>45804</v>
      </c>
      <c r="O1602" s="89">
        <v>45804</v>
      </c>
      <c r="P1602" s="92" t="str">
        <f ca="1">IF(Proc[[#This Row],[DaysAgeing]]&gt;5,"yep","on track")</f>
        <v>on track</v>
      </c>
      <c r="Q1602" s="3">
        <f ca="1">IF(Proc[[#This Row],[DateClosed]]="",ABS(NETWORKDAYS(Proc[[#This Row],[DateOpened]],TODAY()))-1,ABS(NETWORKDAYS(Proc[[#This Row],[DateOpened]],Proc[[#This Row],[DateClosed]]))-1)</f>
        <v>2</v>
      </c>
      <c r="R1602" s="92" t="s">
        <v>410</v>
      </c>
      <c r="S1602" s="87"/>
    </row>
    <row r="1603" spans="1:19" hidden="1">
      <c r="A1603" s="91" t="s">
        <v>3396</v>
      </c>
      <c r="B1603" s="87" t="str">
        <f>IFERROR(VLOOKUP(Proc[[#This Row],[App]],Table2[],3,0),"open")</f>
        <v>ok</v>
      </c>
      <c r="C1603" s="91" t="s">
        <v>369</v>
      </c>
      <c r="D1603" t="s">
        <v>2963</v>
      </c>
      <c r="E1603" t="s">
        <v>3398</v>
      </c>
      <c r="F1603" s="105" t="s">
        <v>3398</v>
      </c>
      <c r="G1603" s="91" t="s">
        <v>400</v>
      </c>
      <c r="H1603" s="87" t="str">
        <f>IF(Proc[[#This Row],[type]]="LFF (MDG-F)",MID(Proc[[#This Row],[Obj]],13,10),"")</f>
        <v/>
      </c>
      <c r="J1603" s="87" t="b">
        <f>Proc[[#This Row],[Requested]]=Proc[[#This Row],[CurrentParent]]</f>
        <v>1</v>
      </c>
      <c r="K1603" s="87" t="str">
        <f>IF(Proc[[#This Row],[Author]]="Marcela Urrego",VLOOKUP(LEFT(Proc[[#This Row],[Requested]],1),Table3[#All],2,0),VLOOKUP(Proc[[#This Row],[Author]],Table4[],2,0))</f>
        <v>HC</v>
      </c>
      <c r="L1603" s="87" t="s">
        <v>2563</v>
      </c>
      <c r="M1603" s="89">
        <v>45800.450960648152</v>
      </c>
      <c r="N1603" s="89">
        <v>45804</v>
      </c>
      <c r="O1603" s="89">
        <v>45804</v>
      </c>
      <c r="P1603" s="92" t="str">
        <f ca="1">IF(Proc[[#This Row],[DaysAgeing]]&gt;5,"yep","on track")</f>
        <v>on track</v>
      </c>
      <c r="Q1603" s="3">
        <f ca="1">IF(Proc[[#This Row],[DateClosed]]="",ABS(NETWORKDAYS(Proc[[#This Row],[DateOpened]],TODAY()))-1,ABS(NETWORKDAYS(Proc[[#This Row],[DateOpened]],Proc[[#This Row],[DateClosed]]))-1)</f>
        <v>2</v>
      </c>
      <c r="R1603" s="92" t="s">
        <v>410</v>
      </c>
      <c r="S1603" s="87"/>
    </row>
    <row r="1604" spans="1:19" hidden="1">
      <c r="A1604" s="91" t="s">
        <v>3396</v>
      </c>
      <c r="B1604" s="87" t="str">
        <f>IFERROR(VLOOKUP(Proc[[#This Row],[App]],Table2[],3,0),"open")</f>
        <v>ok</v>
      </c>
      <c r="C1604" s="91" t="s">
        <v>369</v>
      </c>
      <c r="D1604" t="s">
        <v>2964</v>
      </c>
      <c r="E1604" t="s">
        <v>3401</v>
      </c>
      <c r="F1604" s="105" t="s">
        <v>3401</v>
      </c>
      <c r="G1604" s="91" t="s">
        <v>400</v>
      </c>
      <c r="H1604" s="87" t="str">
        <f>IF(Proc[[#This Row],[type]]="LFF (MDG-F)",MID(Proc[[#This Row],[Obj]],13,10),"")</f>
        <v/>
      </c>
      <c r="J1604" s="87" t="b">
        <f>Proc[[#This Row],[Requested]]=Proc[[#This Row],[CurrentParent]]</f>
        <v>1</v>
      </c>
      <c r="K1604" s="87" t="str">
        <f>IF(Proc[[#This Row],[Author]]="Marcela Urrego",VLOOKUP(LEFT(Proc[[#This Row],[Requested]],1),Table3[#All],2,0),VLOOKUP(Proc[[#This Row],[Author]],Table4[],2,0))</f>
        <v>HC</v>
      </c>
      <c r="L1604" s="87" t="s">
        <v>2563</v>
      </c>
      <c r="M1604" s="89">
        <v>45800.450960648152</v>
      </c>
      <c r="N1604" s="89">
        <v>45804</v>
      </c>
      <c r="O1604" s="89">
        <v>45804</v>
      </c>
      <c r="P1604" s="92" t="str">
        <f ca="1">IF(Proc[[#This Row],[DaysAgeing]]&gt;5,"yep","on track")</f>
        <v>on track</v>
      </c>
      <c r="Q1604" s="3">
        <f ca="1">IF(Proc[[#This Row],[DateClosed]]="",ABS(NETWORKDAYS(Proc[[#This Row],[DateOpened]],TODAY()))-1,ABS(NETWORKDAYS(Proc[[#This Row],[DateOpened]],Proc[[#This Row],[DateClosed]]))-1)</f>
        <v>2</v>
      </c>
      <c r="R1604" s="92" t="s">
        <v>410</v>
      </c>
      <c r="S1604" s="87"/>
    </row>
    <row r="1605" spans="1:19" hidden="1">
      <c r="A1605" s="91" t="s">
        <v>3396</v>
      </c>
      <c r="B1605" s="87" t="str">
        <f>IFERROR(VLOOKUP(Proc[[#This Row],[App]],Table2[],3,0),"open")</f>
        <v>ok</v>
      </c>
      <c r="C1605" s="91" t="s">
        <v>369</v>
      </c>
      <c r="D1605" t="s">
        <v>2965</v>
      </c>
      <c r="E1605" t="s">
        <v>3401</v>
      </c>
      <c r="F1605" s="105" t="s">
        <v>3401</v>
      </c>
      <c r="G1605" s="91" t="s">
        <v>400</v>
      </c>
      <c r="H1605" s="87" t="str">
        <f>IF(Proc[[#This Row],[type]]="LFF (MDG-F)",MID(Proc[[#This Row],[Obj]],13,10),"")</f>
        <v/>
      </c>
      <c r="J1605" s="87" t="b">
        <f>Proc[[#This Row],[Requested]]=Proc[[#This Row],[CurrentParent]]</f>
        <v>1</v>
      </c>
      <c r="K1605" s="87" t="str">
        <f>IF(Proc[[#This Row],[Author]]="Marcela Urrego",VLOOKUP(LEFT(Proc[[#This Row],[Requested]],1),Table3[#All],2,0),VLOOKUP(Proc[[#This Row],[Author]],Table4[],2,0))</f>
        <v>HC</v>
      </c>
      <c r="L1605" s="87" t="s">
        <v>2563</v>
      </c>
      <c r="M1605" s="89">
        <v>45800.450960648152</v>
      </c>
      <c r="N1605" s="89">
        <v>45804</v>
      </c>
      <c r="O1605" s="89">
        <v>45804</v>
      </c>
      <c r="P1605" s="92" t="str">
        <f ca="1">IF(Proc[[#This Row],[DaysAgeing]]&gt;5,"yep","on track")</f>
        <v>on track</v>
      </c>
      <c r="Q1605" s="3">
        <f ca="1">IF(Proc[[#This Row],[DateClosed]]="",ABS(NETWORKDAYS(Proc[[#This Row],[DateOpened]],TODAY()))-1,ABS(NETWORKDAYS(Proc[[#This Row],[DateOpened]],Proc[[#This Row],[DateClosed]]))-1)</f>
        <v>2</v>
      </c>
      <c r="R1605" s="92" t="s">
        <v>410</v>
      </c>
      <c r="S1605" s="87"/>
    </row>
    <row r="1606" spans="1:19" hidden="1">
      <c r="A1606" s="91" t="s">
        <v>3396</v>
      </c>
      <c r="B1606" s="87" t="str">
        <f>IFERROR(VLOOKUP(Proc[[#This Row],[App]],Table2[],3,0),"open")</f>
        <v>ok</v>
      </c>
      <c r="C1606" s="91" t="s">
        <v>369</v>
      </c>
      <c r="D1606" t="s">
        <v>2966</v>
      </c>
      <c r="E1606" t="s">
        <v>3401</v>
      </c>
      <c r="F1606" s="105" t="s">
        <v>3401</v>
      </c>
      <c r="G1606" s="91" t="s">
        <v>400</v>
      </c>
      <c r="H1606" s="87" t="str">
        <f>IF(Proc[[#This Row],[type]]="LFF (MDG-F)",MID(Proc[[#This Row],[Obj]],13,10),"")</f>
        <v/>
      </c>
      <c r="J1606" s="87" t="b">
        <f>Proc[[#This Row],[Requested]]=Proc[[#This Row],[CurrentParent]]</f>
        <v>1</v>
      </c>
      <c r="K1606" s="87" t="str">
        <f>IF(Proc[[#This Row],[Author]]="Marcela Urrego",VLOOKUP(LEFT(Proc[[#This Row],[Requested]],1),Table3[#All],2,0),VLOOKUP(Proc[[#This Row],[Author]],Table4[],2,0))</f>
        <v>HC</v>
      </c>
      <c r="L1606" s="87" t="s">
        <v>2563</v>
      </c>
      <c r="M1606" s="89">
        <v>45800.450960648152</v>
      </c>
      <c r="N1606" s="89">
        <v>45804</v>
      </c>
      <c r="O1606" s="89">
        <v>45804</v>
      </c>
      <c r="P1606" s="92" t="str">
        <f ca="1">IF(Proc[[#This Row],[DaysAgeing]]&gt;5,"yep","on track")</f>
        <v>on track</v>
      </c>
      <c r="Q1606" s="3">
        <f ca="1">IF(Proc[[#This Row],[DateClosed]]="",ABS(NETWORKDAYS(Proc[[#This Row],[DateOpened]],TODAY()))-1,ABS(NETWORKDAYS(Proc[[#This Row],[DateOpened]],Proc[[#This Row],[DateClosed]]))-1)</f>
        <v>2</v>
      </c>
      <c r="R1606" s="92" t="s">
        <v>410</v>
      </c>
      <c r="S1606" s="87"/>
    </row>
    <row r="1607" spans="1:19" hidden="1">
      <c r="A1607" s="91" t="s">
        <v>3396</v>
      </c>
      <c r="B1607" s="87" t="str">
        <f>IFERROR(VLOOKUP(Proc[[#This Row],[App]],Table2[],3,0),"open")</f>
        <v>ok</v>
      </c>
      <c r="C1607" s="91" t="s">
        <v>369</v>
      </c>
      <c r="D1607" t="s">
        <v>2967</v>
      </c>
      <c r="E1607" t="s">
        <v>3402</v>
      </c>
      <c r="F1607" s="105" t="s">
        <v>3402</v>
      </c>
      <c r="G1607" s="91" t="s">
        <v>400</v>
      </c>
      <c r="H1607" s="87" t="str">
        <f>IF(Proc[[#This Row],[type]]="LFF (MDG-F)",MID(Proc[[#This Row],[Obj]],13,10),"")</f>
        <v/>
      </c>
      <c r="J1607" s="87" t="b">
        <f>Proc[[#This Row],[Requested]]=Proc[[#This Row],[CurrentParent]]</f>
        <v>1</v>
      </c>
      <c r="K1607" s="87" t="str">
        <f>IF(Proc[[#This Row],[Author]]="Marcela Urrego",VLOOKUP(LEFT(Proc[[#This Row],[Requested]],1),Table3[#All],2,0),VLOOKUP(Proc[[#This Row],[Author]],Table4[],2,0))</f>
        <v>HC</v>
      </c>
      <c r="L1607" s="87" t="s">
        <v>2563</v>
      </c>
      <c r="M1607" s="89">
        <v>45800.450960648152</v>
      </c>
      <c r="N1607" s="89">
        <v>45804</v>
      </c>
      <c r="O1607" s="89">
        <v>45804</v>
      </c>
      <c r="P1607" s="92" t="str">
        <f ca="1">IF(Proc[[#This Row],[DaysAgeing]]&gt;5,"yep","on track")</f>
        <v>on track</v>
      </c>
      <c r="Q1607" s="3">
        <f ca="1">IF(Proc[[#This Row],[DateClosed]]="",ABS(NETWORKDAYS(Proc[[#This Row],[DateOpened]],TODAY()))-1,ABS(NETWORKDAYS(Proc[[#This Row],[DateOpened]],Proc[[#This Row],[DateClosed]]))-1)</f>
        <v>2</v>
      </c>
      <c r="R1607" s="92" t="s">
        <v>410</v>
      </c>
      <c r="S1607" s="87"/>
    </row>
    <row r="1608" spans="1:19" hidden="1">
      <c r="A1608" s="91" t="s">
        <v>3396</v>
      </c>
      <c r="B1608" s="87" t="str">
        <f>IFERROR(VLOOKUP(Proc[[#This Row],[App]],Table2[],3,0),"open")</f>
        <v>ok</v>
      </c>
      <c r="C1608" s="91" t="s">
        <v>369</v>
      </c>
      <c r="D1608" t="s">
        <v>2968</v>
      </c>
      <c r="E1608" t="s">
        <v>3402</v>
      </c>
      <c r="F1608" s="105" t="s">
        <v>3402</v>
      </c>
      <c r="G1608" s="91" t="s">
        <v>400</v>
      </c>
      <c r="H1608" s="87" t="str">
        <f>IF(Proc[[#This Row],[type]]="LFF (MDG-F)",MID(Proc[[#This Row],[Obj]],13,10),"")</f>
        <v/>
      </c>
      <c r="J1608" s="87" t="b">
        <f>Proc[[#This Row],[Requested]]=Proc[[#This Row],[CurrentParent]]</f>
        <v>1</v>
      </c>
      <c r="K1608" s="87" t="str">
        <f>IF(Proc[[#This Row],[Author]]="Marcela Urrego",VLOOKUP(LEFT(Proc[[#This Row],[Requested]],1),Table3[#All],2,0),VLOOKUP(Proc[[#This Row],[Author]],Table4[],2,0))</f>
        <v>HC</v>
      </c>
      <c r="L1608" s="87" t="s">
        <v>2563</v>
      </c>
      <c r="M1608" s="89">
        <v>45800.450960648152</v>
      </c>
      <c r="N1608" s="89">
        <v>45804</v>
      </c>
      <c r="O1608" s="89">
        <v>45804</v>
      </c>
      <c r="P1608" s="92" t="str">
        <f ca="1">IF(Proc[[#This Row],[DaysAgeing]]&gt;5,"yep","on track")</f>
        <v>on track</v>
      </c>
      <c r="Q1608" s="3">
        <f ca="1">IF(Proc[[#This Row],[DateClosed]]="",ABS(NETWORKDAYS(Proc[[#This Row],[DateOpened]],TODAY()))-1,ABS(NETWORKDAYS(Proc[[#This Row],[DateOpened]],Proc[[#This Row],[DateClosed]]))-1)</f>
        <v>2</v>
      </c>
      <c r="R1608" s="92" t="s">
        <v>410</v>
      </c>
      <c r="S1608" s="87"/>
    </row>
    <row r="1609" spans="1:19" hidden="1">
      <c r="A1609" s="91" t="s">
        <v>3396</v>
      </c>
      <c r="B1609" s="87" t="str">
        <f>IFERROR(VLOOKUP(Proc[[#This Row],[App]],Table2[],3,0),"open")</f>
        <v>ok</v>
      </c>
      <c r="C1609" s="91" t="s">
        <v>369</v>
      </c>
      <c r="D1609" t="s">
        <v>2969</v>
      </c>
      <c r="E1609" t="s">
        <v>3402</v>
      </c>
      <c r="F1609" s="105" t="s">
        <v>3402</v>
      </c>
      <c r="G1609" s="91" t="s">
        <v>400</v>
      </c>
      <c r="H1609" s="87" t="str">
        <f>IF(Proc[[#This Row],[type]]="LFF (MDG-F)",MID(Proc[[#This Row],[Obj]],13,10),"")</f>
        <v/>
      </c>
      <c r="J1609" s="87" t="b">
        <f>Proc[[#This Row],[Requested]]=Proc[[#This Row],[CurrentParent]]</f>
        <v>1</v>
      </c>
      <c r="K1609" s="87" t="str">
        <f>IF(Proc[[#This Row],[Author]]="Marcela Urrego",VLOOKUP(LEFT(Proc[[#This Row],[Requested]],1),Table3[#All],2,0),VLOOKUP(Proc[[#This Row],[Author]],Table4[],2,0))</f>
        <v>HC</v>
      </c>
      <c r="L1609" s="87" t="s">
        <v>2563</v>
      </c>
      <c r="M1609" s="89">
        <v>45800.450960648152</v>
      </c>
      <c r="N1609" s="89">
        <v>45804</v>
      </c>
      <c r="O1609" s="89">
        <v>45804</v>
      </c>
      <c r="P1609" s="92" t="str">
        <f ca="1">IF(Proc[[#This Row],[DaysAgeing]]&gt;5,"yep","on track")</f>
        <v>on track</v>
      </c>
      <c r="Q1609" s="3">
        <f ca="1">IF(Proc[[#This Row],[DateClosed]]="",ABS(NETWORKDAYS(Proc[[#This Row],[DateOpened]],TODAY()))-1,ABS(NETWORKDAYS(Proc[[#This Row],[DateOpened]],Proc[[#This Row],[DateClosed]]))-1)</f>
        <v>2</v>
      </c>
      <c r="R1609" s="92" t="s">
        <v>410</v>
      </c>
      <c r="S1609" s="87"/>
    </row>
    <row r="1610" spans="1:19" hidden="1">
      <c r="A1610" s="91" t="s">
        <v>3396</v>
      </c>
      <c r="B1610" s="87" t="str">
        <f>IFERROR(VLOOKUP(Proc[[#This Row],[App]],Table2[],3,0),"open")</f>
        <v>ok</v>
      </c>
      <c r="C1610" s="91" t="s">
        <v>369</v>
      </c>
      <c r="D1610" t="s">
        <v>2970</v>
      </c>
      <c r="E1610" t="s">
        <v>3402</v>
      </c>
      <c r="F1610" s="105" t="s">
        <v>3402</v>
      </c>
      <c r="G1610" s="91" t="s">
        <v>400</v>
      </c>
      <c r="H1610" s="87" t="str">
        <f>IF(Proc[[#This Row],[type]]="LFF (MDG-F)",MID(Proc[[#This Row],[Obj]],13,10),"")</f>
        <v/>
      </c>
      <c r="J1610" s="87" t="b">
        <f>Proc[[#This Row],[Requested]]=Proc[[#This Row],[CurrentParent]]</f>
        <v>1</v>
      </c>
      <c r="K1610" s="87" t="str">
        <f>IF(Proc[[#This Row],[Author]]="Marcela Urrego",VLOOKUP(LEFT(Proc[[#This Row],[Requested]],1),Table3[#All],2,0),VLOOKUP(Proc[[#This Row],[Author]],Table4[],2,0))</f>
        <v>HC</v>
      </c>
      <c r="L1610" s="87" t="s">
        <v>2563</v>
      </c>
      <c r="M1610" s="89">
        <v>45800.450960648152</v>
      </c>
      <c r="N1610" s="89">
        <v>45804</v>
      </c>
      <c r="O1610" s="89">
        <v>45804</v>
      </c>
      <c r="P1610" s="92" t="str">
        <f ca="1">IF(Proc[[#This Row],[DaysAgeing]]&gt;5,"yep","on track")</f>
        <v>on track</v>
      </c>
      <c r="Q1610" s="3">
        <f ca="1">IF(Proc[[#This Row],[DateClosed]]="",ABS(NETWORKDAYS(Proc[[#This Row],[DateOpened]],TODAY()))-1,ABS(NETWORKDAYS(Proc[[#This Row],[DateOpened]],Proc[[#This Row],[DateClosed]]))-1)</f>
        <v>2</v>
      </c>
      <c r="R1610" s="92" t="s">
        <v>410</v>
      </c>
      <c r="S1610" s="87"/>
    </row>
    <row r="1611" spans="1:19" hidden="1">
      <c r="A1611" s="91" t="s">
        <v>3396</v>
      </c>
      <c r="B1611" s="87" t="str">
        <f>IFERROR(VLOOKUP(Proc[[#This Row],[App]],Table2[],3,0),"open")</f>
        <v>ok</v>
      </c>
      <c r="C1611" s="91" t="s">
        <v>369</v>
      </c>
      <c r="D1611" t="s">
        <v>2971</v>
      </c>
      <c r="E1611" t="s">
        <v>3402</v>
      </c>
      <c r="F1611" s="105" t="s">
        <v>3402</v>
      </c>
      <c r="G1611" s="91" t="s">
        <v>400</v>
      </c>
      <c r="H1611" s="87" t="str">
        <f>IF(Proc[[#This Row],[type]]="LFF (MDG-F)",MID(Proc[[#This Row],[Obj]],13,10),"")</f>
        <v/>
      </c>
      <c r="J1611" s="87" t="b">
        <f>Proc[[#This Row],[Requested]]=Proc[[#This Row],[CurrentParent]]</f>
        <v>1</v>
      </c>
      <c r="K1611" s="87" t="str">
        <f>IF(Proc[[#This Row],[Author]]="Marcela Urrego",VLOOKUP(LEFT(Proc[[#This Row],[Requested]],1),Table3[#All],2,0),VLOOKUP(Proc[[#This Row],[Author]],Table4[],2,0))</f>
        <v>HC</v>
      </c>
      <c r="L1611" s="87" t="s">
        <v>2563</v>
      </c>
      <c r="M1611" s="89">
        <v>45800.450960648152</v>
      </c>
      <c r="N1611" s="89">
        <v>45804</v>
      </c>
      <c r="O1611" s="89">
        <v>45804</v>
      </c>
      <c r="P1611" s="92" t="str">
        <f ca="1">IF(Proc[[#This Row],[DaysAgeing]]&gt;5,"yep","on track")</f>
        <v>on track</v>
      </c>
      <c r="Q1611" s="3">
        <f ca="1">IF(Proc[[#This Row],[DateClosed]]="",ABS(NETWORKDAYS(Proc[[#This Row],[DateOpened]],TODAY()))-1,ABS(NETWORKDAYS(Proc[[#This Row],[DateOpened]],Proc[[#This Row],[DateClosed]]))-1)</f>
        <v>2</v>
      </c>
      <c r="R1611" s="92" t="s">
        <v>410</v>
      </c>
      <c r="S1611" s="87"/>
    </row>
    <row r="1612" spans="1:19" hidden="1">
      <c r="A1612" s="91" t="s">
        <v>3396</v>
      </c>
      <c r="B1612" s="87" t="str">
        <f>IFERROR(VLOOKUP(Proc[[#This Row],[App]],Table2[],3,0),"open")</f>
        <v>ok</v>
      </c>
      <c r="C1612" s="91" t="s">
        <v>369</v>
      </c>
      <c r="D1612" t="s">
        <v>2972</v>
      </c>
      <c r="E1612" t="s">
        <v>3402</v>
      </c>
      <c r="F1612" s="105" t="s">
        <v>3402</v>
      </c>
      <c r="G1612" s="91" t="s">
        <v>400</v>
      </c>
      <c r="H1612" s="87" t="str">
        <f>IF(Proc[[#This Row],[type]]="LFF (MDG-F)",MID(Proc[[#This Row],[Obj]],13,10),"")</f>
        <v/>
      </c>
      <c r="J1612" s="87" t="b">
        <f>Proc[[#This Row],[Requested]]=Proc[[#This Row],[CurrentParent]]</f>
        <v>1</v>
      </c>
      <c r="K1612" s="87" t="str">
        <f>IF(Proc[[#This Row],[Author]]="Marcela Urrego",VLOOKUP(LEFT(Proc[[#This Row],[Requested]],1),Table3[#All],2,0),VLOOKUP(Proc[[#This Row],[Author]],Table4[],2,0))</f>
        <v>HC</v>
      </c>
      <c r="L1612" s="87" t="s">
        <v>2563</v>
      </c>
      <c r="M1612" s="89">
        <v>45800.450960648152</v>
      </c>
      <c r="N1612" s="89">
        <v>45804</v>
      </c>
      <c r="O1612" s="89">
        <v>45804</v>
      </c>
      <c r="P1612" s="92" t="str">
        <f ca="1">IF(Proc[[#This Row],[DaysAgeing]]&gt;5,"yep","on track")</f>
        <v>on track</v>
      </c>
      <c r="Q1612" s="3">
        <f ca="1">IF(Proc[[#This Row],[DateClosed]]="",ABS(NETWORKDAYS(Proc[[#This Row],[DateOpened]],TODAY()))-1,ABS(NETWORKDAYS(Proc[[#This Row],[DateOpened]],Proc[[#This Row],[DateClosed]]))-1)</f>
        <v>2</v>
      </c>
      <c r="R1612" s="92" t="s">
        <v>410</v>
      </c>
      <c r="S1612" s="87"/>
    </row>
    <row r="1613" spans="1:19" hidden="1">
      <c r="A1613" s="91" t="s">
        <v>3396</v>
      </c>
      <c r="B1613" s="87" t="str">
        <f>IFERROR(VLOOKUP(Proc[[#This Row],[App]],Table2[],3,0),"open")</f>
        <v>ok</v>
      </c>
      <c r="C1613" s="91" t="s">
        <v>369</v>
      </c>
      <c r="D1613" t="s">
        <v>2973</v>
      </c>
      <c r="E1613" t="s">
        <v>3402</v>
      </c>
      <c r="F1613" s="105" t="s">
        <v>3402</v>
      </c>
      <c r="G1613" s="91" t="s">
        <v>400</v>
      </c>
      <c r="H1613" s="87" t="str">
        <f>IF(Proc[[#This Row],[type]]="LFF (MDG-F)",MID(Proc[[#This Row],[Obj]],13,10),"")</f>
        <v/>
      </c>
      <c r="J1613" s="87" t="b">
        <f>Proc[[#This Row],[Requested]]=Proc[[#This Row],[CurrentParent]]</f>
        <v>1</v>
      </c>
      <c r="K1613" s="87" t="str">
        <f>IF(Proc[[#This Row],[Author]]="Marcela Urrego",VLOOKUP(LEFT(Proc[[#This Row],[Requested]],1),Table3[#All],2,0),VLOOKUP(Proc[[#This Row],[Author]],Table4[],2,0))</f>
        <v>HC</v>
      </c>
      <c r="L1613" s="87" t="s">
        <v>2563</v>
      </c>
      <c r="M1613" s="89">
        <v>45800.450960648152</v>
      </c>
      <c r="N1613" s="89">
        <v>45804</v>
      </c>
      <c r="O1613" s="89">
        <v>45804</v>
      </c>
      <c r="P1613" s="92" t="str">
        <f ca="1">IF(Proc[[#This Row],[DaysAgeing]]&gt;5,"yep","on track")</f>
        <v>on track</v>
      </c>
      <c r="Q1613" s="3">
        <f ca="1">IF(Proc[[#This Row],[DateClosed]]="",ABS(NETWORKDAYS(Proc[[#This Row],[DateOpened]],TODAY()))-1,ABS(NETWORKDAYS(Proc[[#This Row],[DateOpened]],Proc[[#This Row],[DateClosed]]))-1)</f>
        <v>2</v>
      </c>
      <c r="R1613" s="92" t="s">
        <v>410</v>
      </c>
      <c r="S1613" s="87"/>
    </row>
    <row r="1614" spans="1:19" hidden="1">
      <c r="A1614" s="91" t="s">
        <v>3396</v>
      </c>
      <c r="B1614" s="87" t="str">
        <f>IFERROR(VLOOKUP(Proc[[#This Row],[App]],Table2[],3,0),"open")</f>
        <v>ok</v>
      </c>
      <c r="C1614" s="91" t="s">
        <v>369</v>
      </c>
      <c r="D1614" t="s">
        <v>2974</v>
      </c>
      <c r="E1614" t="s">
        <v>3402</v>
      </c>
      <c r="F1614" s="105" t="s">
        <v>3402</v>
      </c>
      <c r="G1614" s="91" t="s">
        <v>400</v>
      </c>
      <c r="H1614" s="87" t="str">
        <f>IF(Proc[[#This Row],[type]]="LFF (MDG-F)",MID(Proc[[#This Row],[Obj]],13,10),"")</f>
        <v/>
      </c>
      <c r="J1614" s="87" t="b">
        <f>Proc[[#This Row],[Requested]]=Proc[[#This Row],[CurrentParent]]</f>
        <v>1</v>
      </c>
      <c r="K1614" s="87" t="str">
        <f>IF(Proc[[#This Row],[Author]]="Marcela Urrego",VLOOKUP(LEFT(Proc[[#This Row],[Requested]],1),Table3[#All],2,0),VLOOKUP(Proc[[#This Row],[Author]],Table4[],2,0))</f>
        <v>HC</v>
      </c>
      <c r="L1614" s="87" t="s">
        <v>2563</v>
      </c>
      <c r="M1614" s="89">
        <v>45800.450960648152</v>
      </c>
      <c r="N1614" s="89">
        <v>45804</v>
      </c>
      <c r="O1614" s="89">
        <v>45804</v>
      </c>
      <c r="P1614" s="92" t="str">
        <f ca="1">IF(Proc[[#This Row],[DaysAgeing]]&gt;5,"yep","on track")</f>
        <v>on track</v>
      </c>
      <c r="Q1614" s="3">
        <f ca="1">IF(Proc[[#This Row],[DateClosed]]="",ABS(NETWORKDAYS(Proc[[#This Row],[DateOpened]],TODAY()))-1,ABS(NETWORKDAYS(Proc[[#This Row],[DateOpened]],Proc[[#This Row],[DateClosed]]))-1)</f>
        <v>2</v>
      </c>
      <c r="R1614" s="92" t="s">
        <v>410</v>
      </c>
      <c r="S1614" s="87"/>
    </row>
    <row r="1615" spans="1:19" hidden="1">
      <c r="A1615" s="91" t="s">
        <v>3396</v>
      </c>
      <c r="B1615" s="87" t="str">
        <f>IFERROR(VLOOKUP(Proc[[#This Row],[App]],Table2[],3,0),"open")</f>
        <v>ok</v>
      </c>
      <c r="C1615" s="91" t="s">
        <v>369</v>
      </c>
      <c r="D1615" t="s">
        <v>2975</v>
      </c>
      <c r="E1615" t="s">
        <v>3402</v>
      </c>
      <c r="F1615" s="105" t="s">
        <v>3402</v>
      </c>
      <c r="G1615" s="91" t="s">
        <v>400</v>
      </c>
      <c r="H1615" s="87" t="str">
        <f>IF(Proc[[#This Row],[type]]="LFF (MDG-F)",MID(Proc[[#This Row],[Obj]],13,10),"")</f>
        <v/>
      </c>
      <c r="J1615" s="87" t="b">
        <f>Proc[[#This Row],[Requested]]=Proc[[#This Row],[CurrentParent]]</f>
        <v>1</v>
      </c>
      <c r="K1615" s="87" t="str">
        <f>IF(Proc[[#This Row],[Author]]="Marcela Urrego",VLOOKUP(LEFT(Proc[[#This Row],[Requested]],1),Table3[#All],2,0),VLOOKUP(Proc[[#This Row],[Author]],Table4[],2,0))</f>
        <v>HC</v>
      </c>
      <c r="L1615" s="87" t="s">
        <v>2563</v>
      </c>
      <c r="M1615" s="89">
        <v>45800.450960648152</v>
      </c>
      <c r="N1615" s="89">
        <v>45804</v>
      </c>
      <c r="O1615" s="89">
        <v>45804</v>
      </c>
      <c r="P1615" s="92" t="str">
        <f ca="1">IF(Proc[[#This Row],[DaysAgeing]]&gt;5,"yep","on track")</f>
        <v>on track</v>
      </c>
      <c r="Q1615" s="3">
        <f ca="1">IF(Proc[[#This Row],[DateClosed]]="",ABS(NETWORKDAYS(Proc[[#This Row],[DateOpened]],TODAY()))-1,ABS(NETWORKDAYS(Proc[[#This Row],[DateOpened]],Proc[[#This Row],[DateClosed]]))-1)</f>
        <v>2</v>
      </c>
      <c r="R1615" s="92" t="s">
        <v>410</v>
      </c>
      <c r="S1615" s="87"/>
    </row>
    <row r="1616" spans="1:19" hidden="1">
      <c r="A1616" s="91" t="s">
        <v>3396</v>
      </c>
      <c r="B1616" s="87" t="str">
        <f>IFERROR(VLOOKUP(Proc[[#This Row],[App]],Table2[],3,0),"open")</f>
        <v>ok</v>
      </c>
      <c r="C1616" s="91" t="s">
        <v>369</v>
      </c>
      <c r="D1616" t="s">
        <v>2976</v>
      </c>
      <c r="E1616" t="s">
        <v>3402</v>
      </c>
      <c r="F1616" s="105" t="s">
        <v>3402</v>
      </c>
      <c r="G1616" s="91" t="s">
        <v>400</v>
      </c>
      <c r="H1616" s="87" t="str">
        <f>IF(Proc[[#This Row],[type]]="LFF (MDG-F)",MID(Proc[[#This Row],[Obj]],13,10),"")</f>
        <v/>
      </c>
      <c r="J1616" s="87" t="b">
        <f>Proc[[#This Row],[Requested]]=Proc[[#This Row],[CurrentParent]]</f>
        <v>1</v>
      </c>
      <c r="K1616" s="87" t="str">
        <f>IF(Proc[[#This Row],[Author]]="Marcela Urrego",VLOOKUP(LEFT(Proc[[#This Row],[Requested]],1),Table3[#All],2,0),VLOOKUP(Proc[[#This Row],[Author]],Table4[],2,0))</f>
        <v>HC</v>
      </c>
      <c r="L1616" s="87" t="s">
        <v>2563</v>
      </c>
      <c r="M1616" s="89">
        <v>45800.450960648152</v>
      </c>
      <c r="N1616" s="89">
        <v>45804</v>
      </c>
      <c r="O1616" s="89">
        <v>45804</v>
      </c>
      <c r="P1616" s="92" t="str">
        <f ca="1">IF(Proc[[#This Row],[DaysAgeing]]&gt;5,"yep","on track")</f>
        <v>on track</v>
      </c>
      <c r="Q1616" s="3">
        <f ca="1">IF(Proc[[#This Row],[DateClosed]]="",ABS(NETWORKDAYS(Proc[[#This Row],[DateOpened]],TODAY()))-1,ABS(NETWORKDAYS(Proc[[#This Row],[DateOpened]],Proc[[#This Row],[DateClosed]]))-1)</f>
        <v>2</v>
      </c>
      <c r="R1616" s="92" t="s">
        <v>410</v>
      </c>
      <c r="S1616" s="87"/>
    </row>
    <row r="1617" spans="1:19" hidden="1">
      <c r="A1617" s="91" t="s">
        <v>3396</v>
      </c>
      <c r="B1617" s="87" t="str">
        <f>IFERROR(VLOOKUP(Proc[[#This Row],[App]],Table2[],3,0),"open")</f>
        <v>ok</v>
      </c>
      <c r="C1617" s="91" t="s">
        <v>369</v>
      </c>
      <c r="D1617" t="s">
        <v>2977</v>
      </c>
      <c r="E1617" t="s">
        <v>3402</v>
      </c>
      <c r="F1617" s="105" t="s">
        <v>3402</v>
      </c>
      <c r="G1617" s="91" t="s">
        <v>400</v>
      </c>
      <c r="H1617" s="87" t="str">
        <f>IF(Proc[[#This Row],[type]]="LFF (MDG-F)",MID(Proc[[#This Row],[Obj]],13,10),"")</f>
        <v/>
      </c>
      <c r="J1617" s="87" t="b">
        <f>Proc[[#This Row],[Requested]]=Proc[[#This Row],[CurrentParent]]</f>
        <v>1</v>
      </c>
      <c r="K1617" s="87" t="str">
        <f>IF(Proc[[#This Row],[Author]]="Marcela Urrego",VLOOKUP(LEFT(Proc[[#This Row],[Requested]],1),Table3[#All],2,0),VLOOKUP(Proc[[#This Row],[Author]],Table4[],2,0))</f>
        <v>HC</v>
      </c>
      <c r="L1617" s="87" t="s">
        <v>2563</v>
      </c>
      <c r="M1617" s="89">
        <v>45800.450960648152</v>
      </c>
      <c r="N1617" s="89">
        <v>45804</v>
      </c>
      <c r="O1617" s="89">
        <v>45804</v>
      </c>
      <c r="P1617" s="92" t="str">
        <f ca="1">IF(Proc[[#This Row],[DaysAgeing]]&gt;5,"yep","on track")</f>
        <v>on track</v>
      </c>
      <c r="Q1617" s="3">
        <f ca="1">IF(Proc[[#This Row],[DateClosed]]="",ABS(NETWORKDAYS(Proc[[#This Row],[DateOpened]],TODAY()))-1,ABS(NETWORKDAYS(Proc[[#This Row],[DateOpened]],Proc[[#This Row],[DateClosed]]))-1)</f>
        <v>2</v>
      </c>
      <c r="R1617" s="92" t="s">
        <v>410</v>
      </c>
      <c r="S1617" s="87"/>
    </row>
    <row r="1618" spans="1:19" hidden="1">
      <c r="A1618" s="91" t="s">
        <v>3396</v>
      </c>
      <c r="B1618" s="87" t="str">
        <f>IFERROR(VLOOKUP(Proc[[#This Row],[App]],Table2[],3,0),"open")</f>
        <v>ok</v>
      </c>
      <c r="C1618" s="91" t="s">
        <v>369</v>
      </c>
      <c r="D1618" t="s">
        <v>2978</v>
      </c>
      <c r="E1618" t="s">
        <v>3402</v>
      </c>
      <c r="F1618" s="105" t="s">
        <v>3402</v>
      </c>
      <c r="G1618" s="91" t="s">
        <v>400</v>
      </c>
      <c r="H1618" s="87" t="str">
        <f>IF(Proc[[#This Row],[type]]="LFF (MDG-F)",MID(Proc[[#This Row],[Obj]],13,10),"")</f>
        <v/>
      </c>
      <c r="J1618" s="87" t="b">
        <f>Proc[[#This Row],[Requested]]=Proc[[#This Row],[CurrentParent]]</f>
        <v>1</v>
      </c>
      <c r="K1618" s="87" t="str">
        <f>IF(Proc[[#This Row],[Author]]="Marcela Urrego",VLOOKUP(LEFT(Proc[[#This Row],[Requested]],1),Table3[#All],2,0),VLOOKUP(Proc[[#This Row],[Author]],Table4[],2,0))</f>
        <v>HC</v>
      </c>
      <c r="L1618" s="87" t="s">
        <v>2563</v>
      </c>
      <c r="M1618" s="89">
        <v>45800.450960648152</v>
      </c>
      <c r="N1618" s="89">
        <v>45804</v>
      </c>
      <c r="O1618" s="89">
        <v>45804</v>
      </c>
      <c r="P1618" s="92" t="str">
        <f ca="1">IF(Proc[[#This Row],[DaysAgeing]]&gt;5,"yep","on track")</f>
        <v>on track</v>
      </c>
      <c r="Q1618" s="3">
        <f ca="1">IF(Proc[[#This Row],[DateClosed]]="",ABS(NETWORKDAYS(Proc[[#This Row],[DateOpened]],TODAY()))-1,ABS(NETWORKDAYS(Proc[[#This Row],[DateOpened]],Proc[[#This Row],[DateClosed]]))-1)</f>
        <v>2</v>
      </c>
      <c r="R1618" s="92" t="s">
        <v>410</v>
      </c>
      <c r="S1618" s="87"/>
    </row>
    <row r="1619" spans="1:19" hidden="1">
      <c r="A1619" s="91" t="s">
        <v>3396</v>
      </c>
      <c r="B1619" s="87" t="str">
        <f>IFERROR(VLOOKUP(Proc[[#This Row],[App]],Table2[],3,0),"open")</f>
        <v>ok</v>
      </c>
      <c r="C1619" s="91" t="s">
        <v>369</v>
      </c>
      <c r="D1619" t="s">
        <v>2979</v>
      </c>
      <c r="E1619" t="s">
        <v>3402</v>
      </c>
      <c r="F1619" s="105" t="s">
        <v>3402</v>
      </c>
      <c r="G1619" s="91" t="s">
        <v>400</v>
      </c>
      <c r="H1619" s="87" t="str">
        <f>IF(Proc[[#This Row],[type]]="LFF (MDG-F)",MID(Proc[[#This Row],[Obj]],13,10),"")</f>
        <v/>
      </c>
      <c r="J1619" s="87" t="b">
        <f>Proc[[#This Row],[Requested]]=Proc[[#This Row],[CurrentParent]]</f>
        <v>1</v>
      </c>
      <c r="K1619" s="87" t="str">
        <f>IF(Proc[[#This Row],[Author]]="Marcela Urrego",VLOOKUP(LEFT(Proc[[#This Row],[Requested]],1),Table3[#All],2,0),VLOOKUP(Proc[[#This Row],[Author]],Table4[],2,0))</f>
        <v>HC</v>
      </c>
      <c r="L1619" s="87" t="s">
        <v>2563</v>
      </c>
      <c r="M1619" s="89">
        <v>45800.450960648152</v>
      </c>
      <c r="N1619" s="89">
        <v>45804</v>
      </c>
      <c r="O1619" s="89">
        <v>45804</v>
      </c>
      <c r="P1619" s="92" t="str">
        <f ca="1">IF(Proc[[#This Row],[DaysAgeing]]&gt;5,"yep","on track")</f>
        <v>on track</v>
      </c>
      <c r="Q1619" s="3">
        <f ca="1">IF(Proc[[#This Row],[DateClosed]]="",ABS(NETWORKDAYS(Proc[[#This Row],[DateOpened]],TODAY()))-1,ABS(NETWORKDAYS(Proc[[#This Row],[DateOpened]],Proc[[#This Row],[DateClosed]]))-1)</f>
        <v>2</v>
      </c>
      <c r="R1619" s="92" t="s">
        <v>410</v>
      </c>
      <c r="S1619" s="87"/>
    </row>
    <row r="1620" spans="1:19" hidden="1">
      <c r="A1620" s="91" t="s">
        <v>3396</v>
      </c>
      <c r="B1620" s="87" t="str">
        <f>IFERROR(VLOOKUP(Proc[[#This Row],[App]],Table2[],3,0),"open")</f>
        <v>ok</v>
      </c>
      <c r="C1620" s="91" t="s">
        <v>369</v>
      </c>
      <c r="D1620" t="s">
        <v>2980</v>
      </c>
      <c r="E1620" t="s">
        <v>3402</v>
      </c>
      <c r="F1620" s="105" t="s">
        <v>3402</v>
      </c>
      <c r="G1620" s="91" t="s">
        <v>400</v>
      </c>
      <c r="H1620" s="87" t="str">
        <f>IF(Proc[[#This Row],[type]]="LFF (MDG-F)",MID(Proc[[#This Row],[Obj]],13,10),"")</f>
        <v/>
      </c>
      <c r="J1620" s="87" t="b">
        <f>Proc[[#This Row],[Requested]]=Proc[[#This Row],[CurrentParent]]</f>
        <v>1</v>
      </c>
      <c r="K1620" s="87" t="str">
        <f>IF(Proc[[#This Row],[Author]]="Marcela Urrego",VLOOKUP(LEFT(Proc[[#This Row],[Requested]],1),Table3[#All],2,0),VLOOKUP(Proc[[#This Row],[Author]],Table4[],2,0))</f>
        <v>HC</v>
      </c>
      <c r="L1620" s="87" t="s">
        <v>2563</v>
      </c>
      <c r="M1620" s="89">
        <v>45800.450960648152</v>
      </c>
      <c r="N1620" s="89">
        <v>45804</v>
      </c>
      <c r="O1620" s="89">
        <v>45804</v>
      </c>
      <c r="P1620" s="92" t="str">
        <f ca="1">IF(Proc[[#This Row],[DaysAgeing]]&gt;5,"yep","on track")</f>
        <v>on track</v>
      </c>
      <c r="Q1620" s="3">
        <f ca="1">IF(Proc[[#This Row],[DateClosed]]="",ABS(NETWORKDAYS(Proc[[#This Row],[DateOpened]],TODAY()))-1,ABS(NETWORKDAYS(Proc[[#This Row],[DateOpened]],Proc[[#This Row],[DateClosed]]))-1)</f>
        <v>2</v>
      </c>
      <c r="R1620" s="92" t="s">
        <v>410</v>
      </c>
      <c r="S1620" s="87"/>
    </row>
    <row r="1621" spans="1:19" hidden="1">
      <c r="A1621" s="91" t="s">
        <v>3396</v>
      </c>
      <c r="B1621" s="87" t="str">
        <f>IFERROR(VLOOKUP(Proc[[#This Row],[App]],Table2[],3,0),"open")</f>
        <v>ok</v>
      </c>
      <c r="C1621" s="91" t="s">
        <v>369</v>
      </c>
      <c r="D1621" t="s">
        <v>2981</v>
      </c>
      <c r="E1621" t="s">
        <v>3402</v>
      </c>
      <c r="F1621" s="105" t="s">
        <v>3402</v>
      </c>
      <c r="G1621" s="91" t="s">
        <v>400</v>
      </c>
      <c r="H1621" s="87" t="str">
        <f>IF(Proc[[#This Row],[type]]="LFF (MDG-F)",MID(Proc[[#This Row],[Obj]],13,10),"")</f>
        <v/>
      </c>
      <c r="J1621" s="87" t="b">
        <f>Proc[[#This Row],[Requested]]=Proc[[#This Row],[CurrentParent]]</f>
        <v>1</v>
      </c>
      <c r="K1621" s="87" t="str">
        <f>IF(Proc[[#This Row],[Author]]="Marcela Urrego",VLOOKUP(LEFT(Proc[[#This Row],[Requested]],1),Table3[#All],2,0),VLOOKUP(Proc[[#This Row],[Author]],Table4[],2,0))</f>
        <v>HC</v>
      </c>
      <c r="L1621" s="87" t="s">
        <v>2563</v>
      </c>
      <c r="M1621" s="89">
        <v>45800.450960648152</v>
      </c>
      <c r="N1621" s="89">
        <v>45804</v>
      </c>
      <c r="O1621" s="89">
        <v>45804</v>
      </c>
      <c r="P1621" s="92" t="str">
        <f ca="1">IF(Proc[[#This Row],[DaysAgeing]]&gt;5,"yep","on track")</f>
        <v>on track</v>
      </c>
      <c r="Q1621" s="3">
        <f ca="1">IF(Proc[[#This Row],[DateClosed]]="",ABS(NETWORKDAYS(Proc[[#This Row],[DateOpened]],TODAY()))-1,ABS(NETWORKDAYS(Proc[[#This Row],[DateOpened]],Proc[[#This Row],[DateClosed]]))-1)</f>
        <v>2</v>
      </c>
      <c r="R1621" s="92" t="s">
        <v>410</v>
      </c>
      <c r="S1621" s="87"/>
    </row>
    <row r="1622" spans="1:19" hidden="1">
      <c r="A1622" s="91" t="s">
        <v>3396</v>
      </c>
      <c r="B1622" s="87" t="str">
        <f>IFERROR(VLOOKUP(Proc[[#This Row],[App]],Table2[],3,0),"open")</f>
        <v>ok</v>
      </c>
      <c r="C1622" s="91" t="s">
        <v>369</v>
      </c>
      <c r="D1622" t="s">
        <v>2982</v>
      </c>
      <c r="E1622" t="s">
        <v>3402</v>
      </c>
      <c r="F1622" s="105" t="s">
        <v>3402</v>
      </c>
      <c r="G1622" s="91" t="s">
        <v>400</v>
      </c>
      <c r="H1622" s="87" t="str">
        <f>IF(Proc[[#This Row],[type]]="LFF (MDG-F)",MID(Proc[[#This Row],[Obj]],13,10),"")</f>
        <v/>
      </c>
      <c r="J1622" s="87" t="b">
        <f>Proc[[#This Row],[Requested]]=Proc[[#This Row],[CurrentParent]]</f>
        <v>1</v>
      </c>
      <c r="K1622" s="87" t="str">
        <f>IF(Proc[[#This Row],[Author]]="Marcela Urrego",VLOOKUP(LEFT(Proc[[#This Row],[Requested]],1),Table3[#All],2,0),VLOOKUP(Proc[[#This Row],[Author]],Table4[],2,0))</f>
        <v>HC</v>
      </c>
      <c r="L1622" s="87" t="s">
        <v>2563</v>
      </c>
      <c r="M1622" s="89">
        <v>45800.450960648152</v>
      </c>
      <c r="N1622" s="89">
        <v>45804</v>
      </c>
      <c r="O1622" s="89">
        <v>45804</v>
      </c>
      <c r="P1622" s="92" t="str">
        <f ca="1">IF(Proc[[#This Row],[DaysAgeing]]&gt;5,"yep","on track")</f>
        <v>on track</v>
      </c>
      <c r="Q1622" s="3">
        <f ca="1">IF(Proc[[#This Row],[DateClosed]]="",ABS(NETWORKDAYS(Proc[[#This Row],[DateOpened]],TODAY()))-1,ABS(NETWORKDAYS(Proc[[#This Row],[DateOpened]],Proc[[#This Row],[DateClosed]]))-1)</f>
        <v>2</v>
      </c>
      <c r="R1622" s="92" t="s">
        <v>410</v>
      </c>
      <c r="S1622" s="87"/>
    </row>
    <row r="1623" spans="1:19" hidden="1">
      <c r="A1623" s="91" t="s">
        <v>3396</v>
      </c>
      <c r="B1623" s="87" t="str">
        <f>IFERROR(VLOOKUP(Proc[[#This Row],[App]],Table2[],3,0),"open")</f>
        <v>ok</v>
      </c>
      <c r="C1623" s="91" t="s">
        <v>369</v>
      </c>
      <c r="D1623" t="s">
        <v>2983</v>
      </c>
      <c r="E1623" t="s">
        <v>3402</v>
      </c>
      <c r="F1623" s="105" t="s">
        <v>3402</v>
      </c>
      <c r="G1623" s="91" t="s">
        <v>400</v>
      </c>
      <c r="H1623" s="87" t="str">
        <f>IF(Proc[[#This Row],[type]]="LFF (MDG-F)",MID(Proc[[#This Row],[Obj]],13,10),"")</f>
        <v/>
      </c>
      <c r="J1623" s="87" t="b">
        <f>Proc[[#This Row],[Requested]]=Proc[[#This Row],[CurrentParent]]</f>
        <v>1</v>
      </c>
      <c r="K1623" s="87" t="str">
        <f>IF(Proc[[#This Row],[Author]]="Marcela Urrego",VLOOKUP(LEFT(Proc[[#This Row],[Requested]],1),Table3[#All],2,0),VLOOKUP(Proc[[#This Row],[Author]],Table4[],2,0))</f>
        <v>HC</v>
      </c>
      <c r="L1623" s="87" t="s">
        <v>2563</v>
      </c>
      <c r="M1623" s="89">
        <v>45800.450960648152</v>
      </c>
      <c r="N1623" s="89">
        <v>45804</v>
      </c>
      <c r="O1623" s="89">
        <v>45804</v>
      </c>
      <c r="P1623" s="92" t="str">
        <f ca="1">IF(Proc[[#This Row],[DaysAgeing]]&gt;5,"yep","on track")</f>
        <v>on track</v>
      </c>
      <c r="Q1623" s="3">
        <f ca="1">IF(Proc[[#This Row],[DateClosed]]="",ABS(NETWORKDAYS(Proc[[#This Row],[DateOpened]],TODAY()))-1,ABS(NETWORKDAYS(Proc[[#This Row],[DateOpened]],Proc[[#This Row],[DateClosed]]))-1)</f>
        <v>2</v>
      </c>
      <c r="R1623" s="92" t="s">
        <v>410</v>
      </c>
      <c r="S1623" s="87"/>
    </row>
    <row r="1624" spans="1:19" hidden="1">
      <c r="A1624" s="91" t="s">
        <v>3396</v>
      </c>
      <c r="B1624" s="87" t="str">
        <f>IFERROR(VLOOKUP(Proc[[#This Row],[App]],Table2[],3,0),"open")</f>
        <v>ok</v>
      </c>
      <c r="C1624" s="91" t="s">
        <v>369</v>
      </c>
      <c r="D1624" t="s">
        <v>2984</v>
      </c>
      <c r="E1624" t="s">
        <v>3402</v>
      </c>
      <c r="F1624" s="105" t="s">
        <v>3402</v>
      </c>
      <c r="G1624" s="91" t="s">
        <v>400</v>
      </c>
      <c r="H1624" s="87" t="str">
        <f>IF(Proc[[#This Row],[type]]="LFF (MDG-F)",MID(Proc[[#This Row],[Obj]],13,10),"")</f>
        <v/>
      </c>
      <c r="J1624" s="87" t="b">
        <f>Proc[[#This Row],[Requested]]=Proc[[#This Row],[CurrentParent]]</f>
        <v>1</v>
      </c>
      <c r="K1624" s="87" t="str">
        <f>IF(Proc[[#This Row],[Author]]="Marcela Urrego",VLOOKUP(LEFT(Proc[[#This Row],[Requested]],1),Table3[#All],2,0),VLOOKUP(Proc[[#This Row],[Author]],Table4[],2,0))</f>
        <v>HC</v>
      </c>
      <c r="L1624" s="87" t="s">
        <v>2563</v>
      </c>
      <c r="M1624" s="89">
        <v>45800.450960648152</v>
      </c>
      <c r="N1624" s="89">
        <v>45804</v>
      </c>
      <c r="O1624" s="89">
        <v>45804</v>
      </c>
      <c r="P1624" s="92" t="str">
        <f ca="1">IF(Proc[[#This Row],[DaysAgeing]]&gt;5,"yep","on track")</f>
        <v>on track</v>
      </c>
      <c r="Q1624" s="3">
        <f ca="1">IF(Proc[[#This Row],[DateClosed]]="",ABS(NETWORKDAYS(Proc[[#This Row],[DateOpened]],TODAY()))-1,ABS(NETWORKDAYS(Proc[[#This Row],[DateOpened]],Proc[[#This Row],[DateClosed]]))-1)</f>
        <v>2</v>
      </c>
      <c r="R1624" s="92" t="s">
        <v>410</v>
      </c>
      <c r="S1624" s="87"/>
    </row>
    <row r="1625" spans="1:19" hidden="1">
      <c r="A1625" s="91" t="s">
        <v>3396</v>
      </c>
      <c r="B1625" s="87" t="str">
        <f>IFERROR(VLOOKUP(Proc[[#This Row],[App]],Table2[],3,0),"open")</f>
        <v>ok</v>
      </c>
      <c r="C1625" s="91" t="s">
        <v>369</v>
      </c>
      <c r="D1625" t="s">
        <v>2985</v>
      </c>
      <c r="E1625" t="s">
        <v>3402</v>
      </c>
      <c r="F1625" s="105" t="s">
        <v>3402</v>
      </c>
      <c r="G1625" s="91" t="s">
        <v>400</v>
      </c>
      <c r="H1625" s="87" t="str">
        <f>IF(Proc[[#This Row],[type]]="LFF (MDG-F)",MID(Proc[[#This Row],[Obj]],13,10),"")</f>
        <v/>
      </c>
      <c r="J1625" s="87" t="b">
        <f>Proc[[#This Row],[Requested]]=Proc[[#This Row],[CurrentParent]]</f>
        <v>1</v>
      </c>
      <c r="K1625" s="87" t="str">
        <f>IF(Proc[[#This Row],[Author]]="Marcela Urrego",VLOOKUP(LEFT(Proc[[#This Row],[Requested]],1),Table3[#All],2,0),VLOOKUP(Proc[[#This Row],[Author]],Table4[],2,0))</f>
        <v>HC</v>
      </c>
      <c r="L1625" s="87" t="s">
        <v>2563</v>
      </c>
      <c r="M1625" s="89">
        <v>45800.450960648152</v>
      </c>
      <c r="N1625" s="89">
        <v>45804</v>
      </c>
      <c r="O1625" s="89">
        <v>45804</v>
      </c>
      <c r="P1625" s="92" t="str">
        <f ca="1">IF(Proc[[#This Row],[DaysAgeing]]&gt;5,"yep","on track")</f>
        <v>on track</v>
      </c>
      <c r="Q1625" s="3">
        <f ca="1">IF(Proc[[#This Row],[DateClosed]]="",ABS(NETWORKDAYS(Proc[[#This Row],[DateOpened]],TODAY()))-1,ABS(NETWORKDAYS(Proc[[#This Row],[DateOpened]],Proc[[#This Row],[DateClosed]]))-1)</f>
        <v>2</v>
      </c>
      <c r="R1625" s="92" t="s">
        <v>410</v>
      </c>
      <c r="S1625" s="87"/>
    </row>
    <row r="1626" spans="1:19" hidden="1">
      <c r="A1626" s="91" t="s">
        <v>3396</v>
      </c>
      <c r="B1626" s="87" t="str">
        <f>IFERROR(VLOOKUP(Proc[[#This Row],[App]],Table2[],3,0),"open")</f>
        <v>ok</v>
      </c>
      <c r="C1626" s="91" t="s">
        <v>369</v>
      </c>
      <c r="D1626" t="s">
        <v>2986</v>
      </c>
      <c r="E1626" t="s">
        <v>3402</v>
      </c>
      <c r="F1626" s="105" t="s">
        <v>3402</v>
      </c>
      <c r="G1626" s="91" t="s">
        <v>400</v>
      </c>
      <c r="H1626" s="87" t="str">
        <f>IF(Proc[[#This Row],[type]]="LFF (MDG-F)",MID(Proc[[#This Row],[Obj]],13,10),"")</f>
        <v/>
      </c>
      <c r="J1626" s="87" t="b">
        <f>Proc[[#This Row],[Requested]]=Proc[[#This Row],[CurrentParent]]</f>
        <v>1</v>
      </c>
      <c r="K1626" s="87" t="str">
        <f>IF(Proc[[#This Row],[Author]]="Marcela Urrego",VLOOKUP(LEFT(Proc[[#This Row],[Requested]],1),Table3[#All],2,0),VLOOKUP(Proc[[#This Row],[Author]],Table4[],2,0))</f>
        <v>HC</v>
      </c>
      <c r="L1626" s="87" t="s">
        <v>2563</v>
      </c>
      <c r="M1626" s="89">
        <v>45800.450960648152</v>
      </c>
      <c r="N1626" s="89">
        <v>45804</v>
      </c>
      <c r="O1626" s="89">
        <v>45804</v>
      </c>
      <c r="P1626" s="92" t="str">
        <f ca="1">IF(Proc[[#This Row],[DaysAgeing]]&gt;5,"yep","on track")</f>
        <v>on track</v>
      </c>
      <c r="Q1626" s="3">
        <f ca="1">IF(Proc[[#This Row],[DateClosed]]="",ABS(NETWORKDAYS(Proc[[#This Row],[DateOpened]],TODAY()))-1,ABS(NETWORKDAYS(Proc[[#This Row],[DateOpened]],Proc[[#This Row],[DateClosed]]))-1)</f>
        <v>2</v>
      </c>
      <c r="R1626" s="92" t="s">
        <v>410</v>
      </c>
      <c r="S1626" s="87"/>
    </row>
    <row r="1627" spans="1:19" hidden="1">
      <c r="A1627" s="91" t="s">
        <v>3396</v>
      </c>
      <c r="B1627" s="87" t="str">
        <f>IFERROR(VLOOKUP(Proc[[#This Row],[App]],Table2[],3,0),"open")</f>
        <v>ok</v>
      </c>
      <c r="C1627" s="91" t="s">
        <v>369</v>
      </c>
      <c r="D1627" t="s">
        <v>2987</v>
      </c>
      <c r="E1627" t="s">
        <v>3402</v>
      </c>
      <c r="F1627" s="105" t="s">
        <v>3402</v>
      </c>
      <c r="G1627" s="91" t="s">
        <v>400</v>
      </c>
      <c r="H1627" s="87" t="str">
        <f>IF(Proc[[#This Row],[type]]="LFF (MDG-F)",MID(Proc[[#This Row],[Obj]],13,10),"")</f>
        <v/>
      </c>
      <c r="J1627" s="87" t="b">
        <f>Proc[[#This Row],[Requested]]=Proc[[#This Row],[CurrentParent]]</f>
        <v>1</v>
      </c>
      <c r="K1627" s="87" t="str">
        <f>IF(Proc[[#This Row],[Author]]="Marcela Urrego",VLOOKUP(LEFT(Proc[[#This Row],[Requested]],1),Table3[#All],2,0),VLOOKUP(Proc[[#This Row],[Author]],Table4[],2,0))</f>
        <v>HC</v>
      </c>
      <c r="L1627" s="87" t="s">
        <v>2563</v>
      </c>
      <c r="M1627" s="89">
        <v>45800.450960648152</v>
      </c>
      <c r="N1627" s="89">
        <v>45804</v>
      </c>
      <c r="O1627" s="89">
        <v>45804</v>
      </c>
      <c r="P1627" s="92" t="str">
        <f ca="1">IF(Proc[[#This Row],[DaysAgeing]]&gt;5,"yep","on track")</f>
        <v>on track</v>
      </c>
      <c r="Q1627" s="3">
        <f ca="1">IF(Proc[[#This Row],[DateClosed]]="",ABS(NETWORKDAYS(Proc[[#This Row],[DateOpened]],TODAY()))-1,ABS(NETWORKDAYS(Proc[[#This Row],[DateOpened]],Proc[[#This Row],[DateClosed]]))-1)</f>
        <v>2</v>
      </c>
      <c r="R1627" s="92" t="s">
        <v>410</v>
      </c>
      <c r="S1627" s="87"/>
    </row>
    <row r="1628" spans="1:19" hidden="1">
      <c r="A1628" s="91" t="s">
        <v>3396</v>
      </c>
      <c r="B1628" s="87" t="str">
        <f>IFERROR(VLOOKUP(Proc[[#This Row],[App]],Table2[],3,0),"open")</f>
        <v>ok</v>
      </c>
      <c r="C1628" s="91" t="s">
        <v>369</v>
      </c>
      <c r="D1628" t="s">
        <v>2988</v>
      </c>
      <c r="E1628" t="s">
        <v>3402</v>
      </c>
      <c r="F1628" s="105" t="s">
        <v>3402</v>
      </c>
      <c r="G1628" s="91" t="s">
        <v>400</v>
      </c>
      <c r="H1628" s="87" t="str">
        <f>IF(Proc[[#This Row],[type]]="LFF (MDG-F)",MID(Proc[[#This Row],[Obj]],13,10),"")</f>
        <v/>
      </c>
      <c r="J1628" s="87" t="b">
        <f>Proc[[#This Row],[Requested]]=Proc[[#This Row],[CurrentParent]]</f>
        <v>1</v>
      </c>
      <c r="K1628" s="87" t="str">
        <f>IF(Proc[[#This Row],[Author]]="Marcela Urrego",VLOOKUP(LEFT(Proc[[#This Row],[Requested]],1),Table3[#All],2,0),VLOOKUP(Proc[[#This Row],[Author]],Table4[],2,0))</f>
        <v>HC</v>
      </c>
      <c r="L1628" s="87" t="s">
        <v>2563</v>
      </c>
      <c r="M1628" s="89">
        <v>45800.450960648152</v>
      </c>
      <c r="N1628" s="89">
        <v>45804</v>
      </c>
      <c r="O1628" s="89">
        <v>45804</v>
      </c>
      <c r="P1628" s="92" t="str">
        <f ca="1">IF(Proc[[#This Row],[DaysAgeing]]&gt;5,"yep","on track")</f>
        <v>on track</v>
      </c>
      <c r="Q1628" s="3">
        <f ca="1">IF(Proc[[#This Row],[DateClosed]]="",ABS(NETWORKDAYS(Proc[[#This Row],[DateOpened]],TODAY()))-1,ABS(NETWORKDAYS(Proc[[#This Row],[DateOpened]],Proc[[#This Row],[DateClosed]]))-1)</f>
        <v>2</v>
      </c>
      <c r="R1628" s="92" t="s">
        <v>410</v>
      </c>
      <c r="S1628" s="87"/>
    </row>
    <row r="1629" spans="1:19" hidden="1">
      <c r="A1629" s="91" t="s">
        <v>3396</v>
      </c>
      <c r="B1629" s="87" t="str">
        <f>IFERROR(VLOOKUP(Proc[[#This Row],[App]],Table2[],3,0),"open")</f>
        <v>ok</v>
      </c>
      <c r="C1629" s="91" t="s">
        <v>369</v>
      </c>
      <c r="D1629" t="s">
        <v>2989</v>
      </c>
      <c r="E1629" t="s">
        <v>3402</v>
      </c>
      <c r="F1629" s="105" t="s">
        <v>3402</v>
      </c>
      <c r="G1629" s="91" t="s">
        <v>400</v>
      </c>
      <c r="H1629" s="87" t="str">
        <f>IF(Proc[[#This Row],[type]]="LFF (MDG-F)",MID(Proc[[#This Row],[Obj]],13,10),"")</f>
        <v/>
      </c>
      <c r="J1629" s="87" t="b">
        <f>Proc[[#This Row],[Requested]]=Proc[[#This Row],[CurrentParent]]</f>
        <v>1</v>
      </c>
      <c r="K1629" s="87" t="str">
        <f>IF(Proc[[#This Row],[Author]]="Marcela Urrego",VLOOKUP(LEFT(Proc[[#This Row],[Requested]],1),Table3[#All],2,0),VLOOKUP(Proc[[#This Row],[Author]],Table4[],2,0))</f>
        <v>HC</v>
      </c>
      <c r="L1629" s="87" t="s">
        <v>2563</v>
      </c>
      <c r="M1629" s="89">
        <v>45800.450960648152</v>
      </c>
      <c r="N1629" s="89">
        <v>45804</v>
      </c>
      <c r="O1629" s="89">
        <v>45804</v>
      </c>
      <c r="P1629" s="92" t="str">
        <f ca="1">IF(Proc[[#This Row],[DaysAgeing]]&gt;5,"yep","on track")</f>
        <v>on track</v>
      </c>
      <c r="Q1629" s="3">
        <f ca="1">IF(Proc[[#This Row],[DateClosed]]="",ABS(NETWORKDAYS(Proc[[#This Row],[DateOpened]],TODAY()))-1,ABS(NETWORKDAYS(Proc[[#This Row],[DateOpened]],Proc[[#This Row],[DateClosed]]))-1)</f>
        <v>2</v>
      </c>
      <c r="R1629" s="92" t="s">
        <v>410</v>
      </c>
      <c r="S1629" s="87"/>
    </row>
    <row r="1630" spans="1:19" hidden="1">
      <c r="A1630" s="91" t="s">
        <v>3396</v>
      </c>
      <c r="B1630" s="87" t="str">
        <f>IFERROR(VLOOKUP(Proc[[#This Row],[App]],Table2[],3,0),"open")</f>
        <v>ok</v>
      </c>
      <c r="C1630" s="91" t="s">
        <v>369</v>
      </c>
      <c r="D1630" t="s">
        <v>2990</v>
      </c>
      <c r="E1630" t="s">
        <v>3402</v>
      </c>
      <c r="F1630" s="105" t="s">
        <v>3402</v>
      </c>
      <c r="G1630" s="91" t="s">
        <v>400</v>
      </c>
      <c r="H1630" s="87" t="str">
        <f>IF(Proc[[#This Row],[type]]="LFF (MDG-F)",MID(Proc[[#This Row],[Obj]],13,10),"")</f>
        <v/>
      </c>
      <c r="J1630" s="87" t="b">
        <f>Proc[[#This Row],[Requested]]=Proc[[#This Row],[CurrentParent]]</f>
        <v>1</v>
      </c>
      <c r="K1630" s="87" t="str">
        <f>IF(Proc[[#This Row],[Author]]="Marcela Urrego",VLOOKUP(LEFT(Proc[[#This Row],[Requested]],1),Table3[#All],2,0),VLOOKUP(Proc[[#This Row],[Author]],Table4[],2,0))</f>
        <v>HC</v>
      </c>
      <c r="L1630" s="87" t="s">
        <v>2563</v>
      </c>
      <c r="M1630" s="89">
        <v>45800.450960648152</v>
      </c>
      <c r="N1630" s="89">
        <v>45804</v>
      </c>
      <c r="O1630" s="89">
        <v>45804</v>
      </c>
      <c r="P1630" s="92" t="str">
        <f ca="1">IF(Proc[[#This Row],[DaysAgeing]]&gt;5,"yep","on track")</f>
        <v>on track</v>
      </c>
      <c r="Q1630" s="3">
        <f ca="1">IF(Proc[[#This Row],[DateClosed]]="",ABS(NETWORKDAYS(Proc[[#This Row],[DateOpened]],TODAY()))-1,ABS(NETWORKDAYS(Proc[[#This Row],[DateOpened]],Proc[[#This Row],[DateClosed]]))-1)</f>
        <v>2</v>
      </c>
      <c r="R1630" s="92" t="s">
        <v>410</v>
      </c>
      <c r="S1630" s="87"/>
    </row>
    <row r="1631" spans="1:19" hidden="1">
      <c r="A1631" s="91" t="s">
        <v>3396</v>
      </c>
      <c r="B1631" s="87" t="str">
        <f>IFERROR(VLOOKUP(Proc[[#This Row],[App]],Table2[],3,0),"open")</f>
        <v>ok</v>
      </c>
      <c r="C1631" s="91" t="s">
        <v>369</v>
      </c>
      <c r="D1631" t="s">
        <v>2991</v>
      </c>
      <c r="E1631" t="s">
        <v>3402</v>
      </c>
      <c r="F1631" s="105" t="s">
        <v>3402</v>
      </c>
      <c r="G1631" s="91" t="s">
        <v>400</v>
      </c>
      <c r="H1631" s="87" t="str">
        <f>IF(Proc[[#This Row],[type]]="LFF (MDG-F)",MID(Proc[[#This Row],[Obj]],13,10),"")</f>
        <v/>
      </c>
      <c r="J1631" s="87" t="b">
        <f>Proc[[#This Row],[Requested]]=Proc[[#This Row],[CurrentParent]]</f>
        <v>1</v>
      </c>
      <c r="K1631" s="87" t="str">
        <f>IF(Proc[[#This Row],[Author]]="Marcela Urrego",VLOOKUP(LEFT(Proc[[#This Row],[Requested]],1),Table3[#All],2,0),VLOOKUP(Proc[[#This Row],[Author]],Table4[],2,0))</f>
        <v>HC</v>
      </c>
      <c r="L1631" s="87" t="s">
        <v>2563</v>
      </c>
      <c r="M1631" s="89">
        <v>45800.450960648152</v>
      </c>
      <c r="N1631" s="89">
        <v>45804</v>
      </c>
      <c r="O1631" s="89">
        <v>45804</v>
      </c>
      <c r="P1631" s="92" t="str">
        <f ca="1">IF(Proc[[#This Row],[DaysAgeing]]&gt;5,"yep","on track")</f>
        <v>on track</v>
      </c>
      <c r="Q1631" s="3">
        <f ca="1">IF(Proc[[#This Row],[DateClosed]]="",ABS(NETWORKDAYS(Proc[[#This Row],[DateOpened]],TODAY()))-1,ABS(NETWORKDAYS(Proc[[#This Row],[DateOpened]],Proc[[#This Row],[DateClosed]]))-1)</f>
        <v>2</v>
      </c>
      <c r="R1631" s="92" t="s">
        <v>410</v>
      </c>
      <c r="S1631" s="87"/>
    </row>
    <row r="1632" spans="1:19" hidden="1">
      <c r="A1632" s="91" t="s">
        <v>3396</v>
      </c>
      <c r="B1632" s="87" t="str">
        <f>IFERROR(VLOOKUP(Proc[[#This Row],[App]],Table2[],3,0),"open")</f>
        <v>ok</v>
      </c>
      <c r="C1632" s="91" t="s">
        <v>369</v>
      </c>
      <c r="D1632" t="s">
        <v>2992</v>
      </c>
      <c r="E1632" t="s">
        <v>3402</v>
      </c>
      <c r="F1632" s="105" t="s">
        <v>3402</v>
      </c>
      <c r="G1632" s="91" t="s">
        <v>400</v>
      </c>
      <c r="H1632" s="87" t="str">
        <f>IF(Proc[[#This Row],[type]]="LFF (MDG-F)",MID(Proc[[#This Row],[Obj]],13,10),"")</f>
        <v/>
      </c>
      <c r="J1632" s="87" t="b">
        <f>Proc[[#This Row],[Requested]]=Proc[[#This Row],[CurrentParent]]</f>
        <v>1</v>
      </c>
      <c r="K1632" s="87" t="str">
        <f>IF(Proc[[#This Row],[Author]]="Marcela Urrego",VLOOKUP(LEFT(Proc[[#This Row],[Requested]],1),Table3[#All],2,0),VLOOKUP(Proc[[#This Row],[Author]],Table4[],2,0))</f>
        <v>HC</v>
      </c>
      <c r="L1632" s="87" t="s">
        <v>2563</v>
      </c>
      <c r="M1632" s="89">
        <v>45800.450960648152</v>
      </c>
      <c r="N1632" s="89">
        <v>45804</v>
      </c>
      <c r="O1632" s="89">
        <v>45804</v>
      </c>
      <c r="P1632" s="92" t="str">
        <f ca="1">IF(Proc[[#This Row],[DaysAgeing]]&gt;5,"yep","on track")</f>
        <v>on track</v>
      </c>
      <c r="Q1632" s="3">
        <f ca="1">IF(Proc[[#This Row],[DateClosed]]="",ABS(NETWORKDAYS(Proc[[#This Row],[DateOpened]],TODAY()))-1,ABS(NETWORKDAYS(Proc[[#This Row],[DateOpened]],Proc[[#This Row],[DateClosed]]))-1)</f>
        <v>2</v>
      </c>
      <c r="R1632" s="92" t="s">
        <v>410</v>
      </c>
      <c r="S1632" s="87"/>
    </row>
    <row r="1633" spans="1:19" hidden="1">
      <c r="A1633" s="91" t="s">
        <v>3396</v>
      </c>
      <c r="B1633" s="87" t="str">
        <f>IFERROR(VLOOKUP(Proc[[#This Row],[App]],Table2[],3,0),"open")</f>
        <v>ok</v>
      </c>
      <c r="C1633" s="91" t="s">
        <v>369</v>
      </c>
      <c r="D1633" t="s">
        <v>2993</v>
      </c>
      <c r="E1633" t="s">
        <v>3402</v>
      </c>
      <c r="F1633" s="105" t="s">
        <v>3402</v>
      </c>
      <c r="G1633" s="91" t="s">
        <v>400</v>
      </c>
      <c r="H1633" s="87" t="str">
        <f>IF(Proc[[#This Row],[type]]="LFF (MDG-F)",MID(Proc[[#This Row],[Obj]],13,10),"")</f>
        <v/>
      </c>
      <c r="J1633" s="87" t="b">
        <f>Proc[[#This Row],[Requested]]=Proc[[#This Row],[CurrentParent]]</f>
        <v>1</v>
      </c>
      <c r="K1633" s="87" t="str">
        <f>IF(Proc[[#This Row],[Author]]="Marcela Urrego",VLOOKUP(LEFT(Proc[[#This Row],[Requested]],1),Table3[#All],2,0),VLOOKUP(Proc[[#This Row],[Author]],Table4[],2,0))</f>
        <v>HC</v>
      </c>
      <c r="L1633" s="87" t="s">
        <v>2563</v>
      </c>
      <c r="M1633" s="89">
        <v>45800.450960648152</v>
      </c>
      <c r="N1633" s="89">
        <v>45804</v>
      </c>
      <c r="O1633" s="89">
        <v>45804</v>
      </c>
      <c r="P1633" s="92" t="str">
        <f ca="1">IF(Proc[[#This Row],[DaysAgeing]]&gt;5,"yep","on track")</f>
        <v>on track</v>
      </c>
      <c r="Q1633" s="3">
        <f ca="1">IF(Proc[[#This Row],[DateClosed]]="",ABS(NETWORKDAYS(Proc[[#This Row],[DateOpened]],TODAY()))-1,ABS(NETWORKDAYS(Proc[[#This Row],[DateOpened]],Proc[[#This Row],[DateClosed]]))-1)</f>
        <v>2</v>
      </c>
      <c r="R1633" s="92" t="s">
        <v>410</v>
      </c>
      <c r="S1633" s="87"/>
    </row>
    <row r="1634" spans="1:19" hidden="1">
      <c r="A1634" s="91" t="s">
        <v>3396</v>
      </c>
      <c r="B1634" s="87" t="str">
        <f>IFERROR(VLOOKUP(Proc[[#This Row],[App]],Table2[],3,0),"open")</f>
        <v>ok</v>
      </c>
      <c r="C1634" s="91" t="s">
        <v>369</v>
      </c>
      <c r="D1634" t="s">
        <v>2994</v>
      </c>
      <c r="E1634" t="s">
        <v>3402</v>
      </c>
      <c r="F1634" s="105" t="s">
        <v>3402</v>
      </c>
      <c r="G1634" s="91" t="s">
        <v>400</v>
      </c>
      <c r="H1634" s="87" t="str">
        <f>IF(Proc[[#This Row],[type]]="LFF (MDG-F)",MID(Proc[[#This Row],[Obj]],13,10),"")</f>
        <v/>
      </c>
      <c r="J1634" s="87" t="b">
        <f>Proc[[#This Row],[Requested]]=Proc[[#This Row],[CurrentParent]]</f>
        <v>1</v>
      </c>
      <c r="K1634" s="87" t="str">
        <f>IF(Proc[[#This Row],[Author]]="Marcela Urrego",VLOOKUP(LEFT(Proc[[#This Row],[Requested]],1),Table3[#All],2,0),VLOOKUP(Proc[[#This Row],[Author]],Table4[],2,0))</f>
        <v>HC</v>
      </c>
      <c r="L1634" s="87" t="s">
        <v>2563</v>
      </c>
      <c r="M1634" s="89">
        <v>45800.450960648152</v>
      </c>
      <c r="N1634" s="89">
        <v>45804</v>
      </c>
      <c r="O1634" s="89">
        <v>45804</v>
      </c>
      <c r="P1634" s="92" t="str">
        <f ca="1">IF(Proc[[#This Row],[DaysAgeing]]&gt;5,"yep","on track")</f>
        <v>on track</v>
      </c>
      <c r="Q1634" s="3">
        <f ca="1">IF(Proc[[#This Row],[DateClosed]]="",ABS(NETWORKDAYS(Proc[[#This Row],[DateOpened]],TODAY()))-1,ABS(NETWORKDAYS(Proc[[#This Row],[DateOpened]],Proc[[#This Row],[DateClosed]]))-1)</f>
        <v>2</v>
      </c>
      <c r="R1634" s="92" t="s">
        <v>410</v>
      </c>
      <c r="S1634" s="87"/>
    </row>
    <row r="1635" spans="1:19" hidden="1">
      <c r="A1635" s="91" t="s">
        <v>3396</v>
      </c>
      <c r="B1635" s="87" t="str">
        <f>IFERROR(VLOOKUP(Proc[[#This Row],[App]],Table2[],3,0),"open")</f>
        <v>ok</v>
      </c>
      <c r="C1635" s="91" t="s">
        <v>369</v>
      </c>
      <c r="D1635" t="s">
        <v>2995</v>
      </c>
      <c r="E1635" t="s">
        <v>3402</v>
      </c>
      <c r="F1635" s="105" t="s">
        <v>3402</v>
      </c>
      <c r="G1635" s="91" t="s">
        <v>400</v>
      </c>
      <c r="H1635" s="87" t="str">
        <f>IF(Proc[[#This Row],[type]]="LFF (MDG-F)",MID(Proc[[#This Row],[Obj]],13,10),"")</f>
        <v/>
      </c>
      <c r="J1635" s="87" t="b">
        <f>Proc[[#This Row],[Requested]]=Proc[[#This Row],[CurrentParent]]</f>
        <v>1</v>
      </c>
      <c r="K1635" s="87" t="str">
        <f>IF(Proc[[#This Row],[Author]]="Marcela Urrego",VLOOKUP(LEFT(Proc[[#This Row],[Requested]],1),Table3[#All],2,0),VLOOKUP(Proc[[#This Row],[Author]],Table4[],2,0))</f>
        <v>HC</v>
      </c>
      <c r="L1635" s="87" t="s">
        <v>2563</v>
      </c>
      <c r="M1635" s="89">
        <v>45800.450960648152</v>
      </c>
      <c r="N1635" s="89">
        <v>45804</v>
      </c>
      <c r="O1635" s="89">
        <v>45804</v>
      </c>
      <c r="P1635" s="92" t="str">
        <f ca="1">IF(Proc[[#This Row],[DaysAgeing]]&gt;5,"yep","on track")</f>
        <v>on track</v>
      </c>
      <c r="Q1635" s="3">
        <f ca="1">IF(Proc[[#This Row],[DateClosed]]="",ABS(NETWORKDAYS(Proc[[#This Row],[DateOpened]],TODAY()))-1,ABS(NETWORKDAYS(Proc[[#This Row],[DateOpened]],Proc[[#This Row],[DateClosed]]))-1)</f>
        <v>2</v>
      </c>
      <c r="R1635" s="92" t="s">
        <v>410</v>
      </c>
      <c r="S1635" s="87"/>
    </row>
    <row r="1636" spans="1:19" hidden="1">
      <c r="A1636" s="91" t="s">
        <v>3396</v>
      </c>
      <c r="B1636" s="87" t="str">
        <f>IFERROR(VLOOKUP(Proc[[#This Row],[App]],Table2[],3,0),"open")</f>
        <v>ok</v>
      </c>
      <c r="C1636" s="91" t="s">
        <v>369</v>
      </c>
      <c r="D1636" t="s">
        <v>2996</v>
      </c>
      <c r="E1636" t="s">
        <v>3402</v>
      </c>
      <c r="F1636" s="105" t="s">
        <v>3402</v>
      </c>
      <c r="G1636" s="91" t="s">
        <v>400</v>
      </c>
      <c r="H1636" s="87" t="str">
        <f>IF(Proc[[#This Row],[type]]="LFF (MDG-F)",MID(Proc[[#This Row],[Obj]],13,10),"")</f>
        <v/>
      </c>
      <c r="J1636" s="87" t="b">
        <f>Proc[[#This Row],[Requested]]=Proc[[#This Row],[CurrentParent]]</f>
        <v>1</v>
      </c>
      <c r="K1636" s="87" t="str">
        <f>IF(Proc[[#This Row],[Author]]="Marcela Urrego",VLOOKUP(LEFT(Proc[[#This Row],[Requested]],1),Table3[#All],2,0),VLOOKUP(Proc[[#This Row],[Author]],Table4[],2,0))</f>
        <v>HC</v>
      </c>
      <c r="L1636" s="87" t="s">
        <v>2563</v>
      </c>
      <c r="M1636" s="89">
        <v>45800.450960648152</v>
      </c>
      <c r="N1636" s="89">
        <v>45804</v>
      </c>
      <c r="O1636" s="89">
        <v>45804</v>
      </c>
      <c r="P1636" s="92" t="str">
        <f ca="1">IF(Proc[[#This Row],[DaysAgeing]]&gt;5,"yep","on track")</f>
        <v>on track</v>
      </c>
      <c r="Q1636" s="3">
        <f ca="1">IF(Proc[[#This Row],[DateClosed]]="",ABS(NETWORKDAYS(Proc[[#This Row],[DateOpened]],TODAY()))-1,ABS(NETWORKDAYS(Proc[[#This Row],[DateOpened]],Proc[[#This Row],[DateClosed]]))-1)</f>
        <v>2</v>
      </c>
      <c r="R1636" s="92" t="s">
        <v>410</v>
      </c>
      <c r="S1636" s="87"/>
    </row>
    <row r="1637" spans="1:19" hidden="1">
      <c r="A1637" s="91" t="s">
        <v>3396</v>
      </c>
      <c r="B1637" s="87" t="str">
        <f>IFERROR(VLOOKUP(Proc[[#This Row],[App]],Table2[],3,0),"open")</f>
        <v>ok</v>
      </c>
      <c r="C1637" s="91" t="s">
        <v>369</v>
      </c>
      <c r="D1637" t="s">
        <v>2997</v>
      </c>
      <c r="E1637" t="s">
        <v>3402</v>
      </c>
      <c r="F1637" s="105" t="s">
        <v>3402</v>
      </c>
      <c r="G1637" s="91" t="s">
        <v>400</v>
      </c>
      <c r="H1637" s="87" t="str">
        <f>IF(Proc[[#This Row],[type]]="LFF (MDG-F)",MID(Proc[[#This Row],[Obj]],13,10),"")</f>
        <v/>
      </c>
      <c r="J1637" s="87" t="b">
        <f>Proc[[#This Row],[Requested]]=Proc[[#This Row],[CurrentParent]]</f>
        <v>1</v>
      </c>
      <c r="K1637" s="87" t="str">
        <f>IF(Proc[[#This Row],[Author]]="Marcela Urrego",VLOOKUP(LEFT(Proc[[#This Row],[Requested]],1),Table3[#All],2,0),VLOOKUP(Proc[[#This Row],[Author]],Table4[],2,0))</f>
        <v>HC</v>
      </c>
      <c r="L1637" s="87" t="s">
        <v>2563</v>
      </c>
      <c r="M1637" s="89">
        <v>45800.450960648152</v>
      </c>
      <c r="N1637" s="89">
        <v>45804</v>
      </c>
      <c r="O1637" s="89">
        <v>45804</v>
      </c>
      <c r="P1637" s="92" t="str">
        <f ca="1">IF(Proc[[#This Row],[DaysAgeing]]&gt;5,"yep","on track")</f>
        <v>on track</v>
      </c>
      <c r="Q1637" s="3">
        <f ca="1">IF(Proc[[#This Row],[DateClosed]]="",ABS(NETWORKDAYS(Proc[[#This Row],[DateOpened]],TODAY()))-1,ABS(NETWORKDAYS(Proc[[#This Row],[DateOpened]],Proc[[#This Row],[DateClosed]]))-1)</f>
        <v>2</v>
      </c>
      <c r="R1637" s="92" t="s">
        <v>410</v>
      </c>
      <c r="S1637" s="87"/>
    </row>
    <row r="1638" spans="1:19" hidden="1">
      <c r="A1638" s="91" t="s">
        <v>3396</v>
      </c>
      <c r="B1638" s="87" t="str">
        <f>IFERROR(VLOOKUP(Proc[[#This Row],[App]],Table2[],3,0),"open")</f>
        <v>ok</v>
      </c>
      <c r="C1638" s="91" t="s">
        <v>369</v>
      </c>
      <c r="D1638" t="s">
        <v>2998</v>
      </c>
      <c r="E1638" t="s">
        <v>3402</v>
      </c>
      <c r="F1638" s="105" t="s">
        <v>3402</v>
      </c>
      <c r="G1638" s="91" t="s">
        <v>400</v>
      </c>
      <c r="H1638" s="87" t="str">
        <f>IF(Proc[[#This Row],[type]]="LFF (MDG-F)",MID(Proc[[#This Row],[Obj]],13,10),"")</f>
        <v/>
      </c>
      <c r="J1638" s="87" t="b">
        <f>Proc[[#This Row],[Requested]]=Proc[[#This Row],[CurrentParent]]</f>
        <v>1</v>
      </c>
      <c r="K1638" s="87" t="str">
        <f>IF(Proc[[#This Row],[Author]]="Marcela Urrego",VLOOKUP(LEFT(Proc[[#This Row],[Requested]],1),Table3[#All],2,0),VLOOKUP(Proc[[#This Row],[Author]],Table4[],2,0))</f>
        <v>HC</v>
      </c>
      <c r="L1638" s="87" t="s">
        <v>2563</v>
      </c>
      <c r="M1638" s="89">
        <v>45800.450960648152</v>
      </c>
      <c r="N1638" s="89">
        <v>45804</v>
      </c>
      <c r="O1638" s="89">
        <v>45804</v>
      </c>
      <c r="P1638" s="92" t="str">
        <f ca="1">IF(Proc[[#This Row],[DaysAgeing]]&gt;5,"yep","on track")</f>
        <v>on track</v>
      </c>
      <c r="Q1638" s="3">
        <f ca="1">IF(Proc[[#This Row],[DateClosed]]="",ABS(NETWORKDAYS(Proc[[#This Row],[DateOpened]],TODAY()))-1,ABS(NETWORKDAYS(Proc[[#This Row],[DateOpened]],Proc[[#This Row],[DateClosed]]))-1)</f>
        <v>2</v>
      </c>
      <c r="R1638" s="92" t="s">
        <v>410</v>
      </c>
      <c r="S1638" s="87"/>
    </row>
    <row r="1639" spans="1:19" hidden="1">
      <c r="A1639" s="91" t="s">
        <v>3396</v>
      </c>
      <c r="B1639" s="87" t="str">
        <f>IFERROR(VLOOKUP(Proc[[#This Row],[App]],Table2[],3,0),"open")</f>
        <v>ok</v>
      </c>
      <c r="C1639" s="91" t="s">
        <v>369</v>
      </c>
      <c r="D1639" t="s">
        <v>2999</v>
      </c>
      <c r="E1639" t="s">
        <v>3402</v>
      </c>
      <c r="F1639" s="105" t="s">
        <v>3402</v>
      </c>
      <c r="G1639" s="91" t="s">
        <v>400</v>
      </c>
      <c r="H1639" s="87" t="str">
        <f>IF(Proc[[#This Row],[type]]="LFF (MDG-F)",MID(Proc[[#This Row],[Obj]],13,10),"")</f>
        <v/>
      </c>
      <c r="J1639" s="87" t="b">
        <f>Proc[[#This Row],[Requested]]=Proc[[#This Row],[CurrentParent]]</f>
        <v>1</v>
      </c>
      <c r="K1639" s="87" t="str">
        <f>IF(Proc[[#This Row],[Author]]="Marcela Urrego",VLOOKUP(LEFT(Proc[[#This Row],[Requested]],1),Table3[#All],2,0),VLOOKUP(Proc[[#This Row],[Author]],Table4[],2,0))</f>
        <v>HC</v>
      </c>
      <c r="L1639" s="87" t="s">
        <v>2563</v>
      </c>
      <c r="M1639" s="89">
        <v>45800.450960648152</v>
      </c>
      <c r="N1639" s="89">
        <v>45804</v>
      </c>
      <c r="O1639" s="89">
        <v>45804</v>
      </c>
      <c r="P1639" s="92" t="str">
        <f ca="1">IF(Proc[[#This Row],[DaysAgeing]]&gt;5,"yep","on track")</f>
        <v>on track</v>
      </c>
      <c r="Q1639" s="3">
        <f ca="1">IF(Proc[[#This Row],[DateClosed]]="",ABS(NETWORKDAYS(Proc[[#This Row],[DateOpened]],TODAY()))-1,ABS(NETWORKDAYS(Proc[[#This Row],[DateOpened]],Proc[[#This Row],[DateClosed]]))-1)</f>
        <v>2</v>
      </c>
      <c r="R1639" s="92" t="s">
        <v>410</v>
      </c>
      <c r="S1639" s="87"/>
    </row>
    <row r="1640" spans="1:19" hidden="1">
      <c r="A1640" s="91" t="s">
        <v>3396</v>
      </c>
      <c r="B1640" s="87" t="str">
        <f>IFERROR(VLOOKUP(Proc[[#This Row],[App]],Table2[],3,0),"open")</f>
        <v>ok</v>
      </c>
      <c r="C1640" s="91" t="s">
        <v>369</v>
      </c>
      <c r="D1640" t="s">
        <v>3000</v>
      </c>
      <c r="E1640" t="s">
        <v>3402</v>
      </c>
      <c r="F1640" s="105" t="s">
        <v>3402</v>
      </c>
      <c r="G1640" s="91" t="s">
        <v>400</v>
      </c>
      <c r="H1640" s="87" t="str">
        <f>IF(Proc[[#This Row],[type]]="LFF (MDG-F)",MID(Proc[[#This Row],[Obj]],13,10),"")</f>
        <v/>
      </c>
      <c r="J1640" s="87" t="b">
        <f>Proc[[#This Row],[Requested]]=Proc[[#This Row],[CurrentParent]]</f>
        <v>1</v>
      </c>
      <c r="K1640" s="87" t="str">
        <f>IF(Proc[[#This Row],[Author]]="Marcela Urrego",VLOOKUP(LEFT(Proc[[#This Row],[Requested]],1),Table3[#All],2,0),VLOOKUP(Proc[[#This Row],[Author]],Table4[],2,0))</f>
        <v>HC</v>
      </c>
      <c r="L1640" s="87" t="s">
        <v>2563</v>
      </c>
      <c r="M1640" s="89">
        <v>45800.450960648152</v>
      </c>
      <c r="N1640" s="89">
        <v>45804</v>
      </c>
      <c r="O1640" s="89">
        <v>45804</v>
      </c>
      <c r="P1640" s="92" t="str">
        <f ca="1">IF(Proc[[#This Row],[DaysAgeing]]&gt;5,"yep","on track")</f>
        <v>on track</v>
      </c>
      <c r="Q1640" s="3">
        <f ca="1">IF(Proc[[#This Row],[DateClosed]]="",ABS(NETWORKDAYS(Proc[[#This Row],[DateOpened]],TODAY()))-1,ABS(NETWORKDAYS(Proc[[#This Row],[DateOpened]],Proc[[#This Row],[DateClosed]]))-1)</f>
        <v>2</v>
      </c>
      <c r="R1640" s="92" t="s">
        <v>410</v>
      </c>
      <c r="S1640" s="87"/>
    </row>
    <row r="1641" spans="1:19" hidden="1">
      <c r="A1641" s="91" t="s">
        <v>3396</v>
      </c>
      <c r="B1641" s="87" t="str">
        <f>IFERROR(VLOOKUP(Proc[[#This Row],[App]],Table2[],3,0),"open")</f>
        <v>ok</v>
      </c>
      <c r="C1641" s="91" t="s">
        <v>369</v>
      </c>
      <c r="D1641" t="s">
        <v>3001</v>
      </c>
      <c r="E1641" t="s">
        <v>3402</v>
      </c>
      <c r="F1641" s="105" t="s">
        <v>3402</v>
      </c>
      <c r="G1641" s="91" t="s">
        <v>400</v>
      </c>
      <c r="H1641" s="87" t="str">
        <f>IF(Proc[[#This Row],[type]]="LFF (MDG-F)",MID(Proc[[#This Row],[Obj]],13,10),"")</f>
        <v/>
      </c>
      <c r="J1641" s="87" t="b">
        <f>Proc[[#This Row],[Requested]]=Proc[[#This Row],[CurrentParent]]</f>
        <v>1</v>
      </c>
      <c r="K1641" s="87" t="str">
        <f>IF(Proc[[#This Row],[Author]]="Marcela Urrego",VLOOKUP(LEFT(Proc[[#This Row],[Requested]],1),Table3[#All],2,0),VLOOKUP(Proc[[#This Row],[Author]],Table4[],2,0))</f>
        <v>HC</v>
      </c>
      <c r="L1641" s="87" t="s">
        <v>2563</v>
      </c>
      <c r="M1641" s="89">
        <v>45800.450960648152</v>
      </c>
      <c r="N1641" s="89">
        <v>45804</v>
      </c>
      <c r="O1641" s="89">
        <v>45804</v>
      </c>
      <c r="P1641" s="92" t="str">
        <f ca="1">IF(Proc[[#This Row],[DaysAgeing]]&gt;5,"yep","on track")</f>
        <v>on track</v>
      </c>
      <c r="Q1641" s="3">
        <f ca="1">IF(Proc[[#This Row],[DateClosed]]="",ABS(NETWORKDAYS(Proc[[#This Row],[DateOpened]],TODAY()))-1,ABS(NETWORKDAYS(Proc[[#This Row],[DateOpened]],Proc[[#This Row],[DateClosed]]))-1)</f>
        <v>2</v>
      </c>
      <c r="R1641" s="92" t="s">
        <v>410</v>
      </c>
      <c r="S1641" s="87"/>
    </row>
    <row r="1642" spans="1:19" hidden="1">
      <c r="A1642" s="91" t="s">
        <v>3396</v>
      </c>
      <c r="B1642" s="87" t="str">
        <f>IFERROR(VLOOKUP(Proc[[#This Row],[App]],Table2[],3,0),"open")</f>
        <v>ok</v>
      </c>
      <c r="C1642" s="91" t="s">
        <v>369</v>
      </c>
      <c r="D1642" t="s">
        <v>3002</v>
      </c>
      <c r="E1642" t="s">
        <v>3402</v>
      </c>
      <c r="F1642" s="105" t="s">
        <v>3402</v>
      </c>
      <c r="G1642" s="91" t="s">
        <v>400</v>
      </c>
      <c r="H1642" s="87" t="str">
        <f>IF(Proc[[#This Row],[type]]="LFF (MDG-F)",MID(Proc[[#This Row],[Obj]],13,10),"")</f>
        <v/>
      </c>
      <c r="J1642" s="87" t="b">
        <f>Proc[[#This Row],[Requested]]=Proc[[#This Row],[CurrentParent]]</f>
        <v>1</v>
      </c>
      <c r="K1642" s="87" t="str">
        <f>IF(Proc[[#This Row],[Author]]="Marcela Urrego",VLOOKUP(LEFT(Proc[[#This Row],[Requested]],1),Table3[#All],2,0),VLOOKUP(Proc[[#This Row],[Author]],Table4[],2,0))</f>
        <v>HC</v>
      </c>
      <c r="L1642" s="87" t="s">
        <v>2563</v>
      </c>
      <c r="M1642" s="89">
        <v>45800.450960648152</v>
      </c>
      <c r="N1642" s="89">
        <v>45804</v>
      </c>
      <c r="O1642" s="89">
        <v>45804</v>
      </c>
      <c r="P1642" s="92" t="str">
        <f ca="1">IF(Proc[[#This Row],[DaysAgeing]]&gt;5,"yep","on track")</f>
        <v>on track</v>
      </c>
      <c r="Q1642" s="3">
        <f ca="1">IF(Proc[[#This Row],[DateClosed]]="",ABS(NETWORKDAYS(Proc[[#This Row],[DateOpened]],TODAY()))-1,ABS(NETWORKDAYS(Proc[[#This Row],[DateOpened]],Proc[[#This Row],[DateClosed]]))-1)</f>
        <v>2</v>
      </c>
      <c r="R1642" s="92" t="s">
        <v>410</v>
      </c>
      <c r="S1642" s="87"/>
    </row>
    <row r="1643" spans="1:19" hidden="1">
      <c r="A1643" t="s">
        <v>3404</v>
      </c>
      <c r="B1643" s="87" t="str">
        <f>IFERROR(VLOOKUP(Proc[[#This Row],[App]],Table2[],3,0),"open")</f>
        <v>ok</v>
      </c>
      <c r="C1643" s="91" t="s">
        <v>369</v>
      </c>
      <c r="D1643" t="s">
        <v>3403</v>
      </c>
      <c r="E1643" t="s">
        <v>2049</v>
      </c>
      <c r="F1643" s="105" t="s">
        <v>2049</v>
      </c>
      <c r="G1643" s="91" t="s">
        <v>400</v>
      </c>
      <c r="H1643" s="87" t="str">
        <f>IF(Proc[[#This Row],[type]]="LFF (MDG-F)",MID(Proc[[#This Row],[Obj]],13,10),"")</f>
        <v/>
      </c>
      <c r="J1643" s="87" t="b">
        <f>Proc[[#This Row],[Requested]]=Proc[[#This Row],[CurrentParent]]</f>
        <v>1</v>
      </c>
      <c r="K1643" s="87" t="str">
        <f>IF(Proc[[#This Row],[Author]]="Marcela Urrego",VLOOKUP(LEFT(Proc[[#This Row],[Requested]],1),Table3[#All],2,0),VLOOKUP(Proc[[#This Row],[Author]],Table4[],2,0))</f>
        <v>MGF</v>
      </c>
      <c r="L1643" s="87" t="s">
        <v>2563</v>
      </c>
      <c r="M1643" s="89">
        <v>45800.502141203702</v>
      </c>
      <c r="N1643" s="89">
        <v>45804</v>
      </c>
      <c r="O1643" s="89">
        <v>45804</v>
      </c>
      <c r="P1643" s="92" t="str">
        <f ca="1">IF(Proc[[#This Row],[DaysAgeing]]&gt;5,"yep","on track")</f>
        <v>on track</v>
      </c>
      <c r="Q1643" s="3">
        <f ca="1">IF(Proc[[#This Row],[DateClosed]]="",ABS(NETWORKDAYS(Proc[[#This Row],[DateOpened]],TODAY()))-1,ABS(NETWORKDAYS(Proc[[#This Row],[DateOpened]],Proc[[#This Row],[DateClosed]]))-1)</f>
        <v>2</v>
      </c>
      <c r="R1643" s="92" t="s">
        <v>515</v>
      </c>
      <c r="S1643" s="87"/>
    </row>
    <row r="1644" spans="1:19" hidden="1">
      <c r="A1644" t="s">
        <v>3405</v>
      </c>
      <c r="B1644" s="87" t="str">
        <f>IFERROR(VLOOKUP(Proc[[#This Row],[App]],Table2[],3,0),"open")</f>
        <v>ok</v>
      </c>
      <c r="C1644" t="s">
        <v>369</v>
      </c>
      <c r="D1644" t="s">
        <v>3406</v>
      </c>
      <c r="E1644" t="s">
        <v>3515</v>
      </c>
      <c r="F1644" s="105" t="s">
        <v>3515</v>
      </c>
      <c r="G1644" s="91" t="s">
        <v>400</v>
      </c>
      <c r="H1644" s="87" t="str">
        <f>IF(Proc[[#This Row],[type]]="LFF (MDG-F)",MID(Proc[[#This Row],[Obj]],13,10),"")</f>
        <v/>
      </c>
      <c r="J1644" s="87" t="b">
        <f>Proc[[#This Row],[Requested]]=Proc[[#This Row],[CurrentParent]]</f>
        <v>1</v>
      </c>
      <c r="K1644" s="87" t="str">
        <f>IF(Proc[[#This Row],[Author]]="Marcela Urrego",VLOOKUP(LEFT(Proc[[#This Row],[Requested]],1),Table3[#All],2,0),VLOOKUP(Proc[[#This Row],[Author]],Table4[],2,0))</f>
        <v>LS</v>
      </c>
      <c r="L1644" s="87" t="s">
        <v>2563</v>
      </c>
      <c r="M1644" s="89">
        <v>45801.263680555552</v>
      </c>
      <c r="N1644" s="89"/>
      <c r="O1644" s="89"/>
      <c r="P1644" s="92" t="str">
        <f ca="1">IF(Proc[[#This Row],[DaysAgeing]]&gt;5,"yep","on track")</f>
        <v>yep</v>
      </c>
      <c r="Q1644" s="3">
        <f ca="1">IF(Proc[[#This Row],[DateClosed]]="",ABS(NETWORKDAYS(Proc[[#This Row],[DateOpened]],TODAY()))-1,ABS(NETWORKDAYS(Proc[[#This Row],[DateOpened]],Proc[[#This Row],[DateClosed]]))-1)</f>
        <v>26</v>
      </c>
      <c r="R1644" s="92" t="s">
        <v>489</v>
      </c>
      <c r="S1644" s="87"/>
    </row>
    <row r="1645" spans="1:19" hidden="1">
      <c r="A1645" s="91" t="s">
        <v>3405</v>
      </c>
      <c r="B1645" s="87" t="str">
        <f>IFERROR(VLOOKUP(Proc[[#This Row],[App]],Table2[],3,0),"open")</f>
        <v>ok</v>
      </c>
      <c r="C1645" s="91" t="s">
        <v>369</v>
      </c>
      <c r="D1645" t="s">
        <v>3407</v>
      </c>
      <c r="E1645" t="s">
        <v>3516</v>
      </c>
      <c r="F1645" s="105" t="s">
        <v>3516</v>
      </c>
      <c r="G1645" s="91" t="s">
        <v>400</v>
      </c>
      <c r="H1645" s="87" t="str">
        <f>IF(Proc[[#This Row],[type]]="LFF (MDG-F)",MID(Proc[[#This Row],[Obj]],13,10),"")</f>
        <v/>
      </c>
      <c r="J1645" s="87" t="b">
        <f>Proc[[#This Row],[Requested]]=Proc[[#This Row],[CurrentParent]]</f>
        <v>1</v>
      </c>
      <c r="K1645" s="87" t="str">
        <f>IF(Proc[[#This Row],[Author]]="Marcela Urrego",VLOOKUP(LEFT(Proc[[#This Row],[Requested]],1),Table3[#All],2,0),VLOOKUP(Proc[[#This Row],[Author]],Table4[],2,0))</f>
        <v>LS</v>
      </c>
      <c r="L1645" s="87" t="s">
        <v>2563</v>
      </c>
      <c r="M1645" s="89">
        <v>45801.263680555552</v>
      </c>
      <c r="N1645" s="89"/>
      <c r="O1645" s="89"/>
      <c r="P1645" s="92" t="str">
        <f ca="1">IF(Proc[[#This Row],[DaysAgeing]]&gt;5,"yep","on track")</f>
        <v>yep</v>
      </c>
      <c r="Q1645" s="3">
        <f ca="1">IF(Proc[[#This Row],[DateClosed]]="",ABS(NETWORKDAYS(Proc[[#This Row],[DateOpened]],TODAY()))-1,ABS(NETWORKDAYS(Proc[[#This Row],[DateOpened]],Proc[[#This Row],[DateClosed]]))-1)</f>
        <v>26</v>
      </c>
      <c r="R1645" s="92" t="s">
        <v>489</v>
      </c>
      <c r="S1645" s="87"/>
    </row>
    <row r="1646" spans="1:19" hidden="1">
      <c r="A1646" s="91" t="s">
        <v>3405</v>
      </c>
      <c r="B1646" s="87" t="str">
        <f>IFERROR(VLOOKUP(Proc[[#This Row],[App]],Table2[],3,0),"open")</f>
        <v>ok</v>
      </c>
      <c r="C1646" s="91" t="s">
        <v>369</v>
      </c>
      <c r="D1646" t="s">
        <v>3408</v>
      </c>
      <c r="E1646" t="s">
        <v>3516</v>
      </c>
      <c r="F1646" s="105" t="s">
        <v>3516</v>
      </c>
      <c r="G1646" s="91" t="s">
        <v>400</v>
      </c>
      <c r="H1646" s="87" t="str">
        <f>IF(Proc[[#This Row],[type]]="LFF (MDG-F)",MID(Proc[[#This Row],[Obj]],13,10),"")</f>
        <v/>
      </c>
      <c r="J1646" s="87" t="b">
        <f>Proc[[#This Row],[Requested]]=Proc[[#This Row],[CurrentParent]]</f>
        <v>1</v>
      </c>
      <c r="K1646" s="87" t="str">
        <f>IF(Proc[[#This Row],[Author]]="Marcela Urrego",VLOOKUP(LEFT(Proc[[#This Row],[Requested]],1),Table3[#All],2,0),VLOOKUP(Proc[[#This Row],[Author]],Table4[],2,0))</f>
        <v>LS</v>
      </c>
      <c r="L1646" s="87" t="s">
        <v>2563</v>
      </c>
      <c r="M1646" s="89">
        <v>45801.263680555552</v>
      </c>
      <c r="N1646" s="89"/>
      <c r="O1646" s="89"/>
      <c r="P1646" s="92" t="str">
        <f ca="1">IF(Proc[[#This Row],[DaysAgeing]]&gt;5,"yep","on track")</f>
        <v>yep</v>
      </c>
      <c r="Q1646" s="3">
        <f ca="1">IF(Proc[[#This Row],[DateClosed]]="",ABS(NETWORKDAYS(Proc[[#This Row],[DateOpened]],TODAY()))-1,ABS(NETWORKDAYS(Proc[[#This Row],[DateOpened]],Proc[[#This Row],[DateClosed]]))-1)</f>
        <v>26</v>
      </c>
      <c r="R1646" s="92" t="s">
        <v>489</v>
      </c>
      <c r="S1646" s="87"/>
    </row>
    <row r="1647" spans="1:19" hidden="1">
      <c r="A1647" s="91" t="s">
        <v>3405</v>
      </c>
      <c r="B1647" s="87" t="str">
        <f>IFERROR(VLOOKUP(Proc[[#This Row],[App]],Table2[],3,0),"open")</f>
        <v>ok</v>
      </c>
      <c r="C1647" s="91" t="s">
        <v>369</v>
      </c>
      <c r="D1647" t="s">
        <v>3409</v>
      </c>
      <c r="E1647" t="s">
        <v>3517</v>
      </c>
      <c r="F1647" s="105" t="s">
        <v>3517</v>
      </c>
      <c r="G1647" s="91" t="s">
        <v>400</v>
      </c>
      <c r="H1647" s="87" t="str">
        <f>IF(Proc[[#This Row],[type]]="LFF (MDG-F)",MID(Proc[[#This Row],[Obj]],13,10),"")</f>
        <v/>
      </c>
      <c r="J1647" s="87" t="b">
        <f>Proc[[#This Row],[Requested]]=Proc[[#This Row],[CurrentParent]]</f>
        <v>1</v>
      </c>
      <c r="K1647" s="87" t="str">
        <f>IF(Proc[[#This Row],[Author]]="Marcela Urrego",VLOOKUP(LEFT(Proc[[#This Row],[Requested]],1),Table3[#All],2,0),VLOOKUP(Proc[[#This Row],[Author]],Table4[],2,0))</f>
        <v>LS</v>
      </c>
      <c r="L1647" s="87" t="s">
        <v>2563</v>
      </c>
      <c r="M1647" s="89">
        <v>45801.263680555552</v>
      </c>
      <c r="N1647" s="89"/>
      <c r="O1647" s="89"/>
      <c r="P1647" s="92" t="str">
        <f ca="1">IF(Proc[[#This Row],[DaysAgeing]]&gt;5,"yep","on track")</f>
        <v>yep</v>
      </c>
      <c r="Q1647" s="3">
        <f ca="1">IF(Proc[[#This Row],[DateClosed]]="",ABS(NETWORKDAYS(Proc[[#This Row],[DateOpened]],TODAY()))-1,ABS(NETWORKDAYS(Proc[[#This Row],[DateOpened]],Proc[[#This Row],[DateClosed]]))-1)</f>
        <v>26</v>
      </c>
      <c r="R1647" s="92" t="s">
        <v>489</v>
      </c>
      <c r="S1647" s="87"/>
    </row>
    <row r="1648" spans="1:19" hidden="1">
      <c r="A1648" s="91" t="s">
        <v>3405</v>
      </c>
      <c r="B1648" s="87" t="str">
        <f>IFERROR(VLOOKUP(Proc[[#This Row],[App]],Table2[],3,0),"open")</f>
        <v>ok</v>
      </c>
      <c r="C1648" s="91" t="s">
        <v>369</v>
      </c>
      <c r="D1648" t="s">
        <v>3410</v>
      </c>
      <c r="E1648" t="s">
        <v>3518</v>
      </c>
      <c r="F1648" s="105" t="s">
        <v>3518</v>
      </c>
      <c r="G1648" s="91" t="s">
        <v>400</v>
      </c>
      <c r="H1648" s="87" t="str">
        <f>IF(Proc[[#This Row],[type]]="LFF (MDG-F)",MID(Proc[[#This Row],[Obj]],13,10),"")</f>
        <v/>
      </c>
      <c r="J1648" s="87" t="b">
        <f>Proc[[#This Row],[Requested]]=Proc[[#This Row],[CurrentParent]]</f>
        <v>1</v>
      </c>
      <c r="K1648" s="87" t="str">
        <f>IF(Proc[[#This Row],[Author]]="Marcela Urrego",VLOOKUP(LEFT(Proc[[#This Row],[Requested]],1),Table3[#All],2,0),VLOOKUP(Proc[[#This Row],[Author]],Table4[],2,0))</f>
        <v>LS</v>
      </c>
      <c r="L1648" s="87" t="s">
        <v>2563</v>
      </c>
      <c r="M1648" s="89">
        <v>45801.263680555552</v>
      </c>
      <c r="N1648" s="89"/>
      <c r="O1648" s="89"/>
      <c r="P1648" s="92" t="str">
        <f ca="1">IF(Proc[[#This Row],[DaysAgeing]]&gt;5,"yep","on track")</f>
        <v>yep</v>
      </c>
      <c r="Q1648" s="3">
        <f ca="1">IF(Proc[[#This Row],[DateClosed]]="",ABS(NETWORKDAYS(Proc[[#This Row],[DateOpened]],TODAY()))-1,ABS(NETWORKDAYS(Proc[[#This Row],[DateOpened]],Proc[[#This Row],[DateClosed]]))-1)</f>
        <v>26</v>
      </c>
      <c r="R1648" s="92" t="s">
        <v>489</v>
      </c>
      <c r="S1648" s="87"/>
    </row>
    <row r="1649" spans="1:19" hidden="1">
      <c r="A1649" s="91" t="s">
        <v>3405</v>
      </c>
      <c r="B1649" s="87" t="str">
        <f>IFERROR(VLOOKUP(Proc[[#This Row],[App]],Table2[],3,0),"open")</f>
        <v>ok</v>
      </c>
      <c r="C1649" s="91" t="s">
        <v>369</v>
      </c>
      <c r="D1649" t="s">
        <v>3411</v>
      </c>
      <c r="E1649" t="s">
        <v>3518</v>
      </c>
      <c r="F1649" s="105" t="s">
        <v>3518</v>
      </c>
      <c r="G1649" s="91" t="s">
        <v>400</v>
      </c>
      <c r="H1649" s="87" t="str">
        <f>IF(Proc[[#This Row],[type]]="LFF (MDG-F)",MID(Proc[[#This Row],[Obj]],13,10),"")</f>
        <v/>
      </c>
      <c r="J1649" s="87" t="b">
        <f>Proc[[#This Row],[Requested]]=Proc[[#This Row],[CurrentParent]]</f>
        <v>1</v>
      </c>
      <c r="K1649" s="87" t="str">
        <f>IF(Proc[[#This Row],[Author]]="Marcela Urrego",VLOOKUP(LEFT(Proc[[#This Row],[Requested]],1),Table3[#All],2,0),VLOOKUP(Proc[[#This Row],[Author]],Table4[],2,0))</f>
        <v>LS</v>
      </c>
      <c r="L1649" s="87" t="s">
        <v>2563</v>
      </c>
      <c r="M1649" s="89">
        <v>45801.263680555552</v>
      </c>
      <c r="N1649" s="89"/>
      <c r="O1649" s="89"/>
      <c r="P1649" s="92" t="str">
        <f ca="1">IF(Proc[[#This Row],[DaysAgeing]]&gt;5,"yep","on track")</f>
        <v>yep</v>
      </c>
      <c r="Q1649" s="3">
        <f ca="1">IF(Proc[[#This Row],[DateClosed]]="",ABS(NETWORKDAYS(Proc[[#This Row],[DateOpened]],TODAY()))-1,ABS(NETWORKDAYS(Proc[[#This Row],[DateOpened]],Proc[[#This Row],[DateClosed]]))-1)</f>
        <v>26</v>
      </c>
      <c r="R1649" s="92" t="s">
        <v>489</v>
      </c>
      <c r="S1649" s="87"/>
    </row>
    <row r="1650" spans="1:19" hidden="1">
      <c r="A1650" s="91" t="s">
        <v>3405</v>
      </c>
      <c r="B1650" s="87" t="str">
        <f>IFERROR(VLOOKUP(Proc[[#This Row],[App]],Table2[],3,0),"open")</f>
        <v>ok</v>
      </c>
      <c r="C1650" s="91" t="s">
        <v>369</v>
      </c>
      <c r="D1650" t="s">
        <v>3412</v>
      </c>
      <c r="E1650" t="s">
        <v>3518</v>
      </c>
      <c r="F1650" s="105" t="s">
        <v>3518</v>
      </c>
      <c r="G1650" s="91" t="s">
        <v>400</v>
      </c>
      <c r="H1650" s="87" t="str">
        <f>IF(Proc[[#This Row],[type]]="LFF (MDG-F)",MID(Proc[[#This Row],[Obj]],13,10),"")</f>
        <v/>
      </c>
      <c r="J1650" s="87" t="b">
        <f>Proc[[#This Row],[Requested]]=Proc[[#This Row],[CurrentParent]]</f>
        <v>1</v>
      </c>
      <c r="K1650" s="87" t="str">
        <f>IF(Proc[[#This Row],[Author]]="Marcela Urrego",VLOOKUP(LEFT(Proc[[#This Row],[Requested]],1),Table3[#All],2,0),VLOOKUP(Proc[[#This Row],[Author]],Table4[],2,0))</f>
        <v>LS</v>
      </c>
      <c r="L1650" s="87" t="s">
        <v>2563</v>
      </c>
      <c r="M1650" s="89">
        <v>45801.263680555552</v>
      </c>
      <c r="N1650" s="89"/>
      <c r="O1650" s="89"/>
      <c r="P1650" s="92" t="str">
        <f ca="1">IF(Proc[[#This Row],[DaysAgeing]]&gt;5,"yep","on track")</f>
        <v>yep</v>
      </c>
      <c r="Q1650" s="3">
        <f ca="1">IF(Proc[[#This Row],[DateClosed]]="",ABS(NETWORKDAYS(Proc[[#This Row],[DateOpened]],TODAY()))-1,ABS(NETWORKDAYS(Proc[[#This Row],[DateOpened]],Proc[[#This Row],[DateClosed]]))-1)</f>
        <v>26</v>
      </c>
      <c r="R1650" s="92" t="s">
        <v>489</v>
      </c>
      <c r="S1650" s="87"/>
    </row>
    <row r="1651" spans="1:19" hidden="1">
      <c r="A1651" s="91" t="s">
        <v>3405</v>
      </c>
      <c r="B1651" s="87" t="str">
        <f>IFERROR(VLOOKUP(Proc[[#This Row],[App]],Table2[],3,0),"open")</f>
        <v>ok</v>
      </c>
      <c r="C1651" s="91" t="s">
        <v>369</v>
      </c>
      <c r="D1651" t="s">
        <v>3413</v>
      </c>
      <c r="E1651" t="s">
        <v>3519</v>
      </c>
      <c r="F1651" s="105" t="s">
        <v>3519</v>
      </c>
      <c r="G1651" s="91" t="s">
        <v>400</v>
      </c>
      <c r="H1651" s="87" t="str">
        <f>IF(Proc[[#This Row],[type]]="LFF (MDG-F)",MID(Proc[[#This Row],[Obj]],13,10),"")</f>
        <v/>
      </c>
      <c r="J1651" s="87" t="b">
        <f>Proc[[#This Row],[Requested]]=Proc[[#This Row],[CurrentParent]]</f>
        <v>1</v>
      </c>
      <c r="K1651" s="87" t="str">
        <f>IF(Proc[[#This Row],[Author]]="Marcela Urrego",VLOOKUP(LEFT(Proc[[#This Row],[Requested]],1),Table3[#All],2,0),VLOOKUP(Proc[[#This Row],[Author]],Table4[],2,0))</f>
        <v>LS</v>
      </c>
      <c r="L1651" s="87" t="s">
        <v>2563</v>
      </c>
      <c r="M1651" s="89">
        <v>45801.263680555552</v>
      </c>
      <c r="N1651" s="89"/>
      <c r="O1651" s="89"/>
      <c r="P1651" s="92" t="str">
        <f ca="1">IF(Proc[[#This Row],[DaysAgeing]]&gt;5,"yep","on track")</f>
        <v>yep</v>
      </c>
      <c r="Q1651" s="3">
        <f ca="1">IF(Proc[[#This Row],[DateClosed]]="",ABS(NETWORKDAYS(Proc[[#This Row],[DateOpened]],TODAY()))-1,ABS(NETWORKDAYS(Proc[[#This Row],[DateOpened]],Proc[[#This Row],[DateClosed]]))-1)</f>
        <v>26</v>
      </c>
      <c r="R1651" s="92" t="s">
        <v>489</v>
      </c>
      <c r="S1651" s="87"/>
    </row>
    <row r="1652" spans="1:19" hidden="1">
      <c r="A1652" s="91" t="s">
        <v>3405</v>
      </c>
      <c r="B1652" s="87" t="str">
        <f>IFERROR(VLOOKUP(Proc[[#This Row],[App]],Table2[],3,0),"open")</f>
        <v>ok</v>
      </c>
      <c r="C1652" s="91" t="s">
        <v>369</v>
      </c>
      <c r="D1652" t="s">
        <v>3414</v>
      </c>
      <c r="E1652" t="s">
        <v>3516</v>
      </c>
      <c r="F1652" s="105" t="s">
        <v>3516</v>
      </c>
      <c r="G1652" s="91" t="s">
        <v>400</v>
      </c>
      <c r="H1652" s="87" t="str">
        <f>IF(Proc[[#This Row],[type]]="LFF (MDG-F)",MID(Proc[[#This Row],[Obj]],13,10),"")</f>
        <v/>
      </c>
      <c r="J1652" s="87" t="b">
        <f>Proc[[#This Row],[Requested]]=Proc[[#This Row],[CurrentParent]]</f>
        <v>1</v>
      </c>
      <c r="K1652" s="87" t="str">
        <f>IF(Proc[[#This Row],[Author]]="Marcela Urrego",VLOOKUP(LEFT(Proc[[#This Row],[Requested]],1),Table3[#All],2,0),VLOOKUP(Proc[[#This Row],[Author]],Table4[],2,0))</f>
        <v>LS</v>
      </c>
      <c r="L1652" s="87" t="s">
        <v>2563</v>
      </c>
      <c r="M1652" s="89">
        <v>45801.263680555552</v>
      </c>
      <c r="N1652" s="89"/>
      <c r="O1652" s="89"/>
      <c r="P1652" s="92" t="str">
        <f ca="1">IF(Proc[[#This Row],[DaysAgeing]]&gt;5,"yep","on track")</f>
        <v>yep</v>
      </c>
      <c r="Q1652" s="3">
        <f ca="1">IF(Proc[[#This Row],[DateClosed]]="",ABS(NETWORKDAYS(Proc[[#This Row],[DateOpened]],TODAY()))-1,ABS(NETWORKDAYS(Proc[[#This Row],[DateOpened]],Proc[[#This Row],[DateClosed]]))-1)</f>
        <v>26</v>
      </c>
      <c r="R1652" s="92" t="s">
        <v>489</v>
      </c>
      <c r="S1652" s="87"/>
    </row>
    <row r="1653" spans="1:19" hidden="1">
      <c r="A1653" s="91" t="s">
        <v>3405</v>
      </c>
      <c r="B1653" s="87" t="str">
        <f>IFERROR(VLOOKUP(Proc[[#This Row],[App]],Table2[],3,0),"open")</f>
        <v>ok</v>
      </c>
      <c r="C1653" s="91" t="s">
        <v>369</v>
      </c>
      <c r="D1653" t="s">
        <v>3415</v>
      </c>
      <c r="E1653" t="s">
        <v>3520</v>
      </c>
      <c r="F1653" s="105" t="s">
        <v>3520</v>
      </c>
      <c r="G1653" s="91" t="s">
        <v>400</v>
      </c>
      <c r="H1653" s="87" t="str">
        <f>IF(Proc[[#This Row],[type]]="LFF (MDG-F)",MID(Proc[[#This Row],[Obj]],13,10),"")</f>
        <v/>
      </c>
      <c r="J1653" s="87" t="b">
        <f>Proc[[#This Row],[Requested]]=Proc[[#This Row],[CurrentParent]]</f>
        <v>1</v>
      </c>
      <c r="K1653" s="87" t="str">
        <f>IF(Proc[[#This Row],[Author]]="Marcela Urrego",VLOOKUP(LEFT(Proc[[#This Row],[Requested]],1),Table3[#All],2,0),VLOOKUP(Proc[[#This Row],[Author]],Table4[],2,0))</f>
        <v>LS</v>
      </c>
      <c r="L1653" s="87" t="s">
        <v>2563</v>
      </c>
      <c r="M1653" s="89">
        <v>45801.263680555552</v>
      </c>
      <c r="N1653" s="89"/>
      <c r="O1653" s="89"/>
      <c r="P1653" s="92" t="str">
        <f ca="1">IF(Proc[[#This Row],[DaysAgeing]]&gt;5,"yep","on track")</f>
        <v>yep</v>
      </c>
      <c r="Q1653" s="3">
        <f ca="1">IF(Proc[[#This Row],[DateClosed]]="",ABS(NETWORKDAYS(Proc[[#This Row],[DateOpened]],TODAY()))-1,ABS(NETWORKDAYS(Proc[[#This Row],[DateOpened]],Proc[[#This Row],[DateClosed]]))-1)</f>
        <v>26</v>
      </c>
      <c r="R1653" s="92" t="s">
        <v>489</v>
      </c>
      <c r="S1653" s="87"/>
    </row>
    <row r="1654" spans="1:19" hidden="1">
      <c r="A1654" s="91" t="s">
        <v>3405</v>
      </c>
      <c r="B1654" s="87" t="str">
        <f>IFERROR(VLOOKUP(Proc[[#This Row],[App]],Table2[],3,0),"open")</f>
        <v>ok</v>
      </c>
      <c r="C1654" s="91" t="s">
        <v>369</v>
      </c>
      <c r="D1654" t="s">
        <v>3416</v>
      </c>
      <c r="E1654" t="s">
        <v>3521</v>
      </c>
      <c r="F1654" s="105" t="s">
        <v>3521</v>
      </c>
      <c r="G1654" s="91" t="s">
        <v>400</v>
      </c>
      <c r="H1654" s="87" t="str">
        <f>IF(Proc[[#This Row],[type]]="LFF (MDG-F)",MID(Proc[[#This Row],[Obj]],13,10),"")</f>
        <v/>
      </c>
      <c r="J1654" s="87" t="b">
        <f>Proc[[#This Row],[Requested]]=Proc[[#This Row],[CurrentParent]]</f>
        <v>1</v>
      </c>
      <c r="K1654" s="87" t="str">
        <f>IF(Proc[[#This Row],[Author]]="Marcela Urrego",VLOOKUP(LEFT(Proc[[#This Row],[Requested]],1),Table3[#All],2,0),VLOOKUP(Proc[[#This Row],[Author]],Table4[],2,0))</f>
        <v>LS</v>
      </c>
      <c r="L1654" s="87" t="s">
        <v>2563</v>
      </c>
      <c r="M1654" s="89">
        <v>45801.263680555552</v>
      </c>
      <c r="N1654" s="89"/>
      <c r="O1654" s="89"/>
      <c r="P1654" s="92" t="str">
        <f ca="1">IF(Proc[[#This Row],[DaysAgeing]]&gt;5,"yep","on track")</f>
        <v>yep</v>
      </c>
      <c r="Q1654" s="3">
        <f ca="1">IF(Proc[[#This Row],[DateClosed]]="",ABS(NETWORKDAYS(Proc[[#This Row],[DateOpened]],TODAY()))-1,ABS(NETWORKDAYS(Proc[[#This Row],[DateOpened]],Proc[[#This Row],[DateClosed]]))-1)</f>
        <v>26</v>
      </c>
      <c r="R1654" s="92" t="s">
        <v>489</v>
      </c>
      <c r="S1654" s="87"/>
    </row>
    <row r="1655" spans="1:19" hidden="1">
      <c r="A1655" s="91" t="s">
        <v>3405</v>
      </c>
      <c r="B1655" s="87" t="str">
        <f>IFERROR(VLOOKUP(Proc[[#This Row],[App]],Table2[],3,0),"open")</f>
        <v>ok</v>
      </c>
      <c r="C1655" s="91" t="s">
        <v>369</v>
      </c>
      <c r="D1655" t="s">
        <v>3417</v>
      </c>
      <c r="E1655" t="s">
        <v>3521</v>
      </c>
      <c r="F1655" s="105" t="s">
        <v>3521</v>
      </c>
      <c r="G1655" s="91" t="s">
        <v>400</v>
      </c>
      <c r="H1655" s="87" t="str">
        <f>IF(Proc[[#This Row],[type]]="LFF (MDG-F)",MID(Proc[[#This Row],[Obj]],13,10),"")</f>
        <v/>
      </c>
      <c r="J1655" s="87" t="b">
        <f>Proc[[#This Row],[Requested]]=Proc[[#This Row],[CurrentParent]]</f>
        <v>1</v>
      </c>
      <c r="K1655" s="87" t="str">
        <f>IF(Proc[[#This Row],[Author]]="Marcela Urrego",VLOOKUP(LEFT(Proc[[#This Row],[Requested]],1),Table3[#All],2,0),VLOOKUP(Proc[[#This Row],[Author]],Table4[],2,0))</f>
        <v>LS</v>
      </c>
      <c r="L1655" s="87" t="s">
        <v>2563</v>
      </c>
      <c r="M1655" s="89">
        <v>45801.263680555552</v>
      </c>
      <c r="N1655" s="89"/>
      <c r="O1655" s="89"/>
      <c r="P1655" s="92" t="str">
        <f ca="1">IF(Proc[[#This Row],[DaysAgeing]]&gt;5,"yep","on track")</f>
        <v>yep</v>
      </c>
      <c r="Q1655" s="3">
        <f ca="1">IF(Proc[[#This Row],[DateClosed]]="",ABS(NETWORKDAYS(Proc[[#This Row],[DateOpened]],TODAY()))-1,ABS(NETWORKDAYS(Proc[[#This Row],[DateOpened]],Proc[[#This Row],[DateClosed]]))-1)</f>
        <v>26</v>
      </c>
      <c r="R1655" s="92" t="s">
        <v>489</v>
      </c>
      <c r="S1655" s="87"/>
    </row>
    <row r="1656" spans="1:19" hidden="1">
      <c r="A1656" s="91" t="s">
        <v>3405</v>
      </c>
      <c r="B1656" s="87" t="str">
        <f>IFERROR(VLOOKUP(Proc[[#This Row],[App]],Table2[],3,0),"open")</f>
        <v>ok</v>
      </c>
      <c r="C1656" s="91" t="s">
        <v>369</v>
      </c>
      <c r="D1656" t="s">
        <v>3418</v>
      </c>
      <c r="E1656" t="s">
        <v>3522</v>
      </c>
      <c r="F1656" s="105" t="s">
        <v>3522</v>
      </c>
      <c r="G1656" s="91" t="s">
        <v>400</v>
      </c>
      <c r="H1656" s="87" t="str">
        <f>IF(Proc[[#This Row],[type]]="LFF (MDG-F)",MID(Proc[[#This Row],[Obj]],13,10),"")</f>
        <v/>
      </c>
      <c r="J1656" s="87" t="b">
        <f>Proc[[#This Row],[Requested]]=Proc[[#This Row],[CurrentParent]]</f>
        <v>1</v>
      </c>
      <c r="K1656" s="87" t="str">
        <f>IF(Proc[[#This Row],[Author]]="Marcela Urrego",VLOOKUP(LEFT(Proc[[#This Row],[Requested]],1),Table3[#All],2,0),VLOOKUP(Proc[[#This Row],[Author]],Table4[],2,0))</f>
        <v>LS</v>
      </c>
      <c r="L1656" s="87" t="s">
        <v>2563</v>
      </c>
      <c r="M1656" s="89">
        <v>45801.263680555552</v>
      </c>
      <c r="N1656" s="89"/>
      <c r="O1656" s="89"/>
      <c r="P1656" s="92" t="str">
        <f ca="1">IF(Proc[[#This Row],[DaysAgeing]]&gt;5,"yep","on track")</f>
        <v>yep</v>
      </c>
      <c r="Q1656" s="3">
        <f ca="1">IF(Proc[[#This Row],[DateClosed]]="",ABS(NETWORKDAYS(Proc[[#This Row],[DateOpened]],TODAY()))-1,ABS(NETWORKDAYS(Proc[[#This Row],[DateOpened]],Proc[[#This Row],[DateClosed]]))-1)</f>
        <v>26</v>
      </c>
      <c r="R1656" s="92" t="s">
        <v>489</v>
      </c>
      <c r="S1656" s="87"/>
    </row>
    <row r="1657" spans="1:19" hidden="1">
      <c r="A1657" s="91" t="s">
        <v>3405</v>
      </c>
      <c r="B1657" s="87" t="str">
        <f>IFERROR(VLOOKUP(Proc[[#This Row],[App]],Table2[],3,0),"open")</f>
        <v>ok</v>
      </c>
      <c r="C1657" s="91" t="s">
        <v>369</v>
      </c>
      <c r="D1657" t="s">
        <v>3419</v>
      </c>
      <c r="E1657" t="s">
        <v>3516</v>
      </c>
      <c r="F1657" s="105" t="s">
        <v>3516</v>
      </c>
      <c r="G1657" s="91" t="s">
        <v>400</v>
      </c>
      <c r="H1657" s="87" t="str">
        <f>IF(Proc[[#This Row],[type]]="LFF (MDG-F)",MID(Proc[[#This Row],[Obj]],13,10),"")</f>
        <v/>
      </c>
      <c r="J1657" s="87" t="b">
        <f>Proc[[#This Row],[Requested]]=Proc[[#This Row],[CurrentParent]]</f>
        <v>1</v>
      </c>
      <c r="K1657" s="87" t="str">
        <f>IF(Proc[[#This Row],[Author]]="Marcela Urrego",VLOOKUP(LEFT(Proc[[#This Row],[Requested]],1),Table3[#All],2,0),VLOOKUP(Proc[[#This Row],[Author]],Table4[],2,0))</f>
        <v>LS</v>
      </c>
      <c r="L1657" s="87" t="s">
        <v>2563</v>
      </c>
      <c r="M1657" s="89">
        <v>45801.263680555552</v>
      </c>
      <c r="N1657" s="89"/>
      <c r="O1657" s="89"/>
      <c r="P1657" s="92" t="str">
        <f ca="1">IF(Proc[[#This Row],[DaysAgeing]]&gt;5,"yep","on track")</f>
        <v>yep</v>
      </c>
      <c r="Q1657" s="3">
        <f ca="1">IF(Proc[[#This Row],[DateClosed]]="",ABS(NETWORKDAYS(Proc[[#This Row],[DateOpened]],TODAY()))-1,ABS(NETWORKDAYS(Proc[[#This Row],[DateOpened]],Proc[[#This Row],[DateClosed]]))-1)</f>
        <v>26</v>
      </c>
      <c r="R1657" s="92" t="s">
        <v>489</v>
      </c>
      <c r="S1657" s="87"/>
    </row>
    <row r="1658" spans="1:19" hidden="1">
      <c r="A1658" s="91" t="s">
        <v>3405</v>
      </c>
      <c r="B1658" s="87" t="str">
        <f>IFERROR(VLOOKUP(Proc[[#This Row],[App]],Table2[],3,0),"open")</f>
        <v>ok</v>
      </c>
      <c r="C1658" s="91" t="s">
        <v>369</v>
      </c>
      <c r="D1658" t="s">
        <v>3420</v>
      </c>
      <c r="E1658" t="s">
        <v>3523</v>
      </c>
      <c r="F1658" s="105" t="s">
        <v>3523</v>
      </c>
      <c r="G1658" s="91" t="s">
        <v>400</v>
      </c>
      <c r="H1658" s="87" t="str">
        <f>IF(Proc[[#This Row],[type]]="LFF (MDG-F)",MID(Proc[[#This Row],[Obj]],13,10),"")</f>
        <v/>
      </c>
      <c r="J1658" s="87" t="b">
        <f>Proc[[#This Row],[Requested]]=Proc[[#This Row],[CurrentParent]]</f>
        <v>1</v>
      </c>
      <c r="K1658" s="87" t="str">
        <f>IF(Proc[[#This Row],[Author]]="Marcela Urrego",VLOOKUP(LEFT(Proc[[#This Row],[Requested]],1),Table3[#All],2,0),VLOOKUP(Proc[[#This Row],[Author]],Table4[],2,0))</f>
        <v>LS</v>
      </c>
      <c r="L1658" s="87" t="s">
        <v>2563</v>
      </c>
      <c r="M1658" s="89">
        <v>45801.263680555552</v>
      </c>
      <c r="N1658" s="89"/>
      <c r="O1658" s="89"/>
      <c r="P1658" s="92" t="str">
        <f ca="1">IF(Proc[[#This Row],[DaysAgeing]]&gt;5,"yep","on track")</f>
        <v>yep</v>
      </c>
      <c r="Q1658" s="3">
        <f ca="1">IF(Proc[[#This Row],[DateClosed]]="",ABS(NETWORKDAYS(Proc[[#This Row],[DateOpened]],TODAY()))-1,ABS(NETWORKDAYS(Proc[[#This Row],[DateOpened]],Proc[[#This Row],[DateClosed]]))-1)</f>
        <v>26</v>
      </c>
      <c r="R1658" s="92" t="s">
        <v>489</v>
      </c>
      <c r="S1658" s="87"/>
    </row>
    <row r="1659" spans="1:19" hidden="1">
      <c r="A1659" s="91" t="s">
        <v>3405</v>
      </c>
      <c r="B1659" s="87" t="str">
        <f>IFERROR(VLOOKUP(Proc[[#This Row],[App]],Table2[],3,0),"open")</f>
        <v>ok</v>
      </c>
      <c r="C1659" s="91" t="s">
        <v>369</v>
      </c>
      <c r="D1659" t="s">
        <v>3421</v>
      </c>
      <c r="E1659" t="s">
        <v>3516</v>
      </c>
      <c r="F1659" s="105" t="s">
        <v>3516</v>
      </c>
      <c r="G1659" s="91" t="s">
        <v>400</v>
      </c>
      <c r="H1659" s="87" t="str">
        <f>IF(Proc[[#This Row],[type]]="LFF (MDG-F)",MID(Proc[[#This Row],[Obj]],13,10),"")</f>
        <v/>
      </c>
      <c r="J1659" s="87" t="b">
        <f>Proc[[#This Row],[Requested]]=Proc[[#This Row],[CurrentParent]]</f>
        <v>1</v>
      </c>
      <c r="K1659" s="87" t="str">
        <f>IF(Proc[[#This Row],[Author]]="Marcela Urrego",VLOOKUP(LEFT(Proc[[#This Row],[Requested]],1),Table3[#All],2,0),VLOOKUP(Proc[[#This Row],[Author]],Table4[],2,0))</f>
        <v>LS</v>
      </c>
      <c r="L1659" s="87" t="s">
        <v>2563</v>
      </c>
      <c r="M1659" s="89">
        <v>45801.263680555552</v>
      </c>
      <c r="N1659" s="89"/>
      <c r="O1659" s="89"/>
      <c r="P1659" s="92" t="str">
        <f ca="1">IF(Proc[[#This Row],[DaysAgeing]]&gt;5,"yep","on track")</f>
        <v>yep</v>
      </c>
      <c r="Q1659" s="3">
        <f ca="1">IF(Proc[[#This Row],[DateClosed]]="",ABS(NETWORKDAYS(Proc[[#This Row],[DateOpened]],TODAY()))-1,ABS(NETWORKDAYS(Proc[[#This Row],[DateOpened]],Proc[[#This Row],[DateClosed]]))-1)</f>
        <v>26</v>
      </c>
      <c r="R1659" s="92" t="s">
        <v>489</v>
      </c>
      <c r="S1659" s="87"/>
    </row>
    <row r="1660" spans="1:19" hidden="1">
      <c r="A1660" s="91" t="s">
        <v>3405</v>
      </c>
      <c r="B1660" s="87" t="str">
        <f>IFERROR(VLOOKUP(Proc[[#This Row],[App]],Table2[],3,0),"open")</f>
        <v>ok</v>
      </c>
      <c r="C1660" s="91" t="s">
        <v>369</v>
      </c>
      <c r="D1660" t="s">
        <v>3422</v>
      </c>
      <c r="E1660" t="s">
        <v>3516</v>
      </c>
      <c r="F1660" s="105" t="s">
        <v>3516</v>
      </c>
      <c r="G1660" s="91" t="s">
        <v>400</v>
      </c>
      <c r="H1660" s="87" t="str">
        <f>IF(Proc[[#This Row],[type]]="LFF (MDG-F)",MID(Proc[[#This Row],[Obj]],13,10),"")</f>
        <v/>
      </c>
      <c r="J1660" s="87" t="b">
        <f>Proc[[#This Row],[Requested]]=Proc[[#This Row],[CurrentParent]]</f>
        <v>1</v>
      </c>
      <c r="K1660" s="87" t="str">
        <f>IF(Proc[[#This Row],[Author]]="Marcela Urrego",VLOOKUP(LEFT(Proc[[#This Row],[Requested]],1),Table3[#All],2,0),VLOOKUP(Proc[[#This Row],[Author]],Table4[],2,0))</f>
        <v>LS</v>
      </c>
      <c r="L1660" s="87" t="s">
        <v>2563</v>
      </c>
      <c r="M1660" s="89">
        <v>45801.263680555552</v>
      </c>
      <c r="N1660" s="89"/>
      <c r="O1660" s="89"/>
      <c r="P1660" s="92" t="str">
        <f ca="1">IF(Proc[[#This Row],[DaysAgeing]]&gt;5,"yep","on track")</f>
        <v>yep</v>
      </c>
      <c r="Q1660" s="3">
        <f ca="1">IF(Proc[[#This Row],[DateClosed]]="",ABS(NETWORKDAYS(Proc[[#This Row],[DateOpened]],TODAY()))-1,ABS(NETWORKDAYS(Proc[[#This Row],[DateOpened]],Proc[[#This Row],[DateClosed]]))-1)</f>
        <v>26</v>
      </c>
      <c r="R1660" s="92" t="s">
        <v>489</v>
      </c>
      <c r="S1660" s="87"/>
    </row>
    <row r="1661" spans="1:19" hidden="1">
      <c r="A1661" s="91" t="s">
        <v>3405</v>
      </c>
      <c r="B1661" s="87" t="str">
        <f>IFERROR(VLOOKUP(Proc[[#This Row],[App]],Table2[],3,0),"open")</f>
        <v>ok</v>
      </c>
      <c r="C1661" s="91" t="s">
        <v>369</v>
      </c>
      <c r="D1661" t="s">
        <v>3423</v>
      </c>
      <c r="E1661" t="s">
        <v>3524</v>
      </c>
      <c r="F1661" s="105" t="s">
        <v>3524</v>
      </c>
      <c r="G1661" s="91" t="s">
        <v>400</v>
      </c>
      <c r="H1661" s="87" t="str">
        <f>IF(Proc[[#This Row],[type]]="LFF (MDG-F)",MID(Proc[[#This Row],[Obj]],13,10),"")</f>
        <v/>
      </c>
      <c r="J1661" s="87" t="b">
        <f>Proc[[#This Row],[Requested]]=Proc[[#This Row],[CurrentParent]]</f>
        <v>1</v>
      </c>
      <c r="K1661" s="87" t="str">
        <f>IF(Proc[[#This Row],[Author]]="Marcela Urrego",VLOOKUP(LEFT(Proc[[#This Row],[Requested]],1),Table3[#All],2,0),VLOOKUP(Proc[[#This Row],[Author]],Table4[],2,0))</f>
        <v>LS</v>
      </c>
      <c r="L1661" s="87" t="s">
        <v>2563</v>
      </c>
      <c r="M1661" s="89">
        <v>45801.263680555552</v>
      </c>
      <c r="N1661" s="89"/>
      <c r="O1661" s="89"/>
      <c r="P1661" s="92" t="str">
        <f ca="1">IF(Proc[[#This Row],[DaysAgeing]]&gt;5,"yep","on track")</f>
        <v>yep</v>
      </c>
      <c r="Q1661" s="3">
        <f ca="1">IF(Proc[[#This Row],[DateClosed]]="",ABS(NETWORKDAYS(Proc[[#This Row],[DateOpened]],TODAY()))-1,ABS(NETWORKDAYS(Proc[[#This Row],[DateOpened]],Proc[[#This Row],[DateClosed]]))-1)</f>
        <v>26</v>
      </c>
      <c r="R1661" s="92" t="s">
        <v>489</v>
      </c>
      <c r="S1661" s="87"/>
    </row>
    <row r="1662" spans="1:19" hidden="1">
      <c r="A1662" s="91" t="s">
        <v>3405</v>
      </c>
      <c r="B1662" s="87" t="str">
        <f>IFERROR(VLOOKUP(Proc[[#This Row],[App]],Table2[],3,0),"open")</f>
        <v>ok</v>
      </c>
      <c r="C1662" s="91" t="s">
        <v>369</v>
      </c>
      <c r="D1662" t="s">
        <v>3424</v>
      </c>
      <c r="E1662" t="s">
        <v>3525</v>
      </c>
      <c r="F1662" s="105" t="s">
        <v>3525</v>
      </c>
      <c r="G1662" s="91" t="s">
        <v>400</v>
      </c>
      <c r="H1662" s="87" t="str">
        <f>IF(Proc[[#This Row],[type]]="LFF (MDG-F)",MID(Proc[[#This Row],[Obj]],13,10),"")</f>
        <v/>
      </c>
      <c r="J1662" s="87" t="b">
        <f>Proc[[#This Row],[Requested]]=Proc[[#This Row],[CurrentParent]]</f>
        <v>1</v>
      </c>
      <c r="K1662" s="87" t="str">
        <f>IF(Proc[[#This Row],[Author]]="Marcela Urrego",VLOOKUP(LEFT(Proc[[#This Row],[Requested]],1),Table3[#All],2,0),VLOOKUP(Proc[[#This Row],[Author]],Table4[],2,0))</f>
        <v>LS</v>
      </c>
      <c r="L1662" s="87" t="s">
        <v>2563</v>
      </c>
      <c r="M1662" s="89">
        <v>45801.263680555552</v>
      </c>
      <c r="N1662" s="89"/>
      <c r="O1662" s="89"/>
      <c r="P1662" s="92" t="str">
        <f ca="1">IF(Proc[[#This Row],[DaysAgeing]]&gt;5,"yep","on track")</f>
        <v>yep</v>
      </c>
      <c r="Q1662" s="3">
        <f ca="1">IF(Proc[[#This Row],[DateClosed]]="",ABS(NETWORKDAYS(Proc[[#This Row],[DateOpened]],TODAY()))-1,ABS(NETWORKDAYS(Proc[[#This Row],[DateOpened]],Proc[[#This Row],[DateClosed]]))-1)</f>
        <v>26</v>
      </c>
      <c r="R1662" s="92" t="s">
        <v>489</v>
      </c>
      <c r="S1662" s="87"/>
    </row>
    <row r="1663" spans="1:19" hidden="1">
      <c r="A1663" s="91" t="s">
        <v>3405</v>
      </c>
      <c r="B1663" s="87" t="str">
        <f>IFERROR(VLOOKUP(Proc[[#This Row],[App]],Table2[],3,0),"open")</f>
        <v>ok</v>
      </c>
      <c r="C1663" s="91" t="s">
        <v>369</v>
      </c>
      <c r="D1663" t="s">
        <v>3425</v>
      </c>
      <c r="E1663" t="s">
        <v>3516</v>
      </c>
      <c r="F1663" s="105" t="s">
        <v>3516</v>
      </c>
      <c r="G1663" s="91" t="s">
        <v>400</v>
      </c>
      <c r="H1663" s="87" t="str">
        <f>IF(Proc[[#This Row],[type]]="LFF (MDG-F)",MID(Proc[[#This Row],[Obj]],13,10),"")</f>
        <v/>
      </c>
      <c r="J1663" s="87" t="b">
        <f>Proc[[#This Row],[Requested]]=Proc[[#This Row],[CurrentParent]]</f>
        <v>1</v>
      </c>
      <c r="K1663" s="87" t="str">
        <f>IF(Proc[[#This Row],[Author]]="Marcela Urrego",VLOOKUP(LEFT(Proc[[#This Row],[Requested]],1),Table3[#All],2,0),VLOOKUP(Proc[[#This Row],[Author]],Table4[],2,0))</f>
        <v>LS</v>
      </c>
      <c r="L1663" s="87" t="s">
        <v>2563</v>
      </c>
      <c r="M1663" s="89">
        <v>45801.263680555552</v>
      </c>
      <c r="N1663" s="89"/>
      <c r="O1663" s="89"/>
      <c r="P1663" s="92" t="str">
        <f ca="1">IF(Proc[[#This Row],[DaysAgeing]]&gt;5,"yep","on track")</f>
        <v>yep</v>
      </c>
      <c r="Q1663" s="3">
        <f ca="1">IF(Proc[[#This Row],[DateClosed]]="",ABS(NETWORKDAYS(Proc[[#This Row],[DateOpened]],TODAY()))-1,ABS(NETWORKDAYS(Proc[[#This Row],[DateOpened]],Proc[[#This Row],[DateClosed]]))-1)</f>
        <v>26</v>
      </c>
      <c r="R1663" s="92" t="s">
        <v>489</v>
      </c>
      <c r="S1663" s="87"/>
    </row>
    <row r="1664" spans="1:19" hidden="1">
      <c r="A1664" s="91" t="s">
        <v>3405</v>
      </c>
      <c r="B1664" s="87" t="str">
        <f>IFERROR(VLOOKUP(Proc[[#This Row],[App]],Table2[],3,0),"open")</f>
        <v>ok</v>
      </c>
      <c r="C1664" s="91" t="s">
        <v>369</v>
      </c>
      <c r="D1664" t="s">
        <v>3426</v>
      </c>
      <c r="E1664" t="s">
        <v>3516</v>
      </c>
      <c r="F1664" s="105" t="s">
        <v>3516</v>
      </c>
      <c r="G1664" s="91" t="s">
        <v>400</v>
      </c>
      <c r="H1664" s="87" t="str">
        <f>IF(Proc[[#This Row],[type]]="LFF (MDG-F)",MID(Proc[[#This Row],[Obj]],13,10),"")</f>
        <v/>
      </c>
      <c r="J1664" s="87" t="b">
        <f>Proc[[#This Row],[Requested]]=Proc[[#This Row],[CurrentParent]]</f>
        <v>1</v>
      </c>
      <c r="K1664" s="87" t="str">
        <f>IF(Proc[[#This Row],[Author]]="Marcela Urrego",VLOOKUP(LEFT(Proc[[#This Row],[Requested]],1),Table3[#All],2,0),VLOOKUP(Proc[[#This Row],[Author]],Table4[],2,0))</f>
        <v>LS</v>
      </c>
      <c r="L1664" s="87" t="s">
        <v>2563</v>
      </c>
      <c r="M1664" s="89">
        <v>45801.263680555552</v>
      </c>
      <c r="N1664" s="89"/>
      <c r="O1664" s="89"/>
      <c r="P1664" s="92" t="str">
        <f ca="1">IF(Proc[[#This Row],[DaysAgeing]]&gt;5,"yep","on track")</f>
        <v>yep</v>
      </c>
      <c r="Q1664" s="3">
        <f ca="1">IF(Proc[[#This Row],[DateClosed]]="",ABS(NETWORKDAYS(Proc[[#This Row],[DateOpened]],TODAY()))-1,ABS(NETWORKDAYS(Proc[[#This Row],[DateOpened]],Proc[[#This Row],[DateClosed]]))-1)</f>
        <v>26</v>
      </c>
      <c r="R1664" s="92" t="s">
        <v>489</v>
      </c>
      <c r="S1664" s="87"/>
    </row>
    <row r="1665" spans="1:19" hidden="1">
      <c r="A1665" s="91" t="s">
        <v>3405</v>
      </c>
      <c r="B1665" s="87" t="str">
        <f>IFERROR(VLOOKUP(Proc[[#This Row],[App]],Table2[],3,0),"open")</f>
        <v>ok</v>
      </c>
      <c r="C1665" s="91" t="s">
        <v>369</v>
      </c>
      <c r="D1665" t="s">
        <v>3427</v>
      </c>
      <c r="E1665" t="s">
        <v>3516</v>
      </c>
      <c r="F1665" s="105" t="s">
        <v>3516</v>
      </c>
      <c r="G1665" s="91" t="s">
        <v>400</v>
      </c>
      <c r="H1665" s="87" t="str">
        <f>IF(Proc[[#This Row],[type]]="LFF (MDG-F)",MID(Proc[[#This Row],[Obj]],13,10),"")</f>
        <v/>
      </c>
      <c r="J1665" s="87" t="b">
        <f>Proc[[#This Row],[Requested]]=Proc[[#This Row],[CurrentParent]]</f>
        <v>1</v>
      </c>
      <c r="K1665" s="87" t="str">
        <f>IF(Proc[[#This Row],[Author]]="Marcela Urrego",VLOOKUP(LEFT(Proc[[#This Row],[Requested]],1),Table3[#All],2,0),VLOOKUP(Proc[[#This Row],[Author]],Table4[],2,0))</f>
        <v>LS</v>
      </c>
      <c r="L1665" s="87" t="s">
        <v>2563</v>
      </c>
      <c r="M1665" s="89">
        <v>45801.263680555552</v>
      </c>
      <c r="N1665" s="89"/>
      <c r="O1665" s="89"/>
      <c r="P1665" s="92" t="str">
        <f ca="1">IF(Proc[[#This Row],[DaysAgeing]]&gt;5,"yep","on track")</f>
        <v>yep</v>
      </c>
      <c r="Q1665" s="3">
        <f ca="1">IF(Proc[[#This Row],[DateClosed]]="",ABS(NETWORKDAYS(Proc[[#This Row],[DateOpened]],TODAY()))-1,ABS(NETWORKDAYS(Proc[[#This Row],[DateOpened]],Proc[[#This Row],[DateClosed]]))-1)</f>
        <v>26</v>
      </c>
      <c r="R1665" s="92" t="s">
        <v>489</v>
      </c>
      <c r="S1665" s="87"/>
    </row>
    <row r="1666" spans="1:19" hidden="1">
      <c r="A1666" s="91" t="s">
        <v>3405</v>
      </c>
      <c r="B1666" s="87" t="str">
        <f>IFERROR(VLOOKUP(Proc[[#This Row],[App]],Table2[],3,0),"open")</f>
        <v>ok</v>
      </c>
      <c r="C1666" s="91" t="s">
        <v>369</v>
      </c>
      <c r="D1666" t="s">
        <v>3428</v>
      </c>
      <c r="E1666" t="s">
        <v>3526</v>
      </c>
      <c r="F1666" s="105" t="s">
        <v>3526</v>
      </c>
      <c r="G1666" s="91" t="s">
        <v>400</v>
      </c>
      <c r="H1666" s="87" t="str">
        <f>IF(Proc[[#This Row],[type]]="LFF (MDG-F)",MID(Proc[[#This Row],[Obj]],13,10),"")</f>
        <v/>
      </c>
      <c r="J1666" s="87" t="b">
        <f>Proc[[#This Row],[Requested]]=Proc[[#This Row],[CurrentParent]]</f>
        <v>1</v>
      </c>
      <c r="K1666" s="87" t="str">
        <f>IF(Proc[[#This Row],[Author]]="Marcela Urrego",VLOOKUP(LEFT(Proc[[#This Row],[Requested]],1),Table3[#All],2,0),VLOOKUP(Proc[[#This Row],[Author]],Table4[],2,0))</f>
        <v>LS</v>
      </c>
      <c r="L1666" s="87" t="s">
        <v>2563</v>
      </c>
      <c r="M1666" s="89">
        <v>45801.263680555552</v>
      </c>
      <c r="N1666" s="89"/>
      <c r="O1666" s="89"/>
      <c r="P1666" s="92" t="str">
        <f ca="1">IF(Proc[[#This Row],[DaysAgeing]]&gt;5,"yep","on track")</f>
        <v>yep</v>
      </c>
      <c r="Q1666" s="3">
        <f ca="1">IF(Proc[[#This Row],[DateClosed]]="",ABS(NETWORKDAYS(Proc[[#This Row],[DateOpened]],TODAY()))-1,ABS(NETWORKDAYS(Proc[[#This Row],[DateOpened]],Proc[[#This Row],[DateClosed]]))-1)</f>
        <v>26</v>
      </c>
      <c r="R1666" s="92" t="s">
        <v>489</v>
      </c>
      <c r="S1666" s="87"/>
    </row>
    <row r="1667" spans="1:19" hidden="1">
      <c r="A1667" s="91" t="s">
        <v>3405</v>
      </c>
      <c r="B1667" s="87" t="str">
        <f>IFERROR(VLOOKUP(Proc[[#This Row],[App]],Table2[],3,0),"open")</f>
        <v>ok</v>
      </c>
      <c r="C1667" s="91" t="s">
        <v>369</v>
      </c>
      <c r="D1667" t="s">
        <v>3429</v>
      </c>
      <c r="E1667" t="s">
        <v>3516</v>
      </c>
      <c r="F1667" s="105" t="s">
        <v>3516</v>
      </c>
      <c r="G1667" s="91" t="s">
        <v>400</v>
      </c>
      <c r="H1667" s="87" t="str">
        <f>IF(Proc[[#This Row],[type]]="LFF (MDG-F)",MID(Proc[[#This Row],[Obj]],13,10),"")</f>
        <v/>
      </c>
      <c r="J1667" s="87" t="b">
        <f>Proc[[#This Row],[Requested]]=Proc[[#This Row],[CurrentParent]]</f>
        <v>1</v>
      </c>
      <c r="K1667" s="87" t="str">
        <f>IF(Proc[[#This Row],[Author]]="Marcela Urrego",VLOOKUP(LEFT(Proc[[#This Row],[Requested]],1),Table3[#All],2,0),VLOOKUP(Proc[[#This Row],[Author]],Table4[],2,0))</f>
        <v>LS</v>
      </c>
      <c r="L1667" s="87" t="s">
        <v>2563</v>
      </c>
      <c r="M1667" s="89">
        <v>45801.263680555552</v>
      </c>
      <c r="N1667" s="89"/>
      <c r="O1667" s="89"/>
      <c r="P1667" s="92" t="str">
        <f ca="1">IF(Proc[[#This Row],[DaysAgeing]]&gt;5,"yep","on track")</f>
        <v>yep</v>
      </c>
      <c r="Q1667" s="3">
        <f ca="1">IF(Proc[[#This Row],[DateClosed]]="",ABS(NETWORKDAYS(Proc[[#This Row],[DateOpened]],TODAY()))-1,ABS(NETWORKDAYS(Proc[[#This Row],[DateOpened]],Proc[[#This Row],[DateClosed]]))-1)</f>
        <v>26</v>
      </c>
      <c r="R1667" s="92" t="s">
        <v>489</v>
      </c>
      <c r="S1667" s="87"/>
    </row>
    <row r="1668" spans="1:19" hidden="1">
      <c r="A1668" s="91" t="s">
        <v>3405</v>
      </c>
      <c r="B1668" s="87" t="str">
        <f>IFERROR(VLOOKUP(Proc[[#This Row],[App]],Table2[],3,0),"open")</f>
        <v>ok</v>
      </c>
      <c r="C1668" s="91" t="s">
        <v>369</v>
      </c>
      <c r="D1668" t="s">
        <v>3430</v>
      </c>
      <c r="E1668" t="s">
        <v>3527</v>
      </c>
      <c r="F1668" s="105" t="s">
        <v>3527</v>
      </c>
      <c r="G1668" s="91" t="s">
        <v>400</v>
      </c>
      <c r="H1668" s="87" t="str">
        <f>IF(Proc[[#This Row],[type]]="LFF (MDG-F)",MID(Proc[[#This Row],[Obj]],13,10),"")</f>
        <v/>
      </c>
      <c r="J1668" s="87" t="b">
        <f>Proc[[#This Row],[Requested]]=Proc[[#This Row],[CurrentParent]]</f>
        <v>1</v>
      </c>
      <c r="K1668" s="87" t="str">
        <f>IF(Proc[[#This Row],[Author]]="Marcela Urrego",VLOOKUP(LEFT(Proc[[#This Row],[Requested]],1),Table3[#All],2,0),VLOOKUP(Proc[[#This Row],[Author]],Table4[],2,0))</f>
        <v>LS</v>
      </c>
      <c r="L1668" s="87" t="s">
        <v>2563</v>
      </c>
      <c r="M1668" s="89">
        <v>45801.263680555552</v>
      </c>
      <c r="N1668" s="89"/>
      <c r="O1668" s="89"/>
      <c r="P1668" s="92" t="str">
        <f ca="1">IF(Proc[[#This Row],[DaysAgeing]]&gt;5,"yep","on track")</f>
        <v>yep</v>
      </c>
      <c r="Q1668" s="3">
        <f ca="1">IF(Proc[[#This Row],[DateClosed]]="",ABS(NETWORKDAYS(Proc[[#This Row],[DateOpened]],TODAY()))-1,ABS(NETWORKDAYS(Proc[[#This Row],[DateOpened]],Proc[[#This Row],[DateClosed]]))-1)</f>
        <v>26</v>
      </c>
      <c r="R1668" s="92" t="s">
        <v>489</v>
      </c>
      <c r="S1668" s="87"/>
    </row>
    <row r="1669" spans="1:19" hidden="1">
      <c r="A1669" s="91" t="s">
        <v>3405</v>
      </c>
      <c r="B1669" s="87" t="str">
        <f>IFERROR(VLOOKUP(Proc[[#This Row],[App]],Table2[],3,0),"open")</f>
        <v>ok</v>
      </c>
      <c r="C1669" s="91" t="s">
        <v>369</v>
      </c>
      <c r="D1669" t="s">
        <v>3190</v>
      </c>
      <c r="E1669" t="s">
        <v>1514</v>
      </c>
      <c r="F1669" s="105" t="s">
        <v>1514</v>
      </c>
      <c r="G1669" t="s">
        <v>406</v>
      </c>
      <c r="H1669" s="87" t="str">
        <f>IF(Proc[[#This Row],[type]]="LFF (MDG-F)",MID(Proc[[#This Row],[Obj]],13,10),"")</f>
        <v>KE50C0FF10</v>
      </c>
      <c r="I1669" t="s">
        <v>1198</v>
      </c>
      <c r="J1669" s="87" t="b">
        <f>Proc[[#This Row],[Requested]]=Proc[[#This Row],[CurrentParent]]</f>
        <v>1</v>
      </c>
      <c r="K1669" s="87" t="str">
        <f>IF(Proc[[#This Row],[Author]]="Marcela Urrego",VLOOKUP(LEFT(Proc[[#This Row],[Requested]],1),Table3[#All],2,0),VLOOKUP(Proc[[#This Row],[Author]],Table4[],2,0))</f>
        <v>LS</v>
      </c>
      <c r="L1669" s="87" t="s">
        <v>2563</v>
      </c>
      <c r="M1669" s="89">
        <v>45801.263680555552</v>
      </c>
      <c r="N1669" s="89">
        <v>45806</v>
      </c>
      <c r="O1669" s="89">
        <v>45806</v>
      </c>
      <c r="P1669" s="92" t="str">
        <f ca="1">IF(Proc[[#This Row],[DaysAgeing]]&gt;5,"yep","on track")</f>
        <v>on track</v>
      </c>
      <c r="Q1669" s="3">
        <f ca="1">IF(Proc[[#This Row],[DateClosed]]="",ABS(NETWORKDAYS(Proc[[#This Row],[DateOpened]],TODAY()))-1,ABS(NETWORKDAYS(Proc[[#This Row],[DateOpened]],Proc[[#This Row],[DateClosed]]))-1)</f>
        <v>3</v>
      </c>
      <c r="R1669" s="92" t="s">
        <v>489</v>
      </c>
      <c r="S1669" s="87"/>
    </row>
    <row r="1670" spans="1:19" hidden="1">
      <c r="A1670" s="91" t="s">
        <v>3405</v>
      </c>
      <c r="B1670" s="87" t="str">
        <f>IFERROR(VLOOKUP(Proc[[#This Row],[App]],Table2[],3,0),"open")</f>
        <v>ok</v>
      </c>
      <c r="C1670" s="91" t="s">
        <v>369</v>
      </c>
      <c r="D1670" t="s">
        <v>3431</v>
      </c>
      <c r="E1670" t="s">
        <v>2371</v>
      </c>
      <c r="F1670" s="105" t="s">
        <v>2371</v>
      </c>
      <c r="G1670" s="91" t="s">
        <v>406</v>
      </c>
      <c r="H1670" s="87" t="str">
        <f>IF(Proc[[#This Row],[type]]="LFF (MDG-F)",MID(Proc[[#This Row],[Obj]],13,10),"")</f>
        <v>1756C00005</v>
      </c>
      <c r="I1670" t="s">
        <v>3559</v>
      </c>
      <c r="J1670" s="87" t="b">
        <f>Proc[[#This Row],[Requested]]=Proc[[#This Row],[CurrentParent]]</f>
        <v>1</v>
      </c>
      <c r="K1670" s="87" t="str">
        <f>IF(Proc[[#This Row],[Author]]="Marcela Urrego",VLOOKUP(LEFT(Proc[[#This Row],[Requested]],1),Table3[#All],2,0),VLOOKUP(Proc[[#This Row],[Author]],Table4[],2,0))</f>
        <v>LS</v>
      </c>
      <c r="L1670" s="87" t="s">
        <v>2563</v>
      </c>
      <c r="M1670" s="89">
        <v>45801.263680555552</v>
      </c>
      <c r="N1670" s="89">
        <v>45806</v>
      </c>
      <c r="O1670" s="89">
        <v>45806</v>
      </c>
      <c r="P1670" s="92" t="str">
        <f ca="1">IF(Proc[[#This Row],[DaysAgeing]]&gt;5,"yep","on track")</f>
        <v>on track</v>
      </c>
      <c r="Q1670" s="3">
        <f ca="1">IF(Proc[[#This Row],[DateClosed]]="",ABS(NETWORKDAYS(Proc[[#This Row],[DateOpened]],TODAY()))-1,ABS(NETWORKDAYS(Proc[[#This Row],[DateOpened]],Proc[[#This Row],[DateClosed]]))-1)</f>
        <v>3</v>
      </c>
      <c r="R1670" s="92" t="s">
        <v>489</v>
      </c>
      <c r="S1670" s="87"/>
    </row>
    <row r="1671" spans="1:19" hidden="1">
      <c r="A1671" s="91" t="s">
        <v>3405</v>
      </c>
      <c r="B1671" s="87" t="str">
        <f>IFERROR(VLOOKUP(Proc[[#This Row],[App]],Table2[],3,0),"open")</f>
        <v>ok</v>
      </c>
      <c r="C1671" s="91" t="s">
        <v>369</v>
      </c>
      <c r="D1671" t="s">
        <v>3432</v>
      </c>
      <c r="E1671" t="s">
        <v>3526</v>
      </c>
      <c r="F1671" s="105" t="s">
        <v>3526</v>
      </c>
      <c r="G1671" s="91" t="s">
        <v>406</v>
      </c>
      <c r="H1671" s="87" t="str">
        <f>IF(Proc[[#This Row],[type]]="LFF (MDG-F)",MID(Proc[[#This Row],[Obj]],13,10),"")</f>
        <v>1756CS7063</v>
      </c>
      <c r="I1671" t="s">
        <v>3559</v>
      </c>
      <c r="J1671" s="87" t="b">
        <f>Proc[[#This Row],[Requested]]=Proc[[#This Row],[CurrentParent]]</f>
        <v>1</v>
      </c>
      <c r="K1671" s="87" t="str">
        <f>IF(Proc[[#This Row],[Author]]="Marcela Urrego",VLOOKUP(LEFT(Proc[[#This Row],[Requested]],1),Table3[#All],2,0),VLOOKUP(Proc[[#This Row],[Author]],Table4[],2,0))</f>
        <v>LS</v>
      </c>
      <c r="L1671" s="87" t="s">
        <v>2563</v>
      </c>
      <c r="M1671" s="89">
        <v>45801.263680555552</v>
      </c>
      <c r="N1671" s="89">
        <v>45806</v>
      </c>
      <c r="O1671" s="89">
        <v>45806</v>
      </c>
      <c r="P1671" s="92" t="str">
        <f ca="1">IF(Proc[[#This Row],[DaysAgeing]]&gt;5,"yep","on track")</f>
        <v>on track</v>
      </c>
      <c r="Q1671" s="3">
        <f ca="1">IF(Proc[[#This Row],[DateClosed]]="",ABS(NETWORKDAYS(Proc[[#This Row],[DateOpened]],TODAY()))-1,ABS(NETWORKDAYS(Proc[[#This Row],[DateOpened]],Proc[[#This Row],[DateClosed]]))-1)</f>
        <v>3</v>
      </c>
      <c r="R1671" s="92" t="s">
        <v>489</v>
      </c>
      <c r="S1671" s="87"/>
    </row>
    <row r="1672" spans="1:19" hidden="1">
      <c r="A1672" s="91" t="s">
        <v>3405</v>
      </c>
      <c r="B1672" s="87" t="str">
        <f>IFERROR(VLOOKUP(Proc[[#This Row],[App]],Table2[],3,0),"open")</f>
        <v>ok</v>
      </c>
      <c r="C1672" s="91" t="s">
        <v>369</v>
      </c>
      <c r="D1672" t="s">
        <v>3433</v>
      </c>
      <c r="E1672" t="s">
        <v>3528</v>
      </c>
      <c r="F1672" s="105" t="s">
        <v>3528</v>
      </c>
      <c r="G1672" s="91" t="s">
        <v>406</v>
      </c>
      <c r="H1672" s="87" t="str">
        <f>IF(Proc[[#This Row],[type]]="LFF (MDG-F)",MID(Proc[[#This Row],[Obj]],13,10),"")</f>
        <v>1756CS7346</v>
      </c>
      <c r="I1672" t="s">
        <v>3559</v>
      </c>
      <c r="J1672" s="87" t="b">
        <f>Proc[[#This Row],[Requested]]=Proc[[#This Row],[CurrentParent]]</f>
        <v>1</v>
      </c>
      <c r="K1672" s="87" t="str">
        <f>IF(Proc[[#This Row],[Author]]="Marcela Urrego",VLOOKUP(LEFT(Proc[[#This Row],[Requested]],1),Table3[#All],2,0),VLOOKUP(Proc[[#This Row],[Author]],Table4[],2,0))</f>
        <v>LS</v>
      </c>
      <c r="L1672" s="87" t="s">
        <v>2563</v>
      </c>
      <c r="M1672" s="89">
        <v>45801.263680555552</v>
      </c>
      <c r="N1672" s="89">
        <v>45806</v>
      </c>
      <c r="O1672" s="89">
        <v>45806</v>
      </c>
      <c r="P1672" s="92" t="str">
        <f ca="1">IF(Proc[[#This Row],[DaysAgeing]]&gt;5,"yep","on track")</f>
        <v>on track</v>
      </c>
      <c r="Q1672" s="3">
        <f ca="1">IF(Proc[[#This Row],[DateClosed]]="",ABS(NETWORKDAYS(Proc[[#This Row],[DateOpened]],TODAY()))-1,ABS(NETWORKDAYS(Proc[[#This Row],[DateOpened]],Proc[[#This Row],[DateClosed]]))-1)</f>
        <v>3</v>
      </c>
      <c r="R1672" s="92" t="s">
        <v>489</v>
      </c>
      <c r="S1672" s="87"/>
    </row>
    <row r="1673" spans="1:19" hidden="1">
      <c r="A1673" s="91" t="s">
        <v>3405</v>
      </c>
      <c r="B1673" s="87" t="str">
        <f>IFERROR(VLOOKUP(Proc[[#This Row],[App]],Table2[],3,0),"open")</f>
        <v>ok</v>
      </c>
      <c r="C1673" s="91" t="s">
        <v>369</v>
      </c>
      <c r="D1673" t="s">
        <v>3434</v>
      </c>
      <c r="E1673" t="s">
        <v>3529</v>
      </c>
      <c r="F1673" s="105" t="s">
        <v>3529</v>
      </c>
      <c r="G1673" s="91" t="s">
        <v>406</v>
      </c>
      <c r="H1673" s="87" t="str">
        <f>IF(Proc[[#This Row],[type]]="LFF (MDG-F)",MID(Proc[[#This Row],[Obj]],13,10),"")</f>
        <v>1756OF0007</v>
      </c>
      <c r="I1673" t="s">
        <v>3559</v>
      </c>
      <c r="J1673" s="87" t="b">
        <f>Proc[[#This Row],[Requested]]=Proc[[#This Row],[CurrentParent]]</f>
        <v>1</v>
      </c>
      <c r="K1673" s="87" t="str">
        <f>IF(Proc[[#This Row],[Author]]="Marcela Urrego",VLOOKUP(LEFT(Proc[[#This Row],[Requested]],1),Table3[#All],2,0),VLOOKUP(Proc[[#This Row],[Author]],Table4[],2,0))</f>
        <v>LS</v>
      </c>
      <c r="L1673" s="87" t="s">
        <v>2563</v>
      </c>
      <c r="M1673" s="89">
        <v>45801.263680555552</v>
      </c>
      <c r="N1673" s="89">
        <v>45806</v>
      </c>
      <c r="O1673" s="89">
        <v>45806</v>
      </c>
      <c r="P1673" s="92" t="str">
        <f ca="1">IF(Proc[[#This Row],[DaysAgeing]]&gt;5,"yep","on track")</f>
        <v>on track</v>
      </c>
      <c r="Q1673" s="3">
        <f ca="1">IF(Proc[[#This Row],[DateClosed]]="",ABS(NETWORKDAYS(Proc[[#This Row],[DateOpened]],TODAY()))-1,ABS(NETWORKDAYS(Proc[[#This Row],[DateOpened]],Proc[[#This Row],[DateClosed]]))-1)</f>
        <v>3</v>
      </c>
      <c r="R1673" s="92" t="s">
        <v>489</v>
      </c>
      <c r="S1673" s="87"/>
    </row>
    <row r="1674" spans="1:19" hidden="1">
      <c r="A1674" s="91" t="s">
        <v>3405</v>
      </c>
      <c r="B1674" s="87" t="str">
        <f>IFERROR(VLOOKUP(Proc[[#This Row],[App]],Table2[],3,0),"open")</f>
        <v>ok</v>
      </c>
      <c r="C1674" s="91" t="s">
        <v>369</v>
      </c>
      <c r="D1674" t="s">
        <v>3435</v>
      </c>
      <c r="E1674" t="s">
        <v>3530</v>
      </c>
      <c r="F1674" s="105" t="s">
        <v>3530</v>
      </c>
      <c r="G1674" s="91" t="s">
        <v>406</v>
      </c>
      <c r="H1674" s="87" t="str">
        <f>IF(Proc[[#This Row],[type]]="LFF (MDG-F)",MID(Proc[[#This Row],[Obj]],13,10),"")</f>
        <v>1937L52686</v>
      </c>
      <c r="I1674" t="s">
        <v>3559</v>
      </c>
      <c r="J1674" s="87" t="b">
        <f>Proc[[#This Row],[Requested]]=Proc[[#This Row],[CurrentParent]]</f>
        <v>1</v>
      </c>
      <c r="K1674" s="87" t="str">
        <f>IF(Proc[[#This Row],[Author]]="Marcela Urrego",VLOOKUP(LEFT(Proc[[#This Row],[Requested]],1),Table3[#All],2,0),VLOOKUP(Proc[[#This Row],[Author]],Table4[],2,0))</f>
        <v>LS</v>
      </c>
      <c r="L1674" s="87" t="s">
        <v>2563</v>
      </c>
      <c r="M1674" s="89">
        <v>45801.263680555552</v>
      </c>
      <c r="N1674" s="89">
        <v>45806</v>
      </c>
      <c r="O1674" s="89">
        <v>45806</v>
      </c>
      <c r="P1674" s="92" t="str">
        <f ca="1">IF(Proc[[#This Row],[DaysAgeing]]&gt;5,"yep","on track")</f>
        <v>on track</v>
      </c>
      <c r="Q1674" s="3">
        <f ca="1">IF(Proc[[#This Row],[DateClosed]]="",ABS(NETWORKDAYS(Proc[[#This Row],[DateOpened]],TODAY()))-1,ABS(NETWORKDAYS(Proc[[#This Row],[DateOpened]],Proc[[#This Row],[DateClosed]]))-1)</f>
        <v>3</v>
      </c>
      <c r="R1674" s="92" t="s">
        <v>489</v>
      </c>
      <c r="S1674" s="87"/>
    </row>
    <row r="1675" spans="1:19" hidden="1">
      <c r="A1675" s="91" t="s">
        <v>3405</v>
      </c>
      <c r="B1675" s="87" t="str">
        <f>IFERROR(VLOOKUP(Proc[[#This Row],[App]],Table2[],3,0),"open")</f>
        <v>ok</v>
      </c>
      <c r="C1675" s="91" t="s">
        <v>369</v>
      </c>
      <c r="D1675" t="s">
        <v>3436</v>
      </c>
      <c r="E1675" t="s">
        <v>3517</v>
      </c>
      <c r="F1675" s="105" t="s">
        <v>3517</v>
      </c>
      <c r="G1675" s="91" t="s">
        <v>406</v>
      </c>
      <c r="H1675" s="87" t="str">
        <f>IF(Proc[[#This Row],[type]]="LFF (MDG-F)",MID(Proc[[#This Row],[Obj]],13,10),"")</f>
        <v>2025C01122</v>
      </c>
      <c r="I1675" t="s">
        <v>3559</v>
      </c>
      <c r="J1675" s="87" t="b">
        <f>Proc[[#This Row],[Requested]]=Proc[[#This Row],[CurrentParent]]</f>
        <v>1</v>
      </c>
      <c r="K1675" s="87" t="str">
        <f>IF(Proc[[#This Row],[Author]]="Marcela Urrego",VLOOKUP(LEFT(Proc[[#This Row],[Requested]],1),Table3[#All],2,0),VLOOKUP(Proc[[#This Row],[Author]],Table4[],2,0))</f>
        <v>LS</v>
      </c>
      <c r="L1675" s="87" t="s">
        <v>2563</v>
      </c>
      <c r="M1675" s="89">
        <v>45801.263680555552</v>
      </c>
      <c r="N1675" s="89">
        <v>45806</v>
      </c>
      <c r="O1675" s="89">
        <v>45806</v>
      </c>
      <c r="P1675" s="92" t="str">
        <f ca="1">IF(Proc[[#This Row],[DaysAgeing]]&gt;5,"yep","on track")</f>
        <v>on track</v>
      </c>
      <c r="Q1675" s="3">
        <f ca="1">IF(Proc[[#This Row],[DateClosed]]="",ABS(NETWORKDAYS(Proc[[#This Row],[DateOpened]],TODAY()))-1,ABS(NETWORKDAYS(Proc[[#This Row],[DateOpened]],Proc[[#This Row],[DateClosed]]))-1)</f>
        <v>3</v>
      </c>
      <c r="R1675" s="92" t="s">
        <v>489</v>
      </c>
      <c r="S1675" s="87"/>
    </row>
    <row r="1676" spans="1:19" hidden="1">
      <c r="A1676" s="91" t="s">
        <v>3405</v>
      </c>
      <c r="B1676" s="87" t="str">
        <f>IFERROR(VLOOKUP(Proc[[#This Row],[App]],Table2[],3,0),"open")</f>
        <v>ok</v>
      </c>
      <c r="C1676" s="91" t="s">
        <v>369</v>
      </c>
      <c r="D1676" t="s">
        <v>3437</v>
      </c>
      <c r="E1676" t="s">
        <v>3531</v>
      </c>
      <c r="F1676" s="105" t="s">
        <v>3531</v>
      </c>
      <c r="G1676" s="91" t="s">
        <v>406</v>
      </c>
      <c r="H1676" s="87" t="str">
        <f>IF(Proc[[#This Row],[type]]="LFF (MDG-F)",MID(Proc[[#This Row],[Obj]],13,10),"")</f>
        <v>2063C05891</v>
      </c>
      <c r="I1676" t="s">
        <v>3559</v>
      </c>
      <c r="J1676" s="87" t="b">
        <f>Proc[[#This Row],[Requested]]=Proc[[#This Row],[CurrentParent]]</f>
        <v>1</v>
      </c>
      <c r="K1676" s="87" t="str">
        <f>IF(Proc[[#This Row],[Author]]="Marcela Urrego",VLOOKUP(LEFT(Proc[[#This Row],[Requested]],1),Table3[#All],2,0),VLOOKUP(Proc[[#This Row],[Author]],Table4[],2,0))</f>
        <v>LS</v>
      </c>
      <c r="L1676" s="87" t="s">
        <v>2563</v>
      </c>
      <c r="M1676" s="89">
        <v>45801.263680555552</v>
      </c>
      <c r="N1676" s="89">
        <v>45806</v>
      </c>
      <c r="O1676" s="89">
        <v>45806</v>
      </c>
      <c r="P1676" s="92" t="str">
        <f ca="1">IF(Proc[[#This Row],[DaysAgeing]]&gt;5,"yep","on track")</f>
        <v>on track</v>
      </c>
      <c r="Q1676" s="3">
        <f ca="1">IF(Proc[[#This Row],[DateClosed]]="",ABS(NETWORKDAYS(Proc[[#This Row],[DateOpened]],TODAY()))-1,ABS(NETWORKDAYS(Proc[[#This Row],[DateOpened]],Proc[[#This Row],[DateClosed]]))-1)</f>
        <v>3</v>
      </c>
      <c r="R1676" s="92" t="s">
        <v>489</v>
      </c>
      <c r="S1676" s="87"/>
    </row>
    <row r="1677" spans="1:19" hidden="1">
      <c r="A1677" s="91" t="s">
        <v>3405</v>
      </c>
      <c r="B1677" s="87" t="str">
        <f>IFERROR(VLOOKUP(Proc[[#This Row],[App]],Table2[],3,0),"open")</f>
        <v>ok</v>
      </c>
      <c r="C1677" s="91" t="s">
        <v>369</v>
      </c>
      <c r="D1677" t="s">
        <v>3438</v>
      </c>
      <c r="E1677" t="s">
        <v>3532</v>
      </c>
      <c r="F1677" s="105" t="s">
        <v>3532</v>
      </c>
      <c r="G1677" s="91" t="s">
        <v>406</v>
      </c>
      <c r="H1677" s="87" t="str">
        <f>IF(Proc[[#This Row],[type]]="LFF (MDG-F)",MID(Proc[[#This Row],[Obj]],13,10),"")</f>
        <v>2063C06245</v>
      </c>
      <c r="I1677" t="s">
        <v>3559</v>
      </c>
      <c r="J1677" s="87" t="b">
        <f>Proc[[#This Row],[Requested]]=Proc[[#This Row],[CurrentParent]]</f>
        <v>1</v>
      </c>
      <c r="K1677" s="87" t="str">
        <f>IF(Proc[[#This Row],[Author]]="Marcela Urrego",VLOOKUP(LEFT(Proc[[#This Row],[Requested]],1),Table3[#All],2,0),VLOOKUP(Proc[[#This Row],[Author]],Table4[],2,0))</f>
        <v>LS</v>
      </c>
      <c r="L1677" s="87" t="s">
        <v>2563</v>
      </c>
      <c r="M1677" s="89">
        <v>45801.263680555552</v>
      </c>
      <c r="N1677" s="89">
        <v>45806</v>
      </c>
      <c r="O1677" s="89">
        <v>45806</v>
      </c>
      <c r="P1677" s="92" t="str">
        <f ca="1">IF(Proc[[#This Row],[DaysAgeing]]&gt;5,"yep","on track")</f>
        <v>on track</v>
      </c>
      <c r="Q1677" s="3">
        <f ca="1">IF(Proc[[#This Row],[DateClosed]]="",ABS(NETWORKDAYS(Proc[[#This Row],[DateOpened]],TODAY()))-1,ABS(NETWORKDAYS(Proc[[#This Row],[DateOpened]],Proc[[#This Row],[DateClosed]]))-1)</f>
        <v>3</v>
      </c>
      <c r="R1677" s="92" t="s">
        <v>489</v>
      </c>
      <c r="S1677" s="87"/>
    </row>
    <row r="1678" spans="1:19" hidden="1">
      <c r="A1678" s="91" t="s">
        <v>3405</v>
      </c>
      <c r="B1678" s="87" t="str">
        <f>IFERROR(VLOOKUP(Proc[[#This Row],[App]],Table2[],3,0),"open")</f>
        <v>ok</v>
      </c>
      <c r="C1678" s="91" t="s">
        <v>369</v>
      </c>
      <c r="D1678" t="s">
        <v>3439</v>
      </c>
      <c r="E1678" t="s">
        <v>3533</v>
      </c>
      <c r="F1678" s="105" t="s">
        <v>3533</v>
      </c>
      <c r="G1678" s="91" t="s">
        <v>406</v>
      </c>
      <c r="H1678" s="87" t="str">
        <f>IF(Proc[[#This Row],[type]]="LFF (MDG-F)",MID(Proc[[#This Row],[Obj]],13,10),"")</f>
        <v>2088C00662</v>
      </c>
      <c r="I1678" t="s">
        <v>3559</v>
      </c>
      <c r="J1678" s="87" t="b">
        <f>Proc[[#This Row],[Requested]]=Proc[[#This Row],[CurrentParent]]</f>
        <v>1</v>
      </c>
      <c r="K1678" s="87" t="str">
        <f>IF(Proc[[#This Row],[Author]]="Marcela Urrego",VLOOKUP(LEFT(Proc[[#This Row],[Requested]],1),Table3[#All],2,0),VLOOKUP(Proc[[#This Row],[Author]],Table4[],2,0))</f>
        <v>LS</v>
      </c>
      <c r="L1678" s="87" t="s">
        <v>2563</v>
      </c>
      <c r="M1678" s="89">
        <v>45801.263680555552</v>
      </c>
      <c r="N1678" s="89">
        <v>45806</v>
      </c>
      <c r="O1678" s="89">
        <v>45806</v>
      </c>
      <c r="P1678" s="92" t="str">
        <f ca="1">IF(Proc[[#This Row],[DaysAgeing]]&gt;5,"yep","on track")</f>
        <v>on track</v>
      </c>
      <c r="Q1678" s="3">
        <f ca="1">IF(Proc[[#This Row],[DateClosed]]="",ABS(NETWORKDAYS(Proc[[#This Row],[DateOpened]],TODAY()))-1,ABS(NETWORKDAYS(Proc[[#This Row],[DateOpened]],Proc[[#This Row],[DateClosed]]))-1)</f>
        <v>3</v>
      </c>
      <c r="R1678" s="92" t="s">
        <v>489</v>
      </c>
      <c r="S1678" s="87"/>
    </row>
    <row r="1679" spans="1:19" hidden="1">
      <c r="A1679" s="91" t="s">
        <v>3405</v>
      </c>
      <c r="B1679" s="87" t="str">
        <f>IFERROR(VLOOKUP(Proc[[#This Row],[App]],Table2[],3,0),"open")</f>
        <v>ok</v>
      </c>
      <c r="C1679" s="91" t="s">
        <v>369</v>
      </c>
      <c r="D1679" t="s">
        <v>3440</v>
      </c>
      <c r="E1679" t="s">
        <v>3527</v>
      </c>
      <c r="F1679" s="105" t="s">
        <v>3527</v>
      </c>
      <c r="G1679" s="91" t="s">
        <v>406</v>
      </c>
      <c r="H1679" s="87" t="str">
        <f>IF(Proc[[#This Row],[type]]="LFF (MDG-F)",MID(Proc[[#This Row],[Obj]],13,10),"")</f>
        <v>2088L50001</v>
      </c>
      <c r="I1679" t="s">
        <v>3559</v>
      </c>
      <c r="J1679" s="87" t="b">
        <f>Proc[[#This Row],[Requested]]=Proc[[#This Row],[CurrentParent]]</f>
        <v>1</v>
      </c>
      <c r="K1679" s="87" t="str">
        <f>IF(Proc[[#This Row],[Author]]="Marcela Urrego",VLOOKUP(LEFT(Proc[[#This Row],[Requested]],1),Table3[#All],2,0),VLOOKUP(Proc[[#This Row],[Author]],Table4[],2,0))</f>
        <v>LS</v>
      </c>
      <c r="L1679" s="87" t="s">
        <v>2563</v>
      </c>
      <c r="M1679" s="89">
        <v>45801.263680555552</v>
      </c>
      <c r="N1679" s="89">
        <v>45806</v>
      </c>
      <c r="O1679" s="89">
        <v>45806</v>
      </c>
      <c r="P1679" s="92" t="str">
        <f ca="1">IF(Proc[[#This Row],[DaysAgeing]]&gt;5,"yep","on track")</f>
        <v>on track</v>
      </c>
      <c r="Q1679" s="3">
        <f ca="1">IF(Proc[[#This Row],[DateClosed]]="",ABS(NETWORKDAYS(Proc[[#This Row],[DateOpened]],TODAY()))-1,ABS(NETWORKDAYS(Proc[[#This Row],[DateOpened]],Proc[[#This Row],[DateClosed]]))-1)</f>
        <v>3</v>
      </c>
      <c r="R1679" s="92" t="s">
        <v>489</v>
      </c>
      <c r="S1679" s="87"/>
    </row>
    <row r="1680" spans="1:19" hidden="1">
      <c r="A1680" s="91" t="s">
        <v>3405</v>
      </c>
      <c r="B1680" s="87" t="str">
        <f>IFERROR(VLOOKUP(Proc[[#This Row],[App]],Table2[],3,0),"open")</f>
        <v>ok</v>
      </c>
      <c r="C1680" s="91" t="s">
        <v>369</v>
      </c>
      <c r="D1680" t="s">
        <v>3441</v>
      </c>
      <c r="E1680" t="s">
        <v>3532</v>
      </c>
      <c r="F1680" s="105" t="s">
        <v>3532</v>
      </c>
      <c r="G1680" s="91" t="s">
        <v>406</v>
      </c>
      <c r="H1680" s="87" t="str">
        <f>IF(Proc[[#This Row],[type]]="LFF (MDG-F)",MID(Proc[[#This Row],[Obj]],13,10),"")</f>
        <v>2102CS0020</v>
      </c>
      <c r="I1680" t="s">
        <v>3559</v>
      </c>
      <c r="J1680" s="87" t="b">
        <f>Proc[[#This Row],[Requested]]=Proc[[#This Row],[CurrentParent]]</f>
        <v>1</v>
      </c>
      <c r="K1680" s="87" t="str">
        <f>IF(Proc[[#This Row],[Author]]="Marcela Urrego",VLOOKUP(LEFT(Proc[[#This Row],[Requested]],1),Table3[#All],2,0),VLOOKUP(Proc[[#This Row],[Author]],Table4[],2,0))</f>
        <v>LS</v>
      </c>
      <c r="L1680" s="87" t="s">
        <v>2563</v>
      </c>
      <c r="M1680" s="89">
        <v>45801.263680555552</v>
      </c>
      <c r="N1680" s="89">
        <v>45806</v>
      </c>
      <c r="O1680" s="89">
        <v>45806</v>
      </c>
      <c r="P1680" s="92" t="str">
        <f ca="1">IF(Proc[[#This Row],[DaysAgeing]]&gt;5,"yep","on track")</f>
        <v>on track</v>
      </c>
      <c r="Q1680" s="3">
        <f ca="1">IF(Proc[[#This Row],[DateClosed]]="",ABS(NETWORKDAYS(Proc[[#This Row],[DateOpened]],TODAY()))-1,ABS(NETWORKDAYS(Proc[[#This Row],[DateOpened]],Proc[[#This Row],[DateClosed]]))-1)</f>
        <v>3</v>
      </c>
      <c r="R1680" s="92" t="s">
        <v>489</v>
      </c>
      <c r="S1680" s="87"/>
    </row>
    <row r="1681" spans="1:19" hidden="1">
      <c r="A1681" s="91" t="s">
        <v>3405</v>
      </c>
      <c r="B1681" s="87" t="str">
        <f>IFERROR(VLOOKUP(Proc[[#This Row],[App]],Table2[],3,0),"open")</f>
        <v>ok</v>
      </c>
      <c r="C1681" s="91" t="s">
        <v>369</v>
      </c>
      <c r="D1681" t="s">
        <v>3442</v>
      </c>
      <c r="E1681" t="s">
        <v>3532</v>
      </c>
      <c r="F1681" s="105" t="s">
        <v>3532</v>
      </c>
      <c r="G1681" s="91" t="s">
        <v>406</v>
      </c>
      <c r="H1681" s="87" t="str">
        <f>IF(Proc[[#This Row],[type]]="LFF (MDG-F)",MID(Proc[[#This Row],[Obj]],13,10),"")</f>
        <v>2102CS0713</v>
      </c>
      <c r="I1681" t="s">
        <v>3559</v>
      </c>
      <c r="J1681" s="87" t="b">
        <f>Proc[[#This Row],[Requested]]=Proc[[#This Row],[CurrentParent]]</f>
        <v>1</v>
      </c>
      <c r="K1681" s="87" t="str">
        <f>IF(Proc[[#This Row],[Author]]="Marcela Urrego",VLOOKUP(LEFT(Proc[[#This Row],[Requested]],1),Table3[#All],2,0),VLOOKUP(Proc[[#This Row],[Author]],Table4[],2,0))</f>
        <v>LS</v>
      </c>
      <c r="L1681" s="87" t="s">
        <v>2563</v>
      </c>
      <c r="M1681" s="89">
        <v>45801.263680555552</v>
      </c>
      <c r="N1681" s="89">
        <v>45806</v>
      </c>
      <c r="O1681" s="89">
        <v>45806</v>
      </c>
      <c r="P1681" s="92" t="str">
        <f ca="1">IF(Proc[[#This Row],[DaysAgeing]]&gt;5,"yep","on track")</f>
        <v>on track</v>
      </c>
      <c r="Q1681" s="3">
        <f ca="1">IF(Proc[[#This Row],[DateClosed]]="",ABS(NETWORKDAYS(Proc[[#This Row],[DateOpened]],TODAY()))-1,ABS(NETWORKDAYS(Proc[[#This Row],[DateOpened]],Proc[[#This Row],[DateClosed]]))-1)</f>
        <v>3</v>
      </c>
      <c r="R1681" s="92" t="s">
        <v>489</v>
      </c>
      <c r="S1681" s="87"/>
    </row>
    <row r="1682" spans="1:19" hidden="1">
      <c r="A1682" s="91" t="s">
        <v>3405</v>
      </c>
      <c r="B1682" s="87" t="str">
        <f>IFERROR(VLOOKUP(Proc[[#This Row],[App]],Table2[],3,0),"open")</f>
        <v>ok</v>
      </c>
      <c r="C1682" s="91" t="s">
        <v>369</v>
      </c>
      <c r="D1682" t="s">
        <v>3443</v>
      </c>
      <c r="E1682" t="s">
        <v>3527</v>
      </c>
      <c r="F1682" s="105" t="s">
        <v>3527</v>
      </c>
      <c r="G1682" s="91" t="s">
        <v>406</v>
      </c>
      <c r="H1682" s="87" t="str">
        <f>IF(Proc[[#This Row],[type]]="LFF (MDG-F)",MID(Proc[[#This Row],[Obj]],13,10),"")</f>
        <v>2102OF0002</v>
      </c>
      <c r="I1682" t="s">
        <v>3559</v>
      </c>
      <c r="J1682" s="87" t="b">
        <f>Proc[[#This Row],[Requested]]=Proc[[#This Row],[CurrentParent]]</f>
        <v>1</v>
      </c>
      <c r="K1682" s="87" t="str">
        <f>IF(Proc[[#This Row],[Author]]="Marcela Urrego",VLOOKUP(LEFT(Proc[[#This Row],[Requested]],1),Table3[#All],2,0),VLOOKUP(Proc[[#This Row],[Author]],Table4[],2,0))</f>
        <v>LS</v>
      </c>
      <c r="L1682" s="87" t="s">
        <v>2563</v>
      </c>
      <c r="M1682" s="89">
        <v>45801.263680555552</v>
      </c>
      <c r="N1682" s="89">
        <v>45806</v>
      </c>
      <c r="O1682" s="89">
        <v>45806</v>
      </c>
      <c r="P1682" s="92" t="str">
        <f ca="1">IF(Proc[[#This Row],[DaysAgeing]]&gt;5,"yep","on track")</f>
        <v>on track</v>
      </c>
      <c r="Q1682" s="3">
        <f ca="1">IF(Proc[[#This Row],[DateClosed]]="",ABS(NETWORKDAYS(Proc[[#This Row],[DateOpened]],TODAY()))-1,ABS(NETWORKDAYS(Proc[[#This Row],[DateOpened]],Proc[[#This Row],[DateClosed]]))-1)</f>
        <v>3</v>
      </c>
      <c r="R1682" s="92" t="s">
        <v>489</v>
      </c>
      <c r="S1682" s="87"/>
    </row>
    <row r="1683" spans="1:19" hidden="1">
      <c r="A1683" s="91" t="s">
        <v>3405</v>
      </c>
      <c r="B1683" s="87" t="str">
        <f>IFERROR(VLOOKUP(Proc[[#This Row],[App]],Table2[],3,0),"open")</f>
        <v>ok</v>
      </c>
      <c r="C1683" s="91" t="s">
        <v>369</v>
      </c>
      <c r="D1683" t="s">
        <v>3444</v>
      </c>
      <c r="E1683" t="s">
        <v>3532</v>
      </c>
      <c r="F1683" s="105" t="s">
        <v>3532</v>
      </c>
      <c r="G1683" s="91" t="s">
        <v>406</v>
      </c>
      <c r="H1683" s="87" t="str">
        <f>IF(Proc[[#This Row],[type]]="LFF (MDG-F)",MID(Proc[[#This Row],[Obj]],13,10),"")</f>
        <v>2102TESZ81</v>
      </c>
      <c r="I1683" t="s">
        <v>3559</v>
      </c>
      <c r="J1683" s="87" t="b">
        <f>Proc[[#This Row],[Requested]]=Proc[[#This Row],[CurrentParent]]</f>
        <v>1</v>
      </c>
      <c r="K1683" s="87" t="str">
        <f>IF(Proc[[#This Row],[Author]]="Marcela Urrego",VLOOKUP(LEFT(Proc[[#This Row],[Requested]],1),Table3[#All],2,0),VLOOKUP(Proc[[#This Row],[Author]],Table4[],2,0))</f>
        <v>LS</v>
      </c>
      <c r="L1683" s="87" t="s">
        <v>2563</v>
      </c>
      <c r="M1683" s="89">
        <v>45801.263680555552</v>
      </c>
      <c r="N1683" s="89">
        <v>45806</v>
      </c>
      <c r="O1683" s="89">
        <v>45806</v>
      </c>
      <c r="P1683" s="92" t="str">
        <f ca="1">IF(Proc[[#This Row],[DaysAgeing]]&gt;5,"yep","on track")</f>
        <v>on track</v>
      </c>
      <c r="Q1683" s="3">
        <f ca="1">IF(Proc[[#This Row],[DateClosed]]="",ABS(NETWORKDAYS(Proc[[#This Row],[DateOpened]],TODAY()))-1,ABS(NETWORKDAYS(Proc[[#This Row],[DateOpened]],Proc[[#This Row],[DateClosed]]))-1)</f>
        <v>3</v>
      </c>
      <c r="R1683" s="92" t="s">
        <v>489</v>
      </c>
      <c r="S1683" s="87"/>
    </row>
    <row r="1684" spans="1:19" hidden="1">
      <c r="A1684" s="91" t="s">
        <v>3405</v>
      </c>
      <c r="B1684" s="87" t="str">
        <f>IFERROR(VLOOKUP(Proc[[#This Row],[App]],Table2[],3,0),"open")</f>
        <v>ok</v>
      </c>
      <c r="C1684" s="91" t="s">
        <v>369</v>
      </c>
      <c r="D1684" t="s">
        <v>3445</v>
      </c>
      <c r="E1684" t="s">
        <v>3529</v>
      </c>
      <c r="F1684" s="105" t="s">
        <v>3529</v>
      </c>
      <c r="G1684" s="91" t="s">
        <v>406</v>
      </c>
      <c r="H1684" s="87" t="str">
        <f>IF(Proc[[#This Row],[type]]="LFF (MDG-F)",MID(Proc[[#This Row],[Obj]],13,10),"")</f>
        <v>2103OF0001</v>
      </c>
      <c r="I1684" t="s">
        <v>3559</v>
      </c>
      <c r="J1684" s="87" t="b">
        <f>Proc[[#This Row],[Requested]]=Proc[[#This Row],[CurrentParent]]</f>
        <v>1</v>
      </c>
      <c r="K1684" s="87" t="str">
        <f>IF(Proc[[#This Row],[Author]]="Marcela Urrego",VLOOKUP(LEFT(Proc[[#This Row],[Requested]],1),Table3[#All],2,0),VLOOKUP(Proc[[#This Row],[Author]],Table4[],2,0))</f>
        <v>LS</v>
      </c>
      <c r="L1684" s="87" t="s">
        <v>2563</v>
      </c>
      <c r="M1684" s="89">
        <v>45801.263680555552</v>
      </c>
      <c r="N1684" s="89">
        <v>45806</v>
      </c>
      <c r="O1684" s="89">
        <v>45806</v>
      </c>
      <c r="P1684" s="92" t="str">
        <f ca="1">IF(Proc[[#This Row],[DaysAgeing]]&gt;5,"yep","on track")</f>
        <v>on track</v>
      </c>
      <c r="Q1684" s="3">
        <f ca="1">IF(Proc[[#This Row],[DateClosed]]="",ABS(NETWORKDAYS(Proc[[#This Row],[DateOpened]],TODAY()))-1,ABS(NETWORKDAYS(Proc[[#This Row],[DateOpened]],Proc[[#This Row],[DateClosed]]))-1)</f>
        <v>3</v>
      </c>
      <c r="R1684" s="92" t="s">
        <v>489</v>
      </c>
      <c r="S1684" s="87"/>
    </row>
    <row r="1685" spans="1:19" hidden="1">
      <c r="A1685" s="91" t="s">
        <v>3405</v>
      </c>
      <c r="B1685" s="87" t="str">
        <f>IFERROR(VLOOKUP(Proc[[#This Row],[App]],Table2[],3,0),"open")</f>
        <v>ok</v>
      </c>
      <c r="C1685" s="91" t="s">
        <v>369</v>
      </c>
      <c r="D1685" t="s">
        <v>3446</v>
      </c>
      <c r="E1685" t="s">
        <v>3528</v>
      </c>
      <c r="F1685" s="105" t="s">
        <v>3528</v>
      </c>
      <c r="G1685" s="91" t="s">
        <v>406</v>
      </c>
      <c r="H1685" s="87" t="str">
        <f>IF(Proc[[#This Row],[type]]="LFF (MDG-F)",MID(Proc[[#This Row],[Obj]],13,10),"")</f>
        <v>2123C00049</v>
      </c>
      <c r="I1685" t="s">
        <v>3559</v>
      </c>
      <c r="J1685" s="87" t="b">
        <f>Proc[[#This Row],[Requested]]=Proc[[#This Row],[CurrentParent]]</f>
        <v>1</v>
      </c>
      <c r="K1685" s="87" t="str">
        <f>IF(Proc[[#This Row],[Author]]="Marcela Urrego",VLOOKUP(LEFT(Proc[[#This Row],[Requested]],1),Table3[#All],2,0),VLOOKUP(Proc[[#This Row],[Author]],Table4[],2,0))</f>
        <v>LS</v>
      </c>
      <c r="L1685" s="87" t="s">
        <v>2563</v>
      </c>
      <c r="M1685" s="89">
        <v>45801.263680555552</v>
      </c>
      <c r="N1685" s="89">
        <v>45806</v>
      </c>
      <c r="O1685" s="89">
        <v>45806</v>
      </c>
      <c r="P1685" s="92" t="str">
        <f ca="1">IF(Proc[[#This Row],[DaysAgeing]]&gt;5,"yep","on track")</f>
        <v>on track</v>
      </c>
      <c r="Q1685" s="3">
        <f ca="1">IF(Proc[[#This Row],[DateClosed]]="",ABS(NETWORKDAYS(Proc[[#This Row],[DateOpened]],TODAY()))-1,ABS(NETWORKDAYS(Proc[[#This Row],[DateOpened]],Proc[[#This Row],[DateClosed]]))-1)</f>
        <v>3</v>
      </c>
      <c r="R1685" s="92" t="s">
        <v>489</v>
      </c>
      <c r="S1685" s="87"/>
    </row>
    <row r="1686" spans="1:19" hidden="1">
      <c r="A1686" s="91" t="s">
        <v>3405</v>
      </c>
      <c r="B1686" s="87" t="str">
        <f>IFERROR(VLOOKUP(Proc[[#This Row],[App]],Table2[],3,0),"open")</f>
        <v>ok</v>
      </c>
      <c r="C1686" s="91" t="s">
        <v>369</v>
      </c>
      <c r="D1686" t="s">
        <v>3447</v>
      </c>
      <c r="E1686" t="s">
        <v>3534</v>
      </c>
      <c r="F1686" s="105" t="s">
        <v>3534</v>
      </c>
      <c r="G1686" s="91" t="s">
        <v>406</v>
      </c>
      <c r="H1686" s="87" t="str">
        <f>IF(Proc[[#This Row],[type]]="LFF (MDG-F)",MID(Proc[[#This Row],[Obj]],13,10),"")</f>
        <v>2123CS0002</v>
      </c>
      <c r="I1686" t="s">
        <v>3559</v>
      </c>
      <c r="J1686" s="87" t="b">
        <f>Proc[[#This Row],[Requested]]=Proc[[#This Row],[CurrentParent]]</f>
        <v>1</v>
      </c>
      <c r="K1686" s="87" t="str">
        <f>IF(Proc[[#This Row],[Author]]="Marcela Urrego",VLOOKUP(LEFT(Proc[[#This Row],[Requested]],1),Table3[#All],2,0),VLOOKUP(Proc[[#This Row],[Author]],Table4[],2,0))</f>
        <v>LS</v>
      </c>
      <c r="L1686" s="87" t="s">
        <v>2563</v>
      </c>
      <c r="M1686" s="89">
        <v>45801.263680555552</v>
      </c>
      <c r="N1686" s="89">
        <v>45806</v>
      </c>
      <c r="O1686" s="89">
        <v>45806</v>
      </c>
      <c r="P1686" s="92" t="str">
        <f ca="1">IF(Proc[[#This Row],[DaysAgeing]]&gt;5,"yep","on track")</f>
        <v>on track</v>
      </c>
      <c r="Q1686" s="3">
        <f ca="1">IF(Proc[[#This Row],[DateClosed]]="",ABS(NETWORKDAYS(Proc[[#This Row],[DateOpened]],TODAY()))-1,ABS(NETWORKDAYS(Proc[[#This Row],[DateOpened]],Proc[[#This Row],[DateClosed]]))-1)</f>
        <v>3</v>
      </c>
      <c r="R1686" s="92" t="s">
        <v>489</v>
      </c>
      <c r="S1686" s="87"/>
    </row>
    <row r="1687" spans="1:19" hidden="1">
      <c r="A1687" s="91" t="s">
        <v>3405</v>
      </c>
      <c r="B1687" s="87" t="str">
        <f>IFERROR(VLOOKUP(Proc[[#This Row],[App]],Table2[],3,0),"open")</f>
        <v>ok</v>
      </c>
      <c r="C1687" s="91" t="s">
        <v>369</v>
      </c>
      <c r="D1687" t="s">
        <v>3448</v>
      </c>
      <c r="E1687" t="s">
        <v>3520</v>
      </c>
      <c r="F1687" s="105" t="s">
        <v>3520</v>
      </c>
      <c r="G1687" s="91" t="s">
        <v>406</v>
      </c>
      <c r="H1687" s="87" t="str">
        <f>IF(Proc[[#This Row],[type]]="LFF (MDG-F)",MID(Proc[[#This Row],[Obj]],13,10),"")</f>
        <v>2123L50008</v>
      </c>
      <c r="I1687" t="s">
        <v>3559</v>
      </c>
      <c r="J1687" s="87" t="b">
        <f>Proc[[#This Row],[Requested]]=Proc[[#This Row],[CurrentParent]]</f>
        <v>1</v>
      </c>
      <c r="K1687" s="87" t="str">
        <f>IF(Proc[[#This Row],[Author]]="Marcela Urrego",VLOOKUP(LEFT(Proc[[#This Row],[Requested]],1),Table3[#All],2,0),VLOOKUP(Proc[[#This Row],[Author]],Table4[],2,0))</f>
        <v>LS</v>
      </c>
      <c r="L1687" s="87" t="s">
        <v>2563</v>
      </c>
      <c r="M1687" s="89">
        <v>45801.263680555552</v>
      </c>
      <c r="N1687" s="89">
        <v>45806</v>
      </c>
      <c r="O1687" s="89">
        <v>45806</v>
      </c>
      <c r="P1687" s="92" t="str">
        <f ca="1">IF(Proc[[#This Row],[DaysAgeing]]&gt;5,"yep","on track")</f>
        <v>on track</v>
      </c>
      <c r="Q1687" s="3">
        <f ca="1">IF(Proc[[#This Row],[DateClosed]]="",ABS(NETWORKDAYS(Proc[[#This Row],[DateOpened]],TODAY()))-1,ABS(NETWORKDAYS(Proc[[#This Row],[DateOpened]],Proc[[#This Row],[DateClosed]]))-1)</f>
        <v>3</v>
      </c>
      <c r="R1687" s="92" t="s">
        <v>489</v>
      </c>
      <c r="S1687" s="87"/>
    </row>
    <row r="1688" spans="1:19" hidden="1">
      <c r="A1688" s="91" t="s">
        <v>3405</v>
      </c>
      <c r="B1688" s="87" t="str">
        <f>IFERROR(VLOOKUP(Proc[[#This Row],[App]],Table2[],3,0),"open")</f>
        <v>ok</v>
      </c>
      <c r="C1688" s="91" t="s">
        <v>369</v>
      </c>
      <c r="D1688" t="s">
        <v>3449</v>
      </c>
      <c r="E1688" t="s">
        <v>3535</v>
      </c>
      <c r="F1688" s="105" t="s">
        <v>3535</v>
      </c>
      <c r="G1688" s="91" t="s">
        <v>406</v>
      </c>
      <c r="H1688" s="87" t="str">
        <f>IF(Proc[[#This Row],[type]]="LFF (MDG-F)",MID(Proc[[#This Row],[Obj]],13,10),"")</f>
        <v>2125C00005</v>
      </c>
      <c r="I1688" t="s">
        <v>3559</v>
      </c>
      <c r="J1688" s="87" t="b">
        <f>Proc[[#This Row],[Requested]]=Proc[[#This Row],[CurrentParent]]</f>
        <v>1</v>
      </c>
      <c r="K1688" s="87" t="str">
        <f>IF(Proc[[#This Row],[Author]]="Marcela Urrego",VLOOKUP(LEFT(Proc[[#This Row],[Requested]],1),Table3[#All],2,0),VLOOKUP(Proc[[#This Row],[Author]],Table4[],2,0))</f>
        <v>LS</v>
      </c>
      <c r="L1688" s="87" t="s">
        <v>2563</v>
      </c>
      <c r="M1688" s="89">
        <v>45801.263680555552</v>
      </c>
      <c r="N1688" s="89">
        <v>45806</v>
      </c>
      <c r="O1688" s="89">
        <v>45806</v>
      </c>
      <c r="P1688" s="92" t="str">
        <f ca="1">IF(Proc[[#This Row],[DaysAgeing]]&gt;5,"yep","on track")</f>
        <v>on track</v>
      </c>
      <c r="Q1688" s="3">
        <f ca="1">IF(Proc[[#This Row],[DateClosed]]="",ABS(NETWORKDAYS(Proc[[#This Row],[DateOpened]],TODAY()))-1,ABS(NETWORKDAYS(Proc[[#This Row],[DateOpened]],Proc[[#This Row],[DateClosed]]))-1)</f>
        <v>3</v>
      </c>
      <c r="R1688" s="92" t="s">
        <v>489</v>
      </c>
      <c r="S1688" s="87"/>
    </row>
    <row r="1689" spans="1:19" hidden="1">
      <c r="A1689" s="91" t="s">
        <v>3405</v>
      </c>
      <c r="B1689" s="87" t="str">
        <f>IFERROR(VLOOKUP(Proc[[#This Row],[App]],Table2[],3,0),"open")</f>
        <v>ok</v>
      </c>
      <c r="C1689" s="91" t="s">
        <v>369</v>
      </c>
      <c r="D1689" t="s">
        <v>3450</v>
      </c>
      <c r="E1689" t="s">
        <v>3517</v>
      </c>
      <c r="F1689" s="105" t="s">
        <v>3517</v>
      </c>
      <c r="G1689" s="91" t="s">
        <v>406</v>
      </c>
      <c r="H1689" s="87" t="str">
        <f>IF(Proc[[#This Row],[type]]="LFF (MDG-F)",MID(Proc[[#This Row],[Obj]],13,10),"")</f>
        <v>2128C00002</v>
      </c>
      <c r="I1689" t="s">
        <v>3559</v>
      </c>
      <c r="J1689" s="87" t="b">
        <f>Proc[[#This Row],[Requested]]=Proc[[#This Row],[CurrentParent]]</f>
        <v>1</v>
      </c>
      <c r="K1689" s="87" t="str">
        <f>IF(Proc[[#This Row],[Author]]="Marcela Urrego",VLOOKUP(LEFT(Proc[[#This Row],[Requested]],1),Table3[#All],2,0),VLOOKUP(Proc[[#This Row],[Author]],Table4[],2,0))</f>
        <v>LS</v>
      </c>
      <c r="L1689" s="87" t="s">
        <v>2563</v>
      </c>
      <c r="M1689" s="89">
        <v>45801.263680555552</v>
      </c>
      <c r="N1689" s="89">
        <v>45806</v>
      </c>
      <c r="O1689" s="89">
        <v>45806</v>
      </c>
      <c r="P1689" s="92" t="str">
        <f ca="1">IF(Proc[[#This Row],[DaysAgeing]]&gt;5,"yep","on track")</f>
        <v>on track</v>
      </c>
      <c r="Q1689" s="3">
        <f ca="1">IF(Proc[[#This Row],[DateClosed]]="",ABS(NETWORKDAYS(Proc[[#This Row],[DateOpened]],TODAY()))-1,ABS(NETWORKDAYS(Proc[[#This Row],[DateOpened]],Proc[[#This Row],[DateClosed]]))-1)</f>
        <v>3</v>
      </c>
      <c r="R1689" s="92" t="s">
        <v>489</v>
      </c>
      <c r="S1689" s="87"/>
    </row>
    <row r="1690" spans="1:19" hidden="1">
      <c r="A1690" s="91" t="s">
        <v>3405</v>
      </c>
      <c r="B1690" s="87" t="str">
        <f>IFERROR(VLOOKUP(Proc[[#This Row],[App]],Table2[],3,0),"open")</f>
        <v>ok</v>
      </c>
      <c r="C1690" s="91" t="s">
        <v>369</v>
      </c>
      <c r="D1690" t="s">
        <v>3451</v>
      </c>
      <c r="E1690" t="s">
        <v>3536</v>
      </c>
      <c r="F1690" s="105" t="s">
        <v>3536</v>
      </c>
      <c r="G1690" s="91" t="s">
        <v>406</v>
      </c>
      <c r="H1690" s="87" t="str">
        <f>IF(Proc[[#This Row],[type]]="LFF (MDG-F)",MID(Proc[[#This Row],[Obj]],13,10),"")</f>
        <v>2137TPM813</v>
      </c>
      <c r="I1690" t="s">
        <v>3559</v>
      </c>
      <c r="J1690" s="87" t="b">
        <f>Proc[[#This Row],[Requested]]=Proc[[#This Row],[CurrentParent]]</f>
        <v>1</v>
      </c>
      <c r="K1690" s="87" t="str">
        <f>IF(Proc[[#This Row],[Author]]="Marcela Urrego",VLOOKUP(LEFT(Proc[[#This Row],[Requested]],1),Table3[#All],2,0),VLOOKUP(Proc[[#This Row],[Author]],Table4[],2,0))</f>
        <v>LS</v>
      </c>
      <c r="L1690" s="87" t="s">
        <v>2563</v>
      </c>
      <c r="M1690" s="89">
        <v>45801.263680555552</v>
      </c>
      <c r="N1690" s="89">
        <v>45806</v>
      </c>
      <c r="O1690" s="89">
        <v>45806</v>
      </c>
      <c r="P1690" s="92" t="str">
        <f ca="1">IF(Proc[[#This Row],[DaysAgeing]]&gt;5,"yep","on track")</f>
        <v>on track</v>
      </c>
      <c r="Q1690" s="3">
        <f ca="1">IF(Proc[[#This Row],[DateClosed]]="",ABS(NETWORKDAYS(Proc[[#This Row],[DateOpened]],TODAY()))-1,ABS(NETWORKDAYS(Proc[[#This Row],[DateOpened]],Proc[[#This Row],[DateClosed]]))-1)</f>
        <v>3</v>
      </c>
      <c r="R1690" s="92" t="s">
        <v>489</v>
      </c>
      <c r="S1690" s="87"/>
    </row>
    <row r="1691" spans="1:19" hidden="1">
      <c r="A1691" s="91" t="s">
        <v>3405</v>
      </c>
      <c r="B1691" s="87" t="str">
        <f>IFERROR(VLOOKUP(Proc[[#This Row],[App]],Table2[],3,0),"open")</f>
        <v>ok</v>
      </c>
      <c r="C1691" s="91" t="s">
        <v>369</v>
      </c>
      <c r="D1691" t="s">
        <v>3452</v>
      </c>
      <c r="E1691" t="s">
        <v>3536</v>
      </c>
      <c r="F1691" s="105" t="s">
        <v>3536</v>
      </c>
      <c r="G1691" s="91" t="s">
        <v>406</v>
      </c>
      <c r="H1691" s="87" t="str">
        <f>IF(Proc[[#This Row],[type]]="LFF (MDG-F)",MID(Proc[[#This Row],[Obj]],13,10),"")</f>
        <v>2137TPM819</v>
      </c>
      <c r="I1691" t="s">
        <v>3559</v>
      </c>
      <c r="J1691" s="87" t="b">
        <f>Proc[[#This Row],[Requested]]=Proc[[#This Row],[CurrentParent]]</f>
        <v>1</v>
      </c>
      <c r="K1691" s="87" t="str">
        <f>IF(Proc[[#This Row],[Author]]="Marcela Urrego",VLOOKUP(LEFT(Proc[[#This Row],[Requested]],1),Table3[#All],2,0),VLOOKUP(Proc[[#This Row],[Author]],Table4[],2,0))</f>
        <v>LS</v>
      </c>
      <c r="L1691" s="87" t="s">
        <v>2563</v>
      </c>
      <c r="M1691" s="89">
        <v>45801.263680555552</v>
      </c>
      <c r="N1691" s="89">
        <v>45806</v>
      </c>
      <c r="O1691" s="89">
        <v>45806</v>
      </c>
      <c r="P1691" s="92" t="str">
        <f ca="1">IF(Proc[[#This Row],[DaysAgeing]]&gt;5,"yep","on track")</f>
        <v>on track</v>
      </c>
      <c r="Q1691" s="3">
        <f ca="1">IF(Proc[[#This Row],[DateClosed]]="",ABS(NETWORKDAYS(Proc[[#This Row],[DateOpened]],TODAY()))-1,ABS(NETWORKDAYS(Proc[[#This Row],[DateOpened]],Proc[[#This Row],[DateClosed]]))-1)</f>
        <v>3</v>
      </c>
      <c r="R1691" s="92" t="s">
        <v>489</v>
      </c>
      <c r="S1691" s="87"/>
    </row>
    <row r="1692" spans="1:19" hidden="1">
      <c r="A1692" s="91" t="s">
        <v>3405</v>
      </c>
      <c r="B1692" s="87" t="str">
        <f>IFERROR(VLOOKUP(Proc[[#This Row],[App]],Table2[],3,0),"open")</f>
        <v>ok</v>
      </c>
      <c r="C1692" s="91" t="s">
        <v>369</v>
      </c>
      <c r="D1692" t="s">
        <v>3453</v>
      </c>
      <c r="E1692" t="s">
        <v>3530</v>
      </c>
      <c r="F1692" s="105" t="s">
        <v>3530</v>
      </c>
      <c r="G1692" s="91" t="s">
        <v>406</v>
      </c>
      <c r="H1692" s="87" t="str">
        <f>IF(Proc[[#This Row],[type]]="LFF (MDG-F)",MID(Proc[[#This Row],[Obj]],13,10),"")</f>
        <v>2148L50220</v>
      </c>
      <c r="I1692" t="s">
        <v>3559</v>
      </c>
      <c r="J1692" s="87" t="b">
        <f>Proc[[#This Row],[Requested]]=Proc[[#This Row],[CurrentParent]]</f>
        <v>1</v>
      </c>
      <c r="K1692" s="87" t="str">
        <f>IF(Proc[[#This Row],[Author]]="Marcela Urrego",VLOOKUP(LEFT(Proc[[#This Row],[Requested]],1),Table3[#All],2,0),VLOOKUP(Proc[[#This Row],[Author]],Table4[],2,0))</f>
        <v>LS</v>
      </c>
      <c r="L1692" s="87" t="s">
        <v>2563</v>
      </c>
      <c r="M1692" s="89">
        <v>45801.263680555552</v>
      </c>
      <c r="N1692" s="89">
        <v>45806</v>
      </c>
      <c r="O1692" s="89">
        <v>45806</v>
      </c>
      <c r="P1692" s="92" t="str">
        <f ca="1">IF(Proc[[#This Row],[DaysAgeing]]&gt;5,"yep","on track")</f>
        <v>on track</v>
      </c>
      <c r="Q1692" s="3">
        <f ca="1">IF(Proc[[#This Row],[DateClosed]]="",ABS(NETWORKDAYS(Proc[[#This Row],[DateOpened]],TODAY()))-1,ABS(NETWORKDAYS(Proc[[#This Row],[DateOpened]],Proc[[#This Row],[DateClosed]]))-1)</f>
        <v>3</v>
      </c>
      <c r="R1692" s="92" t="s">
        <v>489</v>
      </c>
      <c r="S1692" s="87"/>
    </row>
    <row r="1693" spans="1:19" hidden="1">
      <c r="A1693" s="91" t="s">
        <v>3405</v>
      </c>
      <c r="B1693" s="87" t="str">
        <f>IFERROR(VLOOKUP(Proc[[#This Row],[App]],Table2[],3,0),"open")</f>
        <v>ok</v>
      </c>
      <c r="C1693" s="91" t="s">
        <v>369</v>
      </c>
      <c r="D1693" t="s">
        <v>3454</v>
      </c>
      <c r="E1693" t="s">
        <v>3529</v>
      </c>
      <c r="F1693" s="105" t="s">
        <v>3529</v>
      </c>
      <c r="G1693" s="91" t="s">
        <v>400</v>
      </c>
      <c r="H1693" s="87" t="str">
        <f>IF(Proc[[#This Row],[type]]="LFF (MDG-F)",MID(Proc[[#This Row],[Obj]],13,10),"")</f>
        <v/>
      </c>
      <c r="J1693" s="87" t="b">
        <f>Proc[[#This Row],[Requested]]=Proc[[#This Row],[CurrentParent]]</f>
        <v>1</v>
      </c>
      <c r="K1693" s="87" t="str">
        <f>IF(Proc[[#This Row],[Author]]="Marcela Urrego",VLOOKUP(LEFT(Proc[[#This Row],[Requested]],1),Table3[#All],2,0),VLOOKUP(Proc[[#This Row],[Author]],Table4[],2,0))</f>
        <v>LS</v>
      </c>
      <c r="L1693" s="87" t="s">
        <v>2563</v>
      </c>
      <c r="M1693" s="89">
        <v>45801.263680555552</v>
      </c>
      <c r="N1693" s="89"/>
      <c r="O1693" s="89"/>
      <c r="P1693" s="92" t="str">
        <f ca="1">IF(Proc[[#This Row],[DaysAgeing]]&gt;5,"yep","on track")</f>
        <v>yep</v>
      </c>
      <c r="Q1693" s="3">
        <f ca="1">IF(Proc[[#This Row],[DateClosed]]="",ABS(NETWORKDAYS(Proc[[#This Row],[DateOpened]],TODAY()))-1,ABS(NETWORKDAYS(Proc[[#This Row],[DateOpened]],Proc[[#This Row],[DateClosed]]))-1)</f>
        <v>26</v>
      </c>
      <c r="R1693" s="92" t="s">
        <v>489</v>
      </c>
      <c r="S1693" s="87"/>
    </row>
    <row r="1694" spans="1:19" hidden="1">
      <c r="A1694" s="91" t="s">
        <v>3405</v>
      </c>
      <c r="B1694" s="87" t="str">
        <f>IFERROR(VLOOKUP(Proc[[#This Row],[App]],Table2[],3,0),"open")</f>
        <v>ok</v>
      </c>
      <c r="C1694" s="91" t="s">
        <v>369</v>
      </c>
      <c r="D1694" t="s">
        <v>3455</v>
      </c>
      <c r="E1694" t="s">
        <v>3518</v>
      </c>
      <c r="F1694" s="105" t="s">
        <v>3518</v>
      </c>
      <c r="G1694" s="91" t="s">
        <v>400</v>
      </c>
      <c r="H1694" s="87" t="str">
        <f>IF(Proc[[#This Row],[type]]="LFF (MDG-F)",MID(Proc[[#This Row],[Obj]],13,10),"")</f>
        <v/>
      </c>
      <c r="J1694" s="87" t="b">
        <f>Proc[[#This Row],[Requested]]=Proc[[#This Row],[CurrentParent]]</f>
        <v>1</v>
      </c>
      <c r="K1694" s="87" t="str">
        <f>IF(Proc[[#This Row],[Author]]="Marcela Urrego",VLOOKUP(LEFT(Proc[[#This Row],[Requested]],1),Table3[#All],2,0),VLOOKUP(Proc[[#This Row],[Author]],Table4[],2,0))</f>
        <v>LS</v>
      </c>
      <c r="L1694" s="87" t="s">
        <v>2563</v>
      </c>
      <c r="M1694" s="89">
        <v>45801.263680555552</v>
      </c>
      <c r="N1694" s="89"/>
      <c r="O1694" s="89"/>
      <c r="P1694" s="92" t="str">
        <f ca="1">IF(Proc[[#This Row],[DaysAgeing]]&gt;5,"yep","on track")</f>
        <v>yep</v>
      </c>
      <c r="Q1694" s="3">
        <f ca="1">IF(Proc[[#This Row],[DateClosed]]="",ABS(NETWORKDAYS(Proc[[#This Row],[DateOpened]],TODAY()))-1,ABS(NETWORKDAYS(Proc[[#This Row],[DateOpened]],Proc[[#This Row],[DateClosed]]))-1)</f>
        <v>26</v>
      </c>
      <c r="R1694" s="92" t="s">
        <v>489</v>
      </c>
      <c r="S1694" s="87"/>
    </row>
    <row r="1695" spans="1:19" hidden="1">
      <c r="A1695" s="91" t="s">
        <v>3405</v>
      </c>
      <c r="B1695" s="87" t="str">
        <f>IFERROR(VLOOKUP(Proc[[#This Row],[App]],Table2[],3,0),"open")</f>
        <v>ok</v>
      </c>
      <c r="C1695" s="91" t="s">
        <v>369</v>
      </c>
      <c r="D1695" t="s">
        <v>3456</v>
      </c>
      <c r="E1695" t="s">
        <v>3517</v>
      </c>
      <c r="F1695" s="105" t="s">
        <v>3517</v>
      </c>
      <c r="G1695" s="91" t="s">
        <v>400</v>
      </c>
      <c r="H1695" s="87" t="str">
        <f>IF(Proc[[#This Row],[type]]="LFF (MDG-F)",MID(Proc[[#This Row],[Obj]],13,10),"")</f>
        <v/>
      </c>
      <c r="J1695" s="87" t="b">
        <f>Proc[[#This Row],[Requested]]=Proc[[#This Row],[CurrentParent]]</f>
        <v>1</v>
      </c>
      <c r="K1695" s="87" t="str">
        <f>IF(Proc[[#This Row],[Author]]="Marcela Urrego",VLOOKUP(LEFT(Proc[[#This Row],[Requested]],1),Table3[#All],2,0),VLOOKUP(Proc[[#This Row],[Author]],Table4[],2,0))</f>
        <v>LS</v>
      </c>
      <c r="L1695" s="87" t="s">
        <v>2563</v>
      </c>
      <c r="M1695" s="89">
        <v>45801.263680555552</v>
      </c>
      <c r="N1695" s="89"/>
      <c r="O1695" s="89"/>
      <c r="P1695" s="92" t="str">
        <f ca="1">IF(Proc[[#This Row],[DaysAgeing]]&gt;5,"yep","on track")</f>
        <v>yep</v>
      </c>
      <c r="Q1695" s="3">
        <f ca="1">IF(Proc[[#This Row],[DateClosed]]="",ABS(NETWORKDAYS(Proc[[#This Row],[DateOpened]],TODAY()))-1,ABS(NETWORKDAYS(Proc[[#This Row],[DateOpened]],Proc[[#This Row],[DateClosed]]))-1)</f>
        <v>26</v>
      </c>
      <c r="R1695" s="92" t="s">
        <v>489</v>
      </c>
      <c r="S1695" s="87"/>
    </row>
    <row r="1696" spans="1:19" hidden="1">
      <c r="A1696" s="91" t="s">
        <v>3405</v>
      </c>
      <c r="B1696" s="87" t="str">
        <f>IFERROR(VLOOKUP(Proc[[#This Row],[App]],Table2[],3,0),"open")</f>
        <v>ok</v>
      </c>
      <c r="C1696" s="91" t="s">
        <v>369</v>
      </c>
      <c r="D1696" t="s">
        <v>3457</v>
      </c>
      <c r="E1696" t="s">
        <v>3515</v>
      </c>
      <c r="F1696" s="105" t="s">
        <v>3515</v>
      </c>
      <c r="G1696" s="91" t="s">
        <v>400</v>
      </c>
      <c r="H1696" s="87" t="str">
        <f>IF(Proc[[#This Row],[type]]="LFF (MDG-F)",MID(Proc[[#This Row],[Obj]],13,10),"")</f>
        <v/>
      </c>
      <c r="J1696" s="87" t="b">
        <f>Proc[[#This Row],[Requested]]=Proc[[#This Row],[CurrentParent]]</f>
        <v>1</v>
      </c>
      <c r="K1696" s="87" t="str">
        <f>IF(Proc[[#This Row],[Author]]="Marcela Urrego",VLOOKUP(LEFT(Proc[[#This Row],[Requested]],1),Table3[#All],2,0),VLOOKUP(Proc[[#This Row],[Author]],Table4[],2,0))</f>
        <v>LS</v>
      </c>
      <c r="L1696" s="87" t="s">
        <v>2563</v>
      </c>
      <c r="M1696" s="89">
        <v>45801.263680555552</v>
      </c>
      <c r="N1696" s="89"/>
      <c r="O1696" s="89"/>
      <c r="P1696" s="92" t="str">
        <f ca="1">IF(Proc[[#This Row],[DaysAgeing]]&gt;5,"yep","on track")</f>
        <v>yep</v>
      </c>
      <c r="Q1696" s="3">
        <f ca="1">IF(Proc[[#This Row],[DateClosed]]="",ABS(NETWORKDAYS(Proc[[#This Row],[DateOpened]],TODAY()))-1,ABS(NETWORKDAYS(Proc[[#This Row],[DateOpened]],Proc[[#This Row],[DateClosed]]))-1)</f>
        <v>26</v>
      </c>
      <c r="R1696" s="92" t="s">
        <v>489</v>
      </c>
      <c r="S1696" s="87"/>
    </row>
    <row r="1697" spans="1:19" hidden="1">
      <c r="A1697" s="91" t="s">
        <v>3405</v>
      </c>
      <c r="B1697" s="87" t="str">
        <f>IFERROR(VLOOKUP(Proc[[#This Row],[App]],Table2[],3,0),"open")</f>
        <v>ok</v>
      </c>
      <c r="C1697" s="91" t="s">
        <v>369</v>
      </c>
      <c r="D1697" t="s">
        <v>3458</v>
      </c>
      <c r="E1697" t="s">
        <v>3532</v>
      </c>
      <c r="F1697" s="105" t="s">
        <v>3532</v>
      </c>
      <c r="G1697" s="91" t="s">
        <v>400</v>
      </c>
      <c r="H1697" s="87" t="str">
        <f>IF(Proc[[#This Row],[type]]="LFF (MDG-F)",MID(Proc[[#This Row],[Obj]],13,10),"")</f>
        <v/>
      </c>
      <c r="J1697" s="87" t="b">
        <f>Proc[[#This Row],[Requested]]=Proc[[#This Row],[CurrentParent]]</f>
        <v>1</v>
      </c>
      <c r="K1697" s="87" t="str">
        <f>IF(Proc[[#This Row],[Author]]="Marcela Urrego",VLOOKUP(LEFT(Proc[[#This Row],[Requested]],1),Table3[#All],2,0),VLOOKUP(Proc[[#This Row],[Author]],Table4[],2,0))</f>
        <v>LS</v>
      </c>
      <c r="L1697" s="87" t="s">
        <v>2563</v>
      </c>
      <c r="M1697" s="89">
        <v>45801.263680555552</v>
      </c>
      <c r="N1697" s="89"/>
      <c r="O1697" s="89"/>
      <c r="P1697" s="92" t="str">
        <f ca="1">IF(Proc[[#This Row],[DaysAgeing]]&gt;5,"yep","on track")</f>
        <v>yep</v>
      </c>
      <c r="Q1697" s="3">
        <f ca="1">IF(Proc[[#This Row],[DateClosed]]="",ABS(NETWORKDAYS(Proc[[#This Row],[DateOpened]],TODAY()))-1,ABS(NETWORKDAYS(Proc[[#This Row],[DateOpened]],Proc[[#This Row],[DateClosed]]))-1)</f>
        <v>26</v>
      </c>
      <c r="R1697" s="92" t="s">
        <v>489</v>
      </c>
      <c r="S1697" s="87"/>
    </row>
    <row r="1698" spans="1:19" hidden="1">
      <c r="A1698" s="91" t="s">
        <v>3405</v>
      </c>
      <c r="B1698" s="87" t="str">
        <f>IFERROR(VLOOKUP(Proc[[#This Row],[App]],Table2[],3,0),"open")</f>
        <v>ok</v>
      </c>
      <c r="C1698" s="91" t="s">
        <v>369</v>
      </c>
      <c r="D1698" t="s">
        <v>3459</v>
      </c>
      <c r="E1698" t="s">
        <v>3532</v>
      </c>
      <c r="F1698" s="105" t="s">
        <v>3532</v>
      </c>
      <c r="G1698" s="91" t="s">
        <v>400</v>
      </c>
      <c r="H1698" s="87" t="str">
        <f>IF(Proc[[#This Row],[type]]="LFF (MDG-F)",MID(Proc[[#This Row],[Obj]],13,10),"")</f>
        <v/>
      </c>
      <c r="J1698" s="87" t="b">
        <f>Proc[[#This Row],[Requested]]=Proc[[#This Row],[CurrentParent]]</f>
        <v>1</v>
      </c>
      <c r="K1698" s="87" t="str">
        <f>IF(Proc[[#This Row],[Author]]="Marcela Urrego",VLOOKUP(LEFT(Proc[[#This Row],[Requested]],1),Table3[#All],2,0),VLOOKUP(Proc[[#This Row],[Author]],Table4[],2,0))</f>
        <v>LS</v>
      </c>
      <c r="L1698" s="87" t="s">
        <v>2563</v>
      </c>
      <c r="M1698" s="89">
        <v>45801.263680555552</v>
      </c>
      <c r="N1698" s="89"/>
      <c r="O1698" s="89"/>
      <c r="P1698" s="92" t="str">
        <f ca="1">IF(Proc[[#This Row],[DaysAgeing]]&gt;5,"yep","on track")</f>
        <v>yep</v>
      </c>
      <c r="Q1698" s="3">
        <f ca="1">IF(Proc[[#This Row],[DateClosed]]="",ABS(NETWORKDAYS(Proc[[#This Row],[DateOpened]],TODAY()))-1,ABS(NETWORKDAYS(Proc[[#This Row],[DateOpened]],Proc[[#This Row],[DateClosed]]))-1)</f>
        <v>26</v>
      </c>
      <c r="R1698" s="92" t="s">
        <v>489</v>
      </c>
      <c r="S1698" s="87"/>
    </row>
    <row r="1699" spans="1:19" hidden="1">
      <c r="A1699" s="91" t="s">
        <v>3405</v>
      </c>
      <c r="B1699" s="87" t="str">
        <f>IFERROR(VLOOKUP(Proc[[#This Row],[App]],Table2[],3,0),"open")</f>
        <v>ok</v>
      </c>
      <c r="C1699" s="91" t="s">
        <v>369</v>
      </c>
      <c r="D1699" t="s">
        <v>3460</v>
      </c>
      <c r="E1699" t="s">
        <v>3535</v>
      </c>
      <c r="F1699" s="105" t="s">
        <v>3535</v>
      </c>
      <c r="G1699" s="91" t="s">
        <v>400</v>
      </c>
      <c r="H1699" s="87" t="str">
        <f>IF(Proc[[#This Row],[type]]="LFF (MDG-F)",MID(Proc[[#This Row],[Obj]],13,10),"")</f>
        <v/>
      </c>
      <c r="J1699" s="87" t="b">
        <f>Proc[[#This Row],[Requested]]=Proc[[#This Row],[CurrentParent]]</f>
        <v>1</v>
      </c>
      <c r="K1699" s="87" t="str">
        <f>IF(Proc[[#This Row],[Author]]="Marcela Urrego",VLOOKUP(LEFT(Proc[[#This Row],[Requested]],1),Table3[#All],2,0),VLOOKUP(Proc[[#This Row],[Author]],Table4[],2,0))</f>
        <v>LS</v>
      </c>
      <c r="L1699" s="87" t="s">
        <v>2563</v>
      </c>
      <c r="M1699" s="89">
        <v>45801.263680555552</v>
      </c>
      <c r="N1699" s="89"/>
      <c r="O1699" s="89"/>
      <c r="P1699" s="92" t="str">
        <f ca="1">IF(Proc[[#This Row],[DaysAgeing]]&gt;5,"yep","on track")</f>
        <v>yep</v>
      </c>
      <c r="Q1699" s="3">
        <f ca="1">IF(Proc[[#This Row],[DateClosed]]="",ABS(NETWORKDAYS(Proc[[#This Row],[DateOpened]],TODAY()))-1,ABS(NETWORKDAYS(Proc[[#This Row],[DateOpened]],Proc[[#This Row],[DateClosed]]))-1)</f>
        <v>26</v>
      </c>
      <c r="R1699" s="92" t="s">
        <v>489</v>
      </c>
      <c r="S1699" s="87"/>
    </row>
    <row r="1700" spans="1:19" hidden="1">
      <c r="A1700" s="91" t="s">
        <v>3405</v>
      </c>
      <c r="B1700" s="87" t="str">
        <f>IFERROR(VLOOKUP(Proc[[#This Row],[App]],Table2[],3,0),"open")</f>
        <v>ok</v>
      </c>
      <c r="C1700" s="91" t="s">
        <v>369</v>
      </c>
      <c r="D1700" t="s">
        <v>3461</v>
      </c>
      <c r="E1700" t="s">
        <v>3517</v>
      </c>
      <c r="F1700" s="105" t="s">
        <v>3517</v>
      </c>
      <c r="G1700" s="91" t="s">
        <v>400</v>
      </c>
      <c r="H1700" s="87" t="str">
        <f>IF(Proc[[#This Row],[type]]="LFF (MDG-F)",MID(Proc[[#This Row],[Obj]],13,10),"")</f>
        <v/>
      </c>
      <c r="J1700" s="87" t="b">
        <f>Proc[[#This Row],[Requested]]=Proc[[#This Row],[CurrentParent]]</f>
        <v>1</v>
      </c>
      <c r="K1700" s="87" t="str">
        <f>IF(Proc[[#This Row],[Author]]="Marcela Urrego",VLOOKUP(LEFT(Proc[[#This Row],[Requested]],1),Table3[#All],2,0),VLOOKUP(Proc[[#This Row],[Author]],Table4[],2,0))</f>
        <v>LS</v>
      </c>
      <c r="L1700" s="87" t="s">
        <v>2563</v>
      </c>
      <c r="M1700" s="89">
        <v>45801.263680555552</v>
      </c>
      <c r="N1700" s="89"/>
      <c r="O1700" s="89"/>
      <c r="P1700" s="92" t="str">
        <f ca="1">IF(Proc[[#This Row],[DaysAgeing]]&gt;5,"yep","on track")</f>
        <v>yep</v>
      </c>
      <c r="Q1700" s="3">
        <f ca="1">IF(Proc[[#This Row],[DateClosed]]="",ABS(NETWORKDAYS(Proc[[#This Row],[DateOpened]],TODAY()))-1,ABS(NETWORKDAYS(Proc[[#This Row],[DateOpened]],Proc[[#This Row],[DateClosed]]))-1)</f>
        <v>26</v>
      </c>
      <c r="R1700" s="92" t="s">
        <v>489</v>
      </c>
      <c r="S1700" s="87"/>
    </row>
    <row r="1701" spans="1:19" hidden="1">
      <c r="A1701" s="91" t="s">
        <v>3405</v>
      </c>
      <c r="B1701" s="87" t="str">
        <f>IFERROR(VLOOKUP(Proc[[#This Row],[App]],Table2[],3,0),"open")</f>
        <v>ok</v>
      </c>
      <c r="C1701" s="91" t="s">
        <v>369</v>
      </c>
      <c r="D1701" t="s">
        <v>3462</v>
      </c>
      <c r="E1701" t="s">
        <v>3515</v>
      </c>
      <c r="F1701" s="105" t="s">
        <v>3515</v>
      </c>
      <c r="G1701" s="91" t="s">
        <v>400</v>
      </c>
      <c r="H1701" s="87" t="str">
        <f>IF(Proc[[#This Row],[type]]="LFF (MDG-F)",MID(Proc[[#This Row],[Obj]],13,10),"")</f>
        <v/>
      </c>
      <c r="J1701" s="87" t="b">
        <f>Proc[[#This Row],[Requested]]=Proc[[#This Row],[CurrentParent]]</f>
        <v>1</v>
      </c>
      <c r="K1701" s="87" t="str">
        <f>IF(Proc[[#This Row],[Author]]="Marcela Urrego",VLOOKUP(LEFT(Proc[[#This Row],[Requested]],1),Table3[#All],2,0),VLOOKUP(Proc[[#This Row],[Author]],Table4[],2,0))</f>
        <v>LS</v>
      </c>
      <c r="L1701" s="87" t="s">
        <v>2563</v>
      </c>
      <c r="M1701" s="89">
        <v>45801.263680555552</v>
      </c>
      <c r="N1701" s="89"/>
      <c r="O1701" s="89"/>
      <c r="P1701" s="92" t="str">
        <f ca="1">IF(Proc[[#This Row],[DaysAgeing]]&gt;5,"yep","on track")</f>
        <v>yep</v>
      </c>
      <c r="Q1701" s="3">
        <f ca="1">IF(Proc[[#This Row],[DateClosed]]="",ABS(NETWORKDAYS(Proc[[#This Row],[DateOpened]],TODAY()))-1,ABS(NETWORKDAYS(Proc[[#This Row],[DateOpened]],Proc[[#This Row],[DateClosed]]))-1)</f>
        <v>26</v>
      </c>
      <c r="R1701" s="92" t="s">
        <v>489</v>
      </c>
      <c r="S1701" s="87"/>
    </row>
    <row r="1702" spans="1:19" hidden="1">
      <c r="A1702" s="91" t="s">
        <v>3405</v>
      </c>
      <c r="B1702" s="87" t="str">
        <f>IFERROR(VLOOKUP(Proc[[#This Row],[App]],Table2[],3,0),"open")</f>
        <v>ok</v>
      </c>
      <c r="C1702" s="91" t="s">
        <v>369</v>
      </c>
      <c r="D1702" t="s">
        <v>3463</v>
      </c>
      <c r="E1702" t="s">
        <v>3537</v>
      </c>
      <c r="F1702" s="105" t="s">
        <v>3537</v>
      </c>
      <c r="G1702" s="91" t="s">
        <v>400</v>
      </c>
      <c r="H1702" s="87" t="str">
        <f>IF(Proc[[#This Row],[type]]="LFF (MDG-F)",MID(Proc[[#This Row],[Obj]],13,10),"")</f>
        <v/>
      </c>
      <c r="J1702" s="87" t="b">
        <f>Proc[[#This Row],[Requested]]=Proc[[#This Row],[CurrentParent]]</f>
        <v>1</v>
      </c>
      <c r="K1702" s="87" t="str">
        <f>IF(Proc[[#This Row],[Author]]="Marcela Urrego",VLOOKUP(LEFT(Proc[[#This Row],[Requested]],1),Table3[#All],2,0),VLOOKUP(Proc[[#This Row],[Author]],Table4[],2,0))</f>
        <v>LS</v>
      </c>
      <c r="L1702" s="87" t="s">
        <v>2563</v>
      </c>
      <c r="M1702" s="89">
        <v>45801.263680555552</v>
      </c>
      <c r="N1702" s="89"/>
      <c r="O1702" s="89"/>
      <c r="P1702" s="92" t="str">
        <f ca="1">IF(Proc[[#This Row],[DaysAgeing]]&gt;5,"yep","on track")</f>
        <v>yep</v>
      </c>
      <c r="Q1702" s="3">
        <f ca="1">IF(Proc[[#This Row],[DateClosed]]="",ABS(NETWORKDAYS(Proc[[#This Row],[DateOpened]],TODAY()))-1,ABS(NETWORKDAYS(Proc[[#This Row],[DateOpened]],Proc[[#This Row],[DateClosed]]))-1)</f>
        <v>26</v>
      </c>
      <c r="R1702" s="92" t="s">
        <v>489</v>
      </c>
      <c r="S1702" s="87"/>
    </row>
    <row r="1703" spans="1:19" hidden="1">
      <c r="A1703" s="91" t="s">
        <v>3405</v>
      </c>
      <c r="B1703" s="87" t="str">
        <f>IFERROR(VLOOKUP(Proc[[#This Row],[App]],Table2[],3,0),"open")</f>
        <v>ok</v>
      </c>
      <c r="C1703" s="91" t="s">
        <v>369</v>
      </c>
      <c r="D1703" t="s">
        <v>3464</v>
      </c>
      <c r="E1703" t="s">
        <v>3516</v>
      </c>
      <c r="F1703" s="105" t="s">
        <v>3516</v>
      </c>
      <c r="G1703" s="91" t="s">
        <v>400</v>
      </c>
      <c r="H1703" s="87" t="str">
        <f>IF(Proc[[#This Row],[type]]="LFF (MDG-F)",MID(Proc[[#This Row],[Obj]],13,10),"")</f>
        <v/>
      </c>
      <c r="J1703" s="87" t="b">
        <f>Proc[[#This Row],[Requested]]=Proc[[#This Row],[CurrentParent]]</f>
        <v>1</v>
      </c>
      <c r="K1703" s="87" t="str">
        <f>IF(Proc[[#This Row],[Author]]="Marcela Urrego",VLOOKUP(LEFT(Proc[[#This Row],[Requested]],1),Table3[#All],2,0),VLOOKUP(Proc[[#This Row],[Author]],Table4[],2,0))</f>
        <v>LS</v>
      </c>
      <c r="L1703" s="87" t="s">
        <v>2563</v>
      </c>
      <c r="M1703" s="89">
        <v>45801.263680555552</v>
      </c>
      <c r="N1703" s="89"/>
      <c r="O1703" s="89"/>
      <c r="P1703" s="92" t="str">
        <f ca="1">IF(Proc[[#This Row],[DaysAgeing]]&gt;5,"yep","on track")</f>
        <v>yep</v>
      </c>
      <c r="Q1703" s="3">
        <f ca="1">IF(Proc[[#This Row],[DateClosed]]="",ABS(NETWORKDAYS(Proc[[#This Row],[DateOpened]],TODAY()))-1,ABS(NETWORKDAYS(Proc[[#This Row],[DateOpened]],Proc[[#This Row],[DateClosed]]))-1)</f>
        <v>26</v>
      </c>
      <c r="R1703" s="92" t="s">
        <v>489</v>
      </c>
      <c r="S1703" s="87"/>
    </row>
    <row r="1704" spans="1:19" hidden="1">
      <c r="A1704" s="91" t="s">
        <v>3405</v>
      </c>
      <c r="B1704" s="87" t="str">
        <f>IFERROR(VLOOKUP(Proc[[#This Row],[App]],Table2[],3,0),"open")</f>
        <v>ok</v>
      </c>
      <c r="C1704" s="91" t="s">
        <v>369</v>
      </c>
      <c r="D1704" t="s">
        <v>3465</v>
      </c>
      <c r="E1704" t="s">
        <v>3516</v>
      </c>
      <c r="F1704" s="105" t="s">
        <v>3516</v>
      </c>
      <c r="G1704" s="91" t="s">
        <v>400</v>
      </c>
      <c r="H1704" s="87" t="str">
        <f>IF(Proc[[#This Row],[type]]="LFF (MDG-F)",MID(Proc[[#This Row],[Obj]],13,10),"")</f>
        <v/>
      </c>
      <c r="J1704" s="87" t="b">
        <f>Proc[[#This Row],[Requested]]=Proc[[#This Row],[CurrentParent]]</f>
        <v>1</v>
      </c>
      <c r="K1704" s="87" t="str">
        <f>IF(Proc[[#This Row],[Author]]="Marcela Urrego",VLOOKUP(LEFT(Proc[[#This Row],[Requested]],1),Table3[#All],2,0),VLOOKUP(Proc[[#This Row],[Author]],Table4[],2,0))</f>
        <v>LS</v>
      </c>
      <c r="L1704" s="87" t="s">
        <v>2563</v>
      </c>
      <c r="M1704" s="89">
        <v>45801.263680555552</v>
      </c>
      <c r="N1704" s="89"/>
      <c r="O1704" s="89"/>
      <c r="P1704" s="92" t="str">
        <f ca="1">IF(Proc[[#This Row],[DaysAgeing]]&gt;5,"yep","on track")</f>
        <v>yep</v>
      </c>
      <c r="Q1704" s="3">
        <f ca="1">IF(Proc[[#This Row],[DateClosed]]="",ABS(NETWORKDAYS(Proc[[#This Row],[DateOpened]],TODAY()))-1,ABS(NETWORKDAYS(Proc[[#This Row],[DateOpened]],Proc[[#This Row],[DateClosed]]))-1)</f>
        <v>26</v>
      </c>
      <c r="R1704" s="92" t="s">
        <v>489</v>
      </c>
      <c r="S1704" s="87"/>
    </row>
    <row r="1705" spans="1:19" hidden="1">
      <c r="A1705" s="91" t="s">
        <v>3405</v>
      </c>
      <c r="B1705" s="87" t="str">
        <f>IFERROR(VLOOKUP(Proc[[#This Row],[App]],Table2[],3,0),"open")</f>
        <v>ok</v>
      </c>
      <c r="C1705" s="91" t="s">
        <v>369</v>
      </c>
      <c r="D1705" t="s">
        <v>3466</v>
      </c>
      <c r="E1705" t="s">
        <v>3516</v>
      </c>
      <c r="F1705" s="105" t="s">
        <v>3516</v>
      </c>
      <c r="G1705" s="91" t="s">
        <v>400</v>
      </c>
      <c r="H1705" s="87" t="str">
        <f>IF(Proc[[#This Row],[type]]="LFF (MDG-F)",MID(Proc[[#This Row],[Obj]],13,10),"")</f>
        <v/>
      </c>
      <c r="J1705" s="87" t="b">
        <f>Proc[[#This Row],[Requested]]=Proc[[#This Row],[CurrentParent]]</f>
        <v>1</v>
      </c>
      <c r="K1705" s="87" t="str">
        <f>IF(Proc[[#This Row],[Author]]="Marcela Urrego",VLOOKUP(LEFT(Proc[[#This Row],[Requested]],1),Table3[#All],2,0),VLOOKUP(Proc[[#This Row],[Author]],Table4[],2,0))</f>
        <v>LS</v>
      </c>
      <c r="L1705" s="87" t="s">
        <v>2563</v>
      </c>
      <c r="M1705" s="89">
        <v>45801.263680555552</v>
      </c>
      <c r="N1705" s="89"/>
      <c r="O1705" s="89"/>
      <c r="P1705" s="92" t="str">
        <f ca="1">IF(Proc[[#This Row],[DaysAgeing]]&gt;5,"yep","on track")</f>
        <v>yep</v>
      </c>
      <c r="Q1705" s="3">
        <f ca="1">IF(Proc[[#This Row],[DateClosed]]="",ABS(NETWORKDAYS(Proc[[#This Row],[DateOpened]],TODAY()))-1,ABS(NETWORKDAYS(Proc[[#This Row],[DateOpened]],Proc[[#This Row],[DateClosed]]))-1)</f>
        <v>26</v>
      </c>
      <c r="R1705" s="92" t="s">
        <v>489</v>
      </c>
      <c r="S1705" s="87"/>
    </row>
    <row r="1706" spans="1:19" hidden="1">
      <c r="A1706" s="91" t="s">
        <v>3405</v>
      </c>
      <c r="B1706" s="87" t="str">
        <f>IFERROR(VLOOKUP(Proc[[#This Row],[App]],Table2[],3,0),"open")</f>
        <v>ok</v>
      </c>
      <c r="C1706" s="91" t="s">
        <v>369</v>
      </c>
      <c r="D1706" t="s">
        <v>3467</v>
      </c>
      <c r="E1706" t="s">
        <v>3530</v>
      </c>
      <c r="F1706" s="105" t="s">
        <v>3530</v>
      </c>
      <c r="G1706" s="91" t="s">
        <v>400</v>
      </c>
      <c r="H1706" s="87" t="str">
        <f>IF(Proc[[#This Row],[type]]="LFF (MDG-F)",MID(Proc[[#This Row],[Obj]],13,10),"")</f>
        <v/>
      </c>
      <c r="J1706" s="87" t="b">
        <f>Proc[[#This Row],[Requested]]=Proc[[#This Row],[CurrentParent]]</f>
        <v>1</v>
      </c>
      <c r="K1706" s="87" t="str">
        <f>IF(Proc[[#This Row],[Author]]="Marcela Urrego",VLOOKUP(LEFT(Proc[[#This Row],[Requested]],1),Table3[#All],2,0),VLOOKUP(Proc[[#This Row],[Author]],Table4[],2,0))</f>
        <v>LS</v>
      </c>
      <c r="L1706" s="87" t="s">
        <v>2563</v>
      </c>
      <c r="M1706" s="89">
        <v>45801.263680555552</v>
      </c>
      <c r="N1706" s="89"/>
      <c r="O1706" s="89"/>
      <c r="P1706" s="92" t="str">
        <f ca="1">IF(Proc[[#This Row],[DaysAgeing]]&gt;5,"yep","on track")</f>
        <v>yep</v>
      </c>
      <c r="Q1706" s="3">
        <f ca="1">IF(Proc[[#This Row],[DateClosed]]="",ABS(NETWORKDAYS(Proc[[#This Row],[DateOpened]],TODAY()))-1,ABS(NETWORKDAYS(Proc[[#This Row],[DateOpened]],Proc[[#This Row],[DateClosed]]))-1)</f>
        <v>26</v>
      </c>
      <c r="R1706" s="92" t="s">
        <v>489</v>
      </c>
      <c r="S1706" s="87"/>
    </row>
    <row r="1707" spans="1:19" hidden="1">
      <c r="A1707" s="91" t="s">
        <v>3405</v>
      </c>
      <c r="B1707" s="87" t="str">
        <f>IFERROR(VLOOKUP(Proc[[#This Row],[App]],Table2[],3,0),"open")</f>
        <v>ok</v>
      </c>
      <c r="C1707" s="91" t="s">
        <v>369</v>
      </c>
      <c r="D1707" t="s">
        <v>3468</v>
      </c>
      <c r="E1707" t="s">
        <v>3535</v>
      </c>
      <c r="F1707" s="105" t="s">
        <v>3535</v>
      </c>
      <c r="G1707" s="91" t="s">
        <v>400</v>
      </c>
      <c r="H1707" s="87" t="str">
        <f>IF(Proc[[#This Row],[type]]="LFF (MDG-F)",MID(Proc[[#This Row],[Obj]],13,10),"")</f>
        <v/>
      </c>
      <c r="J1707" s="87" t="b">
        <f>Proc[[#This Row],[Requested]]=Proc[[#This Row],[CurrentParent]]</f>
        <v>1</v>
      </c>
      <c r="K1707" s="87" t="str">
        <f>IF(Proc[[#This Row],[Author]]="Marcela Urrego",VLOOKUP(LEFT(Proc[[#This Row],[Requested]],1),Table3[#All],2,0),VLOOKUP(Proc[[#This Row],[Author]],Table4[],2,0))</f>
        <v>LS</v>
      </c>
      <c r="L1707" s="87" t="s">
        <v>2563</v>
      </c>
      <c r="M1707" s="89">
        <v>45801.263680555552</v>
      </c>
      <c r="N1707" s="89"/>
      <c r="O1707" s="89"/>
      <c r="P1707" s="92" t="str">
        <f ca="1">IF(Proc[[#This Row],[DaysAgeing]]&gt;5,"yep","on track")</f>
        <v>yep</v>
      </c>
      <c r="Q1707" s="3">
        <f ca="1">IF(Proc[[#This Row],[DateClosed]]="",ABS(NETWORKDAYS(Proc[[#This Row],[DateOpened]],TODAY()))-1,ABS(NETWORKDAYS(Proc[[#This Row],[DateOpened]],Proc[[#This Row],[DateClosed]]))-1)</f>
        <v>26</v>
      </c>
      <c r="R1707" s="92" t="s">
        <v>489</v>
      </c>
      <c r="S1707" s="87"/>
    </row>
    <row r="1708" spans="1:19" hidden="1">
      <c r="A1708" s="91" t="s">
        <v>3405</v>
      </c>
      <c r="B1708" s="87" t="str">
        <f>IFERROR(VLOOKUP(Proc[[#This Row],[App]],Table2[],3,0),"open")</f>
        <v>ok</v>
      </c>
      <c r="C1708" s="91" t="s">
        <v>369</v>
      </c>
      <c r="D1708" t="s">
        <v>3469</v>
      </c>
      <c r="E1708" t="s">
        <v>3532</v>
      </c>
      <c r="F1708" s="105" t="s">
        <v>3532</v>
      </c>
      <c r="G1708" s="91" t="s">
        <v>400</v>
      </c>
      <c r="H1708" s="87" t="str">
        <f>IF(Proc[[#This Row],[type]]="LFF (MDG-F)",MID(Proc[[#This Row],[Obj]],13,10),"")</f>
        <v/>
      </c>
      <c r="J1708" s="87" t="b">
        <f>Proc[[#This Row],[Requested]]=Proc[[#This Row],[CurrentParent]]</f>
        <v>1</v>
      </c>
      <c r="K1708" s="87" t="str">
        <f>IF(Proc[[#This Row],[Author]]="Marcela Urrego",VLOOKUP(LEFT(Proc[[#This Row],[Requested]],1),Table3[#All],2,0),VLOOKUP(Proc[[#This Row],[Author]],Table4[],2,0))</f>
        <v>LS</v>
      </c>
      <c r="L1708" s="87" t="s">
        <v>2563</v>
      </c>
      <c r="M1708" s="89">
        <v>45801.263680555552</v>
      </c>
      <c r="N1708" s="89"/>
      <c r="O1708" s="89"/>
      <c r="P1708" s="92" t="str">
        <f ca="1">IF(Proc[[#This Row],[DaysAgeing]]&gt;5,"yep","on track")</f>
        <v>yep</v>
      </c>
      <c r="Q1708" s="3">
        <f ca="1">IF(Proc[[#This Row],[DateClosed]]="",ABS(NETWORKDAYS(Proc[[#This Row],[DateOpened]],TODAY()))-1,ABS(NETWORKDAYS(Proc[[#This Row],[DateOpened]],Proc[[#This Row],[DateClosed]]))-1)</f>
        <v>26</v>
      </c>
      <c r="R1708" s="92" t="s">
        <v>489</v>
      </c>
      <c r="S1708" s="87"/>
    </row>
    <row r="1709" spans="1:19" hidden="1">
      <c r="A1709" s="91" t="s">
        <v>3405</v>
      </c>
      <c r="B1709" s="87" t="str">
        <f>IFERROR(VLOOKUP(Proc[[#This Row],[App]],Table2[],3,0),"open")</f>
        <v>ok</v>
      </c>
      <c r="C1709" s="91" t="s">
        <v>369</v>
      </c>
      <c r="D1709" t="s">
        <v>3470</v>
      </c>
      <c r="E1709" t="s">
        <v>3538</v>
      </c>
      <c r="F1709" s="105" t="s">
        <v>3538</v>
      </c>
      <c r="G1709" s="91" t="s">
        <v>400</v>
      </c>
      <c r="H1709" s="87" t="str">
        <f>IF(Proc[[#This Row],[type]]="LFF (MDG-F)",MID(Proc[[#This Row],[Obj]],13,10),"")</f>
        <v/>
      </c>
      <c r="J1709" s="87" t="b">
        <f>Proc[[#This Row],[Requested]]=Proc[[#This Row],[CurrentParent]]</f>
        <v>1</v>
      </c>
      <c r="K1709" s="87" t="str">
        <f>IF(Proc[[#This Row],[Author]]="Marcela Urrego",VLOOKUP(LEFT(Proc[[#This Row],[Requested]],1),Table3[#All],2,0),VLOOKUP(Proc[[#This Row],[Author]],Table4[],2,0))</f>
        <v>LS</v>
      </c>
      <c r="L1709" s="87" t="s">
        <v>2563</v>
      </c>
      <c r="M1709" s="89">
        <v>45801.263680555552</v>
      </c>
      <c r="N1709" s="89"/>
      <c r="O1709" s="89"/>
      <c r="P1709" s="92" t="str">
        <f ca="1">IF(Proc[[#This Row],[DaysAgeing]]&gt;5,"yep","on track")</f>
        <v>yep</v>
      </c>
      <c r="Q1709" s="3">
        <f ca="1">IF(Proc[[#This Row],[DateClosed]]="",ABS(NETWORKDAYS(Proc[[#This Row],[DateOpened]],TODAY()))-1,ABS(NETWORKDAYS(Proc[[#This Row],[DateOpened]],Proc[[#This Row],[DateClosed]]))-1)</f>
        <v>26</v>
      </c>
      <c r="R1709" s="92" t="s">
        <v>489</v>
      </c>
      <c r="S1709" s="87"/>
    </row>
    <row r="1710" spans="1:19" hidden="1">
      <c r="A1710" s="91" t="s">
        <v>3405</v>
      </c>
      <c r="B1710" s="87" t="str">
        <f>IFERROR(VLOOKUP(Proc[[#This Row],[App]],Table2[],3,0),"open")</f>
        <v>ok</v>
      </c>
      <c r="C1710" s="91" t="s">
        <v>369</v>
      </c>
      <c r="D1710" t="s">
        <v>3471</v>
      </c>
      <c r="E1710" t="s">
        <v>3528</v>
      </c>
      <c r="F1710" s="105" t="s">
        <v>3528</v>
      </c>
      <c r="G1710" s="91" t="s">
        <v>400</v>
      </c>
      <c r="H1710" s="87" t="str">
        <f>IF(Proc[[#This Row],[type]]="LFF (MDG-F)",MID(Proc[[#This Row],[Obj]],13,10),"")</f>
        <v/>
      </c>
      <c r="J1710" s="87" t="b">
        <f>Proc[[#This Row],[Requested]]=Proc[[#This Row],[CurrentParent]]</f>
        <v>1</v>
      </c>
      <c r="K1710" s="87" t="str">
        <f>IF(Proc[[#This Row],[Author]]="Marcela Urrego",VLOOKUP(LEFT(Proc[[#This Row],[Requested]],1),Table3[#All],2,0),VLOOKUP(Proc[[#This Row],[Author]],Table4[],2,0))</f>
        <v>LS</v>
      </c>
      <c r="L1710" s="87" t="s">
        <v>2563</v>
      </c>
      <c r="M1710" s="89">
        <v>45801.263680555552</v>
      </c>
      <c r="N1710" s="89"/>
      <c r="O1710" s="89"/>
      <c r="P1710" s="92" t="str">
        <f ca="1">IF(Proc[[#This Row],[DaysAgeing]]&gt;5,"yep","on track")</f>
        <v>yep</v>
      </c>
      <c r="Q1710" s="3">
        <f ca="1">IF(Proc[[#This Row],[DateClosed]]="",ABS(NETWORKDAYS(Proc[[#This Row],[DateOpened]],TODAY()))-1,ABS(NETWORKDAYS(Proc[[#This Row],[DateOpened]],Proc[[#This Row],[DateClosed]]))-1)</f>
        <v>26</v>
      </c>
      <c r="R1710" s="92" t="s">
        <v>489</v>
      </c>
      <c r="S1710" s="87"/>
    </row>
    <row r="1711" spans="1:19" hidden="1">
      <c r="A1711" s="91" t="s">
        <v>3405</v>
      </c>
      <c r="B1711" s="87" t="str">
        <f>IFERROR(VLOOKUP(Proc[[#This Row],[App]],Table2[],3,0),"open")</f>
        <v>ok</v>
      </c>
      <c r="C1711" s="91" t="s">
        <v>369</v>
      </c>
      <c r="D1711" t="s">
        <v>3472</v>
      </c>
      <c r="E1711" t="s">
        <v>3539</v>
      </c>
      <c r="F1711" s="105" t="s">
        <v>3539</v>
      </c>
      <c r="G1711" s="91" t="s">
        <v>400</v>
      </c>
      <c r="H1711" s="87" t="str">
        <f>IF(Proc[[#This Row],[type]]="LFF (MDG-F)",MID(Proc[[#This Row],[Obj]],13,10),"")</f>
        <v/>
      </c>
      <c r="J1711" s="87" t="b">
        <f>Proc[[#This Row],[Requested]]=Proc[[#This Row],[CurrentParent]]</f>
        <v>1</v>
      </c>
      <c r="K1711" s="87" t="str">
        <f>IF(Proc[[#This Row],[Author]]="Marcela Urrego",VLOOKUP(LEFT(Proc[[#This Row],[Requested]],1),Table3[#All],2,0),VLOOKUP(Proc[[#This Row],[Author]],Table4[],2,0))</f>
        <v>LS</v>
      </c>
      <c r="L1711" s="87" t="s">
        <v>2563</v>
      </c>
      <c r="M1711" s="89">
        <v>45801.263680555552</v>
      </c>
      <c r="N1711" s="89"/>
      <c r="O1711" s="89"/>
      <c r="P1711" s="92" t="str">
        <f ca="1">IF(Proc[[#This Row],[DaysAgeing]]&gt;5,"yep","on track")</f>
        <v>yep</v>
      </c>
      <c r="Q1711" s="3">
        <f ca="1">IF(Proc[[#This Row],[DateClosed]]="",ABS(NETWORKDAYS(Proc[[#This Row],[DateOpened]],TODAY()))-1,ABS(NETWORKDAYS(Proc[[#This Row],[DateOpened]],Proc[[#This Row],[DateClosed]]))-1)</f>
        <v>26</v>
      </c>
      <c r="R1711" s="92" t="s">
        <v>489</v>
      </c>
      <c r="S1711" s="87"/>
    </row>
    <row r="1712" spans="1:19" hidden="1">
      <c r="A1712" s="91" t="s">
        <v>3405</v>
      </c>
      <c r="B1712" s="87" t="str">
        <f>IFERROR(VLOOKUP(Proc[[#This Row],[App]],Table2[],3,0),"open")</f>
        <v>ok</v>
      </c>
      <c r="C1712" s="91" t="s">
        <v>369</v>
      </c>
      <c r="D1712" t="s">
        <v>2579</v>
      </c>
      <c r="E1712" t="s">
        <v>3540</v>
      </c>
      <c r="F1712" s="105" t="s">
        <v>3540</v>
      </c>
      <c r="G1712" s="91" t="s">
        <v>400</v>
      </c>
      <c r="H1712" s="87" t="str">
        <f>IF(Proc[[#This Row],[type]]="LFF (MDG-F)",MID(Proc[[#This Row],[Obj]],13,10),"")</f>
        <v/>
      </c>
      <c r="J1712" s="87" t="b">
        <f>Proc[[#This Row],[Requested]]=Proc[[#This Row],[CurrentParent]]</f>
        <v>1</v>
      </c>
      <c r="K1712" s="87" t="str">
        <f>IF(Proc[[#This Row],[Author]]="Marcela Urrego",VLOOKUP(LEFT(Proc[[#This Row],[Requested]],1),Table3[#All],2,0),VLOOKUP(Proc[[#This Row],[Author]],Table4[],2,0))</f>
        <v>LS</v>
      </c>
      <c r="L1712" s="87" t="s">
        <v>2563</v>
      </c>
      <c r="M1712" s="89">
        <v>45801.263680555552</v>
      </c>
      <c r="N1712" s="89"/>
      <c r="O1712" s="89"/>
      <c r="P1712" s="92" t="str">
        <f ca="1">IF(Proc[[#This Row],[DaysAgeing]]&gt;5,"yep","on track")</f>
        <v>yep</v>
      </c>
      <c r="Q1712" s="3">
        <f ca="1">IF(Proc[[#This Row],[DateClosed]]="",ABS(NETWORKDAYS(Proc[[#This Row],[DateOpened]],TODAY()))-1,ABS(NETWORKDAYS(Proc[[#This Row],[DateOpened]],Proc[[#This Row],[DateClosed]]))-1)</f>
        <v>26</v>
      </c>
      <c r="R1712" s="92" t="s">
        <v>489</v>
      </c>
      <c r="S1712" s="87"/>
    </row>
    <row r="1713" spans="1:19" hidden="1">
      <c r="A1713" s="91" t="s">
        <v>3405</v>
      </c>
      <c r="B1713" s="87" t="str">
        <f>IFERROR(VLOOKUP(Proc[[#This Row],[App]],Table2[],3,0),"open")</f>
        <v>ok</v>
      </c>
      <c r="C1713" s="91" t="s">
        <v>369</v>
      </c>
      <c r="D1713" t="s">
        <v>3473</v>
      </c>
      <c r="E1713" t="s">
        <v>3515</v>
      </c>
      <c r="F1713" s="105" t="s">
        <v>3515</v>
      </c>
      <c r="G1713" s="91" t="s">
        <v>400</v>
      </c>
      <c r="H1713" s="87" t="str">
        <f>IF(Proc[[#This Row],[type]]="LFF (MDG-F)",MID(Proc[[#This Row],[Obj]],13,10),"")</f>
        <v/>
      </c>
      <c r="J1713" s="87" t="b">
        <f>Proc[[#This Row],[Requested]]=Proc[[#This Row],[CurrentParent]]</f>
        <v>1</v>
      </c>
      <c r="K1713" s="87" t="str">
        <f>IF(Proc[[#This Row],[Author]]="Marcela Urrego",VLOOKUP(LEFT(Proc[[#This Row],[Requested]],1),Table3[#All],2,0),VLOOKUP(Proc[[#This Row],[Author]],Table4[],2,0))</f>
        <v>LS</v>
      </c>
      <c r="L1713" s="87" t="s">
        <v>2563</v>
      </c>
      <c r="M1713" s="89">
        <v>45801.263680555552</v>
      </c>
      <c r="N1713" s="89"/>
      <c r="O1713" s="89"/>
      <c r="P1713" s="92" t="str">
        <f ca="1">IF(Proc[[#This Row],[DaysAgeing]]&gt;5,"yep","on track")</f>
        <v>yep</v>
      </c>
      <c r="Q1713" s="3">
        <f ca="1">IF(Proc[[#This Row],[DateClosed]]="",ABS(NETWORKDAYS(Proc[[#This Row],[DateOpened]],TODAY()))-1,ABS(NETWORKDAYS(Proc[[#This Row],[DateOpened]],Proc[[#This Row],[DateClosed]]))-1)</f>
        <v>26</v>
      </c>
      <c r="R1713" s="92" t="s">
        <v>489</v>
      </c>
      <c r="S1713" s="87"/>
    </row>
    <row r="1714" spans="1:19" hidden="1">
      <c r="A1714" s="91" t="s">
        <v>3405</v>
      </c>
      <c r="B1714" s="87" t="str">
        <f>IFERROR(VLOOKUP(Proc[[#This Row],[App]],Table2[],3,0),"open")</f>
        <v>ok</v>
      </c>
      <c r="C1714" s="91" t="s">
        <v>369</v>
      </c>
      <c r="D1714" t="s">
        <v>2580</v>
      </c>
      <c r="E1714" t="s">
        <v>3541</v>
      </c>
      <c r="F1714" s="105" t="s">
        <v>3541</v>
      </c>
      <c r="G1714" s="91" t="s">
        <v>400</v>
      </c>
      <c r="H1714" s="87" t="str">
        <f>IF(Proc[[#This Row],[type]]="LFF (MDG-F)",MID(Proc[[#This Row],[Obj]],13,10),"")</f>
        <v/>
      </c>
      <c r="J1714" s="87" t="b">
        <f>Proc[[#This Row],[Requested]]=Proc[[#This Row],[CurrentParent]]</f>
        <v>1</v>
      </c>
      <c r="K1714" s="87" t="str">
        <f>IF(Proc[[#This Row],[Author]]="Marcela Urrego",VLOOKUP(LEFT(Proc[[#This Row],[Requested]],1),Table3[#All],2,0),VLOOKUP(Proc[[#This Row],[Author]],Table4[],2,0))</f>
        <v>LS</v>
      </c>
      <c r="L1714" s="87" t="s">
        <v>2563</v>
      </c>
      <c r="M1714" s="89">
        <v>45801.263680555552</v>
      </c>
      <c r="N1714" s="89"/>
      <c r="O1714" s="89"/>
      <c r="P1714" s="92" t="str">
        <f ca="1">IF(Proc[[#This Row],[DaysAgeing]]&gt;5,"yep","on track")</f>
        <v>yep</v>
      </c>
      <c r="Q1714" s="3">
        <f ca="1">IF(Proc[[#This Row],[DateClosed]]="",ABS(NETWORKDAYS(Proc[[#This Row],[DateOpened]],TODAY()))-1,ABS(NETWORKDAYS(Proc[[#This Row],[DateOpened]],Proc[[#This Row],[DateClosed]]))-1)</f>
        <v>26</v>
      </c>
      <c r="R1714" s="92" t="s">
        <v>489</v>
      </c>
      <c r="S1714" s="87"/>
    </row>
    <row r="1715" spans="1:19" hidden="1">
      <c r="A1715" s="91" t="s">
        <v>3405</v>
      </c>
      <c r="B1715" s="87" t="str">
        <f>IFERROR(VLOOKUP(Proc[[#This Row],[App]],Table2[],3,0),"open")</f>
        <v>ok</v>
      </c>
      <c r="C1715" s="91" t="s">
        <v>369</v>
      </c>
      <c r="D1715" t="s">
        <v>3474</v>
      </c>
      <c r="E1715" t="s">
        <v>3521</v>
      </c>
      <c r="F1715" s="105" t="s">
        <v>3521</v>
      </c>
      <c r="G1715" s="91" t="s">
        <v>400</v>
      </c>
      <c r="H1715" s="87" t="str">
        <f>IF(Proc[[#This Row],[type]]="LFF (MDG-F)",MID(Proc[[#This Row],[Obj]],13,10),"")</f>
        <v/>
      </c>
      <c r="J1715" s="87" t="b">
        <f>Proc[[#This Row],[Requested]]=Proc[[#This Row],[CurrentParent]]</f>
        <v>1</v>
      </c>
      <c r="K1715" s="87" t="str">
        <f>IF(Proc[[#This Row],[Author]]="Marcela Urrego",VLOOKUP(LEFT(Proc[[#This Row],[Requested]],1),Table3[#All],2,0),VLOOKUP(Proc[[#This Row],[Author]],Table4[],2,0))</f>
        <v>LS</v>
      </c>
      <c r="L1715" s="87" t="s">
        <v>2563</v>
      </c>
      <c r="M1715" s="89">
        <v>45801.263680555552</v>
      </c>
      <c r="N1715" s="89"/>
      <c r="O1715" s="89"/>
      <c r="P1715" s="92" t="str">
        <f ca="1">IF(Proc[[#This Row],[DaysAgeing]]&gt;5,"yep","on track")</f>
        <v>yep</v>
      </c>
      <c r="Q1715" s="3">
        <f ca="1">IF(Proc[[#This Row],[DateClosed]]="",ABS(NETWORKDAYS(Proc[[#This Row],[DateOpened]],TODAY()))-1,ABS(NETWORKDAYS(Proc[[#This Row],[DateOpened]],Proc[[#This Row],[DateClosed]]))-1)</f>
        <v>26</v>
      </c>
      <c r="R1715" s="92" t="s">
        <v>489</v>
      </c>
      <c r="S1715" s="87"/>
    </row>
    <row r="1716" spans="1:19" hidden="1">
      <c r="A1716" s="91" t="s">
        <v>3405</v>
      </c>
      <c r="B1716" s="87" t="str">
        <f>IFERROR(VLOOKUP(Proc[[#This Row],[App]],Table2[],3,0),"open")</f>
        <v>ok</v>
      </c>
      <c r="C1716" s="91" t="s">
        <v>369</v>
      </c>
      <c r="D1716" t="s">
        <v>3475</v>
      </c>
      <c r="E1716" t="s">
        <v>3528</v>
      </c>
      <c r="F1716" s="105" t="s">
        <v>3528</v>
      </c>
      <c r="G1716" s="91" t="s">
        <v>400</v>
      </c>
      <c r="H1716" s="87" t="str">
        <f>IF(Proc[[#This Row],[type]]="LFF (MDG-F)",MID(Proc[[#This Row],[Obj]],13,10),"")</f>
        <v/>
      </c>
      <c r="J1716" s="87" t="b">
        <f>Proc[[#This Row],[Requested]]=Proc[[#This Row],[CurrentParent]]</f>
        <v>1</v>
      </c>
      <c r="K1716" s="87" t="str">
        <f>IF(Proc[[#This Row],[Author]]="Marcela Urrego",VLOOKUP(LEFT(Proc[[#This Row],[Requested]],1),Table3[#All],2,0),VLOOKUP(Proc[[#This Row],[Author]],Table4[],2,0))</f>
        <v>LS</v>
      </c>
      <c r="L1716" s="87" t="s">
        <v>2563</v>
      </c>
      <c r="M1716" s="89">
        <v>45801.263680555552</v>
      </c>
      <c r="N1716" s="89"/>
      <c r="O1716" s="89"/>
      <c r="P1716" s="92" t="str">
        <f ca="1">IF(Proc[[#This Row],[DaysAgeing]]&gt;5,"yep","on track")</f>
        <v>yep</v>
      </c>
      <c r="Q1716" s="3">
        <f ca="1">IF(Proc[[#This Row],[DateClosed]]="",ABS(NETWORKDAYS(Proc[[#This Row],[DateOpened]],TODAY()))-1,ABS(NETWORKDAYS(Proc[[#This Row],[DateOpened]],Proc[[#This Row],[DateClosed]]))-1)</f>
        <v>26</v>
      </c>
      <c r="R1716" s="92" t="s">
        <v>489</v>
      </c>
      <c r="S1716" s="87"/>
    </row>
    <row r="1717" spans="1:19" hidden="1">
      <c r="A1717" s="91" t="s">
        <v>3405</v>
      </c>
      <c r="B1717" s="87" t="str">
        <f>IFERROR(VLOOKUP(Proc[[#This Row],[App]],Table2[],3,0),"open")</f>
        <v>ok</v>
      </c>
      <c r="C1717" s="91" t="s">
        <v>369</v>
      </c>
      <c r="D1717" t="s">
        <v>3476</v>
      </c>
      <c r="E1717" t="s">
        <v>3528</v>
      </c>
      <c r="F1717" s="105" t="s">
        <v>3528</v>
      </c>
      <c r="G1717" s="91" t="s">
        <v>400</v>
      </c>
      <c r="H1717" s="87" t="str">
        <f>IF(Proc[[#This Row],[type]]="LFF (MDG-F)",MID(Proc[[#This Row],[Obj]],13,10),"")</f>
        <v/>
      </c>
      <c r="J1717" s="87" t="b">
        <f>Proc[[#This Row],[Requested]]=Proc[[#This Row],[CurrentParent]]</f>
        <v>1</v>
      </c>
      <c r="K1717" s="87" t="str">
        <f>IF(Proc[[#This Row],[Author]]="Marcela Urrego",VLOOKUP(LEFT(Proc[[#This Row],[Requested]],1),Table3[#All],2,0),VLOOKUP(Proc[[#This Row],[Author]],Table4[],2,0))</f>
        <v>LS</v>
      </c>
      <c r="L1717" s="87" t="s">
        <v>2563</v>
      </c>
      <c r="M1717" s="89">
        <v>45801.263680555552</v>
      </c>
      <c r="N1717" s="89"/>
      <c r="O1717" s="89"/>
      <c r="P1717" s="92" t="str">
        <f ca="1">IF(Proc[[#This Row],[DaysAgeing]]&gt;5,"yep","on track")</f>
        <v>yep</v>
      </c>
      <c r="Q1717" s="3">
        <f ca="1">IF(Proc[[#This Row],[DateClosed]]="",ABS(NETWORKDAYS(Proc[[#This Row],[DateOpened]],TODAY()))-1,ABS(NETWORKDAYS(Proc[[#This Row],[DateOpened]],Proc[[#This Row],[DateClosed]]))-1)</f>
        <v>26</v>
      </c>
      <c r="R1717" s="92" t="s">
        <v>489</v>
      </c>
      <c r="S1717" s="87"/>
    </row>
    <row r="1718" spans="1:19" hidden="1">
      <c r="A1718" s="91" t="s">
        <v>3405</v>
      </c>
      <c r="B1718" s="87" t="str">
        <f>IFERROR(VLOOKUP(Proc[[#This Row],[App]],Table2[],3,0),"open")</f>
        <v>ok</v>
      </c>
      <c r="C1718" s="91" t="s">
        <v>369</v>
      </c>
      <c r="D1718" t="s">
        <v>3477</v>
      </c>
      <c r="E1718" t="s">
        <v>3517</v>
      </c>
      <c r="F1718" s="105" t="s">
        <v>3517</v>
      </c>
      <c r="G1718" s="91" t="s">
        <v>400</v>
      </c>
      <c r="H1718" s="87" t="str">
        <f>IF(Proc[[#This Row],[type]]="LFF (MDG-F)",MID(Proc[[#This Row],[Obj]],13,10),"")</f>
        <v/>
      </c>
      <c r="J1718" s="87" t="b">
        <f>Proc[[#This Row],[Requested]]=Proc[[#This Row],[CurrentParent]]</f>
        <v>1</v>
      </c>
      <c r="K1718" s="87" t="str">
        <f>IF(Proc[[#This Row],[Author]]="Marcela Urrego",VLOOKUP(LEFT(Proc[[#This Row],[Requested]],1),Table3[#All],2,0),VLOOKUP(Proc[[#This Row],[Author]],Table4[],2,0))</f>
        <v>LS</v>
      </c>
      <c r="L1718" s="87" t="s">
        <v>2563</v>
      </c>
      <c r="M1718" s="89">
        <v>45801.263680555552</v>
      </c>
      <c r="N1718" s="89"/>
      <c r="O1718" s="89"/>
      <c r="P1718" s="92" t="str">
        <f ca="1">IF(Proc[[#This Row],[DaysAgeing]]&gt;5,"yep","on track")</f>
        <v>yep</v>
      </c>
      <c r="Q1718" s="3">
        <f ca="1">IF(Proc[[#This Row],[DateClosed]]="",ABS(NETWORKDAYS(Proc[[#This Row],[DateOpened]],TODAY()))-1,ABS(NETWORKDAYS(Proc[[#This Row],[DateOpened]],Proc[[#This Row],[DateClosed]]))-1)</f>
        <v>26</v>
      </c>
      <c r="R1718" s="92" t="s">
        <v>489</v>
      </c>
      <c r="S1718" s="87"/>
    </row>
    <row r="1719" spans="1:19" hidden="1">
      <c r="A1719" s="91" t="s">
        <v>3405</v>
      </c>
      <c r="B1719" s="87" t="str">
        <f>IFERROR(VLOOKUP(Proc[[#This Row],[App]],Table2[],3,0),"open")</f>
        <v>ok</v>
      </c>
      <c r="C1719" s="91" t="s">
        <v>369</v>
      </c>
      <c r="D1719" t="s">
        <v>3478</v>
      </c>
      <c r="E1719" t="s">
        <v>3517</v>
      </c>
      <c r="F1719" s="105" t="s">
        <v>3517</v>
      </c>
      <c r="G1719" s="91" t="s">
        <v>400</v>
      </c>
      <c r="H1719" s="87" t="str">
        <f>IF(Proc[[#This Row],[type]]="LFF (MDG-F)",MID(Proc[[#This Row],[Obj]],13,10),"")</f>
        <v/>
      </c>
      <c r="J1719" s="87" t="b">
        <f>Proc[[#This Row],[Requested]]=Proc[[#This Row],[CurrentParent]]</f>
        <v>1</v>
      </c>
      <c r="K1719" s="87" t="str">
        <f>IF(Proc[[#This Row],[Author]]="Marcela Urrego",VLOOKUP(LEFT(Proc[[#This Row],[Requested]],1),Table3[#All],2,0),VLOOKUP(Proc[[#This Row],[Author]],Table4[],2,0))</f>
        <v>LS</v>
      </c>
      <c r="L1719" s="87" t="s">
        <v>2563</v>
      </c>
      <c r="M1719" s="89">
        <v>45801.263680555552</v>
      </c>
      <c r="N1719" s="89"/>
      <c r="O1719" s="89"/>
      <c r="P1719" s="92" t="str">
        <f ca="1">IF(Proc[[#This Row],[DaysAgeing]]&gt;5,"yep","on track")</f>
        <v>yep</v>
      </c>
      <c r="Q1719" s="3">
        <f ca="1">IF(Proc[[#This Row],[DateClosed]]="",ABS(NETWORKDAYS(Proc[[#This Row],[DateOpened]],TODAY()))-1,ABS(NETWORKDAYS(Proc[[#This Row],[DateOpened]],Proc[[#This Row],[DateClosed]]))-1)</f>
        <v>26</v>
      </c>
      <c r="R1719" s="92" t="s">
        <v>489</v>
      </c>
      <c r="S1719" s="87"/>
    </row>
    <row r="1720" spans="1:19" hidden="1">
      <c r="A1720" s="91" t="s">
        <v>3405</v>
      </c>
      <c r="B1720" s="87" t="str">
        <f>IFERROR(VLOOKUP(Proc[[#This Row],[App]],Table2[],3,0),"open")</f>
        <v>ok</v>
      </c>
      <c r="C1720" s="91" t="s">
        <v>369</v>
      </c>
      <c r="D1720" t="s">
        <v>3479</v>
      </c>
      <c r="E1720" t="s">
        <v>3524</v>
      </c>
      <c r="F1720" s="105" t="s">
        <v>3524</v>
      </c>
      <c r="G1720" s="91" t="s">
        <v>400</v>
      </c>
      <c r="H1720" s="87" t="str">
        <f>IF(Proc[[#This Row],[type]]="LFF (MDG-F)",MID(Proc[[#This Row],[Obj]],13,10),"")</f>
        <v/>
      </c>
      <c r="J1720" s="87" t="b">
        <f>Proc[[#This Row],[Requested]]=Proc[[#This Row],[CurrentParent]]</f>
        <v>1</v>
      </c>
      <c r="K1720" s="87" t="str">
        <f>IF(Proc[[#This Row],[Author]]="Marcela Urrego",VLOOKUP(LEFT(Proc[[#This Row],[Requested]],1),Table3[#All],2,0),VLOOKUP(Proc[[#This Row],[Author]],Table4[],2,0))</f>
        <v>LS</v>
      </c>
      <c r="L1720" s="87" t="s">
        <v>2563</v>
      </c>
      <c r="M1720" s="89">
        <v>45801.263680555552</v>
      </c>
      <c r="N1720" s="89"/>
      <c r="O1720" s="89"/>
      <c r="P1720" s="92" t="str">
        <f ca="1">IF(Proc[[#This Row],[DaysAgeing]]&gt;5,"yep","on track")</f>
        <v>yep</v>
      </c>
      <c r="Q1720" s="3">
        <f ca="1">IF(Proc[[#This Row],[DateClosed]]="",ABS(NETWORKDAYS(Proc[[#This Row],[DateOpened]],TODAY()))-1,ABS(NETWORKDAYS(Proc[[#This Row],[DateOpened]],Proc[[#This Row],[DateClosed]]))-1)</f>
        <v>26</v>
      </c>
      <c r="R1720" s="92" t="s">
        <v>489</v>
      </c>
      <c r="S1720" s="87"/>
    </row>
    <row r="1721" spans="1:19" hidden="1">
      <c r="A1721" s="91" t="s">
        <v>3405</v>
      </c>
      <c r="B1721" s="87" t="str">
        <f>IFERROR(VLOOKUP(Proc[[#This Row],[App]],Table2[],3,0),"open")</f>
        <v>ok</v>
      </c>
      <c r="C1721" s="91" t="s">
        <v>369</v>
      </c>
      <c r="D1721" t="s">
        <v>3480</v>
      </c>
      <c r="E1721" t="s">
        <v>3537</v>
      </c>
      <c r="F1721" s="105" t="s">
        <v>3537</v>
      </c>
      <c r="G1721" s="91" t="s">
        <v>400</v>
      </c>
      <c r="H1721" s="87" t="str">
        <f>IF(Proc[[#This Row],[type]]="LFF (MDG-F)",MID(Proc[[#This Row],[Obj]],13,10),"")</f>
        <v/>
      </c>
      <c r="J1721" s="87" t="b">
        <f>Proc[[#This Row],[Requested]]=Proc[[#This Row],[CurrentParent]]</f>
        <v>1</v>
      </c>
      <c r="K1721" s="87" t="str">
        <f>IF(Proc[[#This Row],[Author]]="Marcela Urrego",VLOOKUP(LEFT(Proc[[#This Row],[Requested]],1),Table3[#All],2,0),VLOOKUP(Proc[[#This Row],[Author]],Table4[],2,0))</f>
        <v>LS</v>
      </c>
      <c r="L1721" s="87" t="s">
        <v>2563</v>
      </c>
      <c r="M1721" s="89">
        <v>45801.263680555552</v>
      </c>
      <c r="N1721" s="89"/>
      <c r="O1721" s="89"/>
      <c r="P1721" s="92" t="str">
        <f ca="1">IF(Proc[[#This Row],[DaysAgeing]]&gt;5,"yep","on track")</f>
        <v>yep</v>
      </c>
      <c r="Q1721" s="3">
        <f ca="1">IF(Proc[[#This Row],[DateClosed]]="",ABS(NETWORKDAYS(Proc[[#This Row],[DateOpened]],TODAY()))-1,ABS(NETWORKDAYS(Proc[[#This Row],[DateOpened]],Proc[[#This Row],[DateClosed]]))-1)</f>
        <v>26</v>
      </c>
      <c r="R1721" s="92" t="s">
        <v>489</v>
      </c>
      <c r="S1721" s="87"/>
    </row>
    <row r="1722" spans="1:19" hidden="1">
      <c r="A1722" s="91" t="s">
        <v>3405</v>
      </c>
      <c r="B1722" s="87" t="str">
        <f>IFERROR(VLOOKUP(Proc[[#This Row],[App]],Table2[],3,0),"open")</f>
        <v>ok</v>
      </c>
      <c r="C1722" s="91" t="s">
        <v>369</v>
      </c>
      <c r="D1722" t="s">
        <v>3481</v>
      </c>
      <c r="E1722" t="s">
        <v>3531</v>
      </c>
      <c r="F1722" s="105" t="s">
        <v>3531</v>
      </c>
      <c r="G1722" s="91" t="s">
        <v>400</v>
      </c>
      <c r="H1722" s="87" t="str">
        <f>IF(Proc[[#This Row],[type]]="LFF (MDG-F)",MID(Proc[[#This Row],[Obj]],13,10),"")</f>
        <v/>
      </c>
      <c r="J1722" s="87" t="b">
        <f>Proc[[#This Row],[Requested]]=Proc[[#This Row],[CurrentParent]]</f>
        <v>1</v>
      </c>
      <c r="K1722" s="87" t="str">
        <f>IF(Proc[[#This Row],[Author]]="Marcela Urrego",VLOOKUP(LEFT(Proc[[#This Row],[Requested]],1),Table3[#All],2,0),VLOOKUP(Proc[[#This Row],[Author]],Table4[],2,0))</f>
        <v>LS</v>
      </c>
      <c r="L1722" s="87" t="s">
        <v>2563</v>
      </c>
      <c r="M1722" s="89">
        <v>45801.263680555552</v>
      </c>
      <c r="N1722" s="89"/>
      <c r="O1722" s="89"/>
      <c r="P1722" s="92" t="str">
        <f ca="1">IF(Proc[[#This Row],[DaysAgeing]]&gt;5,"yep","on track")</f>
        <v>yep</v>
      </c>
      <c r="Q1722" s="3">
        <f ca="1">IF(Proc[[#This Row],[DateClosed]]="",ABS(NETWORKDAYS(Proc[[#This Row],[DateOpened]],TODAY()))-1,ABS(NETWORKDAYS(Proc[[#This Row],[DateOpened]],Proc[[#This Row],[DateClosed]]))-1)</f>
        <v>26</v>
      </c>
      <c r="R1722" s="92" t="s">
        <v>489</v>
      </c>
      <c r="S1722" s="87"/>
    </row>
    <row r="1723" spans="1:19" hidden="1">
      <c r="A1723" s="91" t="s">
        <v>3405</v>
      </c>
      <c r="B1723" s="87" t="str">
        <f>IFERROR(VLOOKUP(Proc[[#This Row],[App]],Table2[],3,0),"open")</f>
        <v>ok</v>
      </c>
      <c r="C1723" s="91" t="s">
        <v>369</v>
      </c>
      <c r="D1723" t="s">
        <v>3482</v>
      </c>
      <c r="E1723" t="s">
        <v>3525</v>
      </c>
      <c r="F1723" s="105" t="s">
        <v>3525</v>
      </c>
      <c r="G1723" s="91" t="s">
        <v>400</v>
      </c>
      <c r="H1723" s="87" t="str">
        <f>IF(Proc[[#This Row],[type]]="LFF (MDG-F)",MID(Proc[[#This Row],[Obj]],13,10),"")</f>
        <v/>
      </c>
      <c r="J1723" s="87" t="b">
        <f>Proc[[#This Row],[Requested]]=Proc[[#This Row],[CurrentParent]]</f>
        <v>1</v>
      </c>
      <c r="K1723" s="87" t="str">
        <f>IF(Proc[[#This Row],[Author]]="Marcela Urrego",VLOOKUP(LEFT(Proc[[#This Row],[Requested]],1),Table3[#All],2,0),VLOOKUP(Proc[[#This Row],[Author]],Table4[],2,0))</f>
        <v>LS</v>
      </c>
      <c r="L1723" s="87" t="s">
        <v>2563</v>
      </c>
      <c r="M1723" s="89">
        <v>45801.263680555552</v>
      </c>
      <c r="N1723" s="89"/>
      <c r="O1723" s="89"/>
      <c r="P1723" s="92" t="str">
        <f ca="1">IF(Proc[[#This Row],[DaysAgeing]]&gt;5,"yep","on track")</f>
        <v>yep</v>
      </c>
      <c r="Q1723" s="3">
        <f ca="1">IF(Proc[[#This Row],[DateClosed]]="",ABS(NETWORKDAYS(Proc[[#This Row],[DateOpened]],TODAY()))-1,ABS(NETWORKDAYS(Proc[[#This Row],[DateOpened]],Proc[[#This Row],[DateClosed]]))-1)</f>
        <v>26</v>
      </c>
      <c r="R1723" s="92" t="s">
        <v>489</v>
      </c>
      <c r="S1723" s="87"/>
    </row>
    <row r="1724" spans="1:19" hidden="1">
      <c r="A1724" s="91" t="s">
        <v>3405</v>
      </c>
      <c r="B1724" s="87" t="str">
        <f>IFERROR(VLOOKUP(Proc[[#This Row],[App]],Table2[],3,0),"open")</f>
        <v>ok</v>
      </c>
      <c r="C1724" s="91" t="s">
        <v>369</v>
      </c>
      <c r="D1724" t="s">
        <v>3483</v>
      </c>
      <c r="E1724" t="s">
        <v>3531</v>
      </c>
      <c r="F1724" s="105" t="s">
        <v>3531</v>
      </c>
      <c r="G1724" s="91" t="s">
        <v>400</v>
      </c>
      <c r="H1724" s="87" t="str">
        <f>IF(Proc[[#This Row],[type]]="LFF (MDG-F)",MID(Proc[[#This Row],[Obj]],13,10),"")</f>
        <v/>
      </c>
      <c r="J1724" s="87" t="b">
        <f>Proc[[#This Row],[Requested]]=Proc[[#This Row],[CurrentParent]]</f>
        <v>1</v>
      </c>
      <c r="K1724" s="87" t="str">
        <f>IF(Proc[[#This Row],[Author]]="Marcela Urrego",VLOOKUP(LEFT(Proc[[#This Row],[Requested]],1),Table3[#All],2,0),VLOOKUP(Proc[[#This Row],[Author]],Table4[],2,0))</f>
        <v>LS</v>
      </c>
      <c r="L1724" s="87" t="s">
        <v>2563</v>
      </c>
      <c r="M1724" s="89">
        <v>45801.263680555552</v>
      </c>
      <c r="N1724" s="89"/>
      <c r="O1724" s="89"/>
      <c r="P1724" s="92" t="str">
        <f ca="1">IF(Proc[[#This Row],[DaysAgeing]]&gt;5,"yep","on track")</f>
        <v>yep</v>
      </c>
      <c r="Q1724" s="3">
        <f ca="1">IF(Proc[[#This Row],[DateClosed]]="",ABS(NETWORKDAYS(Proc[[#This Row],[DateOpened]],TODAY()))-1,ABS(NETWORKDAYS(Proc[[#This Row],[DateOpened]],Proc[[#This Row],[DateClosed]]))-1)</f>
        <v>26</v>
      </c>
      <c r="R1724" s="92" t="s">
        <v>489</v>
      </c>
      <c r="S1724" s="87"/>
    </row>
    <row r="1725" spans="1:19" hidden="1">
      <c r="A1725" s="91" t="s">
        <v>3405</v>
      </c>
      <c r="B1725" s="87" t="str">
        <f>IFERROR(VLOOKUP(Proc[[#This Row],[App]],Table2[],3,0),"open")</f>
        <v>ok</v>
      </c>
      <c r="C1725" s="91" t="s">
        <v>369</v>
      </c>
      <c r="D1725" t="s">
        <v>3484</v>
      </c>
      <c r="E1725" t="s">
        <v>3538</v>
      </c>
      <c r="F1725" s="105" t="s">
        <v>3538</v>
      </c>
      <c r="G1725" s="91" t="s">
        <v>400</v>
      </c>
      <c r="H1725" s="87" t="str">
        <f>IF(Proc[[#This Row],[type]]="LFF (MDG-F)",MID(Proc[[#This Row],[Obj]],13,10),"")</f>
        <v/>
      </c>
      <c r="J1725" s="87" t="b">
        <f>Proc[[#This Row],[Requested]]=Proc[[#This Row],[CurrentParent]]</f>
        <v>1</v>
      </c>
      <c r="K1725" s="87" t="str">
        <f>IF(Proc[[#This Row],[Author]]="Marcela Urrego",VLOOKUP(LEFT(Proc[[#This Row],[Requested]],1),Table3[#All],2,0),VLOOKUP(Proc[[#This Row],[Author]],Table4[],2,0))</f>
        <v>LS</v>
      </c>
      <c r="L1725" s="87" t="s">
        <v>2563</v>
      </c>
      <c r="M1725" s="89">
        <v>45801.263680555552</v>
      </c>
      <c r="N1725" s="89"/>
      <c r="O1725" s="89"/>
      <c r="P1725" s="92" t="str">
        <f ca="1">IF(Proc[[#This Row],[DaysAgeing]]&gt;5,"yep","on track")</f>
        <v>yep</v>
      </c>
      <c r="Q1725" s="3">
        <f ca="1">IF(Proc[[#This Row],[DateClosed]]="",ABS(NETWORKDAYS(Proc[[#This Row],[DateOpened]],TODAY()))-1,ABS(NETWORKDAYS(Proc[[#This Row],[DateOpened]],Proc[[#This Row],[DateClosed]]))-1)</f>
        <v>26</v>
      </c>
      <c r="R1725" s="92" t="s">
        <v>489</v>
      </c>
      <c r="S1725" s="87"/>
    </row>
    <row r="1726" spans="1:19" hidden="1">
      <c r="A1726" s="91" t="s">
        <v>3405</v>
      </c>
      <c r="B1726" s="87" t="str">
        <f>IFERROR(VLOOKUP(Proc[[#This Row],[App]],Table2[],3,0),"open")</f>
        <v>ok</v>
      </c>
      <c r="C1726" s="91" t="s">
        <v>369</v>
      </c>
      <c r="D1726" t="s">
        <v>3485</v>
      </c>
      <c r="E1726" t="s">
        <v>3528</v>
      </c>
      <c r="F1726" s="105" t="s">
        <v>3528</v>
      </c>
      <c r="G1726" s="91" t="s">
        <v>400</v>
      </c>
      <c r="H1726" s="87" t="str">
        <f>IF(Proc[[#This Row],[type]]="LFF (MDG-F)",MID(Proc[[#This Row],[Obj]],13,10),"")</f>
        <v/>
      </c>
      <c r="J1726" s="87" t="b">
        <f>Proc[[#This Row],[Requested]]=Proc[[#This Row],[CurrentParent]]</f>
        <v>1</v>
      </c>
      <c r="K1726" s="87" t="str">
        <f>IF(Proc[[#This Row],[Author]]="Marcela Urrego",VLOOKUP(LEFT(Proc[[#This Row],[Requested]],1),Table3[#All],2,0),VLOOKUP(Proc[[#This Row],[Author]],Table4[],2,0))</f>
        <v>LS</v>
      </c>
      <c r="L1726" s="87" t="s">
        <v>2563</v>
      </c>
      <c r="M1726" s="89">
        <v>45801.263680555552</v>
      </c>
      <c r="N1726" s="89"/>
      <c r="O1726" s="89"/>
      <c r="P1726" s="92" t="str">
        <f ca="1">IF(Proc[[#This Row],[DaysAgeing]]&gt;5,"yep","on track")</f>
        <v>yep</v>
      </c>
      <c r="Q1726" s="3">
        <f ca="1">IF(Proc[[#This Row],[DateClosed]]="",ABS(NETWORKDAYS(Proc[[#This Row],[DateOpened]],TODAY()))-1,ABS(NETWORKDAYS(Proc[[#This Row],[DateOpened]],Proc[[#This Row],[DateClosed]]))-1)</f>
        <v>26</v>
      </c>
      <c r="R1726" s="92" t="s">
        <v>489</v>
      </c>
      <c r="S1726" s="87"/>
    </row>
    <row r="1727" spans="1:19" hidden="1">
      <c r="A1727" s="91" t="s">
        <v>3405</v>
      </c>
      <c r="B1727" s="87" t="str">
        <f>IFERROR(VLOOKUP(Proc[[#This Row],[App]],Table2[],3,0),"open")</f>
        <v>ok</v>
      </c>
      <c r="C1727" s="91" t="s">
        <v>369</v>
      </c>
      <c r="D1727" t="s">
        <v>3486</v>
      </c>
      <c r="E1727" t="s">
        <v>3542</v>
      </c>
      <c r="F1727" s="105" t="s">
        <v>3542</v>
      </c>
      <c r="G1727" s="91" t="s">
        <v>400</v>
      </c>
      <c r="H1727" s="87" t="str">
        <f>IF(Proc[[#This Row],[type]]="LFF (MDG-F)",MID(Proc[[#This Row],[Obj]],13,10),"")</f>
        <v/>
      </c>
      <c r="J1727" s="87" t="b">
        <f>Proc[[#This Row],[Requested]]=Proc[[#This Row],[CurrentParent]]</f>
        <v>1</v>
      </c>
      <c r="K1727" s="87" t="str">
        <f>IF(Proc[[#This Row],[Author]]="Marcela Urrego",VLOOKUP(LEFT(Proc[[#This Row],[Requested]],1),Table3[#All],2,0),VLOOKUP(Proc[[#This Row],[Author]],Table4[],2,0))</f>
        <v>LS</v>
      </c>
      <c r="L1727" s="87" t="s">
        <v>2563</v>
      </c>
      <c r="M1727" s="89">
        <v>45801.263680555552</v>
      </c>
      <c r="N1727" s="89"/>
      <c r="O1727" s="89"/>
      <c r="P1727" s="92" t="str">
        <f ca="1">IF(Proc[[#This Row],[DaysAgeing]]&gt;5,"yep","on track")</f>
        <v>yep</v>
      </c>
      <c r="Q1727" s="3">
        <f ca="1">IF(Proc[[#This Row],[DateClosed]]="",ABS(NETWORKDAYS(Proc[[#This Row],[DateOpened]],TODAY()))-1,ABS(NETWORKDAYS(Proc[[#This Row],[DateOpened]],Proc[[#This Row],[DateClosed]]))-1)</f>
        <v>26</v>
      </c>
      <c r="R1727" s="92" t="s">
        <v>489</v>
      </c>
      <c r="S1727" s="87"/>
    </row>
    <row r="1728" spans="1:19" hidden="1">
      <c r="A1728" s="91" t="s">
        <v>3405</v>
      </c>
      <c r="B1728" s="87" t="str">
        <f>IFERROR(VLOOKUP(Proc[[#This Row],[App]],Table2[],3,0),"open")</f>
        <v>ok</v>
      </c>
      <c r="C1728" s="91" t="s">
        <v>369</v>
      </c>
      <c r="D1728" t="s">
        <v>3487</v>
      </c>
      <c r="E1728" t="s">
        <v>3525</v>
      </c>
      <c r="F1728" s="105" t="s">
        <v>3525</v>
      </c>
      <c r="G1728" s="91" t="s">
        <v>400</v>
      </c>
      <c r="H1728" s="87" t="str">
        <f>IF(Proc[[#This Row],[type]]="LFF (MDG-F)",MID(Proc[[#This Row],[Obj]],13,10),"")</f>
        <v/>
      </c>
      <c r="J1728" s="87" t="b">
        <f>Proc[[#This Row],[Requested]]=Proc[[#This Row],[CurrentParent]]</f>
        <v>1</v>
      </c>
      <c r="K1728" s="87" t="str">
        <f>IF(Proc[[#This Row],[Author]]="Marcela Urrego",VLOOKUP(LEFT(Proc[[#This Row],[Requested]],1),Table3[#All],2,0),VLOOKUP(Proc[[#This Row],[Author]],Table4[],2,0))</f>
        <v>LS</v>
      </c>
      <c r="L1728" s="87" t="s">
        <v>2563</v>
      </c>
      <c r="M1728" s="89">
        <v>45801.263680555552</v>
      </c>
      <c r="N1728" s="89"/>
      <c r="O1728" s="89"/>
      <c r="P1728" s="92" t="str">
        <f ca="1">IF(Proc[[#This Row],[DaysAgeing]]&gt;5,"yep","on track")</f>
        <v>yep</v>
      </c>
      <c r="Q1728" s="3">
        <f ca="1">IF(Proc[[#This Row],[DateClosed]]="",ABS(NETWORKDAYS(Proc[[#This Row],[DateOpened]],TODAY()))-1,ABS(NETWORKDAYS(Proc[[#This Row],[DateOpened]],Proc[[#This Row],[DateClosed]]))-1)</f>
        <v>26</v>
      </c>
      <c r="R1728" s="92" t="s">
        <v>489</v>
      </c>
      <c r="S1728" s="87"/>
    </row>
    <row r="1729" spans="1:19" hidden="1">
      <c r="A1729" s="91" t="s">
        <v>3405</v>
      </c>
      <c r="B1729" s="87" t="str">
        <f>IFERROR(VLOOKUP(Proc[[#This Row],[App]],Table2[],3,0),"open")</f>
        <v>ok</v>
      </c>
      <c r="C1729" s="91" t="s">
        <v>369</v>
      </c>
      <c r="D1729" t="s">
        <v>3488</v>
      </c>
      <c r="E1729" t="s">
        <v>3515</v>
      </c>
      <c r="F1729" s="105" t="s">
        <v>3515</v>
      </c>
      <c r="G1729" s="91" t="s">
        <v>400</v>
      </c>
      <c r="H1729" s="87" t="str">
        <f>IF(Proc[[#This Row],[type]]="LFF (MDG-F)",MID(Proc[[#This Row],[Obj]],13,10),"")</f>
        <v/>
      </c>
      <c r="J1729" s="87" t="b">
        <f>Proc[[#This Row],[Requested]]=Proc[[#This Row],[CurrentParent]]</f>
        <v>1</v>
      </c>
      <c r="K1729" s="87" t="str">
        <f>IF(Proc[[#This Row],[Author]]="Marcela Urrego",VLOOKUP(LEFT(Proc[[#This Row],[Requested]],1),Table3[#All],2,0),VLOOKUP(Proc[[#This Row],[Author]],Table4[],2,0))</f>
        <v>LS</v>
      </c>
      <c r="L1729" s="87" t="s">
        <v>2563</v>
      </c>
      <c r="M1729" s="89">
        <v>45801.263680555552</v>
      </c>
      <c r="N1729" s="89"/>
      <c r="O1729" s="89"/>
      <c r="P1729" s="92" t="str">
        <f ca="1">IF(Proc[[#This Row],[DaysAgeing]]&gt;5,"yep","on track")</f>
        <v>yep</v>
      </c>
      <c r="Q1729" s="3">
        <f ca="1">IF(Proc[[#This Row],[DateClosed]]="",ABS(NETWORKDAYS(Proc[[#This Row],[DateOpened]],TODAY()))-1,ABS(NETWORKDAYS(Proc[[#This Row],[DateOpened]],Proc[[#This Row],[DateClosed]]))-1)</f>
        <v>26</v>
      </c>
      <c r="R1729" s="92" t="s">
        <v>489</v>
      </c>
      <c r="S1729" s="87"/>
    </row>
    <row r="1730" spans="1:19" hidden="1">
      <c r="A1730" s="91" t="s">
        <v>3405</v>
      </c>
      <c r="B1730" s="87" t="str">
        <f>IFERROR(VLOOKUP(Proc[[#This Row],[App]],Table2[],3,0),"open")</f>
        <v>ok</v>
      </c>
      <c r="C1730" s="91" t="s">
        <v>369</v>
      </c>
      <c r="D1730" t="s">
        <v>3489</v>
      </c>
      <c r="E1730" t="s">
        <v>3517</v>
      </c>
      <c r="F1730" s="105" t="s">
        <v>3517</v>
      </c>
      <c r="G1730" s="91" t="s">
        <v>400</v>
      </c>
      <c r="H1730" s="87" t="str">
        <f>IF(Proc[[#This Row],[type]]="LFF (MDG-F)",MID(Proc[[#This Row],[Obj]],13,10),"")</f>
        <v/>
      </c>
      <c r="J1730" s="87" t="b">
        <f>Proc[[#This Row],[Requested]]=Proc[[#This Row],[CurrentParent]]</f>
        <v>1</v>
      </c>
      <c r="K1730" s="87" t="str">
        <f>IF(Proc[[#This Row],[Author]]="Marcela Urrego",VLOOKUP(LEFT(Proc[[#This Row],[Requested]],1),Table3[#All],2,0),VLOOKUP(Proc[[#This Row],[Author]],Table4[],2,0))</f>
        <v>LS</v>
      </c>
      <c r="L1730" s="87" t="s">
        <v>2563</v>
      </c>
      <c r="M1730" s="89">
        <v>45801.263680555552</v>
      </c>
      <c r="N1730" s="89"/>
      <c r="O1730" s="89"/>
      <c r="P1730" s="92" t="str">
        <f ca="1">IF(Proc[[#This Row],[DaysAgeing]]&gt;5,"yep","on track")</f>
        <v>yep</v>
      </c>
      <c r="Q1730" s="3">
        <f ca="1">IF(Proc[[#This Row],[DateClosed]]="",ABS(NETWORKDAYS(Proc[[#This Row],[DateOpened]],TODAY()))-1,ABS(NETWORKDAYS(Proc[[#This Row],[DateOpened]],Proc[[#This Row],[DateClosed]]))-1)</f>
        <v>26</v>
      </c>
      <c r="R1730" s="92" t="s">
        <v>489</v>
      </c>
      <c r="S1730" s="87"/>
    </row>
    <row r="1731" spans="1:19" hidden="1">
      <c r="A1731" s="91" t="s">
        <v>3405</v>
      </c>
      <c r="B1731" s="87" t="str">
        <f>IFERROR(VLOOKUP(Proc[[#This Row],[App]],Table2[],3,0),"open")</f>
        <v>ok</v>
      </c>
      <c r="C1731" s="91" t="s">
        <v>369</v>
      </c>
      <c r="D1731" t="s">
        <v>3490</v>
      </c>
      <c r="E1731" t="s">
        <v>3531</v>
      </c>
      <c r="F1731" s="105" t="s">
        <v>3531</v>
      </c>
      <c r="G1731" s="91" t="s">
        <v>400</v>
      </c>
      <c r="H1731" s="87" t="str">
        <f>IF(Proc[[#This Row],[type]]="LFF (MDG-F)",MID(Proc[[#This Row],[Obj]],13,10),"")</f>
        <v/>
      </c>
      <c r="J1731" s="87" t="b">
        <f>Proc[[#This Row],[Requested]]=Proc[[#This Row],[CurrentParent]]</f>
        <v>1</v>
      </c>
      <c r="K1731" s="87" t="str">
        <f>IF(Proc[[#This Row],[Author]]="Marcela Urrego",VLOOKUP(LEFT(Proc[[#This Row],[Requested]],1),Table3[#All],2,0),VLOOKUP(Proc[[#This Row],[Author]],Table4[],2,0))</f>
        <v>LS</v>
      </c>
      <c r="L1731" s="87" t="s">
        <v>2563</v>
      </c>
      <c r="M1731" s="89">
        <v>45801.263680555552</v>
      </c>
      <c r="N1731" s="89"/>
      <c r="O1731" s="89"/>
      <c r="P1731" s="92" t="str">
        <f ca="1">IF(Proc[[#This Row],[DaysAgeing]]&gt;5,"yep","on track")</f>
        <v>yep</v>
      </c>
      <c r="Q1731" s="3">
        <f ca="1">IF(Proc[[#This Row],[DateClosed]]="",ABS(NETWORKDAYS(Proc[[#This Row],[DateOpened]],TODAY()))-1,ABS(NETWORKDAYS(Proc[[#This Row],[DateOpened]],Proc[[#This Row],[DateClosed]]))-1)</f>
        <v>26</v>
      </c>
      <c r="R1731" s="92" t="s">
        <v>489</v>
      </c>
      <c r="S1731" s="87"/>
    </row>
    <row r="1732" spans="1:19" hidden="1">
      <c r="A1732" s="91" t="s">
        <v>3405</v>
      </c>
      <c r="B1732" s="87" t="str">
        <f>IFERROR(VLOOKUP(Proc[[#This Row],[App]],Table2[],3,0),"open")</f>
        <v>ok</v>
      </c>
      <c r="C1732" s="91" t="s">
        <v>369</v>
      </c>
      <c r="D1732" t="s">
        <v>3491</v>
      </c>
      <c r="E1732" t="s">
        <v>3524</v>
      </c>
      <c r="F1732" s="105" t="s">
        <v>3524</v>
      </c>
      <c r="G1732" s="91" t="s">
        <v>400</v>
      </c>
      <c r="H1732" s="87" t="str">
        <f>IF(Proc[[#This Row],[type]]="LFF (MDG-F)",MID(Proc[[#This Row],[Obj]],13,10),"")</f>
        <v/>
      </c>
      <c r="J1732" s="87" t="b">
        <f>Proc[[#This Row],[Requested]]=Proc[[#This Row],[CurrentParent]]</f>
        <v>1</v>
      </c>
      <c r="K1732" s="87" t="str">
        <f>IF(Proc[[#This Row],[Author]]="Marcela Urrego",VLOOKUP(LEFT(Proc[[#This Row],[Requested]],1),Table3[#All],2,0),VLOOKUP(Proc[[#This Row],[Author]],Table4[],2,0))</f>
        <v>LS</v>
      </c>
      <c r="L1732" s="87" t="s">
        <v>2563</v>
      </c>
      <c r="M1732" s="89">
        <v>45801.263680555552</v>
      </c>
      <c r="N1732" s="89"/>
      <c r="O1732" s="89"/>
      <c r="P1732" s="92" t="str">
        <f ca="1">IF(Proc[[#This Row],[DaysAgeing]]&gt;5,"yep","on track")</f>
        <v>yep</v>
      </c>
      <c r="Q1732" s="3">
        <f ca="1">IF(Proc[[#This Row],[DateClosed]]="",ABS(NETWORKDAYS(Proc[[#This Row],[DateOpened]],TODAY()))-1,ABS(NETWORKDAYS(Proc[[#This Row],[DateOpened]],Proc[[#This Row],[DateClosed]]))-1)</f>
        <v>26</v>
      </c>
      <c r="R1732" s="92" t="s">
        <v>489</v>
      </c>
      <c r="S1732" s="87"/>
    </row>
    <row r="1733" spans="1:19" hidden="1">
      <c r="A1733" s="91" t="s">
        <v>3405</v>
      </c>
      <c r="B1733" s="87" t="str">
        <f>IFERROR(VLOOKUP(Proc[[#This Row],[App]],Table2[],3,0),"open")</f>
        <v>ok</v>
      </c>
      <c r="C1733" s="91" t="s">
        <v>369</v>
      </c>
      <c r="D1733" t="s">
        <v>3492</v>
      </c>
      <c r="E1733" t="s">
        <v>3528</v>
      </c>
      <c r="F1733" s="105" t="s">
        <v>3528</v>
      </c>
      <c r="G1733" s="91" t="s">
        <v>400</v>
      </c>
      <c r="H1733" s="87" t="str">
        <f>IF(Proc[[#This Row],[type]]="LFF (MDG-F)",MID(Proc[[#This Row],[Obj]],13,10),"")</f>
        <v/>
      </c>
      <c r="J1733" s="87" t="b">
        <f>Proc[[#This Row],[Requested]]=Proc[[#This Row],[CurrentParent]]</f>
        <v>1</v>
      </c>
      <c r="K1733" s="87" t="str">
        <f>IF(Proc[[#This Row],[Author]]="Marcela Urrego",VLOOKUP(LEFT(Proc[[#This Row],[Requested]],1),Table3[#All],2,0),VLOOKUP(Proc[[#This Row],[Author]],Table4[],2,0))</f>
        <v>LS</v>
      </c>
      <c r="L1733" s="87" t="s">
        <v>2563</v>
      </c>
      <c r="M1733" s="89">
        <v>45801.263680555552</v>
      </c>
      <c r="N1733" s="89"/>
      <c r="O1733" s="89"/>
      <c r="P1733" s="92" t="str">
        <f ca="1">IF(Proc[[#This Row],[DaysAgeing]]&gt;5,"yep","on track")</f>
        <v>yep</v>
      </c>
      <c r="Q1733" s="3">
        <f ca="1">IF(Proc[[#This Row],[DateClosed]]="",ABS(NETWORKDAYS(Proc[[#This Row],[DateOpened]],TODAY()))-1,ABS(NETWORKDAYS(Proc[[#This Row],[DateOpened]],Proc[[#This Row],[DateClosed]]))-1)</f>
        <v>26</v>
      </c>
      <c r="R1733" s="92" t="s">
        <v>489</v>
      </c>
      <c r="S1733" s="87"/>
    </row>
    <row r="1734" spans="1:19" hidden="1">
      <c r="A1734" s="91" t="s">
        <v>3405</v>
      </c>
      <c r="B1734" s="87" t="str">
        <f>IFERROR(VLOOKUP(Proc[[#This Row],[App]],Table2[],3,0),"open")</f>
        <v>ok</v>
      </c>
      <c r="C1734" s="91" t="s">
        <v>369</v>
      </c>
      <c r="D1734" t="s">
        <v>3493</v>
      </c>
      <c r="E1734" t="s">
        <v>3517</v>
      </c>
      <c r="F1734" s="105" t="s">
        <v>3517</v>
      </c>
      <c r="G1734" s="91" t="s">
        <v>400</v>
      </c>
      <c r="H1734" s="87" t="str">
        <f>IF(Proc[[#This Row],[type]]="LFF (MDG-F)",MID(Proc[[#This Row],[Obj]],13,10),"")</f>
        <v/>
      </c>
      <c r="J1734" s="87" t="b">
        <f>Proc[[#This Row],[Requested]]=Proc[[#This Row],[CurrentParent]]</f>
        <v>1</v>
      </c>
      <c r="K1734" s="87" t="str">
        <f>IF(Proc[[#This Row],[Author]]="Marcela Urrego",VLOOKUP(LEFT(Proc[[#This Row],[Requested]],1),Table3[#All],2,0),VLOOKUP(Proc[[#This Row],[Author]],Table4[],2,0))</f>
        <v>LS</v>
      </c>
      <c r="L1734" s="87" t="s">
        <v>2563</v>
      </c>
      <c r="M1734" s="89">
        <v>45801.263680555552</v>
      </c>
      <c r="N1734" s="89"/>
      <c r="O1734" s="89"/>
      <c r="P1734" s="92" t="str">
        <f ca="1">IF(Proc[[#This Row],[DaysAgeing]]&gt;5,"yep","on track")</f>
        <v>yep</v>
      </c>
      <c r="Q1734" s="3">
        <f ca="1">IF(Proc[[#This Row],[DateClosed]]="",ABS(NETWORKDAYS(Proc[[#This Row],[DateOpened]],TODAY()))-1,ABS(NETWORKDAYS(Proc[[#This Row],[DateOpened]],Proc[[#This Row],[DateClosed]]))-1)</f>
        <v>26</v>
      </c>
      <c r="R1734" s="92" t="s">
        <v>489</v>
      </c>
      <c r="S1734" s="87"/>
    </row>
    <row r="1735" spans="1:19" hidden="1">
      <c r="A1735" s="91" t="s">
        <v>3405</v>
      </c>
      <c r="B1735" s="87" t="str">
        <f>IFERROR(VLOOKUP(Proc[[#This Row],[App]],Table2[],3,0),"open")</f>
        <v>ok</v>
      </c>
      <c r="C1735" s="91" t="s">
        <v>369</v>
      </c>
      <c r="D1735" t="s">
        <v>3494</v>
      </c>
      <c r="E1735" t="s">
        <v>3543</v>
      </c>
      <c r="F1735" s="105" t="s">
        <v>3543</v>
      </c>
      <c r="G1735" s="91" t="s">
        <v>400</v>
      </c>
      <c r="H1735" s="87" t="str">
        <f>IF(Proc[[#This Row],[type]]="LFF (MDG-F)",MID(Proc[[#This Row],[Obj]],13,10),"")</f>
        <v/>
      </c>
      <c r="J1735" s="87" t="b">
        <f>Proc[[#This Row],[Requested]]=Proc[[#This Row],[CurrentParent]]</f>
        <v>1</v>
      </c>
      <c r="K1735" s="87" t="str">
        <f>IF(Proc[[#This Row],[Author]]="Marcela Urrego",VLOOKUP(LEFT(Proc[[#This Row],[Requested]],1),Table3[#All],2,0),VLOOKUP(Proc[[#This Row],[Author]],Table4[],2,0))</f>
        <v>LS</v>
      </c>
      <c r="L1735" s="87" t="s">
        <v>2563</v>
      </c>
      <c r="M1735" s="89">
        <v>45801.263680555552</v>
      </c>
      <c r="N1735" s="89"/>
      <c r="O1735" s="89"/>
      <c r="P1735" s="92" t="str">
        <f ca="1">IF(Proc[[#This Row],[DaysAgeing]]&gt;5,"yep","on track")</f>
        <v>yep</v>
      </c>
      <c r="Q1735" s="3">
        <f ca="1">IF(Proc[[#This Row],[DateClosed]]="",ABS(NETWORKDAYS(Proc[[#This Row],[DateOpened]],TODAY()))-1,ABS(NETWORKDAYS(Proc[[#This Row],[DateOpened]],Proc[[#This Row],[DateClosed]]))-1)</f>
        <v>26</v>
      </c>
      <c r="R1735" s="92" t="s">
        <v>489</v>
      </c>
      <c r="S1735" s="87"/>
    </row>
    <row r="1736" spans="1:19" hidden="1">
      <c r="A1736" s="91" t="s">
        <v>3405</v>
      </c>
      <c r="B1736" s="87" t="str">
        <f>IFERROR(VLOOKUP(Proc[[#This Row],[App]],Table2[],3,0),"open")</f>
        <v>ok</v>
      </c>
      <c r="C1736" s="91" t="s">
        <v>369</v>
      </c>
      <c r="D1736" t="s">
        <v>3495</v>
      </c>
      <c r="E1736" t="s">
        <v>3515</v>
      </c>
      <c r="F1736" s="105" t="s">
        <v>3515</v>
      </c>
      <c r="G1736" s="91" t="s">
        <v>400</v>
      </c>
      <c r="H1736" s="87" t="str">
        <f>IF(Proc[[#This Row],[type]]="LFF (MDG-F)",MID(Proc[[#This Row],[Obj]],13,10),"")</f>
        <v/>
      </c>
      <c r="J1736" s="87" t="b">
        <f>Proc[[#This Row],[Requested]]=Proc[[#This Row],[CurrentParent]]</f>
        <v>1</v>
      </c>
      <c r="K1736" s="87" t="str">
        <f>IF(Proc[[#This Row],[Author]]="Marcela Urrego",VLOOKUP(LEFT(Proc[[#This Row],[Requested]],1),Table3[#All],2,0),VLOOKUP(Proc[[#This Row],[Author]],Table4[],2,0))</f>
        <v>LS</v>
      </c>
      <c r="L1736" s="87" t="s">
        <v>2563</v>
      </c>
      <c r="M1736" s="89">
        <v>45801.263680555552</v>
      </c>
      <c r="N1736" s="89"/>
      <c r="O1736" s="89"/>
      <c r="P1736" s="92" t="str">
        <f ca="1">IF(Proc[[#This Row],[DaysAgeing]]&gt;5,"yep","on track")</f>
        <v>yep</v>
      </c>
      <c r="Q1736" s="3">
        <f ca="1">IF(Proc[[#This Row],[DateClosed]]="",ABS(NETWORKDAYS(Proc[[#This Row],[DateOpened]],TODAY()))-1,ABS(NETWORKDAYS(Proc[[#This Row],[DateOpened]],Proc[[#This Row],[DateClosed]]))-1)</f>
        <v>26</v>
      </c>
      <c r="R1736" s="92" t="s">
        <v>489</v>
      </c>
      <c r="S1736" s="87"/>
    </row>
    <row r="1737" spans="1:19" hidden="1">
      <c r="A1737" s="91" t="s">
        <v>3405</v>
      </c>
      <c r="B1737" s="87" t="str">
        <f>IFERROR(VLOOKUP(Proc[[#This Row],[App]],Table2[],3,0),"open")</f>
        <v>ok</v>
      </c>
      <c r="C1737" s="91" t="s">
        <v>369</v>
      </c>
      <c r="D1737" t="s">
        <v>3496</v>
      </c>
      <c r="E1737" t="s">
        <v>3517</v>
      </c>
      <c r="F1737" s="105" t="s">
        <v>3517</v>
      </c>
      <c r="G1737" s="91" t="s">
        <v>400</v>
      </c>
      <c r="H1737" s="87" t="str">
        <f>IF(Proc[[#This Row],[type]]="LFF (MDG-F)",MID(Proc[[#This Row],[Obj]],13,10),"")</f>
        <v/>
      </c>
      <c r="J1737" s="87" t="b">
        <f>Proc[[#This Row],[Requested]]=Proc[[#This Row],[CurrentParent]]</f>
        <v>1</v>
      </c>
      <c r="K1737" s="87" t="str">
        <f>IF(Proc[[#This Row],[Author]]="Marcela Urrego",VLOOKUP(LEFT(Proc[[#This Row],[Requested]],1),Table3[#All],2,0),VLOOKUP(Proc[[#This Row],[Author]],Table4[],2,0))</f>
        <v>LS</v>
      </c>
      <c r="L1737" s="87" t="s">
        <v>2563</v>
      </c>
      <c r="M1737" s="89">
        <v>45801.263680555552</v>
      </c>
      <c r="N1737" s="89"/>
      <c r="O1737" s="89"/>
      <c r="P1737" s="92" t="str">
        <f ca="1">IF(Proc[[#This Row],[DaysAgeing]]&gt;5,"yep","on track")</f>
        <v>yep</v>
      </c>
      <c r="Q1737" s="3">
        <f ca="1">IF(Proc[[#This Row],[DateClosed]]="",ABS(NETWORKDAYS(Proc[[#This Row],[DateOpened]],TODAY()))-1,ABS(NETWORKDAYS(Proc[[#This Row],[DateOpened]],Proc[[#This Row],[DateClosed]]))-1)</f>
        <v>26</v>
      </c>
      <c r="R1737" s="92" t="s">
        <v>489</v>
      </c>
      <c r="S1737" s="87"/>
    </row>
    <row r="1738" spans="1:19" hidden="1">
      <c r="A1738" s="91" t="s">
        <v>3405</v>
      </c>
      <c r="B1738" s="87" t="str">
        <f>IFERROR(VLOOKUP(Proc[[#This Row],[App]],Table2[],3,0),"open")</f>
        <v>ok</v>
      </c>
      <c r="C1738" s="91" t="s">
        <v>369</v>
      </c>
      <c r="D1738" t="s">
        <v>3497</v>
      </c>
      <c r="E1738" t="s">
        <v>3524</v>
      </c>
      <c r="F1738" s="105" t="s">
        <v>3524</v>
      </c>
      <c r="G1738" s="91" t="s">
        <v>400</v>
      </c>
      <c r="H1738" s="87" t="str">
        <f>IF(Proc[[#This Row],[type]]="LFF (MDG-F)",MID(Proc[[#This Row],[Obj]],13,10),"")</f>
        <v/>
      </c>
      <c r="J1738" s="87" t="b">
        <f>Proc[[#This Row],[Requested]]=Proc[[#This Row],[CurrentParent]]</f>
        <v>1</v>
      </c>
      <c r="K1738" s="87" t="str">
        <f>IF(Proc[[#This Row],[Author]]="Marcela Urrego",VLOOKUP(LEFT(Proc[[#This Row],[Requested]],1),Table3[#All],2,0),VLOOKUP(Proc[[#This Row],[Author]],Table4[],2,0))</f>
        <v>LS</v>
      </c>
      <c r="L1738" s="87" t="s">
        <v>2563</v>
      </c>
      <c r="M1738" s="89">
        <v>45801.263680555552</v>
      </c>
      <c r="N1738" s="89"/>
      <c r="O1738" s="89"/>
      <c r="P1738" s="92" t="str">
        <f ca="1">IF(Proc[[#This Row],[DaysAgeing]]&gt;5,"yep","on track")</f>
        <v>yep</v>
      </c>
      <c r="Q1738" s="3">
        <f ca="1">IF(Proc[[#This Row],[DateClosed]]="",ABS(NETWORKDAYS(Proc[[#This Row],[DateOpened]],TODAY()))-1,ABS(NETWORKDAYS(Proc[[#This Row],[DateOpened]],Proc[[#This Row],[DateClosed]]))-1)</f>
        <v>26</v>
      </c>
      <c r="R1738" s="92" t="s">
        <v>489</v>
      </c>
      <c r="S1738" s="87"/>
    </row>
    <row r="1739" spans="1:19" hidden="1">
      <c r="A1739" s="91" t="s">
        <v>3405</v>
      </c>
      <c r="B1739" s="87" t="str">
        <f>IFERROR(VLOOKUP(Proc[[#This Row],[App]],Table2[],3,0),"open")</f>
        <v>ok</v>
      </c>
      <c r="C1739" s="91" t="s">
        <v>369</v>
      </c>
      <c r="D1739" t="s">
        <v>3498</v>
      </c>
      <c r="E1739" t="s">
        <v>3544</v>
      </c>
      <c r="F1739" s="105" t="s">
        <v>3544</v>
      </c>
      <c r="G1739" s="91" t="s">
        <v>400</v>
      </c>
      <c r="H1739" s="87" t="str">
        <f>IF(Proc[[#This Row],[type]]="LFF (MDG-F)",MID(Proc[[#This Row],[Obj]],13,10),"")</f>
        <v/>
      </c>
      <c r="J1739" s="87" t="b">
        <f>Proc[[#This Row],[Requested]]=Proc[[#This Row],[CurrentParent]]</f>
        <v>1</v>
      </c>
      <c r="K1739" s="87" t="str">
        <f>IF(Proc[[#This Row],[Author]]="Marcela Urrego",VLOOKUP(LEFT(Proc[[#This Row],[Requested]],1),Table3[#All],2,0),VLOOKUP(Proc[[#This Row],[Author]],Table4[],2,0))</f>
        <v>LS</v>
      </c>
      <c r="L1739" s="87" t="s">
        <v>2563</v>
      </c>
      <c r="M1739" s="89">
        <v>45801.263680555552</v>
      </c>
      <c r="N1739" s="89"/>
      <c r="O1739" s="89"/>
      <c r="P1739" s="92" t="str">
        <f ca="1">IF(Proc[[#This Row],[DaysAgeing]]&gt;5,"yep","on track")</f>
        <v>yep</v>
      </c>
      <c r="Q1739" s="3">
        <f ca="1">IF(Proc[[#This Row],[DateClosed]]="",ABS(NETWORKDAYS(Proc[[#This Row],[DateOpened]],TODAY()))-1,ABS(NETWORKDAYS(Proc[[#This Row],[DateOpened]],Proc[[#This Row],[DateClosed]]))-1)</f>
        <v>26</v>
      </c>
      <c r="R1739" s="92" t="s">
        <v>489</v>
      </c>
      <c r="S1739" s="87"/>
    </row>
    <row r="1740" spans="1:19" hidden="1">
      <c r="A1740" s="91" t="s">
        <v>3405</v>
      </c>
      <c r="B1740" s="87" t="str">
        <f>IFERROR(VLOOKUP(Proc[[#This Row],[App]],Table2[],3,0),"open")</f>
        <v>ok</v>
      </c>
      <c r="C1740" s="91" t="s">
        <v>369</v>
      </c>
      <c r="D1740" t="s">
        <v>3499</v>
      </c>
      <c r="E1740" t="s">
        <v>3526</v>
      </c>
      <c r="F1740" s="105" t="s">
        <v>3526</v>
      </c>
      <c r="G1740" s="91" t="s">
        <v>400</v>
      </c>
      <c r="H1740" s="87" t="str">
        <f>IF(Proc[[#This Row],[type]]="LFF (MDG-F)",MID(Proc[[#This Row],[Obj]],13,10),"")</f>
        <v/>
      </c>
      <c r="J1740" s="87" t="b">
        <f>Proc[[#This Row],[Requested]]=Proc[[#This Row],[CurrentParent]]</f>
        <v>1</v>
      </c>
      <c r="K1740" s="87" t="str">
        <f>IF(Proc[[#This Row],[Author]]="Marcela Urrego",VLOOKUP(LEFT(Proc[[#This Row],[Requested]],1),Table3[#All],2,0),VLOOKUP(Proc[[#This Row],[Author]],Table4[],2,0))</f>
        <v>LS</v>
      </c>
      <c r="L1740" s="87" t="s">
        <v>2563</v>
      </c>
      <c r="M1740" s="89">
        <v>45801.263680555552</v>
      </c>
      <c r="N1740" s="89"/>
      <c r="O1740" s="89"/>
      <c r="P1740" s="92" t="str">
        <f ca="1">IF(Proc[[#This Row],[DaysAgeing]]&gt;5,"yep","on track")</f>
        <v>yep</v>
      </c>
      <c r="Q1740" s="3">
        <f ca="1">IF(Proc[[#This Row],[DateClosed]]="",ABS(NETWORKDAYS(Proc[[#This Row],[DateOpened]],TODAY()))-1,ABS(NETWORKDAYS(Proc[[#This Row],[DateOpened]],Proc[[#This Row],[DateClosed]]))-1)</f>
        <v>26</v>
      </c>
      <c r="R1740" s="92" t="s">
        <v>489</v>
      </c>
      <c r="S1740" s="87"/>
    </row>
    <row r="1741" spans="1:19" hidden="1">
      <c r="A1741" s="91" t="s">
        <v>3405</v>
      </c>
      <c r="B1741" s="87" t="str">
        <f>IFERROR(VLOOKUP(Proc[[#This Row],[App]],Table2[],3,0),"open")</f>
        <v>ok</v>
      </c>
      <c r="C1741" s="91" t="s">
        <v>369</v>
      </c>
      <c r="D1741" t="s">
        <v>3500</v>
      </c>
      <c r="E1741" t="s">
        <v>3532</v>
      </c>
      <c r="F1741" s="105" t="s">
        <v>3532</v>
      </c>
      <c r="G1741" s="91" t="s">
        <v>400</v>
      </c>
      <c r="H1741" s="87" t="str">
        <f>IF(Proc[[#This Row],[type]]="LFF (MDG-F)",MID(Proc[[#This Row],[Obj]],13,10),"")</f>
        <v/>
      </c>
      <c r="J1741" s="87" t="b">
        <f>Proc[[#This Row],[Requested]]=Proc[[#This Row],[CurrentParent]]</f>
        <v>1</v>
      </c>
      <c r="K1741" s="87" t="str">
        <f>IF(Proc[[#This Row],[Author]]="Marcela Urrego",VLOOKUP(LEFT(Proc[[#This Row],[Requested]],1),Table3[#All],2,0),VLOOKUP(Proc[[#This Row],[Author]],Table4[],2,0))</f>
        <v>LS</v>
      </c>
      <c r="L1741" s="87" t="s">
        <v>2563</v>
      </c>
      <c r="M1741" s="89">
        <v>45801.263680555552</v>
      </c>
      <c r="N1741" s="89"/>
      <c r="O1741" s="89"/>
      <c r="P1741" s="92" t="str">
        <f ca="1">IF(Proc[[#This Row],[DaysAgeing]]&gt;5,"yep","on track")</f>
        <v>yep</v>
      </c>
      <c r="Q1741" s="3">
        <f ca="1">IF(Proc[[#This Row],[DateClosed]]="",ABS(NETWORKDAYS(Proc[[#This Row],[DateOpened]],TODAY()))-1,ABS(NETWORKDAYS(Proc[[#This Row],[DateOpened]],Proc[[#This Row],[DateClosed]]))-1)</f>
        <v>26</v>
      </c>
      <c r="R1741" s="92" t="s">
        <v>489</v>
      </c>
      <c r="S1741" s="87"/>
    </row>
    <row r="1742" spans="1:19" hidden="1">
      <c r="A1742" s="91" t="s">
        <v>3405</v>
      </c>
      <c r="B1742" s="87" t="str">
        <f>IFERROR(VLOOKUP(Proc[[#This Row],[App]],Table2[],3,0),"open")</f>
        <v>ok</v>
      </c>
      <c r="C1742" s="91" t="s">
        <v>369</v>
      </c>
      <c r="D1742" t="s">
        <v>3501</v>
      </c>
      <c r="E1742" t="s">
        <v>3518</v>
      </c>
      <c r="F1742" s="105" t="s">
        <v>3518</v>
      </c>
      <c r="G1742" s="91" t="s">
        <v>400</v>
      </c>
      <c r="H1742" s="87" t="str">
        <f>IF(Proc[[#This Row],[type]]="LFF (MDG-F)",MID(Proc[[#This Row],[Obj]],13,10),"")</f>
        <v/>
      </c>
      <c r="J1742" s="87" t="b">
        <f>Proc[[#This Row],[Requested]]=Proc[[#This Row],[CurrentParent]]</f>
        <v>1</v>
      </c>
      <c r="K1742" s="87" t="str">
        <f>IF(Proc[[#This Row],[Author]]="Marcela Urrego",VLOOKUP(LEFT(Proc[[#This Row],[Requested]],1),Table3[#All],2,0),VLOOKUP(Proc[[#This Row],[Author]],Table4[],2,0))</f>
        <v>LS</v>
      </c>
      <c r="L1742" s="87" t="s">
        <v>2563</v>
      </c>
      <c r="M1742" s="89">
        <v>45801.263680555552</v>
      </c>
      <c r="N1742" s="89"/>
      <c r="O1742" s="89"/>
      <c r="P1742" s="92" t="str">
        <f ca="1">IF(Proc[[#This Row],[DaysAgeing]]&gt;5,"yep","on track")</f>
        <v>yep</v>
      </c>
      <c r="Q1742" s="3">
        <f ca="1">IF(Proc[[#This Row],[DateClosed]]="",ABS(NETWORKDAYS(Proc[[#This Row],[DateOpened]],TODAY()))-1,ABS(NETWORKDAYS(Proc[[#This Row],[DateOpened]],Proc[[#This Row],[DateClosed]]))-1)</f>
        <v>26</v>
      </c>
      <c r="R1742" s="92" t="s">
        <v>489</v>
      </c>
      <c r="S1742" s="87"/>
    </row>
    <row r="1743" spans="1:19" hidden="1">
      <c r="A1743" s="91" t="s">
        <v>3405</v>
      </c>
      <c r="B1743" s="87" t="str">
        <f>IFERROR(VLOOKUP(Proc[[#This Row],[App]],Table2[],3,0),"open")</f>
        <v>ok</v>
      </c>
      <c r="C1743" s="91" t="s">
        <v>369</v>
      </c>
      <c r="D1743" t="s">
        <v>3502</v>
      </c>
      <c r="E1743" t="s">
        <v>3528</v>
      </c>
      <c r="F1743" s="105" t="s">
        <v>3528</v>
      </c>
      <c r="G1743" s="91" t="s">
        <v>400</v>
      </c>
      <c r="H1743" s="87" t="str">
        <f>IF(Proc[[#This Row],[type]]="LFF (MDG-F)",MID(Proc[[#This Row],[Obj]],13,10),"")</f>
        <v/>
      </c>
      <c r="J1743" s="87" t="b">
        <f>Proc[[#This Row],[Requested]]=Proc[[#This Row],[CurrentParent]]</f>
        <v>1</v>
      </c>
      <c r="K1743" s="87" t="str">
        <f>IF(Proc[[#This Row],[Author]]="Marcela Urrego",VLOOKUP(LEFT(Proc[[#This Row],[Requested]],1),Table3[#All],2,0),VLOOKUP(Proc[[#This Row],[Author]],Table4[],2,0))</f>
        <v>LS</v>
      </c>
      <c r="L1743" s="87" t="s">
        <v>2563</v>
      </c>
      <c r="M1743" s="89">
        <v>45801.263680555552</v>
      </c>
      <c r="N1743" s="89"/>
      <c r="O1743" s="89"/>
      <c r="P1743" s="92" t="str">
        <f ca="1">IF(Proc[[#This Row],[DaysAgeing]]&gt;5,"yep","on track")</f>
        <v>yep</v>
      </c>
      <c r="Q1743" s="3">
        <f ca="1">IF(Proc[[#This Row],[DateClosed]]="",ABS(NETWORKDAYS(Proc[[#This Row],[DateOpened]],TODAY()))-1,ABS(NETWORKDAYS(Proc[[#This Row],[DateOpened]],Proc[[#This Row],[DateClosed]]))-1)</f>
        <v>26</v>
      </c>
      <c r="R1743" s="92" t="s">
        <v>489</v>
      </c>
      <c r="S1743" s="87"/>
    </row>
    <row r="1744" spans="1:19" hidden="1">
      <c r="A1744" s="91" t="s">
        <v>3405</v>
      </c>
      <c r="B1744" s="87" t="str">
        <f>IFERROR(VLOOKUP(Proc[[#This Row],[App]],Table2[],3,0),"open")</f>
        <v>ok</v>
      </c>
      <c r="C1744" s="91" t="s">
        <v>369</v>
      </c>
      <c r="D1744" t="s">
        <v>3503</v>
      </c>
      <c r="E1744" t="s">
        <v>3545</v>
      </c>
      <c r="F1744" s="105" t="s">
        <v>3545</v>
      </c>
      <c r="G1744" s="91" t="s">
        <v>400</v>
      </c>
      <c r="H1744" s="87" t="str">
        <f>IF(Proc[[#This Row],[type]]="LFF (MDG-F)",MID(Proc[[#This Row],[Obj]],13,10),"")</f>
        <v/>
      </c>
      <c r="J1744" s="87" t="b">
        <f>Proc[[#This Row],[Requested]]=Proc[[#This Row],[CurrentParent]]</f>
        <v>1</v>
      </c>
      <c r="K1744" s="87" t="str">
        <f>IF(Proc[[#This Row],[Author]]="Marcela Urrego",VLOOKUP(LEFT(Proc[[#This Row],[Requested]],1),Table3[#All],2,0),VLOOKUP(Proc[[#This Row],[Author]],Table4[],2,0))</f>
        <v>LS</v>
      </c>
      <c r="L1744" s="87" t="s">
        <v>2563</v>
      </c>
      <c r="M1744" s="89">
        <v>45801.263680555552</v>
      </c>
      <c r="N1744" s="89"/>
      <c r="O1744" s="89"/>
      <c r="P1744" s="92" t="str">
        <f ca="1">IF(Proc[[#This Row],[DaysAgeing]]&gt;5,"yep","on track")</f>
        <v>yep</v>
      </c>
      <c r="Q1744" s="3">
        <f ca="1">IF(Proc[[#This Row],[DateClosed]]="",ABS(NETWORKDAYS(Proc[[#This Row],[DateOpened]],TODAY()))-1,ABS(NETWORKDAYS(Proc[[#This Row],[DateOpened]],Proc[[#This Row],[DateClosed]]))-1)</f>
        <v>26</v>
      </c>
      <c r="R1744" s="92" t="s">
        <v>489</v>
      </c>
      <c r="S1744" s="87"/>
    </row>
    <row r="1745" spans="1:19" hidden="1">
      <c r="A1745" s="91" t="s">
        <v>3405</v>
      </c>
      <c r="B1745" s="87" t="str">
        <f>IFERROR(VLOOKUP(Proc[[#This Row],[App]],Table2[],3,0),"open")</f>
        <v>ok</v>
      </c>
      <c r="C1745" s="91" t="s">
        <v>369</v>
      </c>
      <c r="D1745" t="s">
        <v>3504</v>
      </c>
      <c r="E1745" t="s">
        <v>3515</v>
      </c>
      <c r="F1745" s="105" t="s">
        <v>3515</v>
      </c>
      <c r="G1745" s="91" t="s">
        <v>400</v>
      </c>
      <c r="H1745" s="87" t="str">
        <f>IF(Proc[[#This Row],[type]]="LFF (MDG-F)",MID(Proc[[#This Row],[Obj]],13,10),"")</f>
        <v/>
      </c>
      <c r="J1745" s="87" t="b">
        <f>Proc[[#This Row],[Requested]]=Proc[[#This Row],[CurrentParent]]</f>
        <v>1</v>
      </c>
      <c r="K1745" s="87" t="str">
        <f>IF(Proc[[#This Row],[Author]]="Marcela Urrego",VLOOKUP(LEFT(Proc[[#This Row],[Requested]],1),Table3[#All],2,0),VLOOKUP(Proc[[#This Row],[Author]],Table4[],2,0))</f>
        <v>LS</v>
      </c>
      <c r="L1745" s="87" t="s">
        <v>2563</v>
      </c>
      <c r="M1745" s="89">
        <v>45801.263680555552</v>
      </c>
      <c r="N1745" s="89"/>
      <c r="O1745" s="89"/>
      <c r="P1745" s="92" t="str">
        <f ca="1">IF(Proc[[#This Row],[DaysAgeing]]&gt;5,"yep","on track")</f>
        <v>yep</v>
      </c>
      <c r="Q1745" s="3">
        <f ca="1">IF(Proc[[#This Row],[DateClosed]]="",ABS(NETWORKDAYS(Proc[[#This Row],[DateOpened]],TODAY()))-1,ABS(NETWORKDAYS(Proc[[#This Row],[DateOpened]],Proc[[#This Row],[DateClosed]]))-1)</f>
        <v>26</v>
      </c>
      <c r="R1745" s="92" t="s">
        <v>489</v>
      </c>
      <c r="S1745" s="87"/>
    </row>
    <row r="1746" spans="1:19" hidden="1">
      <c r="A1746" s="91" t="s">
        <v>3405</v>
      </c>
      <c r="B1746" s="87" t="str">
        <f>IFERROR(VLOOKUP(Proc[[#This Row],[App]],Table2[],3,0),"open")</f>
        <v>ok</v>
      </c>
      <c r="C1746" s="91" t="s">
        <v>369</v>
      </c>
      <c r="D1746" t="s">
        <v>3505</v>
      </c>
      <c r="E1746" t="s">
        <v>1974</v>
      </c>
      <c r="F1746" s="105" t="s">
        <v>1974</v>
      </c>
      <c r="G1746" s="91" t="s">
        <v>400</v>
      </c>
      <c r="H1746" s="87" t="str">
        <f>IF(Proc[[#This Row],[type]]="LFF (MDG-F)",MID(Proc[[#This Row],[Obj]],13,10),"")</f>
        <v/>
      </c>
      <c r="J1746" s="87" t="b">
        <f>Proc[[#This Row],[Requested]]=Proc[[#This Row],[CurrentParent]]</f>
        <v>1</v>
      </c>
      <c r="K1746" s="87" t="str">
        <f>IF(Proc[[#This Row],[Author]]="Marcela Urrego",VLOOKUP(LEFT(Proc[[#This Row],[Requested]],1),Table3[#All],2,0),VLOOKUP(Proc[[#This Row],[Author]],Table4[],2,0))</f>
        <v>LS</v>
      </c>
      <c r="L1746" s="87" t="s">
        <v>2563</v>
      </c>
      <c r="M1746" s="89">
        <v>45801.263680555552</v>
      </c>
      <c r="N1746" s="89"/>
      <c r="O1746" s="89"/>
      <c r="P1746" s="92" t="str">
        <f ca="1">IF(Proc[[#This Row],[DaysAgeing]]&gt;5,"yep","on track")</f>
        <v>yep</v>
      </c>
      <c r="Q1746" s="3">
        <f ca="1">IF(Proc[[#This Row],[DateClosed]]="",ABS(NETWORKDAYS(Proc[[#This Row],[DateOpened]],TODAY()))-1,ABS(NETWORKDAYS(Proc[[#This Row],[DateOpened]],Proc[[#This Row],[DateClosed]]))-1)</f>
        <v>26</v>
      </c>
      <c r="R1746" s="92" t="s">
        <v>489</v>
      </c>
      <c r="S1746" s="87"/>
    </row>
    <row r="1747" spans="1:19" hidden="1">
      <c r="A1747" s="91" t="s">
        <v>3405</v>
      </c>
      <c r="B1747" s="87" t="str">
        <f>IFERROR(VLOOKUP(Proc[[#This Row],[App]],Table2[],3,0),"open")</f>
        <v>ok</v>
      </c>
      <c r="C1747" s="91" t="s">
        <v>369</v>
      </c>
      <c r="D1747" t="s">
        <v>3506</v>
      </c>
      <c r="E1747" t="s">
        <v>3546</v>
      </c>
      <c r="F1747" s="105" t="s">
        <v>3546</v>
      </c>
      <c r="G1747" s="91" t="s">
        <v>400</v>
      </c>
      <c r="H1747" s="87" t="str">
        <f>IF(Proc[[#This Row],[type]]="LFF (MDG-F)",MID(Proc[[#This Row],[Obj]],13,10),"")</f>
        <v/>
      </c>
      <c r="J1747" s="87" t="b">
        <f>Proc[[#This Row],[Requested]]=Proc[[#This Row],[CurrentParent]]</f>
        <v>1</v>
      </c>
      <c r="K1747" s="87" t="str">
        <f>IF(Proc[[#This Row],[Author]]="Marcela Urrego",VLOOKUP(LEFT(Proc[[#This Row],[Requested]],1),Table3[#All],2,0),VLOOKUP(Proc[[#This Row],[Author]],Table4[],2,0))</f>
        <v>LS</v>
      </c>
      <c r="L1747" s="87" t="s">
        <v>2563</v>
      </c>
      <c r="M1747" s="89">
        <v>45801.263680555552</v>
      </c>
      <c r="N1747" s="89"/>
      <c r="O1747" s="89"/>
      <c r="P1747" s="92" t="str">
        <f ca="1">IF(Proc[[#This Row],[DaysAgeing]]&gt;5,"yep","on track")</f>
        <v>yep</v>
      </c>
      <c r="Q1747" s="3">
        <f ca="1">IF(Proc[[#This Row],[DateClosed]]="",ABS(NETWORKDAYS(Proc[[#This Row],[DateOpened]],TODAY()))-1,ABS(NETWORKDAYS(Proc[[#This Row],[DateOpened]],Proc[[#This Row],[DateClosed]]))-1)</f>
        <v>26</v>
      </c>
      <c r="R1747" s="92" t="s">
        <v>489</v>
      </c>
      <c r="S1747" s="87"/>
    </row>
    <row r="1748" spans="1:19" hidden="1">
      <c r="A1748" s="91" t="s">
        <v>3405</v>
      </c>
      <c r="B1748" s="87" t="str">
        <f>IFERROR(VLOOKUP(Proc[[#This Row],[App]],Table2[],3,0),"open")</f>
        <v>ok</v>
      </c>
      <c r="C1748" s="91" t="s">
        <v>369</v>
      </c>
      <c r="D1748" t="s">
        <v>3507</v>
      </c>
      <c r="E1748" t="s">
        <v>3544</v>
      </c>
      <c r="F1748" s="105" t="s">
        <v>3544</v>
      </c>
      <c r="G1748" s="91" t="s">
        <v>400</v>
      </c>
      <c r="H1748" s="87" t="str">
        <f>IF(Proc[[#This Row],[type]]="LFF (MDG-F)",MID(Proc[[#This Row],[Obj]],13,10),"")</f>
        <v/>
      </c>
      <c r="J1748" s="87" t="b">
        <f>Proc[[#This Row],[Requested]]=Proc[[#This Row],[CurrentParent]]</f>
        <v>1</v>
      </c>
      <c r="K1748" s="87" t="str">
        <f>IF(Proc[[#This Row],[Author]]="Marcela Urrego",VLOOKUP(LEFT(Proc[[#This Row],[Requested]],1),Table3[#All],2,0),VLOOKUP(Proc[[#This Row],[Author]],Table4[],2,0))</f>
        <v>LS</v>
      </c>
      <c r="L1748" s="87" t="s">
        <v>2563</v>
      </c>
      <c r="M1748" s="89">
        <v>45801.263680555552</v>
      </c>
      <c r="N1748" s="89"/>
      <c r="O1748" s="89"/>
      <c r="P1748" s="92" t="str">
        <f ca="1">IF(Proc[[#This Row],[DaysAgeing]]&gt;5,"yep","on track")</f>
        <v>yep</v>
      </c>
      <c r="Q1748" s="3">
        <f ca="1">IF(Proc[[#This Row],[DateClosed]]="",ABS(NETWORKDAYS(Proc[[#This Row],[DateOpened]],TODAY()))-1,ABS(NETWORKDAYS(Proc[[#This Row],[DateOpened]],Proc[[#This Row],[DateClosed]]))-1)</f>
        <v>26</v>
      </c>
      <c r="R1748" s="92" t="s">
        <v>489</v>
      </c>
      <c r="S1748" s="87"/>
    </row>
    <row r="1749" spans="1:19" hidden="1">
      <c r="A1749" s="91" t="s">
        <v>3405</v>
      </c>
      <c r="B1749" s="87" t="str">
        <f>IFERROR(VLOOKUP(Proc[[#This Row],[App]],Table2[],3,0),"open")</f>
        <v>ok</v>
      </c>
      <c r="C1749" s="91" t="s">
        <v>369</v>
      </c>
      <c r="D1749" t="s">
        <v>3508</v>
      </c>
      <c r="E1749" t="s">
        <v>3516</v>
      </c>
      <c r="F1749" s="105" t="s">
        <v>3516</v>
      </c>
      <c r="G1749" s="91" t="s">
        <v>400</v>
      </c>
      <c r="H1749" s="87" t="str">
        <f>IF(Proc[[#This Row],[type]]="LFF (MDG-F)",MID(Proc[[#This Row],[Obj]],13,10),"")</f>
        <v/>
      </c>
      <c r="J1749" s="87" t="b">
        <f>Proc[[#This Row],[Requested]]=Proc[[#This Row],[CurrentParent]]</f>
        <v>1</v>
      </c>
      <c r="K1749" s="87" t="str">
        <f>IF(Proc[[#This Row],[Author]]="Marcela Urrego",VLOOKUP(LEFT(Proc[[#This Row],[Requested]],1),Table3[#All],2,0),VLOOKUP(Proc[[#This Row],[Author]],Table4[],2,0))</f>
        <v>LS</v>
      </c>
      <c r="L1749" s="87" t="s">
        <v>2563</v>
      </c>
      <c r="M1749" s="89">
        <v>45801.263680555552</v>
      </c>
      <c r="N1749" s="89"/>
      <c r="O1749" s="89"/>
      <c r="P1749" s="92" t="str">
        <f ca="1">IF(Proc[[#This Row],[DaysAgeing]]&gt;5,"yep","on track")</f>
        <v>yep</v>
      </c>
      <c r="Q1749" s="3">
        <f ca="1">IF(Proc[[#This Row],[DateClosed]]="",ABS(NETWORKDAYS(Proc[[#This Row],[DateOpened]],TODAY()))-1,ABS(NETWORKDAYS(Proc[[#This Row],[DateOpened]],Proc[[#This Row],[DateClosed]]))-1)</f>
        <v>26</v>
      </c>
      <c r="R1749" s="92" t="s">
        <v>489</v>
      </c>
      <c r="S1749" s="87"/>
    </row>
    <row r="1750" spans="1:19" hidden="1">
      <c r="A1750" s="91" t="s">
        <v>3405</v>
      </c>
      <c r="B1750" s="87" t="str">
        <f>IFERROR(VLOOKUP(Proc[[#This Row],[App]],Table2[],3,0),"open")</f>
        <v>ok</v>
      </c>
      <c r="C1750" s="91" t="s">
        <v>369</v>
      </c>
      <c r="D1750" t="s">
        <v>3509</v>
      </c>
      <c r="E1750" t="s">
        <v>2371</v>
      </c>
      <c r="F1750" s="105" t="s">
        <v>2371</v>
      </c>
      <c r="G1750" s="91" t="s">
        <v>400</v>
      </c>
      <c r="H1750" s="87" t="str">
        <f>IF(Proc[[#This Row],[type]]="LFF (MDG-F)",MID(Proc[[#This Row],[Obj]],13,10),"")</f>
        <v/>
      </c>
      <c r="J1750" s="87" t="b">
        <f>Proc[[#This Row],[Requested]]=Proc[[#This Row],[CurrentParent]]</f>
        <v>1</v>
      </c>
      <c r="K1750" s="87" t="str">
        <f>IF(Proc[[#This Row],[Author]]="Marcela Urrego",VLOOKUP(LEFT(Proc[[#This Row],[Requested]],1),Table3[#All],2,0),VLOOKUP(Proc[[#This Row],[Author]],Table4[],2,0))</f>
        <v>LS</v>
      </c>
      <c r="L1750" s="87" t="s">
        <v>2563</v>
      </c>
      <c r="M1750" s="89">
        <v>45801.263680555552</v>
      </c>
      <c r="N1750" s="89"/>
      <c r="O1750" s="89"/>
      <c r="P1750" s="92" t="str">
        <f ca="1">IF(Proc[[#This Row],[DaysAgeing]]&gt;5,"yep","on track")</f>
        <v>yep</v>
      </c>
      <c r="Q1750" s="3">
        <f ca="1">IF(Proc[[#This Row],[DateClosed]]="",ABS(NETWORKDAYS(Proc[[#This Row],[DateOpened]],TODAY()))-1,ABS(NETWORKDAYS(Proc[[#This Row],[DateOpened]],Proc[[#This Row],[DateClosed]]))-1)</f>
        <v>26</v>
      </c>
      <c r="R1750" s="92" t="s">
        <v>489</v>
      </c>
      <c r="S1750" s="87"/>
    </row>
    <row r="1751" spans="1:19" hidden="1">
      <c r="A1751" s="91" t="s">
        <v>3405</v>
      </c>
      <c r="B1751" s="87" t="str">
        <f>IFERROR(VLOOKUP(Proc[[#This Row],[App]],Table2[],3,0),"open")</f>
        <v>ok</v>
      </c>
      <c r="C1751" s="91" t="s">
        <v>369</v>
      </c>
      <c r="D1751" t="s">
        <v>3510</v>
      </c>
      <c r="E1751" t="s">
        <v>3542</v>
      </c>
      <c r="F1751" s="105" t="s">
        <v>3542</v>
      </c>
      <c r="G1751" s="91" t="s">
        <v>400</v>
      </c>
      <c r="H1751" s="87" t="str">
        <f>IF(Proc[[#This Row],[type]]="LFF (MDG-F)",MID(Proc[[#This Row],[Obj]],13,10),"")</f>
        <v/>
      </c>
      <c r="J1751" s="87" t="b">
        <f>Proc[[#This Row],[Requested]]=Proc[[#This Row],[CurrentParent]]</f>
        <v>1</v>
      </c>
      <c r="K1751" s="87" t="str">
        <f>IF(Proc[[#This Row],[Author]]="Marcela Urrego",VLOOKUP(LEFT(Proc[[#This Row],[Requested]],1),Table3[#All],2,0),VLOOKUP(Proc[[#This Row],[Author]],Table4[],2,0))</f>
        <v>LS</v>
      </c>
      <c r="L1751" s="87" t="s">
        <v>2563</v>
      </c>
      <c r="M1751" s="89">
        <v>45801.263680555552</v>
      </c>
      <c r="N1751" s="89"/>
      <c r="O1751" s="89"/>
      <c r="P1751" s="92" t="str">
        <f ca="1">IF(Proc[[#This Row],[DaysAgeing]]&gt;5,"yep","on track")</f>
        <v>yep</v>
      </c>
      <c r="Q1751" s="3">
        <f ca="1">IF(Proc[[#This Row],[DateClosed]]="",ABS(NETWORKDAYS(Proc[[#This Row],[DateOpened]],TODAY()))-1,ABS(NETWORKDAYS(Proc[[#This Row],[DateOpened]],Proc[[#This Row],[DateClosed]]))-1)</f>
        <v>26</v>
      </c>
      <c r="R1751" s="92" t="s">
        <v>489</v>
      </c>
      <c r="S1751" s="87"/>
    </row>
    <row r="1752" spans="1:19" hidden="1">
      <c r="A1752" s="91" t="s">
        <v>3405</v>
      </c>
      <c r="B1752" s="87" t="str">
        <f>IFERROR(VLOOKUP(Proc[[#This Row],[App]],Table2[],3,0),"open")</f>
        <v>ok</v>
      </c>
      <c r="C1752" s="91" t="s">
        <v>369</v>
      </c>
      <c r="D1752" t="s">
        <v>3511</v>
      </c>
      <c r="E1752" t="s">
        <v>3524</v>
      </c>
      <c r="F1752" s="105" t="s">
        <v>3524</v>
      </c>
      <c r="G1752" s="91" t="s">
        <v>400</v>
      </c>
      <c r="H1752" s="87" t="str">
        <f>IF(Proc[[#This Row],[type]]="LFF (MDG-F)",MID(Proc[[#This Row],[Obj]],13,10),"")</f>
        <v/>
      </c>
      <c r="J1752" s="87" t="b">
        <f>Proc[[#This Row],[Requested]]=Proc[[#This Row],[CurrentParent]]</f>
        <v>1</v>
      </c>
      <c r="K1752" s="87" t="str">
        <f>IF(Proc[[#This Row],[Author]]="Marcela Urrego",VLOOKUP(LEFT(Proc[[#This Row],[Requested]],1),Table3[#All],2,0),VLOOKUP(Proc[[#This Row],[Author]],Table4[],2,0))</f>
        <v>LS</v>
      </c>
      <c r="L1752" s="87" t="s">
        <v>2563</v>
      </c>
      <c r="M1752" s="89">
        <v>45801.263680555552</v>
      </c>
      <c r="N1752" s="89"/>
      <c r="O1752" s="89"/>
      <c r="P1752" s="92" t="str">
        <f ca="1">IF(Proc[[#This Row],[DaysAgeing]]&gt;5,"yep","on track")</f>
        <v>yep</v>
      </c>
      <c r="Q1752" s="3">
        <f ca="1">IF(Proc[[#This Row],[DateClosed]]="",ABS(NETWORKDAYS(Proc[[#This Row],[DateOpened]],TODAY()))-1,ABS(NETWORKDAYS(Proc[[#This Row],[DateOpened]],Proc[[#This Row],[DateClosed]]))-1)</f>
        <v>26</v>
      </c>
      <c r="R1752" s="92" t="s">
        <v>489</v>
      </c>
      <c r="S1752" s="87"/>
    </row>
    <row r="1753" spans="1:19" hidden="1">
      <c r="A1753" s="91" t="s">
        <v>3405</v>
      </c>
      <c r="B1753" s="87" t="str">
        <f>IFERROR(VLOOKUP(Proc[[#This Row],[App]],Table2[],3,0),"open")</f>
        <v>ok</v>
      </c>
      <c r="C1753" s="91" t="s">
        <v>369</v>
      </c>
      <c r="D1753" t="s">
        <v>3512</v>
      </c>
      <c r="E1753" t="s">
        <v>3527</v>
      </c>
      <c r="F1753" s="105" t="s">
        <v>3527</v>
      </c>
      <c r="G1753" s="91" t="s">
        <v>400</v>
      </c>
      <c r="H1753" s="87" t="str">
        <f>IF(Proc[[#This Row],[type]]="LFF (MDG-F)",MID(Proc[[#This Row],[Obj]],13,10),"")</f>
        <v/>
      </c>
      <c r="J1753" s="87" t="b">
        <f>Proc[[#This Row],[Requested]]=Proc[[#This Row],[CurrentParent]]</f>
        <v>1</v>
      </c>
      <c r="K1753" s="87" t="str">
        <f>IF(Proc[[#This Row],[Author]]="Marcela Urrego",VLOOKUP(LEFT(Proc[[#This Row],[Requested]],1),Table3[#All],2,0),VLOOKUP(Proc[[#This Row],[Author]],Table4[],2,0))</f>
        <v>LS</v>
      </c>
      <c r="L1753" s="87" t="s">
        <v>2563</v>
      </c>
      <c r="M1753" s="89">
        <v>45801.263680555552</v>
      </c>
      <c r="N1753" s="89"/>
      <c r="O1753" s="89"/>
      <c r="P1753" s="92" t="str">
        <f ca="1">IF(Proc[[#This Row],[DaysAgeing]]&gt;5,"yep","on track")</f>
        <v>yep</v>
      </c>
      <c r="Q1753" s="3">
        <f ca="1">IF(Proc[[#This Row],[DateClosed]]="",ABS(NETWORKDAYS(Proc[[#This Row],[DateOpened]],TODAY()))-1,ABS(NETWORKDAYS(Proc[[#This Row],[DateOpened]],Proc[[#This Row],[DateClosed]]))-1)</f>
        <v>26</v>
      </c>
      <c r="R1753" s="92" t="s">
        <v>489</v>
      </c>
      <c r="S1753" s="87"/>
    </row>
    <row r="1754" spans="1:19" hidden="1">
      <c r="A1754" s="91" t="s">
        <v>3405</v>
      </c>
      <c r="B1754" s="87" t="str">
        <f>IFERROR(VLOOKUP(Proc[[#This Row],[App]],Table2[],3,0),"open")</f>
        <v>ok</v>
      </c>
      <c r="C1754" s="91" t="s">
        <v>369</v>
      </c>
      <c r="D1754" t="s">
        <v>3513</v>
      </c>
      <c r="E1754" t="s">
        <v>3547</v>
      </c>
      <c r="F1754" s="105" t="s">
        <v>3547</v>
      </c>
      <c r="G1754" s="91" t="s">
        <v>400</v>
      </c>
      <c r="H1754" s="87" t="str">
        <f>IF(Proc[[#This Row],[type]]="LFF (MDG-F)",MID(Proc[[#This Row],[Obj]],13,10),"")</f>
        <v/>
      </c>
      <c r="J1754" s="87" t="b">
        <f>Proc[[#This Row],[Requested]]=Proc[[#This Row],[CurrentParent]]</f>
        <v>1</v>
      </c>
      <c r="K1754" s="87" t="str">
        <f>IF(Proc[[#This Row],[Author]]="Marcela Urrego",VLOOKUP(LEFT(Proc[[#This Row],[Requested]],1),Table3[#All],2,0),VLOOKUP(Proc[[#This Row],[Author]],Table4[],2,0))</f>
        <v>LS</v>
      </c>
      <c r="L1754" s="87" t="s">
        <v>2563</v>
      </c>
      <c r="M1754" s="89">
        <v>45801.263680555552</v>
      </c>
      <c r="N1754" s="89"/>
      <c r="O1754" s="89"/>
      <c r="P1754" s="92" t="str">
        <f ca="1">IF(Proc[[#This Row],[DaysAgeing]]&gt;5,"yep","on track")</f>
        <v>yep</v>
      </c>
      <c r="Q1754" s="3">
        <f ca="1">IF(Proc[[#This Row],[DateClosed]]="",ABS(NETWORKDAYS(Proc[[#This Row],[DateOpened]],TODAY()))-1,ABS(NETWORKDAYS(Proc[[#This Row],[DateOpened]],Proc[[#This Row],[DateClosed]]))-1)</f>
        <v>26</v>
      </c>
      <c r="R1754" s="92" t="s">
        <v>489</v>
      </c>
      <c r="S1754" s="87"/>
    </row>
    <row r="1755" spans="1:19" hidden="1">
      <c r="A1755" s="91" t="s">
        <v>3405</v>
      </c>
      <c r="B1755" s="87" t="str">
        <f>IFERROR(VLOOKUP(Proc[[#This Row],[App]],Table2[],3,0),"open")</f>
        <v>ok</v>
      </c>
      <c r="C1755" s="91" t="s">
        <v>369</v>
      </c>
      <c r="D1755" t="s">
        <v>3514</v>
      </c>
      <c r="E1755" t="s">
        <v>3535</v>
      </c>
      <c r="F1755" s="105" t="s">
        <v>3535</v>
      </c>
      <c r="G1755" s="91" t="s">
        <v>400</v>
      </c>
      <c r="H1755" s="87" t="str">
        <f>IF(Proc[[#This Row],[type]]="LFF (MDG-F)",MID(Proc[[#This Row],[Obj]],13,10),"")</f>
        <v/>
      </c>
      <c r="J1755" s="87" t="b">
        <f>Proc[[#This Row],[Requested]]=Proc[[#This Row],[CurrentParent]]</f>
        <v>1</v>
      </c>
      <c r="K1755" s="87" t="str">
        <f>IF(Proc[[#This Row],[Author]]="Marcela Urrego",VLOOKUP(LEFT(Proc[[#This Row],[Requested]],1),Table3[#All],2,0),VLOOKUP(Proc[[#This Row],[Author]],Table4[],2,0))</f>
        <v>LS</v>
      </c>
      <c r="L1755" s="87" t="s">
        <v>2563</v>
      </c>
      <c r="M1755" s="89">
        <v>45801.263680555552</v>
      </c>
      <c r="N1755" s="89"/>
      <c r="O1755" s="89"/>
      <c r="P1755" s="92" t="str">
        <f ca="1">IF(Proc[[#This Row],[DaysAgeing]]&gt;5,"yep","on track")</f>
        <v>yep</v>
      </c>
      <c r="Q1755" s="3">
        <f ca="1">IF(Proc[[#This Row],[DateClosed]]="",ABS(NETWORKDAYS(Proc[[#This Row],[DateOpened]],TODAY()))-1,ABS(NETWORKDAYS(Proc[[#This Row],[DateOpened]],Proc[[#This Row],[DateClosed]]))-1)</f>
        <v>26</v>
      </c>
      <c r="R1755" s="92" t="s">
        <v>489</v>
      </c>
      <c r="S1755" s="87"/>
    </row>
    <row r="1756" spans="1:19" hidden="1">
      <c r="A1756" t="s">
        <v>3548</v>
      </c>
      <c r="B1756" s="87" t="str">
        <f>IFERROR(VLOOKUP(Proc[[#This Row],[App]],Table2[],3,0),"open")</f>
        <v>ok</v>
      </c>
      <c r="C1756" s="91" t="s">
        <v>369</v>
      </c>
      <c r="D1756" t="s">
        <v>3549</v>
      </c>
      <c r="E1756" t="s">
        <v>3556</v>
      </c>
      <c r="F1756" s="105" t="s">
        <v>3556</v>
      </c>
      <c r="G1756" t="s">
        <v>406</v>
      </c>
      <c r="H1756" s="87" t="str">
        <f>IF(Proc[[#This Row],[type]]="LFF (MDG-F)",MID(Proc[[#This Row],[Obj]],13,10),"")</f>
        <v>DE10639300</v>
      </c>
      <c r="I1756" t="s">
        <v>3559</v>
      </c>
      <c r="J1756" s="87" t="b">
        <f>Proc[[#This Row],[Requested]]=Proc[[#This Row],[CurrentParent]]</f>
        <v>1</v>
      </c>
      <c r="K1756" s="87" t="str">
        <f>IF(Proc[[#This Row],[Author]]="Marcela Urrego",VLOOKUP(LEFT(Proc[[#This Row],[Requested]],1),Table3[#All],2,0),VLOOKUP(Proc[[#This Row],[Author]],Table4[],2,0))</f>
        <v>LS</v>
      </c>
      <c r="L1756" s="87" t="s">
        <v>2563</v>
      </c>
      <c r="M1756" s="89">
        <v>45801.283206018517</v>
      </c>
      <c r="N1756" s="89">
        <v>45806</v>
      </c>
      <c r="O1756" s="89">
        <v>45806</v>
      </c>
      <c r="P1756" s="92" t="str">
        <f ca="1">IF(Proc[[#This Row],[DaysAgeing]]&gt;5,"yep","on track")</f>
        <v>on track</v>
      </c>
      <c r="Q1756" s="3">
        <f ca="1">IF(Proc[[#This Row],[DateClosed]]="",ABS(NETWORKDAYS(Proc[[#This Row],[DateOpened]],TODAY()))-1,ABS(NETWORKDAYS(Proc[[#This Row],[DateOpened]],Proc[[#This Row],[DateClosed]]))-1)</f>
        <v>3</v>
      </c>
      <c r="R1756" s="92" t="s">
        <v>489</v>
      </c>
      <c r="S1756" s="87"/>
    </row>
    <row r="1757" spans="1:19" hidden="1">
      <c r="A1757" s="91" t="s">
        <v>3548</v>
      </c>
      <c r="B1757" s="87" t="str">
        <f>IFERROR(VLOOKUP(Proc[[#This Row],[App]],Table2[],3,0),"open")</f>
        <v>ok</v>
      </c>
      <c r="C1757" s="91" t="s">
        <v>369</v>
      </c>
      <c r="D1757" t="s">
        <v>3550</v>
      </c>
      <c r="E1757" t="s">
        <v>3557</v>
      </c>
      <c r="F1757" s="105" t="s">
        <v>3557</v>
      </c>
      <c r="G1757" s="91" t="s">
        <v>406</v>
      </c>
      <c r="H1757" s="87" t="str">
        <f>IF(Proc[[#This Row],[type]]="LFF (MDG-F)",MID(Proc[[#This Row],[Obj]],13,10),"")</f>
        <v>DE10650100</v>
      </c>
      <c r="I1757" t="s">
        <v>3559</v>
      </c>
      <c r="J1757" s="87" t="b">
        <f>Proc[[#This Row],[Requested]]=Proc[[#This Row],[CurrentParent]]</f>
        <v>1</v>
      </c>
      <c r="K1757" s="87" t="str">
        <f>IF(Proc[[#This Row],[Author]]="Marcela Urrego",VLOOKUP(LEFT(Proc[[#This Row],[Requested]],1),Table3[#All],2,0),VLOOKUP(Proc[[#This Row],[Author]],Table4[],2,0))</f>
        <v>LS</v>
      </c>
      <c r="L1757" s="87" t="s">
        <v>2563</v>
      </c>
      <c r="M1757" s="89">
        <v>45801.283206018517</v>
      </c>
      <c r="N1757" s="89">
        <v>45806</v>
      </c>
      <c r="O1757" s="89">
        <v>45806</v>
      </c>
      <c r="P1757" s="92" t="str">
        <f ca="1">IF(Proc[[#This Row],[DaysAgeing]]&gt;5,"yep","on track")</f>
        <v>on track</v>
      </c>
      <c r="Q1757" s="3">
        <f ca="1">IF(Proc[[#This Row],[DateClosed]]="",ABS(NETWORKDAYS(Proc[[#This Row],[DateOpened]],TODAY()))-1,ABS(NETWORKDAYS(Proc[[#This Row],[DateOpened]],Proc[[#This Row],[DateClosed]]))-1)</f>
        <v>3</v>
      </c>
      <c r="R1757" s="92" t="s">
        <v>489</v>
      </c>
      <c r="S1757" s="87"/>
    </row>
    <row r="1758" spans="1:19" hidden="1">
      <c r="A1758" s="91" t="s">
        <v>3548</v>
      </c>
      <c r="B1758" s="87" t="str">
        <f>IFERROR(VLOOKUP(Proc[[#This Row],[App]],Table2[],3,0),"open")</f>
        <v>ok</v>
      </c>
      <c r="C1758" s="91" t="s">
        <v>369</v>
      </c>
      <c r="D1758" t="s">
        <v>3551</v>
      </c>
      <c r="E1758" t="s">
        <v>3557</v>
      </c>
      <c r="F1758" s="105" t="s">
        <v>3557</v>
      </c>
      <c r="G1758" s="91" t="s">
        <v>406</v>
      </c>
      <c r="H1758" s="87" t="str">
        <f>IF(Proc[[#This Row],[type]]="LFF (MDG-F)",MID(Proc[[#This Row],[Obj]],13,10),"")</f>
        <v>DE10OF0005</v>
      </c>
      <c r="I1758" t="s">
        <v>3559</v>
      </c>
      <c r="J1758" s="87" t="b">
        <f>Proc[[#This Row],[Requested]]=Proc[[#This Row],[CurrentParent]]</f>
        <v>1</v>
      </c>
      <c r="K1758" s="87" t="str">
        <f>IF(Proc[[#This Row],[Author]]="Marcela Urrego",VLOOKUP(LEFT(Proc[[#This Row],[Requested]],1),Table3[#All],2,0),VLOOKUP(Proc[[#This Row],[Author]],Table4[],2,0))</f>
        <v>LS</v>
      </c>
      <c r="L1758" s="87" t="s">
        <v>2563</v>
      </c>
      <c r="M1758" s="89">
        <v>45801.283206018517</v>
      </c>
      <c r="N1758" s="89">
        <v>45806</v>
      </c>
      <c r="O1758" s="89">
        <v>45806</v>
      </c>
      <c r="P1758" s="92" t="str">
        <f ca="1">IF(Proc[[#This Row],[DaysAgeing]]&gt;5,"yep","on track")</f>
        <v>on track</v>
      </c>
      <c r="Q1758" s="3">
        <f ca="1">IF(Proc[[#This Row],[DateClosed]]="",ABS(NETWORKDAYS(Proc[[#This Row],[DateOpened]],TODAY()))-1,ABS(NETWORKDAYS(Proc[[#This Row],[DateOpened]],Proc[[#This Row],[DateClosed]]))-1)</f>
        <v>3</v>
      </c>
      <c r="R1758" s="92" t="s">
        <v>489</v>
      </c>
      <c r="S1758" s="87"/>
    </row>
    <row r="1759" spans="1:19" hidden="1">
      <c r="A1759" s="91" t="s">
        <v>3548</v>
      </c>
      <c r="B1759" s="87" t="str">
        <f>IFERROR(VLOOKUP(Proc[[#This Row],[App]],Table2[],3,0),"open")</f>
        <v>ok</v>
      </c>
      <c r="C1759" s="91" t="s">
        <v>369</v>
      </c>
      <c r="D1759" t="s">
        <v>3552</v>
      </c>
      <c r="E1759" t="s">
        <v>3557</v>
      </c>
      <c r="F1759" s="105" t="s">
        <v>3557</v>
      </c>
      <c r="G1759" s="91" t="s">
        <v>400</v>
      </c>
      <c r="H1759" s="87" t="str">
        <f>IF(Proc[[#This Row],[type]]="LFF (MDG-F)",MID(Proc[[#This Row],[Obj]],13,10),"")</f>
        <v/>
      </c>
      <c r="J1759" s="87" t="b">
        <f>Proc[[#This Row],[Requested]]=Proc[[#This Row],[CurrentParent]]</f>
        <v>1</v>
      </c>
      <c r="K1759" s="87" t="str">
        <f>IF(Proc[[#This Row],[Author]]="Marcela Urrego",VLOOKUP(LEFT(Proc[[#This Row],[Requested]],1),Table3[#All],2,0),VLOOKUP(Proc[[#This Row],[Author]],Table4[],2,0))</f>
        <v>LS</v>
      </c>
      <c r="L1759" s="87" t="s">
        <v>2563</v>
      </c>
      <c r="M1759" s="89">
        <v>45801.283206018517</v>
      </c>
      <c r="N1759" s="89"/>
      <c r="O1759" s="89"/>
      <c r="P1759" s="92" t="str">
        <f ca="1">IF(Proc[[#This Row],[DaysAgeing]]&gt;5,"yep","on track")</f>
        <v>yep</v>
      </c>
      <c r="Q1759" s="3">
        <f ca="1">IF(Proc[[#This Row],[DateClosed]]="",ABS(NETWORKDAYS(Proc[[#This Row],[DateOpened]],TODAY()))-1,ABS(NETWORKDAYS(Proc[[#This Row],[DateOpened]],Proc[[#This Row],[DateClosed]]))-1)</f>
        <v>26</v>
      </c>
      <c r="R1759" s="92" t="s">
        <v>489</v>
      </c>
      <c r="S1759" s="87"/>
    </row>
    <row r="1760" spans="1:19" hidden="1">
      <c r="A1760" s="91" t="s">
        <v>3548</v>
      </c>
      <c r="B1760" s="87" t="str">
        <f>IFERROR(VLOOKUP(Proc[[#This Row],[App]],Table2[],3,0),"open")</f>
        <v>ok</v>
      </c>
      <c r="C1760" s="91" t="s">
        <v>369</v>
      </c>
      <c r="D1760" t="s">
        <v>3553</v>
      </c>
      <c r="E1760" t="s">
        <v>3557</v>
      </c>
      <c r="F1760" s="105" t="s">
        <v>3557</v>
      </c>
      <c r="G1760" s="91" t="s">
        <v>400</v>
      </c>
      <c r="H1760" s="87" t="str">
        <f>IF(Proc[[#This Row],[type]]="LFF (MDG-F)",MID(Proc[[#This Row],[Obj]],13,10),"")</f>
        <v/>
      </c>
      <c r="J1760" s="87" t="b">
        <f>Proc[[#This Row],[Requested]]=Proc[[#This Row],[CurrentParent]]</f>
        <v>1</v>
      </c>
      <c r="K1760" s="87" t="str">
        <f>IF(Proc[[#This Row],[Author]]="Marcela Urrego",VLOOKUP(LEFT(Proc[[#This Row],[Requested]],1),Table3[#All],2,0),VLOOKUP(Proc[[#This Row],[Author]],Table4[],2,0))</f>
        <v>LS</v>
      </c>
      <c r="L1760" s="87" t="s">
        <v>2563</v>
      </c>
      <c r="M1760" s="89">
        <v>45801.283206018517</v>
      </c>
      <c r="N1760" s="89"/>
      <c r="O1760" s="89"/>
      <c r="P1760" s="92" t="str">
        <f ca="1">IF(Proc[[#This Row],[DaysAgeing]]&gt;5,"yep","on track")</f>
        <v>yep</v>
      </c>
      <c r="Q1760" s="3">
        <f ca="1">IF(Proc[[#This Row],[DateClosed]]="",ABS(NETWORKDAYS(Proc[[#This Row],[DateOpened]],TODAY()))-1,ABS(NETWORKDAYS(Proc[[#This Row],[DateOpened]],Proc[[#This Row],[DateClosed]]))-1)</f>
        <v>26</v>
      </c>
      <c r="R1760" s="92" t="s">
        <v>489</v>
      </c>
      <c r="S1760" s="87"/>
    </row>
    <row r="1761" spans="1:19" hidden="1">
      <c r="A1761" s="91" t="s">
        <v>3548</v>
      </c>
      <c r="B1761" s="87" t="str">
        <f>IFERROR(VLOOKUP(Proc[[#This Row],[App]],Table2[],3,0),"open")</f>
        <v>ok</v>
      </c>
      <c r="C1761" s="91" t="s">
        <v>369</v>
      </c>
      <c r="D1761" t="s">
        <v>3554</v>
      </c>
      <c r="E1761" t="s">
        <v>3556</v>
      </c>
      <c r="F1761" s="105" t="s">
        <v>3556</v>
      </c>
      <c r="G1761" s="91" t="s">
        <v>400</v>
      </c>
      <c r="H1761" s="87" t="str">
        <f>IF(Proc[[#This Row],[type]]="LFF (MDG-F)",MID(Proc[[#This Row],[Obj]],13,10),"")</f>
        <v/>
      </c>
      <c r="J1761" s="87" t="b">
        <f>Proc[[#This Row],[Requested]]=Proc[[#This Row],[CurrentParent]]</f>
        <v>1</v>
      </c>
      <c r="K1761" s="87" t="str">
        <f>IF(Proc[[#This Row],[Author]]="Marcela Urrego",VLOOKUP(LEFT(Proc[[#This Row],[Requested]],1),Table3[#All],2,0),VLOOKUP(Proc[[#This Row],[Author]],Table4[],2,0))</f>
        <v>LS</v>
      </c>
      <c r="L1761" s="87" t="s">
        <v>2563</v>
      </c>
      <c r="M1761" s="89">
        <v>45801.283206018517</v>
      </c>
      <c r="N1761" s="89"/>
      <c r="O1761" s="89"/>
      <c r="P1761" s="92" t="str">
        <f ca="1">IF(Proc[[#This Row],[DaysAgeing]]&gt;5,"yep","on track")</f>
        <v>yep</v>
      </c>
      <c r="Q1761" s="3">
        <f ca="1">IF(Proc[[#This Row],[DateClosed]]="",ABS(NETWORKDAYS(Proc[[#This Row],[DateOpened]],TODAY()))-1,ABS(NETWORKDAYS(Proc[[#This Row],[DateOpened]],Proc[[#This Row],[DateClosed]]))-1)</f>
        <v>26</v>
      </c>
      <c r="R1761" s="92" t="s">
        <v>489</v>
      </c>
      <c r="S1761" s="87"/>
    </row>
    <row r="1762" spans="1:19" hidden="1">
      <c r="A1762" s="91" t="s">
        <v>3548</v>
      </c>
      <c r="B1762" s="87" t="str">
        <f>IFERROR(VLOOKUP(Proc[[#This Row],[App]],Table2[],3,0),"open")</f>
        <v>ok</v>
      </c>
      <c r="C1762" s="91" t="s">
        <v>369</v>
      </c>
      <c r="D1762" t="s">
        <v>3555</v>
      </c>
      <c r="E1762" t="s">
        <v>3558</v>
      </c>
      <c r="F1762" s="105" t="s">
        <v>3558</v>
      </c>
      <c r="G1762" s="91" t="s">
        <v>400</v>
      </c>
      <c r="H1762" s="87" t="str">
        <f>IF(Proc[[#This Row],[type]]="LFF (MDG-F)",MID(Proc[[#This Row],[Obj]],13,10),"")</f>
        <v/>
      </c>
      <c r="J1762" s="87" t="b">
        <f>Proc[[#This Row],[Requested]]=Proc[[#This Row],[CurrentParent]]</f>
        <v>1</v>
      </c>
      <c r="K1762" s="87" t="str">
        <f>IF(Proc[[#This Row],[Author]]="Marcela Urrego",VLOOKUP(LEFT(Proc[[#This Row],[Requested]],1),Table3[#All],2,0),VLOOKUP(Proc[[#This Row],[Author]],Table4[],2,0))</f>
        <v>LS</v>
      </c>
      <c r="L1762" s="87" t="s">
        <v>2563</v>
      </c>
      <c r="M1762" s="89">
        <v>45801.283206018517</v>
      </c>
      <c r="N1762" s="89"/>
      <c r="O1762" s="89"/>
      <c r="P1762" s="92" t="str">
        <f ca="1">IF(Proc[[#This Row],[DaysAgeing]]&gt;5,"yep","on track")</f>
        <v>yep</v>
      </c>
      <c r="Q1762" s="3">
        <f ca="1">IF(Proc[[#This Row],[DateClosed]]="",ABS(NETWORKDAYS(Proc[[#This Row],[DateOpened]],TODAY()))-1,ABS(NETWORKDAYS(Proc[[#This Row],[DateOpened]],Proc[[#This Row],[DateClosed]]))-1)</f>
        <v>26</v>
      </c>
      <c r="R1762" s="92" t="s">
        <v>489</v>
      </c>
      <c r="S1762" s="87"/>
    </row>
    <row r="1763" spans="1:19" hidden="1">
      <c r="A1763" t="s">
        <v>3560</v>
      </c>
      <c r="B1763" s="87" t="str">
        <f>IFERROR(VLOOKUP(Proc[[#This Row],[App]],Table2[],3,0),"open")</f>
        <v>ok</v>
      </c>
      <c r="C1763" t="s">
        <v>369</v>
      </c>
      <c r="D1763" t="s">
        <v>3561</v>
      </c>
      <c r="E1763" t="s">
        <v>2161</v>
      </c>
      <c r="F1763" s="105" t="s">
        <v>2161</v>
      </c>
      <c r="G1763" s="91" t="s">
        <v>400</v>
      </c>
      <c r="H1763" s="87" t="str">
        <f>IF(Proc[[#This Row],[type]]="LFF (MDG-F)",MID(Proc[[#This Row],[Obj]],13,10),"")</f>
        <v/>
      </c>
      <c r="J1763" s="87" t="b">
        <f>Proc[[#This Row],[Requested]]=Proc[[#This Row],[CurrentParent]]</f>
        <v>1</v>
      </c>
      <c r="K1763" s="87" t="str">
        <f>IF(Proc[[#This Row],[Author]]="Marcela Urrego",VLOOKUP(LEFT(Proc[[#This Row],[Requested]],1),Table3[#All],2,0),VLOOKUP(Proc[[#This Row],[Author]],Table4[],2,0))</f>
        <v>HC</v>
      </c>
      <c r="L1763" s="87" t="s">
        <v>2563</v>
      </c>
      <c r="M1763" s="89">
        <v>45803.415173611109</v>
      </c>
      <c r="N1763" s="89">
        <v>45806</v>
      </c>
      <c r="O1763" s="89">
        <v>45806</v>
      </c>
      <c r="P1763" s="92" t="str">
        <f ca="1">IF(Proc[[#This Row],[DaysAgeing]]&gt;5,"yep","on track")</f>
        <v>on track</v>
      </c>
      <c r="Q1763" s="3">
        <f ca="1">IF(Proc[[#This Row],[DateClosed]]="",ABS(NETWORKDAYS(Proc[[#This Row],[DateOpened]],TODAY()))-1,ABS(NETWORKDAYS(Proc[[#This Row],[DateOpened]],Proc[[#This Row],[DateClosed]]))-1)</f>
        <v>3</v>
      </c>
      <c r="R1763" s="92" t="s">
        <v>478</v>
      </c>
      <c r="S1763" s="87"/>
    </row>
    <row r="1764" spans="1:19" hidden="1">
      <c r="A1764" s="91" t="s">
        <v>3560</v>
      </c>
      <c r="B1764" s="87" t="str">
        <f>IFERROR(VLOOKUP(Proc[[#This Row],[App]],Table2[],3,0),"open")</f>
        <v>ok</v>
      </c>
      <c r="C1764" s="91" t="s">
        <v>369</v>
      </c>
      <c r="D1764" t="s">
        <v>3562</v>
      </c>
      <c r="E1764" t="s">
        <v>2161</v>
      </c>
      <c r="F1764" s="105" t="s">
        <v>2161</v>
      </c>
      <c r="G1764" s="91" t="s">
        <v>400</v>
      </c>
      <c r="H1764" s="87" t="str">
        <f>IF(Proc[[#This Row],[type]]="LFF (MDG-F)",MID(Proc[[#This Row],[Obj]],13,10),"")</f>
        <v/>
      </c>
      <c r="J1764" s="87" t="b">
        <f>Proc[[#This Row],[Requested]]=Proc[[#This Row],[CurrentParent]]</f>
        <v>1</v>
      </c>
      <c r="K1764" s="87" t="str">
        <f>IF(Proc[[#This Row],[Author]]="Marcela Urrego",VLOOKUP(LEFT(Proc[[#This Row],[Requested]],1),Table3[#All],2,0),VLOOKUP(Proc[[#This Row],[Author]],Table4[],2,0))</f>
        <v>HC</v>
      </c>
      <c r="L1764" s="87" t="s">
        <v>2563</v>
      </c>
      <c r="M1764" s="89">
        <v>45803.415173611109</v>
      </c>
      <c r="N1764" s="89">
        <v>45806</v>
      </c>
      <c r="O1764" s="89">
        <v>45806</v>
      </c>
      <c r="P1764" s="92" t="str">
        <f ca="1">IF(Proc[[#This Row],[DaysAgeing]]&gt;5,"yep","on track")</f>
        <v>on track</v>
      </c>
      <c r="Q1764" s="3">
        <f ca="1">IF(Proc[[#This Row],[DateClosed]]="",ABS(NETWORKDAYS(Proc[[#This Row],[DateOpened]],TODAY()))-1,ABS(NETWORKDAYS(Proc[[#This Row],[DateOpened]],Proc[[#This Row],[DateClosed]]))-1)</f>
        <v>3</v>
      </c>
      <c r="R1764" s="92" t="s">
        <v>478</v>
      </c>
      <c r="S1764" s="87"/>
    </row>
    <row r="1765" spans="1:19" hidden="1">
      <c r="A1765" s="91" t="s">
        <v>3560</v>
      </c>
      <c r="B1765" s="87" t="str">
        <f>IFERROR(VLOOKUP(Proc[[#This Row],[App]],Table2[],3,0),"open")</f>
        <v>ok</v>
      </c>
      <c r="C1765" s="91" t="s">
        <v>369</v>
      </c>
      <c r="D1765" t="s">
        <v>3563</v>
      </c>
      <c r="E1765" t="s">
        <v>2161</v>
      </c>
      <c r="F1765" s="105" t="s">
        <v>2161</v>
      </c>
      <c r="G1765" s="91" t="s">
        <v>400</v>
      </c>
      <c r="H1765" s="87" t="str">
        <f>IF(Proc[[#This Row],[type]]="LFF (MDG-F)",MID(Proc[[#This Row],[Obj]],13,10),"")</f>
        <v/>
      </c>
      <c r="J1765" s="87" t="b">
        <f>Proc[[#This Row],[Requested]]=Proc[[#This Row],[CurrentParent]]</f>
        <v>1</v>
      </c>
      <c r="K1765" s="87" t="str">
        <f>IF(Proc[[#This Row],[Author]]="Marcela Urrego",VLOOKUP(LEFT(Proc[[#This Row],[Requested]],1),Table3[#All],2,0),VLOOKUP(Proc[[#This Row],[Author]],Table4[],2,0))</f>
        <v>HC</v>
      </c>
      <c r="L1765" s="87" t="s">
        <v>2563</v>
      </c>
      <c r="M1765" s="89">
        <v>45803.415173611109</v>
      </c>
      <c r="N1765" s="89">
        <v>45806</v>
      </c>
      <c r="O1765" s="89">
        <v>45806</v>
      </c>
      <c r="P1765" s="92" t="str">
        <f ca="1">IF(Proc[[#This Row],[DaysAgeing]]&gt;5,"yep","on track")</f>
        <v>on track</v>
      </c>
      <c r="Q1765" s="3">
        <f ca="1">IF(Proc[[#This Row],[DateClosed]]="",ABS(NETWORKDAYS(Proc[[#This Row],[DateOpened]],TODAY()))-1,ABS(NETWORKDAYS(Proc[[#This Row],[DateOpened]],Proc[[#This Row],[DateClosed]]))-1)</f>
        <v>3</v>
      </c>
      <c r="R1765" s="92" t="s">
        <v>478</v>
      </c>
      <c r="S1765" s="87"/>
    </row>
    <row r="1766" spans="1:19" hidden="1">
      <c r="A1766" s="91" t="s">
        <v>3560</v>
      </c>
      <c r="B1766" s="87" t="str">
        <f>IFERROR(VLOOKUP(Proc[[#This Row],[App]],Table2[],3,0),"open")</f>
        <v>ok</v>
      </c>
      <c r="C1766" s="91" t="s">
        <v>369</v>
      </c>
      <c r="D1766" t="s">
        <v>3564</v>
      </c>
      <c r="E1766" t="s">
        <v>2161</v>
      </c>
      <c r="F1766" s="105" t="s">
        <v>2161</v>
      </c>
      <c r="G1766" s="91" t="s">
        <v>400</v>
      </c>
      <c r="H1766" s="87" t="str">
        <f>IF(Proc[[#This Row],[type]]="LFF (MDG-F)",MID(Proc[[#This Row],[Obj]],13,10),"")</f>
        <v/>
      </c>
      <c r="J1766" s="87" t="b">
        <f>Proc[[#This Row],[Requested]]=Proc[[#This Row],[CurrentParent]]</f>
        <v>1</v>
      </c>
      <c r="K1766" s="87" t="str">
        <f>IF(Proc[[#This Row],[Author]]="Marcela Urrego",VLOOKUP(LEFT(Proc[[#This Row],[Requested]],1),Table3[#All],2,0),VLOOKUP(Proc[[#This Row],[Author]],Table4[],2,0))</f>
        <v>HC</v>
      </c>
      <c r="L1766" s="87" t="s">
        <v>2563</v>
      </c>
      <c r="M1766" s="89">
        <v>45803.415173611109</v>
      </c>
      <c r="N1766" s="89">
        <v>45806</v>
      </c>
      <c r="O1766" s="89">
        <v>45806</v>
      </c>
      <c r="P1766" s="92" t="str">
        <f ca="1">IF(Proc[[#This Row],[DaysAgeing]]&gt;5,"yep","on track")</f>
        <v>on track</v>
      </c>
      <c r="Q1766" s="3">
        <f ca="1">IF(Proc[[#This Row],[DateClosed]]="",ABS(NETWORKDAYS(Proc[[#This Row],[DateOpened]],TODAY()))-1,ABS(NETWORKDAYS(Proc[[#This Row],[DateOpened]],Proc[[#This Row],[DateClosed]]))-1)</f>
        <v>3</v>
      </c>
      <c r="R1766" s="92" t="s">
        <v>478</v>
      </c>
      <c r="S1766" s="87"/>
    </row>
    <row r="1767" spans="1:19" hidden="1">
      <c r="A1767" s="91" t="s">
        <v>3560</v>
      </c>
      <c r="B1767" s="87" t="str">
        <f>IFERROR(VLOOKUP(Proc[[#This Row],[App]],Table2[],3,0),"open")</f>
        <v>ok</v>
      </c>
      <c r="C1767" s="91" t="s">
        <v>369</v>
      </c>
      <c r="D1767" t="s">
        <v>3565</v>
      </c>
      <c r="E1767" t="s">
        <v>2161</v>
      </c>
      <c r="F1767" s="105" t="s">
        <v>2161</v>
      </c>
      <c r="G1767" s="91" t="s">
        <v>400</v>
      </c>
      <c r="H1767" s="87" t="str">
        <f>IF(Proc[[#This Row],[type]]="LFF (MDG-F)",MID(Proc[[#This Row],[Obj]],13,10),"")</f>
        <v/>
      </c>
      <c r="J1767" s="87" t="b">
        <f>Proc[[#This Row],[Requested]]=Proc[[#This Row],[CurrentParent]]</f>
        <v>1</v>
      </c>
      <c r="K1767" s="87" t="str">
        <f>IF(Proc[[#This Row],[Author]]="Marcela Urrego",VLOOKUP(LEFT(Proc[[#This Row],[Requested]],1),Table3[#All],2,0),VLOOKUP(Proc[[#This Row],[Author]],Table4[],2,0))</f>
        <v>HC</v>
      </c>
      <c r="L1767" s="87" t="s">
        <v>2563</v>
      </c>
      <c r="M1767" s="89">
        <v>45803.415173611109</v>
      </c>
      <c r="N1767" s="89">
        <v>45806</v>
      </c>
      <c r="O1767" s="89">
        <v>45806</v>
      </c>
      <c r="P1767" s="92" t="str">
        <f ca="1">IF(Proc[[#This Row],[DaysAgeing]]&gt;5,"yep","on track")</f>
        <v>on track</v>
      </c>
      <c r="Q1767" s="3">
        <f ca="1">IF(Proc[[#This Row],[DateClosed]]="",ABS(NETWORKDAYS(Proc[[#This Row],[DateOpened]],TODAY()))-1,ABS(NETWORKDAYS(Proc[[#This Row],[DateOpened]],Proc[[#This Row],[DateClosed]]))-1)</f>
        <v>3</v>
      </c>
      <c r="R1767" s="92" t="s">
        <v>478</v>
      </c>
      <c r="S1767" s="87"/>
    </row>
    <row r="1768" spans="1:19" hidden="1">
      <c r="A1768" s="91" t="s">
        <v>3560</v>
      </c>
      <c r="B1768" s="87" t="str">
        <f>IFERROR(VLOOKUP(Proc[[#This Row],[App]],Table2[],3,0),"open")</f>
        <v>ok</v>
      </c>
      <c r="C1768" s="91" t="s">
        <v>369</v>
      </c>
      <c r="D1768" t="s">
        <v>3566</v>
      </c>
      <c r="E1768" t="s">
        <v>2161</v>
      </c>
      <c r="F1768" s="105" t="s">
        <v>2161</v>
      </c>
      <c r="G1768" s="91" t="s">
        <v>400</v>
      </c>
      <c r="H1768" s="87" t="str">
        <f>IF(Proc[[#This Row],[type]]="LFF (MDG-F)",MID(Proc[[#This Row],[Obj]],13,10),"")</f>
        <v/>
      </c>
      <c r="J1768" s="87" t="b">
        <f>Proc[[#This Row],[Requested]]=Proc[[#This Row],[CurrentParent]]</f>
        <v>1</v>
      </c>
      <c r="K1768" s="87" t="str">
        <f>IF(Proc[[#This Row],[Author]]="Marcela Urrego",VLOOKUP(LEFT(Proc[[#This Row],[Requested]],1),Table3[#All],2,0),VLOOKUP(Proc[[#This Row],[Author]],Table4[],2,0))</f>
        <v>HC</v>
      </c>
      <c r="L1768" s="87" t="s">
        <v>2563</v>
      </c>
      <c r="M1768" s="89">
        <v>45803.415173611109</v>
      </c>
      <c r="N1768" s="89">
        <v>45806</v>
      </c>
      <c r="O1768" s="89">
        <v>45806</v>
      </c>
      <c r="P1768" s="92" t="str">
        <f ca="1">IF(Proc[[#This Row],[DaysAgeing]]&gt;5,"yep","on track")</f>
        <v>on track</v>
      </c>
      <c r="Q1768" s="3">
        <f ca="1">IF(Proc[[#This Row],[DateClosed]]="",ABS(NETWORKDAYS(Proc[[#This Row],[DateOpened]],TODAY()))-1,ABS(NETWORKDAYS(Proc[[#This Row],[DateOpened]],Proc[[#This Row],[DateClosed]]))-1)</f>
        <v>3</v>
      </c>
      <c r="R1768" s="92" t="s">
        <v>478</v>
      </c>
      <c r="S1768" s="87"/>
    </row>
    <row r="1769" spans="1:19" hidden="1">
      <c r="A1769" s="91" t="s">
        <v>3560</v>
      </c>
      <c r="B1769" s="87" t="str">
        <f>IFERROR(VLOOKUP(Proc[[#This Row],[App]],Table2[],3,0),"open")</f>
        <v>ok</v>
      </c>
      <c r="C1769" s="91" t="s">
        <v>369</v>
      </c>
      <c r="D1769" t="s">
        <v>3567</v>
      </c>
      <c r="E1769" t="s">
        <v>2161</v>
      </c>
      <c r="F1769" s="105" t="s">
        <v>2161</v>
      </c>
      <c r="G1769" s="91" t="s">
        <v>400</v>
      </c>
      <c r="H1769" s="87" t="str">
        <f>IF(Proc[[#This Row],[type]]="LFF (MDG-F)",MID(Proc[[#This Row],[Obj]],13,10),"")</f>
        <v/>
      </c>
      <c r="J1769" s="87" t="b">
        <f>Proc[[#This Row],[Requested]]=Proc[[#This Row],[CurrentParent]]</f>
        <v>1</v>
      </c>
      <c r="K1769" s="87" t="str">
        <f>IF(Proc[[#This Row],[Author]]="Marcela Urrego",VLOOKUP(LEFT(Proc[[#This Row],[Requested]],1),Table3[#All],2,0),VLOOKUP(Proc[[#This Row],[Author]],Table4[],2,0))</f>
        <v>HC</v>
      </c>
      <c r="L1769" s="87" t="s">
        <v>2563</v>
      </c>
      <c r="M1769" s="89">
        <v>45803.415173611109</v>
      </c>
      <c r="N1769" s="89">
        <v>45806</v>
      </c>
      <c r="O1769" s="89">
        <v>45806</v>
      </c>
      <c r="P1769" s="92" t="str">
        <f ca="1">IF(Proc[[#This Row],[DaysAgeing]]&gt;5,"yep","on track")</f>
        <v>on track</v>
      </c>
      <c r="Q1769" s="3">
        <f ca="1">IF(Proc[[#This Row],[DateClosed]]="",ABS(NETWORKDAYS(Proc[[#This Row],[DateOpened]],TODAY()))-1,ABS(NETWORKDAYS(Proc[[#This Row],[DateOpened]],Proc[[#This Row],[DateClosed]]))-1)</f>
        <v>3</v>
      </c>
      <c r="R1769" s="92" t="s">
        <v>478</v>
      </c>
      <c r="S1769" s="87"/>
    </row>
    <row r="1770" spans="1:19" hidden="1">
      <c r="A1770" s="91" t="s">
        <v>3560</v>
      </c>
      <c r="B1770" s="87" t="str">
        <f>IFERROR(VLOOKUP(Proc[[#This Row],[App]],Table2[],3,0),"open")</f>
        <v>ok</v>
      </c>
      <c r="C1770" s="91" t="s">
        <v>369</v>
      </c>
      <c r="D1770" t="s">
        <v>3568</v>
      </c>
      <c r="E1770" t="s">
        <v>2161</v>
      </c>
      <c r="F1770" s="105" t="s">
        <v>2161</v>
      </c>
      <c r="G1770" s="91" t="s">
        <v>400</v>
      </c>
      <c r="H1770" s="87" t="str">
        <f>IF(Proc[[#This Row],[type]]="LFF (MDG-F)",MID(Proc[[#This Row],[Obj]],13,10),"")</f>
        <v/>
      </c>
      <c r="J1770" s="87" t="b">
        <f>Proc[[#This Row],[Requested]]=Proc[[#This Row],[CurrentParent]]</f>
        <v>1</v>
      </c>
      <c r="K1770" s="87" t="str">
        <f>IF(Proc[[#This Row],[Author]]="Marcela Urrego",VLOOKUP(LEFT(Proc[[#This Row],[Requested]],1),Table3[#All],2,0),VLOOKUP(Proc[[#This Row],[Author]],Table4[],2,0))</f>
        <v>HC</v>
      </c>
      <c r="L1770" s="87" t="s">
        <v>2563</v>
      </c>
      <c r="M1770" s="89">
        <v>45803.415173611109</v>
      </c>
      <c r="N1770" s="89">
        <v>45806</v>
      </c>
      <c r="O1770" s="89">
        <v>45806</v>
      </c>
      <c r="P1770" s="92" t="str">
        <f ca="1">IF(Proc[[#This Row],[DaysAgeing]]&gt;5,"yep","on track")</f>
        <v>on track</v>
      </c>
      <c r="Q1770" s="3">
        <f ca="1">IF(Proc[[#This Row],[DateClosed]]="",ABS(NETWORKDAYS(Proc[[#This Row],[DateOpened]],TODAY()))-1,ABS(NETWORKDAYS(Proc[[#This Row],[DateOpened]],Proc[[#This Row],[DateClosed]]))-1)</f>
        <v>3</v>
      </c>
      <c r="R1770" s="92" t="s">
        <v>478</v>
      </c>
      <c r="S1770" s="87"/>
    </row>
    <row r="1771" spans="1:19" hidden="1">
      <c r="A1771" t="s">
        <v>3569</v>
      </c>
      <c r="B1771" s="87" t="str">
        <f>IFERROR(VLOOKUP(Proc[[#This Row],[App]],Table2[],3,0),"open")</f>
        <v>ok</v>
      </c>
      <c r="C1771" s="91" t="s">
        <v>369</v>
      </c>
      <c r="D1771" t="s">
        <v>3570</v>
      </c>
      <c r="E1771" t="s">
        <v>3571</v>
      </c>
      <c r="F1771" s="105" t="s">
        <v>3571</v>
      </c>
      <c r="G1771" t="s">
        <v>406</v>
      </c>
      <c r="H1771" s="87" t="str">
        <f>IF(Proc[[#This Row],[type]]="LFF (MDG-F)",MID(Proc[[#This Row],[Obj]],13,10),"")</f>
        <v>2102TMCZ91</v>
      </c>
      <c r="I1771" t="s">
        <v>3594</v>
      </c>
      <c r="J1771" s="87" t="b">
        <f>Proc[[#This Row],[Requested]]=Proc[[#This Row],[CurrentParent]]</f>
        <v>1</v>
      </c>
      <c r="K1771" s="87" t="str">
        <f>IF(Proc[[#This Row],[Author]]="Marcela Urrego",VLOOKUP(LEFT(Proc[[#This Row],[Requested]],1),Table3[#All],2,0),VLOOKUP(Proc[[#This Row],[Author]],Table4[],2,0))</f>
        <v>LS</v>
      </c>
      <c r="L1771" s="87" t="s">
        <v>2563</v>
      </c>
      <c r="M1771" s="89">
        <v>45803.512962962966</v>
      </c>
      <c r="N1771" s="89">
        <v>45806</v>
      </c>
      <c r="O1771" s="89">
        <v>45806</v>
      </c>
      <c r="P1771" s="92" t="str">
        <f ca="1">IF(Proc[[#This Row],[DaysAgeing]]&gt;5,"yep","on track")</f>
        <v>on track</v>
      </c>
      <c r="Q1771" s="3">
        <f ca="1">IF(Proc[[#This Row],[DateClosed]]="",ABS(NETWORKDAYS(Proc[[#This Row],[DateOpened]],TODAY()))-1,ABS(NETWORKDAYS(Proc[[#This Row],[DateOpened]],Proc[[#This Row],[DateClosed]]))-1)</f>
        <v>3</v>
      </c>
      <c r="R1771" s="92" t="s">
        <v>489</v>
      </c>
      <c r="S1771" s="87"/>
    </row>
    <row r="1772" spans="1:19" hidden="1">
      <c r="A1772" s="91" t="s">
        <v>3569</v>
      </c>
      <c r="B1772" s="87" t="str">
        <f>IFERROR(VLOOKUP(Proc[[#This Row],[App]],Table2[],3,0),"open")</f>
        <v>ok</v>
      </c>
      <c r="C1772" s="91" t="s">
        <v>369</v>
      </c>
      <c r="D1772" t="s">
        <v>3572</v>
      </c>
      <c r="E1772" t="s">
        <v>3571</v>
      </c>
      <c r="F1772" s="105" t="s">
        <v>3571</v>
      </c>
      <c r="G1772" s="91" t="s">
        <v>400</v>
      </c>
      <c r="H1772" s="87" t="str">
        <f>IF(Proc[[#This Row],[type]]="LFF (MDG-F)",MID(Proc[[#This Row],[Obj]],13,10),"")</f>
        <v/>
      </c>
      <c r="J1772" s="87" t="b">
        <f>Proc[[#This Row],[Requested]]=Proc[[#This Row],[CurrentParent]]</f>
        <v>1</v>
      </c>
      <c r="K1772" s="87" t="str">
        <f>IF(Proc[[#This Row],[Author]]="Marcela Urrego",VLOOKUP(LEFT(Proc[[#This Row],[Requested]],1),Table3[#All],2,0),VLOOKUP(Proc[[#This Row],[Author]],Table4[],2,0))</f>
        <v>LS</v>
      </c>
      <c r="L1772" s="87" t="s">
        <v>2563</v>
      </c>
      <c r="M1772" s="89">
        <v>45803.512962962966</v>
      </c>
      <c r="N1772" s="89">
        <v>45806</v>
      </c>
      <c r="O1772" s="89">
        <v>45806</v>
      </c>
      <c r="P1772" s="92" t="str">
        <f ca="1">IF(Proc[[#This Row],[DaysAgeing]]&gt;5,"yep","on track")</f>
        <v>on track</v>
      </c>
      <c r="Q1772" s="3">
        <f ca="1">IF(Proc[[#This Row],[DateClosed]]="",ABS(NETWORKDAYS(Proc[[#This Row],[DateOpened]],TODAY()))-1,ABS(NETWORKDAYS(Proc[[#This Row],[DateOpened]],Proc[[#This Row],[DateClosed]]))-1)</f>
        <v>3</v>
      </c>
      <c r="R1772" s="92" t="s">
        <v>489</v>
      </c>
      <c r="S1772" s="87"/>
    </row>
    <row r="1773" spans="1:19" hidden="1">
      <c r="A1773" s="91" t="s">
        <v>3569</v>
      </c>
      <c r="B1773" s="87" t="str">
        <f>IFERROR(VLOOKUP(Proc[[#This Row],[App]],Table2[],3,0),"open")</f>
        <v>ok</v>
      </c>
      <c r="C1773" s="91" t="s">
        <v>369</v>
      </c>
      <c r="D1773" t="s">
        <v>3573</v>
      </c>
      <c r="E1773" t="s">
        <v>3571</v>
      </c>
      <c r="F1773" s="105" t="s">
        <v>3571</v>
      </c>
      <c r="G1773" s="91" t="s">
        <v>400</v>
      </c>
      <c r="H1773" s="87" t="str">
        <f>IF(Proc[[#This Row],[type]]="LFF (MDG-F)",MID(Proc[[#This Row],[Obj]],13,10),"")</f>
        <v/>
      </c>
      <c r="J1773" s="87" t="b">
        <f>Proc[[#This Row],[Requested]]=Proc[[#This Row],[CurrentParent]]</f>
        <v>1</v>
      </c>
      <c r="K1773" s="87" t="str">
        <f>IF(Proc[[#This Row],[Author]]="Marcela Urrego",VLOOKUP(LEFT(Proc[[#This Row],[Requested]],1),Table3[#All],2,0),VLOOKUP(Proc[[#This Row],[Author]],Table4[],2,0))</f>
        <v>LS</v>
      </c>
      <c r="L1773" s="87" t="s">
        <v>2563</v>
      </c>
      <c r="M1773" s="89">
        <v>45803.512962962966</v>
      </c>
      <c r="N1773" s="89">
        <v>45806</v>
      </c>
      <c r="O1773" s="89">
        <v>45806</v>
      </c>
      <c r="P1773" s="92" t="str">
        <f ca="1">IF(Proc[[#This Row],[DaysAgeing]]&gt;5,"yep","on track")</f>
        <v>on track</v>
      </c>
      <c r="Q1773" s="3">
        <f ca="1">IF(Proc[[#This Row],[DateClosed]]="",ABS(NETWORKDAYS(Proc[[#This Row],[DateOpened]],TODAY()))-1,ABS(NETWORKDAYS(Proc[[#This Row],[DateOpened]],Proc[[#This Row],[DateClosed]]))-1)</f>
        <v>3</v>
      </c>
      <c r="R1773" s="92" t="s">
        <v>489</v>
      </c>
      <c r="S1773" s="87"/>
    </row>
    <row r="1774" spans="1:19" hidden="1">
      <c r="A1774" s="91" t="s">
        <v>3569</v>
      </c>
      <c r="B1774" s="87" t="str">
        <f>IFERROR(VLOOKUP(Proc[[#This Row],[App]],Table2[],3,0),"open")</f>
        <v>ok</v>
      </c>
      <c r="C1774" s="91" t="s">
        <v>369</v>
      </c>
      <c r="D1774" t="s">
        <v>3574</v>
      </c>
      <c r="E1774" t="s">
        <v>3571</v>
      </c>
      <c r="F1774" s="105" t="s">
        <v>3571</v>
      </c>
      <c r="G1774" s="91" t="s">
        <v>400</v>
      </c>
      <c r="H1774" s="87" t="str">
        <f>IF(Proc[[#This Row],[type]]="LFF (MDG-F)",MID(Proc[[#This Row],[Obj]],13,10),"")</f>
        <v/>
      </c>
      <c r="J1774" s="87" t="b">
        <f>Proc[[#This Row],[Requested]]=Proc[[#This Row],[CurrentParent]]</f>
        <v>1</v>
      </c>
      <c r="K1774" s="87" t="str">
        <f>IF(Proc[[#This Row],[Author]]="Marcela Urrego",VLOOKUP(LEFT(Proc[[#This Row],[Requested]],1),Table3[#All],2,0),VLOOKUP(Proc[[#This Row],[Author]],Table4[],2,0))</f>
        <v>LS</v>
      </c>
      <c r="L1774" s="87" t="s">
        <v>2563</v>
      </c>
      <c r="M1774" s="89">
        <v>45803.512962962966</v>
      </c>
      <c r="N1774" s="89">
        <v>45806</v>
      </c>
      <c r="O1774" s="89">
        <v>45806</v>
      </c>
      <c r="P1774" s="92" t="str">
        <f ca="1">IF(Proc[[#This Row],[DaysAgeing]]&gt;5,"yep","on track")</f>
        <v>on track</v>
      </c>
      <c r="Q1774" s="3">
        <f ca="1">IF(Proc[[#This Row],[DateClosed]]="",ABS(NETWORKDAYS(Proc[[#This Row],[DateOpened]],TODAY()))-1,ABS(NETWORKDAYS(Proc[[#This Row],[DateOpened]],Proc[[#This Row],[DateClosed]]))-1)</f>
        <v>3</v>
      </c>
      <c r="R1774" s="92" t="s">
        <v>489</v>
      </c>
      <c r="S1774" s="87"/>
    </row>
    <row r="1775" spans="1:19" hidden="1">
      <c r="A1775" s="91" t="s">
        <v>3569</v>
      </c>
      <c r="B1775" s="87" t="str">
        <f>IFERROR(VLOOKUP(Proc[[#This Row],[App]],Table2[],3,0),"open")</f>
        <v>ok</v>
      </c>
      <c r="C1775" s="91" t="s">
        <v>369</v>
      </c>
      <c r="D1775" t="s">
        <v>3575</v>
      </c>
      <c r="E1775" t="s">
        <v>3571</v>
      </c>
      <c r="F1775" s="105" t="s">
        <v>3571</v>
      </c>
      <c r="G1775" s="91" t="s">
        <v>400</v>
      </c>
      <c r="H1775" s="87" t="str">
        <f>IF(Proc[[#This Row],[type]]="LFF (MDG-F)",MID(Proc[[#This Row],[Obj]],13,10),"")</f>
        <v/>
      </c>
      <c r="J1775" s="87" t="b">
        <f>Proc[[#This Row],[Requested]]=Proc[[#This Row],[CurrentParent]]</f>
        <v>1</v>
      </c>
      <c r="K1775" s="87" t="str">
        <f>IF(Proc[[#This Row],[Author]]="Marcela Urrego",VLOOKUP(LEFT(Proc[[#This Row],[Requested]],1),Table3[#All],2,0),VLOOKUP(Proc[[#This Row],[Author]],Table4[],2,0))</f>
        <v>LS</v>
      </c>
      <c r="L1775" s="87" t="s">
        <v>2563</v>
      </c>
      <c r="M1775" s="89">
        <v>45803.512962962966</v>
      </c>
      <c r="N1775" s="89">
        <v>45806</v>
      </c>
      <c r="O1775" s="89">
        <v>45806</v>
      </c>
      <c r="P1775" s="92" t="str">
        <f ca="1">IF(Proc[[#This Row],[DaysAgeing]]&gt;5,"yep","on track")</f>
        <v>on track</v>
      </c>
      <c r="Q1775" s="3">
        <f ca="1">IF(Proc[[#This Row],[DateClosed]]="",ABS(NETWORKDAYS(Proc[[#This Row],[DateOpened]],TODAY()))-1,ABS(NETWORKDAYS(Proc[[#This Row],[DateOpened]],Proc[[#This Row],[DateClosed]]))-1)</f>
        <v>3</v>
      </c>
      <c r="R1775" s="92" t="s">
        <v>489</v>
      </c>
      <c r="S1775" s="87"/>
    </row>
    <row r="1776" spans="1:19" hidden="1">
      <c r="A1776" t="s">
        <v>3576</v>
      </c>
      <c r="B1776" s="87" t="str">
        <f>IFERROR(VLOOKUP(Proc[[#This Row],[App]],Table2[],3,0),"open")</f>
        <v>ok</v>
      </c>
      <c r="C1776" s="91" t="s">
        <v>369</v>
      </c>
      <c r="D1776" t="s">
        <v>3577</v>
      </c>
      <c r="E1776" t="s">
        <v>3578</v>
      </c>
      <c r="F1776" s="105" t="s">
        <v>3578</v>
      </c>
      <c r="G1776" s="91" t="s">
        <v>400</v>
      </c>
      <c r="H1776" s="87" t="str">
        <f>IF(Proc[[#This Row],[type]]="LFF (MDG-F)",MID(Proc[[#This Row],[Obj]],13,10),"")</f>
        <v/>
      </c>
      <c r="J1776" s="87" t="b">
        <f>Proc[[#This Row],[Requested]]=Proc[[#This Row],[CurrentParent]]</f>
        <v>1</v>
      </c>
      <c r="K1776" s="87" t="str">
        <f>IF(Proc[[#This Row],[Author]]="Marcela Urrego",VLOOKUP(LEFT(Proc[[#This Row],[Requested]],1),Table3[#All],2,0),VLOOKUP(Proc[[#This Row],[Author]],Table4[],2,0))</f>
        <v>MGF</v>
      </c>
      <c r="L1776" s="87" t="s">
        <v>2563</v>
      </c>
      <c r="M1776" s="89">
        <v>45803.669652777775</v>
      </c>
      <c r="N1776" s="89">
        <v>45806</v>
      </c>
      <c r="O1776" s="89">
        <v>45806</v>
      </c>
      <c r="P1776" s="92" t="str">
        <f ca="1">IF(Proc[[#This Row],[DaysAgeing]]&gt;5,"yep","on track")</f>
        <v>on track</v>
      </c>
      <c r="Q1776" s="3">
        <f ca="1">IF(Proc[[#This Row],[DateClosed]]="",ABS(NETWORKDAYS(Proc[[#This Row],[DateOpened]],TODAY()))-1,ABS(NETWORKDAYS(Proc[[#This Row],[DateOpened]],Proc[[#This Row],[DateClosed]]))-1)</f>
        <v>3</v>
      </c>
      <c r="R1776" s="92" t="s">
        <v>1076</v>
      </c>
      <c r="S1776" s="87"/>
    </row>
    <row r="1777" spans="1:19" hidden="1">
      <c r="A1777" s="91" t="s">
        <v>3576</v>
      </c>
      <c r="B1777" s="87" t="str">
        <f>IFERROR(VLOOKUP(Proc[[#This Row],[App]],Table2[],3,0),"open")</f>
        <v>ok</v>
      </c>
      <c r="C1777" s="91" t="s">
        <v>369</v>
      </c>
      <c r="D1777" t="s">
        <v>3579</v>
      </c>
      <c r="E1777" t="s">
        <v>2018</v>
      </c>
      <c r="F1777" s="105" t="s">
        <v>2018</v>
      </c>
      <c r="G1777" s="91" t="s">
        <v>400</v>
      </c>
      <c r="H1777" s="87" t="str">
        <f>IF(Proc[[#This Row],[type]]="LFF (MDG-F)",MID(Proc[[#This Row],[Obj]],13,10),"")</f>
        <v/>
      </c>
      <c r="J1777" s="87" t="b">
        <f>Proc[[#This Row],[Requested]]=Proc[[#This Row],[CurrentParent]]</f>
        <v>1</v>
      </c>
      <c r="K1777" s="87" t="str">
        <f>IF(Proc[[#This Row],[Author]]="Marcela Urrego",VLOOKUP(LEFT(Proc[[#This Row],[Requested]],1),Table3[#All],2,0),VLOOKUP(Proc[[#This Row],[Author]],Table4[],2,0))</f>
        <v>MGF</v>
      </c>
      <c r="L1777" s="87" t="s">
        <v>2563</v>
      </c>
      <c r="M1777" s="89">
        <v>45803.669652777775</v>
      </c>
      <c r="N1777" s="89">
        <v>45806</v>
      </c>
      <c r="O1777" s="89">
        <v>45806</v>
      </c>
      <c r="P1777" s="92" t="str">
        <f ca="1">IF(Proc[[#This Row],[DaysAgeing]]&gt;5,"yep","on track")</f>
        <v>on track</v>
      </c>
      <c r="Q1777" s="3">
        <f ca="1">IF(Proc[[#This Row],[DateClosed]]="",ABS(NETWORKDAYS(Proc[[#This Row],[DateOpened]],TODAY()))-1,ABS(NETWORKDAYS(Proc[[#This Row],[DateOpened]],Proc[[#This Row],[DateClosed]]))-1)</f>
        <v>3</v>
      </c>
      <c r="R1777" s="92" t="s">
        <v>1076</v>
      </c>
      <c r="S1777" s="87"/>
    </row>
    <row r="1778" spans="1:19" hidden="1">
      <c r="A1778" s="91" t="s">
        <v>3576</v>
      </c>
      <c r="B1778" s="87" t="str">
        <f>IFERROR(VLOOKUP(Proc[[#This Row],[App]],Table2[],3,0),"open")</f>
        <v>ok</v>
      </c>
      <c r="C1778" s="91" t="s">
        <v>369</v>
      </c>
      <c r="D1778" t="s">
        <v>3580</v>
      </c>
      <c r="E1778" t="s">
        <v>2016</v>
      </c>
      <c r="F1778" s="105" t="s">
        <v>2016</v>
      </c>
      <c r="G1778" s="91" t="s">
        <v>400</v>
      </c>
      <c r="H1778" s="87" t="str">
        <f>IF(Proc[[#This Row],[type]]="LFF (MDG-F)",MID(Proc[[#This Row],[Obj]],13,10),"")</f>
        <v/>
      </c>
      <c r="J1778" s="87" t="b">
        <f>Proc[[#This Row],[Requested]]=Proc[[#This Row],[CurrentParent]]</f>
        <v>1</v>
      </c>
      <c r="K1778" s="87" t="str">
        <f>IF(Proc[[#This Row],[Author]]="Marcela Urrego",VLOOKUP(LEFT(Proc[[#This Row],[Requested]],1),Table3[#All],2,0),VLOOKUP(Proc[[#This Row],[Author]],Table4[],2,0))</f>
        <v>MGF</v>
      </c>
      <c r="L1778" s="87" t="s">
        <v>2563</v>
      </c>
      <c r="M1778" s="89">
        <v>45803.669652777775</v>
      </c>
      <c r="N1778" s="89">
        <v>45806</v>
      </c>
      <c r="O1778" s="89">
        <v>45806</v>
      </c>
      <c r="P1778" s="92" t="str">
        <f ca="1">IF(Proc[[#This Row],[DaysAgeing]]&gt;5,"yep","on track")</f>
        <v>on track</v>
      </c>
      <c r="Q1778" s="3">
        <f ca="1">IF(Proc[[#This Row],[DateClosed]]="",ABS(NETWORKDAYS(Proc[[#This Row],[DateOpened]],TODAY()))-1,ABS(NETWORKDAYS(Proc[[#This Row],[DateOpened]],Proc[[#This Row],[DateClosed]]))-1)</f>
        <v>3</v>
      </c>
      <c r="R1778" s="92" t="s">
        <v>1076</v>
      </c>
      <c r="S1778" s="87"/>
    </row>
    <row r="1779" spans="1:19" hidden="1">
      <c r="A1779" s="91" t="s">
        <v>3576</v>
      </c>
      <c r="B1779" s="87" t="str">
        <f>IFERROR(VLOOKUP(Proc[[#This Row],[App]],Table2[],3,0),"open")</f>
        <v>ok</v>
      </c>
      <c r="C1779" s="91" t="s">
        <v>369</v>
      </c>
      <c r="D1779" t="s">
        <v>3581</v>
      </c>
      <c r="E1779" t="s">
        <v>2016</v>
      </c>
      <c r="F1779" s="105" t="s">
        <v>2016</v>
      </c>
      <c r="G1779" s="91" t="s">
        <v>400</v>
      </c>
      <c r="H1779" s="87" t="str">
        <f>IF(Proc[[#This Row],[type]]="LFF (MDG-F)",MID(Proc[[#This Row],[Obj]],13,10),"")</f>
        <v/>
      </c>
      <c r="J1779" s="87" t="b">
        <f>Proc[[#This Row],[Requested]]=Proc[[#This Row],[CurrentParent]]</f>
        <v>1</v>
      </c>
      <c r="K1779" s="87" t="str">
        <f>IF(Proc[[#This Row],[Author]]="Marcela Urrego",VLOOKUP(LEFT(Proc[[#This Row],[Requested]],1),Table3[#All],2,0),VLOOKUP(Proc[[#This Row],[Author]],Table4[],2,0))</f>
        <v>MGF</v>
      </c>
      <c r="L1779" s="87" t="s">
        <v>2563</v>
      </c>
      <c r="M1779" s="89">
        <v>45803.669652777775</v>
      </c>
      <c r="N1779" s="89">
        <v>45806</v>
      </c>
      <c r="O1779" s="89">
        <v>45806</v>
      </c>
      <c r="P1779" s="92" t="str">
        <f ca="1">IF(Proc[[#This Row],[DaysAgeing]]&gt;5,"yep","on track")</f>
        <v>on track</v>
      </c>
      <c r="Q1779" s="3">
        <f ca="1">IF(Proc[[#This Row],[DateClosed]]="",ABS(NETWORKDAYS(Proc[[#This Row],[DateOpened]],TODAY()))-1,ABS(NETWORKDAYS(Proc[[#This Row],[DateOpened]],Proc[[#This Row],[DateClosed]]))-1)</f>
        <v>3</v>
      </c>
      <c r="R1779" s="92" t="s">
        <v>1076</v>
      </c>
      <c r="S1779" s="87"/>
    </row>
    <row r="1780" spans="1:19" hidden="1">
      <c r="A1780" s="91" t="s">
        <v>3576</v>
      </c>
      <c r="B1780" s="87" t="str">
        <f>IFERROR(VLOOKUP(Proc[[#This Row],[App]],Table2[],3,0),"open")</f>
        <v>ok</v>
      </c>
      <c r="C1780" s="91" t="s">
        <v>369</v>
      </c>
      <c r="D1780" t="s">
        <v>3582</v>
      </c>
      <c r="E1780" t="s">
        <v>2016</v>
      </c>
      <c r="F1780" s="105" t="s">
        <v>2016</v>
      </c>
      <c r="G1780" s="91" t="s">
        <v>400</v>
      </c>
      <c r="H1780" s="87" t="str">
        <f>IF(Proc[[#This Row],[type]]="LFF (MDG-F)",MID(Proc[[#This Row],[Obj]],13,10),"")</f>
        <v/>
      </c>
      <c r="J1780" s="87" t="b">
        <f>Proc[[#This Row],[Requested]]=Proc[[#This Row],[CurrentParent]]</f>
        <v>1</v>
      </c>
      <c r="K1780" s="87" t="str">
        <f>IF(Proc[[#This Row],[Author]]="Marcela Urrego",VLOOKUP(LEFT(Proc[[#This Row],[Requested]],1),Table3[#All],2,0),VLOOKUP(Proc[[#This Row],[Author]],Table4[],2,0))</f>
        <v>MGF</v>
      </c>
      <c r="L1780" s="87" t="s">
        <v>2563</v>
      </c>
      <c r="M1780" s="89">
        <v>45803.669652777775</v>
      </c>
      <c r="N1780" s="89">
        <v>45806</v>
      </c>
      <c r="O1780" s="89">
        <v>45806</v>
      </c>
      <c r="P1780" s="92" t="str">
        <f ca="1">IF(Proc[[#This Row],[DaysAgeing]]&gt;5,"yep","on track")</f>
        <v>on track</v>
      </c>
      <c r="Q1780" s="3">
        <f ca="1">IF(Proc[[#This Row],[DateClosed]]="",ABS(NETWORKDAYS(Proc[[#This Row],[DateOpened]],TODAY()))-1,ABS(NETWORKDAYS(Proc[[#This Row],[DateOpened]],Proc[[#This Row],[DateClosed]]))-1)</f>
        <v>3</v>
      </c>
      <c r="R1780" s="92" t="s">
        <v>1076</v>
      </c>
      <c r="S1780" s="87"/>
    </row>
    <row r="1781" spans="1:19" hidden="1">
      <c r="A1781" s="91" t="s">
        <v>3576</v>
      </c>
      <c r="B1781" s="87" t="str">
        <f>IFERROR(VLOOKUP(Proc[[#This Row],[App]],Table2[],3,0),"open")</f>
        <v>ok</v>
      </c>
      <c r="C1781" s="91" t="s">
        <v>369</v>
      </c>
      <c r="D1781" t="s">
        <v>3583</v>
      </c>
      <c r="E1781" t="s">
        <v>2016</v>
      </c>
      <c r="F1781" s="105" t="s">
        <v>2016</v>
      </c>
      <c r="G1781" s="91" t="s">
        <v>400</v>
      </c>
      <c r="H1781" s="87" t="str">
        <f>IF(Proc[[#This Row],[type]]="LFF (MDG-F)",MID(Proc[[#This Row],[Obj]],13,10),"")</f>
        <v/>
      </c>
      <c r="J1781" s="87" t="b">
        <f>Proc[[#This Row],[Requested]]=Proc[[#This Row],[CurrentParent]]</f>
        <v>1</v>
      </c>
      <c r="K1781" s="87" t="str">
        <f>IF(Proc[[#This Row],[Author]]="Marcela Urrego",VLOOKUP(LEFT(Proc[[#This Row],[Requested]],1),Table3[#All],2,0),VLOOKUP(Proc[[#This Row],[Author]],Table4[],2,0))</f>
        <v>MGF</v>
      </c>
      <c r="L1781" s="87" t="s">
        <v>2563</v>
      </c>
      <c r="M1781" s="89">
        <v>45803.669652777775</v>
      </c>
      <c r="N1781" s="89">
        <v>45806</v>
      </c>
      <c r="O1781" s="89">
        <v>45806</v>
      </c>
      <c r="P1781" s="92" t="str">
        <f ca="1">IF(Proc[[#This Row],[DaysAgeing]]&gt;5,"yep","on track")</f>
        <v>on track</v>
      </c>
      <c r="Q1781" s="3">
        <f ca="1">IF(Proc[[#This Row],[DateClosed]]="",ABS(NETWORKDAYS(Proc[[#This Row],[DateOpened]],TODAY()))-1,ABS(NETWORKDAYS(Proc[[#This Row],[DateOpened]],Proc[[#This Row],[DateClosed]]))-1)</f>
        <v>3</v>
      </c>
      <c r="R1781" s="92" t="s">
        <v>1076</v>
      </c>
      <c r="S1781" s="87"/>
    </row>
    <row r="1782" spans="1:19" hidden="1">
      <c r="A1782" s="91" t="s">
        <v>3576</v>
      </c>
      <c r="B1782" s="87" t="str">
        <f>IFERROR(VLOOKUP(Proc[[#This Row],[App]],Table2[],3,0),"open")</f>
        <v>ok</v>
      </c>
      <c r="C1782" s="91" t="s">
        <v>369</v>
      </c>
      <c r="D1782" t="s">
        <v>3584</v>
      </c>
      <c r="E1782" t="s">
        <v>2016</v>
      </c>
      <c r="F1782" s="105" t="s">
        <v>2016</v>
      </c>
      <c r="G1782" s="91" t="s">
        <v>400</v>
      </c>
      <c r="H1782" s="87" t="str">
        <f>IF(Proc[[#This Row],[type]]="LFF (MDG-F)",MID(Proc[[#This Row],[Obj]],13,10),"")</f>
        <v/>
      </c>
      <c r="J1782" s="87" t="b">
        <f>Proc[[#This Row],[Requested]]=Proc[[#This Row],[CurrentParent]]</f>
        <v>1</v>
      </c>
      <c r="K1782" s="87" t="str">
        <f>IF(Proc[[#This Row],[Author]]="Marcela Urrego",VLOOKUP(LEFT(Proc[[#This Row],[Requested]],1),Table3[#All],2,0),VLOOKUP(Proc[[#This Row],[Author]],Table4[],2,0))</f>
        <v>MGF</v>
      </c>
      <c r="L1782" s="87" t="s">
        <v>2563</v>
      </c>
      <c r="M1782" s="89">
        <v>45803.669652777775</v>
      </c>
      <c r="N1782" s="89">
        <v>45806</v>
      </c>
      <c r="O1782" s="89">
        <v>45806</v>
      </c>
      <c r="P1782" s="92" t="str">
        <f ca="1">IF(Proc[[#This Row],[DaysAgeing]]&gt;5,"yep","on track")</f>
        <v>on track</v>
      </c>
      <c r="Q1782" s="3">
        <f ca="1">IF(Proc[[#This Row],[DateClosed]]="",ABS(NETWORKDAYS(Proc[[#This Row],[DateOpened]],TODAY()))-1,ABS(NETWORKDAYS(Proc[[#This Row],[DateOpened]],Proc[[#This Row],[DateClosed]]))-1)</f>
        <v>3</v>
      </c>
      <c r="R1782" s="92" t="s">
        <v>1076</v>
      </c>
      <c r="S1782" s="87"/>
    </row>
    <row r="1783" spans="1:19" hidden="1">
      <c r="A1783" s="91" t="s">
        <v>3576</v>
      </c>
      <c r="B1783" s="87" t="str">
        <f>IFERROR(VLOOKUP(Proc[[#This Row],[App]],Table2[],3,0),"open")</f>
        <v>ok</v>
      </c>
      <c r="C1783" s="91" t="s">
        <v>369</v>
      </c>
      <c r="D1783" t="s">
        <v>3585</v>
      </c>
      <c r="E1783" t="s">
        <v>2016</v>
      </c>
      <c r="F1783" s="105" t="s">
        <v>2016</v>
      </c>
      <c r="G1783" s="91" t="s">
        <v>400</v>
      </c>
      <c r="H1783" s="87" t="str">
        <f>IF(Proc[[#This Row],[type]]="LFF (MDG-F)",MID(Proc[[#This Row],[Obj]],13,10),"")</f>
        <v/>
      </c>
      <c r="J1783" s="87" t="b">
        <f>Proc[[#This Row],[Requested]]=Proc[[#This Row],[CurrentParent]]</f>
        <v>1</v>
      </c>
      <c r="K1783" s="87" t="str">
        <f>IF(Proc[[#This Row],[Author]]="Marcela Urrego",VLOOKUP(LEFT(Proc[[#This Row],[Requested]],1),Table3[#All],2,0),VLOOKUP(Proc[[#This Row],[Author]],Table4[],2,0))</f>
        <v>MGF</v>
      </c>
      <c r="L1783" s="87" t="s">
        <v>2563</v>
      </c>
      <c r="M1783" s="89">
        <v>45803.669652777775</v>
      </c>
      <c r="N1783" s="89">
        <v>45806</v>
      </c>
      <c r="O1783" s="89">
        <v>45806</v>
      </c>
      <c r="P1783" s="92" t="str">
        <f ca="1">IF(Proc[[#This Row],[DaysAgeing]]&gt;5,"yep","on track")</f>
        <v>on track</v>
      </c>
      <c r="Q1783" s="3">
        <f ca="1">IF(Proc[[#This Row],[DateClosed]]="",ABS(NETWORKDAYS(Proc[[#This Row],[DateOpened]],TODAY()))-1,ABS(NETWORKDAYS(Proc[[#This Row],[DateOpened]],Proc[[#This Row],[DateClosed]]))-1)</f>
        <v>3</v>
      </c>
      <c r="R1783" s="92" t="s">
        <v>1076</v>
      </c>
      <c r="S1783" s="87"/>
    </row>
    <row r="1784" spans="1:19" hidden="1">
      <c r="A1784" s="91" t="s">
        <v>3576</v>
      </c>
      <c r="B1784" s="87" t="str">
        <f>IFERROR(VLOOKUP(Proc[[#This Row],[App]],Table2[],3,0),"open")</f>
        <v>ok</v>
      </c>
      <c r="C1784" s="91" t="s">
        <v>369</v>
      </c>
      <c r="D1784" t="s">
        <v>3586</v>
      </c>
      <c r="E1784" t="s">
        <v>3587</v>
      </c>
      <c r="F1784" s="105" t="s">
        <v>3587</v>
      </c>
      <c r="G1784" s="91" t="s">
        <v>400</v>
      </c>
      <c r="H1784" s="87" t="str">
        <f>IF(Proc[[#This Row],[type]]="LFF (MDG-F)",MID(Proc[[#This Row],[Obj]],13,10),"")</f>
        <v/>
      </c>
      <c r="J1784" s="87" t="b">
        <f>Proc[[#This Row],[Requested]]=Proc[[#This Row],[CurrentParent]]</f>
        <v>1</v>
      </c>
      <c r="K1784" s="87" t="str">
        <f>IF(Proc[[#This Row],[Author]]="Marcela Urrego",VLOOKUP(LEFT(Proc[[#This Row],[Requested]],1),Table3[#All],2,0),VLOOKUP(Proc[[#This Row],[Author]],Table4[],2,0))</f>
        <v>MGF</v>
      </c>
      <c r="L1784" s="87" t="s">
        <v>2563</v>
      </c>
      <c r="M1784" s="89">
        <v>45803.669652777775</v>
      </c>
      <c r="N1784" s="89">
        <v>45806</v>
      </c>
      <c r="O1784" s="89">
        <v>45806</v>
      </c>
      <c r="P1784" s="92" t="str">
        <f ca="1">IF(Proc[[#This Row],[DaysAgeing]]&gt;5,"yep","on track")</f>
        <v>on track</v>
      </c>
      <c r="Q1784" s="3">
        <f ca="1">IF(Proc[[#This Row],[DateClosed]]="",ABS(NETWORKDAYS(Proc[[#This Row],[DateOpened]],TODAY()))-1,ABS(NETWORKDAYS(Proc[[#This Row],[DateOpened]],Proc[[#This Row],[DateClosed]]))-1)</f>
        <v>3</v>
      </c>
      <c r="R1784" s="92" t="s">
        <v>1076</v>
      </c>
      <c r="S1784" s="87"/>
    </row>
    <row r="1785" spans="1:19" hidden="1">
      <c r="A1785" s="91" t="s">
        <v>3576</v>
      </c>
      <c r="B1785" s="87" t="str">
        <f>IFERROR(VLOOKUP(Proc[[#This Row],[App]],Table2[],3,0),"open")</f>
        <v>ok</v>
      </c>
      <c r="C1785" s="91" t="s">
        <v>369</v>
      </c>
      <c r="D1785" t="s">
        <v>3588</v>
      </c>
      <c r="E1785" t="s">
        <v>1214</v>
      </c>
      <c r="F1785" s="105" t="s">
        <v>1214</v>
      </c>
      <c r="G1785" s="91" t="s">
        <v>400</v>
      </c>
      <c r="H1785" s="87" t="str">
        <f>IF(Proc[[#This Row],[type]]="LFF (MDG-F)",MID(Proc[[#This Row],[Obj]],13,10),"")</f>
        <v/>
      </c>
      <c r="J1785" s="87" t="b">
        <f>Proc[[#This Row],[Requested]]=Proc[[#This Row],[CurrentParent]]</f>
        <v>1</v>
      </c>
      <c r="K1785" s="87" t="str">
        <f>IF(Proc[[#This Row],[Author]]="Marcela Urrego",VLOOKUP(LEFT(Proc[[#This Row],[Requested]],1),Table3[#All],2,0),VLOOKUP(Proc[[#This Row],[Author]],Table4[],2,0))</f>
        <v>MGF</v>
      </c>
      <c r="L1785" s="87" t="s">
        <v>2563</v>
      </c>
      <c r="M1785" s="89">
        <v>45803.669652777775</v>
      </c>
      <c r="N1785" s="89">
        <v>45806</v>
      </c>
      <c r="O1785" s="89">
        <v>45806</v>
      </c>
      <c r="P1785" s="92" t="str">
        <f ca="1">IF(Proc[[#This Row],[DaysAgeing]]&gt;5,"yep","on track")</f>
        <v>on track</v>
      </c>
      <c r="Q1785" s="3">
        <f ca="1">IF(Proc[[#This Row],[DateClosed]]="",ABS(NETWORKDAYS(Proc[[#This Row],[DateOpened]],TODAY()))-1,ABS(NETWORKDAYS(Proc[[#This Row],[DateOpened]],Proc[[#This Row],[DateClosed]]))-1)</f>
        <v>3</v>
      </c>
      <c r="R1785" s="92" t="s">
        <v>1076</v>
      </c>
      <c r="S1785" s="87"/>
    </row>
    <row r="1786" spans="1:19" hidden="1">
      <c r="A1786" s="91" t="s">
        <v>3576</v>
      </c>
      <c r="B1786" s="87" t="str">
        <f>IFERROR(VLOOKUP(Proc[[#This Row],[App]],Table2[],3,0),"open")</f>
        <v>ok</v>
      </c>
      <c r="C1786" s="91" t="s">
        <v>369</v>
      </c>
      <c r="D1786" t="s">
        <v>3589</v>
      </c>
      <c r="E1786" t="s">
        <v>3590</v>
      </c>
      <c r="F1786" s="105" t="s">
        <v>3590</v>
      </c>
      <c r="G1786" s="91" t="s">
        <v>400</v>
      </c>
      <c r="H1786" s="87" t="str">
        <f>IF(Proc[[#This Row],[type]]="LFF (MDG-F)",MID(Proc[[#This Row],[Obj]],13,10),"")</f>
        <v/>
      </c>
      <c r="J1786" s="87" t="b">
        <f>Proc[[#This Row],[Requested]]=Proc[[#This Row],[CurrentParent]]</f>
        <v>1</v>
      </c>
      <c r="K1786" s="87" t="str">
        <f>IF(Proc[[#This Row],[Author]]="Marcela Urrego",VLOOKUP(LEFT(Proc[[#This Row],[Requested]],1),Table3[#All],2,0),VLOOKUP(Proc[[#This Row],[Author]],Table4[],2,0))</f>
        <v>MGF</v>
      </c>
      <c r="L1786" s="87" t="s">
        <v>2563</v>
      </c>
      <c r="M1786" s="89">
        <v>45803.669652777775</v>
      </c>
      <c r="N1786" s="89">
        <v>45806</v>
      </c>
      <c r="O1786" s="89">
        <v>45806</v>
      </c>
      <c r="P1786" s="92" t="str">
        <f ca="1">IF(Proc[[#This Row],[DaysAgeing]]&gt;5,"yep","on track")</f>
        <v>on track</v>
      </c>
      <c r="Q1786" s="3">
        <f ca="1">IF(Proc[[#This Row],[DateClosed]]="",ABS(NETWORKDAYS(Proc[[#This Row],[DateOpened]],TODAY()))-1,ABS(NETWORKDAYS(Proc[[#This Row],[DateOpened]],Proc[[#This Row],[DateClosed]]))-1)</f>
        <v>3</v>
      </c>
      <c r="R1786" s="92" t="s">
        <v>1076</v>
      </c>
      <c r="S1786" s="87"/>
    </row>
    <row r="1787" spans="1:19" hidden="1">
      <c r="A1787" s="91" t="s">
        <v>3576</v>
      </c>
      <c r="B1787" s="87" t="str">
        <f>IFERROR(VLOOKUP(Proc[[#This Row],[App]],Table2[],3,0),"open")</f>
        <v>ok</v>
      </c>
      <c r="C1787" s="91" t="s">
        <v>369</v>
      </c>
      <c r="D1787" t="s">
        <v>3591</v>
      </c>
      <c r="E1787" t="s">
        <v>419</v>
      </c>
      <c r="F1787" s="105" t="s">
        <v>419</v>
      </c>
      <c r="G1787" s="91" t="s">
        <v>400</v>
      </c>
      <c r="H1787" s="87" t="str">
        <f>IF(Proc[[#This Row],[type]]="LFF (MDG-F)",MID(Proc[[#This Row],[Obj]],13,10),"")</f>
        <v/>
      </c>
      <c r="J1787" s="87" t="b">
        <f>Proc[[#This Row],[Requested]]=Proc[[#This Row],[CurrentParent]]</f>
        <v>1</v>
      </c>
      <c r="K1787" s="87" t="str">
        <f>IF(Proc[[#This Row],[Author]]="Marcela Urrego",VLOOKUP(LEFT(Proc[[#This Row],[Requested]],1),Table3[#All],2,0),VLOOKUP(Proc[[#This Row],[Author]],Table4[],2,0))</f>
        <v>MGF</v>
      </c>
      <c r="L1787" s="87" t="s">
        <v>2563</v>
      </c>
      <c r="M1787" s="89">
        <v>45803.669652777775</v>
      </c>
      <c r="N1787" s="89">
        <v>45806</v>
      </c>
      <c r="O1787" s="89">
        <v>45806</v>
      </c>
      <c r="P1787" s="92" t="str">
        <f ca="1">IF(Proc[[#This Row],[DaysAgeing]]&gt;5,"yep","on track")</f>
        <v>on track</v>
      </c>
      <c r="Q1787" s="3">
        <f ca="1">IF(Proc[[#This Row],[DateClosed]]="",ABS(NETWORKDAYS(Proc[[#This Row],[DateOpened]],TODAY()))-1,ABS(NETWORKDAYS(Proc[[#This Row],[DateOpened]],Proc[[#This Row],[DateClosed]]))-1)</f>
        <v>3</v>
      </c>
      <c r="R1787" s="92" t="s">
        <v>1076</v>
      </c>
      <c r="S1787" s="87"/>
    </row>
    <row r="1788" spans="1:19" hidden="1">
      <c r="A1788" s="91" t="s">
        <v>3576</v>
      </c>
      <c r="B1788" s="87" t="str">
        <f>IFERROR(VLOOKUP(Proc[[#This Row],[App]],Table2[],3,0),"open")</f>
        <v>ok</v>
      </c>
      <c r="C1788" s="91" t="s">
        <v>369</v>
      </c>
      <c r="D1788" t="s">
        <v>3592</v>
      </c>
      <c r="E1788" t="s">
        <v>419</v>
      </c>
      <c r="F1788" s="105" t="s">
        <v>419</v>
      </c>
      <c r="G1788" s="91" t="s">
        <v>400</v>
      </c>
      <c r="H1788" s="87" t="str">
        <f>IF(Proc[[#This Row],[type]]="LFF (MDG-F)",MID(Proc[[#This Row],[Obj]],13,10),"")</f>
        <v/>
      </c>
      <c r="J1788" s="87" t="b">
        <f>Proc[[#This Row],[Requested]]=Proc[[#This Row],[CurrentParent]]</f>
        <v>1</v>
      </c>
      <c r="K1788" s="87" t="str">
        <f>IF(Proc[[#This Row],[Author]]="Marcela Urrego",VLOOKUP(LEFT(Proc[[#This Row],[Requested]],1),Table3[#All],2,0),VLOOKUP(Proc[[#This Row],[Author]],Table4[],2,0))</f>
        <v>MGF</v>
      </c>
      <c r="L1788" s="87" t="s">
        <v>2563</v>
      </c>
      <c r="M1788" s="89">
        <v>45803.669652777775</v>
      </c>
      <c r="N1788" s="89">
        <v>45806</v>
      </c>
      <c r="O1788" s="89">
        <v>45806</v>
      </c>
      <c r="P1788" s="92" t="str">
        <f ca="1">IF(Proc[[#This Row],[DaysAgeing]]&gt;5,"yep","on track")</f>
        <v>on track</v>
      </c>
      <c r="Q1788" s="3">
        <f ca="1">IF(Proc[[#This Row],[DateClosed]]="",ABS(NETWORKDAYS(Proc[[#This Row],[DateOpened]],TODAY()))-1,ABS(NETWORKDAYS(Proc[[#This Row],[DateOpened]],Proc[[#This Row],[DateClosed]]))-1)</f>
        <v>3</v>
      </c>
      <c r="R1788" s="92" t="s">
        <v>1076</v>
      </c>
      <c r="S1788" s="87"/>
    </row>
    <row r="1789" spans="1:19" hidden="1">
      <c r="A1789" s="91" t="s">
        <v>3576</v>
      </c>
      <c r="B1789" s="87" t="str">
        <f>IFERROR(VLOOKUP(Proc[[#This Row],[App]],Table2[],3,0),"open")</f>
        <v>ok</v>
      </c>
      <c r="C1789" s="91" t="s">
        <v>369</v>
      </c>
      <c r="D1789" t="s">
        <v>3593</v>
      </c>
      <c r="E1789" t="s">
        <v>419</v>
      </c>
      <c r="F1789" s="105" t="s">
        <v>419</v>
      </c>
      <c r="G1789" s="91" t="s">
        <v>400</v>
      </c>
      <c r="H1789" s="87" t="str">
        <f>IF(Proc[[#This Row],[type]]="LFF (MDG-F)",MID(Proc[[#This Row],[Obj]],13,10),"")</f>
        <v/>
      </c>
      <c r="J1789" s="87" t="b">
        <f>Proc[[#This Row],[Requested]]=Proc[[#This Row],[CurrentParent]]</f>
        <v>1</v>
      </c>
      <c r="K1789" s="87" t="str">
        <f>IF(Proc[[#This Row],[Author]]="Marcela Urrego",VLOOKUP(LEFT(Proc[[#This Row],[Requested]],1),Table3[#All],2,0),VLOOKUP(Proc[[#This Row],[Author]],Table4[],2,0))</f>
        <v>MGF</v>
      </c>
      <c r="L1789" s="87" t="s">
        <v>2563</v>
      </c>
      <c r="M1789" s="89">
        <v>45803.669652777775</v>
      </c>
      <c r="N1789" s="89">
        <v>45806</v>
      </c>
      <c r="O1789" s="89">
        <v>45806</v>
      </c>
      <c r="P1789" s="92" t="str">
        <f ca="1">IF(Proc[[#This Row],[DaysAgeing]]&gt;5,"yep","on track")</f>
        <v>on track</v>
      </c>
      <c r="Q1789" s="3">
        <f ca="1">IF(Proc[[#This Row],[DateClosed]]="",ABS(NETWORKDAYS(Proc[[#This Row],[DateOpened]],TODAY()))-1,ABS(NETWORKDAYS(Proc[[#This Row],[DateOpened]],Proc[[#This Row],[DateClosed]]))-1)</f>
        <v>3</v>
      </c>
      <c r="R1789" s="92" t="s">
        <v>1076</v>
      </c>
      <c r="S1789" s="87"/>
    </row>
    <row r="1790" spans="1:19" hidden="1">
      <c r="A1790" t="s">
        <v>3600</v>
      </c>
      <c r="B1790" s="87" t="str">
        <f>IFERROR(VLOOKUP(Proc[[#This Row],[App]],Table2[],3,0),"open")</f>
        <v>ok</v>
      </c>
      <c r="C1790" s="91" t="s">
        <v>369</v>
      </c>
      <c r="D1790" t="s">
        <v>3595</v>
      </c>
      <c r="E1790" t="s">
        <v>3598</v>
      </c>
      <c r="F1790" s="105" t="s">
        <v>3598</v>
      </c>
      <c r="G1790" s="91" t="s">
        <v>400</v>
      </c>
      <c r="H1790" s="87" t="str">
        <f>IF(Proc[[#This Row],[type]]="LFF (MDG-F)",MID(Proc[[#This Row],[Obj]],13,10),"")</f>
        <v/>
      </c>
      <c r="J1790" s="87" t="b">
        <f>Proc[[#This Row],[Requested]]=Proc[[#This Row],[CurrentParent]]</f>
        <v>1</v>
      </c>
      <c r="K1790" s="87" t="str">
        <f>IF(Proc[[#This Row],[Author]]="Marcela Urrego",VLOOKUP(LEFT(Proc[[#This Row],[Requested]],1),Table3[#All],2,0),VLOOKUP(Proc[[#This Row],[Author]],Table4[],2,0))</f>
        <v>HC</v>
      </c>
      <c r="L1790" s="87" t="s">
        <v>2563</v>
      </c>
      <c r="M1790" s="89">
        <v>45805.839305555557</v>
      </c>
      <c r="N1790" s="89">
        <v>45807</v>
      </c>
      <c r="O1790" s="89">
        <v>45807</v>
      </c>
      <c r="P1790" s="92" t="str">
        <f ca="1">IF(Proc[[#This Row],[DaysAgeing]]&gt;5,"yep","on track")</f>
        <v>on track</v>
      </c>
      <c r="Q1790" s="3">
        <f ca="1">IF(Proc[[#This Row],[DateClosed]]="",ABS(NETWORKDAYS(Proc[[#This Row],[DateOpened]],TODAY()))-1,ABS(NETWORKDAYS(Proc[[#This Row],[DateOpened]],Proc[[#This Row],[DateClosed]]))-1)</f>
        <v>2</v>
      </c>
      <c r="R1790" s="92" t="s">
        <v>1013</v>
      </c>
      <c r="S1790" s="87"/>
    </row>
    <row r="1791" spans="1:19" hidden="1">
      <c r="A1791" s="91" t="s">
        <v>3600</v>
      </c>
      <c r="B1791" s="87" t="str">
        <f>IFERROR(VLOOKUP(Proc[[#This Row],[App]],Table2[],3,0),"open")</f>
        <v>ok</v>
      </c>
      <c r="C1791" s="91" t="s">
        <v>369</v>
      </c>
      <c r="D1791" t="s">
        <v>3596</v>
      </c>
      <c r="E1791" t="s">
        <v>3599</v>
      </c>
      <c r="F1791" s="105" t="s">
        <v>3599</v>
      </c>
      <c r="G1791" s="91" t="s">
        <v>400</v>
      </c>
      <c r="H1791" s="87" t="str">
        <f>IF(Proc[[#This Row],[type]]="LFF (MDG-F)",MID(Proc[[#This Row],[Obj]],13,10),"")</f>
        <v/>
      </c>
      <c r="J1791" s="87" t="b">
        <f>Proc[[#This Row],[Requested]]=Proc[[#This Row],[CurrentParent]]</f>
        <v>1</v>
      </c>
      <c r="K1791" s="87" t="str">
        <f>IF(Proc[[#This Row],[Author]]="Marcela Urrego",VLOOKUP(LEFT(Proc[[#This Row],[Requested]],1),Table3[#All],2,0),VLOOKUP(Proc[[#This Row],[Author]],Table4[],2,0))</f>
        <v>HC</v>
      </c>
      <c r="L1791" s="87" t="s">
        <v>2563</v>
      </c>
      <c r="M1791" s="89">
        <v>45805.839305555557</v>
      </c>
      <c r="N1791" s="89">
        <v>45807</v>
      </c>
      <c r="O1791" s="89">
        <v>45807</v>
      </c>
      <c r="P1791" s="92" t="str">
        <f ca="1">IF(Proc[[#This Row],[DaysAgeing]]&gt;5,"yep","on track")</f>
        <v>on track</v>
      </c>
      <c r="Q1791" s="3">
        <f ca="1">IF(Proc[[#This Row],[DateClosed]]="",ABS(NETWORKDAYS(Proc[[#This Row],[DateOpened]],TODAY()))-1,ABS(NETWORKDAYS(Proc[[#This Row],[DateOpened]],Proc[[#This Row],[DateClosed]]))-1)</f>
        <v>2</v>
      </c>
      <c r="R1791" s="92" t="s">
        <v>1013</v>
      </c>
      <c r="S1791" s="87"/>
    </row>
    <row r="1792" spans="1:19" hidden="1">
      <c r="A1792" s="91" t="s">
        <v>3600</v>
      </c>
      <c r="B1792" s="87" t="str">
        <f>IFERROR(VLOOKUP(Proc[[#This Row],[App]],Table2[],3,0),"open")</f>
        <v>ok</v>
      </c>
      <c r="C1792" s="91" t="s">
        <v>369</v>
      </c>
      <c r="D1792" t="s">
        <v>3597</v>
      </c>
      <c r="E1792" t="s">
        <v>3599</v>
      </c>
      <c r="F1792" s="105" t="s">
        <v>3599</v>
      </c>
      <c r="G1792" s="91" t="s">
        <v>400</v>
      </c>
      <c r="H1792" s="87" t="str">
        <f>IF(Proc[[#This Row],[type]]="LFF (MDG-F)",MID(Proc[[#This Row],[Obj]],13,10),"")</f>
        <v/>
      </c>
      <c r="J1792" s="87" t="b">
        <f>Proc[[#This Row],[Requested]]=Proc[[#This Row],[CurrentParent]]</f>
        <v>1</v>
      </c>
      <c r="K1792" s="87" t="str">
        <f>IF(Proc[[#This Row],[Author]]="Marcela Urrego",VLOOKUP(LEFT(Proc[[#This Row],[Requested]],1),Table3[#All],2,0),VLOOKUP(Proc[[#This Row],[Author]],Table4[],2,0))</f>
        <v>HC</v>
      </c>
      <c r="L1792" s="87" t="s">
        <v>2563</v>
      </c>
      <c r="M1792" s="89">
        <v>45805.839305555557</v>
      </c>
      <c r="N1792" s="89">
        <v>45807</v>
      </c>
      <c r="O1792" s="89">
        <v>45807</v>
      </c>
      <c r="P1792" s="92" t="str">
        <f ca="1">IF(Proc[[#This Row],[DaysAgeing]]&gt;5,"yep","on track")</f>
        <v>on track</v>
      </c>
      <c r="Q1792" s="3">
        <f ca="1">IF(Proc[[#This Row],[DateClosed]]="",ABS(NETWORKDAYS(Proc[[#This Row],[DateOpened]],TODAY()))-1,ABS(NETWORKDAYS(Proc[[#This Row],[DateOpened]],Proc[[#This Row],[DateClosed]]))-1)</f>
        <v>2</v>
      </c>
      <c r="R1792" s="92" t="s">
        <v>1013</v>
      </c>
      <c r="S1792" s="87"/>
    </row>
    <row r="1793" spans="1:19" hidden="1">
      <c r="A1793" t="s">
        <v>3601</v>
      </c>
      <c r="B1793" s="87" t="str">
        <f>IFERROR(VLOOKUP(Proc[[#This Row],[App]],Table2[],3,0),"open")</f>
        <v>ok</v>
      </c>
      <c r="C1793" t="s">
        <v>369</v>
      </c>
      <c r="D1793" t="s">
        <v>3602</v>
      </c>
      <c r="E1793" t="s">
        <v>3603</v>
      </c>
      <c r="F1793" s="105" t="s">
        <v>3603</v>
      </c>
      <c r="G1793" t="s">
        <v>400</v>
      </c>
      <c r="H1793" s="87" t="str">
        <f>IF(Proc[[#This Row],[type]]="LFF (MDG-F)",MID(Proc[[#This Row],[Obj]],13,10),"")</f>
        <v/>
      </c>
      <c r="J1793" s="87" t="b">
        <f>Proc[[#This Row],[Requested]]=Proc[[#This Row],[CurrentParent]]</f>
        <v>1</v>
      </c>
      <c r="K1793" s="87" t="str">
        <f>IF(Proc[[#This Row],[Author]]="Marcela Urrego",VLOOKUP(LEFT(Proc[[#This Row],[Requested]],1),Table3[#All],2,0),VLOOKUP(Proc[[#This Row],[Author]],Table4[],2,0))</f>
        <v>HC</v>
      </c>
      <c r="L1793" s="87"/>
      <c r="M1793" s="89">
        <v>45806.431597222225</v>
      </c>
      <c r="N1793" s="89">
        <v>45810</v>
      </c>
      <c r="O1793" s="89">
        <v>45810</v>
      </c>
      <c r="P1793" s="92" t="str">
        <f ca="1">IF(Proc[[#This Row],[DaysAgeing]]&gt;5,"yep","on track")</f>
        <v>on track</v>
      </c>
      <c r="Q1793" s="3">
        <f ca="1">IF(Proc[[#This Row],[DateClosed]]="",ABS(NETWORKDAYS(Proc[[#This Row],[DateOpened]],TODAY()))-1,ABS(NETWORKDAYS(Proc[[#This Row],[DateOpened]],Proc[[#This Row],[DateClosed]]))-1)</f>
        <v>2</v>
      </c>
      <c r="R1793" s="92" t="s">
        <v>478</v>
      </c>
      <c r="S1793" s="87"/>
    </row>
    <row r="1794" spans="1:19" hidden="1">
      <c r="A1794" s="91" t="s">
        <v>3601</v>
      </c>
      <c r="B1794" s="87" t="str">
        <f>IFERROR(VLOOKUP(Proc[[#This Row],[App]],Table2[],3,0),"open")</f>
        <v>ok</v>
      </c>
      <c r="C1794" s="91" t="s">
        <v>369</v>
      </c>
      <c r="D1794" t="s">
        <v>3604</v>
      </c>
      <c r="E1794" t="s">
        <v>3603</v>
      </c>
      <c r="F1794" s="105" t="s">
        <v>3603</v>
      </c>
      <c r="G1794" s="91" t="s">
        <v>400</v>
      </c>
      <c r="H1794" s="87" t="str">
        <f>IF(Proc[[#This Row],[type]]="LFF (MDG-F)",MID(Proc[[#This Row],[Obj]],13,10),"")</f>
        <v/>
      </c>
      <c r="J1794" s="87" t="b">
        <f>Proc[[#This Row],[Requested]]=Proc[[#This Row],[CurrentParent]]</f>
        <v>1</v>
      </c>
      <c r="K1794" s="87" t="str">
        <f>IF(Proc[[#This Row],[Author]]="Marcela Urrego",VLOOKUP(LEFT(Proc[[#This Row],[Requested]],1),Table3[#All],2,0),VLOOKUP(Proc[[#This Row],[Author]],Table4[],2,0))</f>
        <v>HC</v>
      </c>
      <c r="L1794" s="87"/>
      <c r="M1794" s="89">
        <v>45806.431597222225</v>
      </c>
      <c r="N1794" s="89">
        <v>45810</v>
      </c>
      <c r="O1794" s="89">
        <v>45810</v>
      </c>
      <c r="P1794" s="92" t="str">
        <f ca="1">IF(Proc[[#This Row],[DaysAgeing]]&gt;5,"yep","on track")</f>
        <v>on track</v>
      </c>
      <c r="Q1794" s="3">
        <f ca="1">IF(Proc[[#This Row],[DateClosed]]="",ABS(NETWORKDAYS(Proc[[#This Row],[DateOpened]],TODAY()))-1,ABS(NETWORKDAYS(Proc[[#This Row],[DateOpened]],Proc[[#This Row],[DateClosed]]))-1)</f>
        <v>2</v>
      </c>
      <c r="R1794" s="92" t="s">
        <v>478</v>
      </c>
      <c r="S1794" s="87"/>
    </row>
    <row r="1795" spans="1:19" hidden="1">
      <c r="A1795" s="91" t="s">
        <v>3601</v>
      </c>
      <c r="B1795" s="87" t="str">
        <f>IFERROR(VLOOKUP(Proc[[#This Row],[App]],Table2[],3,0),"open")</f>
        <v>ok</v>
      </c>
      <c r="C1795" s="91" t="s">
        <v>369</v>
      </c>
      <c r="D1795" t="s">
        <v>3605</v>
      </c>
      <c r="E1795" t="s">
        <v>3603</v>
      </c>
      <c r="F1795" s="105" t="s">
        <v>3603</v>
      </c>
      <c r="G1795" s="91" t="s">
        <v>400</v>
      </c>
      <c r="H1795" s="87" t="str">
        <f>IF(Proc[[#This Row],[type]]="LFF (MDG-F)",MID(Proc[[#This Row],[Obj]],13,10),"")</f>
        <v/>
      </c>
      <c r="J1795" s="87" t="b">
        <f>Proc[[#This Row],[Requested]]=Proc[[#This Row],[CurrentParent]]</f>
        <v>1</v>
      </c>
      <c r="K1795" s="87" t="str">
        <f>IF(Proc[[#This Row],[Author]]="Marcela Urrego",VLOOKUP(LEFT(Proc[[#This Row],[Requested]],1),Table3[#All],2,0),VLOOKUP(Proc[[#This Row],[Author]],Table4[],2,0))</f>
        <v>HC</v>
      </c>
      <c r="L1795" s="87"/>
      <c r="M1795" s="89">
        <v>45806.431597222225</v>
      </c>
      <c r="N1795" s="89">
        <v>45810</v>
      </c>
      <c r="O1795" s="89">
        <v>45810</v>
      </c>
      <c r="P1795" s="92" t="str">
        <f ca="1">IF(Proc[[#This Row],[DaysAgeing]]&gt;5,"yep","on track")</f>
        <v>on track</v>
      </c>
      <c r="Q1795" s="3">
        <f ca="1">IF(Proc[[#This Row],[DateClosed]]="",ABS(NETWORKDAYS(Proc[[#This Row],[DateOpened]],TODAY()))-1,ABS(NETWORKDAYS(Proc[[#This Row],[DateOpened]],Proc[[#This Row],[DateClosed]]))-1)</f>
        <v>2</v>
      </c>
      <c r="R1795" s="92" t="s">
        <v>478</v>
      </c>
      <c r="S1795" s="87"/>
    </row>
    <row r="1796" spans="1:19" hidden="1">
      <c r="A1796" s="91" t="s">
        <v>3601</v>
      </c>
      <c r="B1796" s="87" t="str">
        <f>IFERROR(VLOOKUP(Proc[[#This Row],[App]],Table2[],3,0),"open")</f>
        <v>ok</v>
      </c>
      <c r="C1796" s="91" t="s">
        <v>369</v>
      </c>
      <c r="D1796" t="s">
        <v>3606</v>
      </c>
      <c r="E1796" t="s">
        <v>3603</v>
      </c>
      <c r="F1796" s="105" t="s">
        <v>3603</v>
      </c>
      <c r="G1796" s="91" t="s">
        <v>400</v>
      </c>
      <c r="H1796" s="87" t="str">
        <f>IF(Proc[[#This Row],[type]]="LFF (MDG-F)",MID(Proc[[#This Row],[Obj]],13,10),"")</f>
        <v/>
      </c>
      <c r="J1796" s="87" t="b">
        <f>Proc[[#This Row],[Requested]]=Proc[[#This Row],[CurrentParent]]</f>
        <v>1</v>
      </c>
      <c r="K1796" s="87" t="str">
        <f>IF(Proc[[#This Row],[Author]]="Marcela Urrego",VLOOKUP(LEFT(Proc[[#This Row],[Requested]],1),Table3[#All],2,0),VLOOKUP(Proc[[#This Row],[Author]],Table4[],2,0))</f>
        <v>HC</v>
      </c>
      <c r="L1796" s="87"/>
      <c r="M1796" s="89">
        <v>45806.431597222225</v>
      </c>
      <c r="N1796" s="89">
        <v>45810</v>
      </c>
      <c r="O1796" s="89">
        <v>45810</v>
      </c>
      <c r="P1796" s="92" t="str">
        <f ca="1">IF(Proc[[#This Row],[DaysAgeing]]&gt;5,"yep","on track")</f>
        <v>on track</v>
      </c>
      <c r="Q1796" s="3">
        <f ca="1">IF(Proc[[#This Row],[DateClosed]]="",ABS(NETWORKDAYS(Proc[[#This Row],[DateOpened]],TODAY()))-1,ABS(NETWORKDAYS(Proc[[#This Row],[DateOpened]],Proc[[#This Row],[DateClosed]]))-1)</f>
        <v>2</v>
      </c>
      <c r="R1796" s="92" t="s">
        <v>478</v>
      </c>
      <c r="S1796" s="87"/>
    </row>
    <row r="1797" spans="1:19" hidden="1">
      <c r="A1797" s="91" t="s">
        <v>3601</v>
      </c>
      <c r="B1797" s="87" t="str">
        <f>IFERROR(VLOOKUP(Proc[[#This Row],[App]],Table2[],3,0),"open")</f>
        <v>ok</v>
      </c>
      <c r="C1797" s="91" t="s">
        <v>369</v>
      </c>
      <c r="D1797" t="s">
        <v>3607</v>
      </c>
      <c r="E1797" t="s">
        <v>3603</v>
      </c>
      <c r="F1797" s="105" t="s">
        <v>3603</v>
      </c>
      <c r="G1797" s="91" t="s">
        <v>400</v>
      </c>
      <c r="H1797" s="87" t="str">
        <f>IF(Proc[[#This Row],[type]]="LFF (MDG-F)",MID(Proc[[#This Row],[Obj]],13,10),"")</f>
        <v/>
      </c>
      <c r="J1797" s="87" t="b">
        <f>Proc[[#This Row],[Requested]]=Proc[[#This Row],[CurrentParent]]</f>
        <v>1</v>
      </c>
      <c r="K1797" s="87" t="str">
        <f>IF(Proc[[#This Row],[Author]]="Marcela Urrego",VLOOKUP(LEFT(Proc[[#This Row],[Requested]],1),Table3[#All],2,0),VLOOKUP(Proc[[#This Row],[Author]],Table4[],2,0))</f>
        <v>HC</v>
      </c>
      <c r="L1797" s="87"/>
      <c r="M1797" s="89">
        <v>45806.431597222225</v>
      </c>
      <c r="N1797" s="89">
        <v>45810</v>
      </c>
      <c r="O1797" s="89">
        <v>45810</v>
      </c>
      <c r="P1797" s="92" t="str">
        <f ca="1">IF(Proc[[#This Row],[DaysAgeing]]&gt;5,"yep","on track")</f>
        <v>on track</v>
      </c>
      <c r="Q1797" s="3">
        <f ca="1">IF(Proc[[#This Row],[DateClosed]]="",ABS(NETWORKDAYS(Proc[[#This Row],[DateOpened]],TODAY()))-1,ABS(NETWORKDAYS(Proc[[#This Row],[DateOpened]],Proc[[#This Row],[DateClosed]]))-1)</f>
        <v>2</v>
      </c>
      <c r="R1797" s="92" t="s">
        <v>478</v>
      </c>
      <c r="S1797" s="87"/>
    </row>
    <row r="1798" spans="1:19" hidden="1">
      <c r="A1798" s="91" t="s">
        <v>3601</v>
      </c>
      <c r="B1798" s="87" t="str">
        <f>IFERROR(VLOOKUP(Proc[[#This Row],[App]],Table2[],3,0),"open")</f>
        <v>ok</v>
      </c>
      <c r="C1798" s="91" t="s">
        <v>369</v>
      </c>
      <c r="D1798" t="s">
        <v>3608</v>
      </c>
      <c r="E1798" t="s">
        <v>3603</v>
      </c>
      <c r="F1798" s="105" t="s">
        <v>3603</v>
      </c>
      <c r="G1798" s="91" t="s">
        <v>400</v>
      </c>
      <c r="H1798" s="87" t="str">
        <f>IF(Proc[[#This Row],[type]]="LFF (MDG-F)",MID(Proc[[#This Row],[Obj]],13,10),"")</f>
        <v/>
      </c>
      <c r="J1798" s="87" t="b">
        <f>Proc[[#This Row],[Requested]]=Proc[[#This Row],[CurrentParent]]</f>
        <v>1</v>
      </c>
      <c r="K1798" s="87" t="str">
        <f>IF(Proc[[#This Row],[Author]]="Marcela Urrego",VLOOKUP(LEFT(Proc[[#This Row],[Requested]],1),Table3[#All],2,0),VLOOKUP(Proc[[#This Row],[Author]],Table4[],2,0))</f>
        <v>HC</v>
      </c>
      <c r="L1798" s="87"/>
      <c r="M1798" s="89">
        <v>45806.431597222225</v>
      </c>
      <c r="N1798" s="89">
        <v>45810</v>
      </c>
      <c r="O1798" s="89">
        <v>45810</v>
      </c>
      <c r="P1798" s="92" t="str">
        <f ca="1">IF(Proc[[#This Row],[DaysAgeing]]&gt;5,"yep","on track")</f>
        <v>on track</v>
      </c>
      <c r="Q1798" s="3">
        <f ca="1">IF(Proc[[#This Row],[DateClosed]]="",ABS(NETWORKDAYS(Proc[[#This Row],[DateOpened]],TODAY()))-1,ABS(NETWORKDAYS(Proc[[#This Row],[DateOpened]],Proc[[#This Row],[DateClosed]]))-1)</f>
        <v>2</v>
      </c>
      <c r="R1798" s="92" t="s">
        <v>478</v>
      </c>
      <c r="S1798" s="87"/>
    </row>
    <row r="1799" spans="1:19" hidden="1">
      <c r="A1799" t="s">
        <v>3609</v>
      </c>
      <c r="B1799" s="87" t="str">
        <f>IFERROR(VLOOKUP(Proc[[#This Row],[App]],Table2[],3,0),"open")</f>
        <v>ok</v>
      </c>
      <c r="C1799" s="91" t="s">
        <v>369</v>
      </c>
      <c r="D1799" t="s">
        <v>3610</v>
      </c>
      <c r="E1799" t="s">
        <v>3615</v>
      </c>
      <c r="F1799" s="105" t="s">
        <v>3615</v>
      </c>
      <c r="G1799" s="91" t="s">
        <v>400</v>
      </c>
      <c r="H1799" s="87" t="str">
        <f>IF(Proc[[#This Row],[type]]="LFF (MDG-F)",MID(Proc[[#This Row],[Obj]],13,10),"")</f>
        <v/>
      </c>
      <c r="J1799" s="87" t="b">
        <f>Proc[[#This Row],[Requested]]=Proc[[#This Row],[CurrentParent]]</f>
        <v>1</v>
      </c>
      <c r="K1799" s="87" t="str">
        <f>IF(Proc[[#This Row],[Author]]="Marcela Urrego",VLOOKUP(LEFT(Proc[[#This Row],[Requested]],1),Table3[#All],2,0),VLOOKUP(Proc[[#This Row],[Author]],Table4[],2,0))</f>
        <v>LS</v>
      </c>
      <c r="L1799" s="87"/>
      <c r="M1799" s="89">
        <v>45806.445231481484</v>
      </c>
      <c r="N1799" s="89">
        <v>45810</v>
      </c>
      <c r="O1799" s="89">
        <v>45810</v>
      </c>
      <c r="P1799" s="92" t="str">
        <f ca="1">IF(Proc[[#This Row],[DaysAgeing]]&gt;5,"yep","on track")</f>
        <v>on track</v>
      </c>
      <c r="Q1799" s="3">
        <f ca="1">IF(Proc[[#This Row],[DateClosed]]="",ABS(NETWORKDAYS(Proc[[#This Row],[DateOpened]],TODAY()))-1,ABS(NETWORKDAYS(Proc[[#This Row],[DateOpened]],Proc[[#This Row],[DateClosed]]))-1)</f>
        <v>2</v>
      </c>
      <c r="R1799" s="92" t="s">
        <v>972</v>
      </c>
      <c r="S1799" s="87"/>
    </row>
    <row r="1800" spans="1:19" hidden="1">
      <c r="A1800" s="91" t="s">
        <v>3609</v>
      </c>
      <c r="B1800" s="87" t="str">
        <f>IFERROR(VLOOKUP(Proc[[#This Row],[App]],Table2[],3,0),"open")</f>
        <v>ok</v>
      </c>
      <c r="C1800" s="91" t="s">
        <v>369</v>
      </c>
      <c r="D1800" t="s">
        <v>3611</v>
      </c>
      <c r="E1800" t="s">
        <v>3616</v>
      </c>
      <c r="F1800" s="105" t="s">
        <v>3616</v>
      </c>
      <c r="G1800" s="91" t="s">
        <v>400</v>
      </c>
      <c r="H1800" s="87" t="str">
        <f>IF(Proc[[#This Row],[type]]="LFF (MDG-F)",MID(Proc[[#This Row],[Obj]],13,10),"")</f>
        <v/>
      </c>
      <c r="J1800" s="87" t="b">
        <f>Proc[[#This Row],[Requested]]=Proc[[#This Row],[CurrentParent]]</f>
        <v>1</v>
      </c>
      <c r="K1800" s="87" t="str">
        <f>IF(Proc[[#This Row],[Author]]="Marcela Urrego",VLOOKUP(LEFT(Proc[[#This Row],[Requested]],1),Table3[#All],2,0),VLOOKUP(Proc[[#This Row],[Author]],Table4[],2,0))</f>
        <v>LS</v>
      </c>
      <c r="L1800" s="87"/>
      <c r="M1800" s="89">
        <v>45806.445231481484</v>
      </c>
      <c r="N1800" s="89">
        <v>45810</v>
      </c>
      <c r="O1800" s="89">
        <v>45810</v>
      </c>
      <c r="P1800" s="92" t="str">
        <f ca="1">IF(Proc[[#This Row],[DaysAgeing]]&gt;5,"yep","on track")</f>
        <v>on track</v>
      </c>
      <c r="Q1800" s="3">
        <f ca="1">IF(Proc[[#This Row],[DateClosed]]="",ABS(NETWORKDAYS(Proc[[#This Row],[DateOpened]],TODAY()))-1,ABS(NETWORKDAYS(Proc[[#This Row],[DateOpened]],Proc[[#This Row],[DateClosed]]))-1)</f>
        <v>2</v>
      </c>
      <c r="R1800" s="92" t="s">
        <v>972</v>
      </c>
      <c r="S1800" s="87"/>
    </row>
    <row r="1801" spans="1:19" hidden="1">
      <c r="A1801" s="91" t="s">
        <v>3609</v>
      </c>
      <c r="B1801" s="87" t="str">
        <f>IFERROR(VLOOKUP(Proc[[#This Row],[App]],Table2[],3,0),"open")</f>
        <v>ok</v>
      </c>
      <c r="C1801" s="91" t="s">
        <v>369</v>
      </c>
      <c r="D1801" t="s">
        <v>3612</v>
      </c>
      <c r="E1801" t="s">
        <v>3617</v>
      </c>
      <c r="F1801" s="105" t="s">
        <v>3617</v>
      </c>
      <c r="G1801" s="91" t="s">
        <v>400</v>
      </c>
      <c r="H1801" s="87" t="str">
        <f>IF(Proc[[#This Row],[type]]="LFF (MDG-F)",MID(Proc[[#This Row],[Obj]],13,10),"")</f>
        <v/>
      </c>
      <c r="J1801" s="87" t="b">
        <f>Proc[[#This Row],[Requested]]=Proc[[#This Row],[CurrentParent]]</f>
        <v>1</v>
      </c>
      <c r="K1801" s="87" t="str">
        <f>IF(Proc[[#This Row],[Author]]="Marcela Urrego",VLOOKUP(LEFT(Proc[[#This Row],[Requested]],1),Table3[#All],2,0),VLOOKUP(Proc[[#This Row],[Author]],Table4[],2,0))</f>
        <v>LS</v>
      </c>
      <c r="L1801" s="87"/>
      <c r="M1801" s="89">
        <v>45806.445231481484</v>
      </c>
      <c r="N1801" s="89">
        <v>45810</v>
      </c>
      <c r="O1801" s="89">
        <v>45810</v>
      </c>
      <c r="P1801" s="92" t="str">
        <f ca="1">IF(Proc[[#This Row],[DaysAgeing]]&gt;5,"yep","on track")</f>
        <v>on track</v>
      </c>
      <c r="Q1801" s="3">
        <f ca="1">IF(Proc[[#This Row],[DateClosed]]="",ABS(NETWORKDAYS(Proc[[#This Row],[DateOpened]],TODAY()))-1,ABS(NETWORKDAYS(Proc[[#This Row],[DateOpened]],Proc[[#This Row],[DateClosed]]))-1)</f>
        <v>2</v>
      </c>
      <c r="R1801" s="92" t="s">
        <v>972</v>
      </c>
      <c r="S1801" s="87"/>
    </row>
    <row r="1802" spans="1:19" hidden="1">
      <c r="A1802" s="91" t="s">
        <v>3609</v>
      </c>
      <c r="B1802" s="87" t="str">
        <f>IFERROR(VLOOKUP(Proc[[#This Row],[App]],Table2[],3,0),"open")</f>
        <v>ok</v>
      </c>
      <c r="C1802" s="91" t="s">
        <v>369</v>
      </c>
      <c r="D1802" t="s">
        <v>3613</v>
      </c>
      <c r="E1802" t="s">
        <v>2206</v>
      </c>
      <c r="F1802" s="105" t="s">
        <v>2206</v>
      </c>
      <c r="G1802" s="91" t="s">
        <v>400</v>
      </c>
      <c r="H1802" s="87" t="str">
        <f>IF(Proc[[#This Row],[type]]="LFF (MDG-F)",MID(Proc[[#This Row],[Obj]],13,10),"")</f>
        <v/>
      </c>
      <c r="J1802" s="87" t="b">
        <f>Proc[[#This Row],[Requested]]=Proc[[#This Row],[CurrentParent]]</f>
        <v>1</v>
      </c>
      <c r="K1802" s="87" t="str">
        <f>IF(Proc[[#This Row],[Author]]="Marcela Urrego",VLOOKUP(LEFT(Proc[[#This Row],[Requested]],1),Table3[#All],2,0),VLOOKUP(Proc[[#This Row],[Author]],Table4[],2,0))</f>
        <v>LS</v>
      </c>
      <c r="L1802" s="87"/>
      <c r="M1802" s="89">
        <v>45806.445231481484</v>
      </c>
      <c r="N1802" s="89">
        <v>45810</v>
      </c>
      <c r="O1802" s="89">
        <v>45810</v>
      </c>
      <c r="P1802" s="92" t="str">
        <f ca="1">IF(Proc[[#This Row],[DaysAgeing]]&gt;5,"yep","on track")</f>
        <v>on track</v>
      </c>
      <c r="Q1802" s="3">
        <f ca="1">IF(Proc[[#This Row],[DateClosed]]="",ABS(NETWORKDAYS(Proc[[#This Row],[DateOpened]],TODAY()))-1,ABS(NETWORKDAYS(Proc[[#This Row],[DateOpened]],Proc[[#This Row],[DateClosed]]))-1)</f>
        <v>2</v>
      </c>
      <c r="R1802" s="92" t="s">
        <v>972</v>
      </c>
      <c r="S1802" s="87"/>
    </row>
    <row r="1803" spans="1:19" hidden="1">
      <c r="A1803" s="91" t="s">
        <v>3609</v>
      </c>
      <c r="B1803" s="87" t="str">
        <f>IFERROR(VLOOKUP(Proc[[#This Row],[App]],Table2[],3,0),"open")</f>
        <v>ok</v>
      </c>
      <c r="C1803" s="91" t="s">
        <v>369</v>
      </c>
      <c r="D1803" t="s">
        <v>3614</v>
      </c>
      <c r="E1803" t="s">
        <v>1716</v>
      </c>
      <c r="F1803" s="105" t="s">
        <v>1716</v>
      </c>
      <c r="G1803" s="91" t="s">
        <v>400</v>
      </c>
      <c r="H1803" s="87" t="str">
        <f>IF(Proc[[#This Row],[type]]="LFF (MDG-F)",MID(Proc[[#This Row],[Obj]],13,10),"")</f>
        <v/>
      </c>
      <c r="J1803" s="87" t="b">
        <f>Proc[[#This Row],[Requested]]=Proc[[#This Row],[CurrentParent]]</f>
        <v>1</v>
      </c>
      <c r="K1803" s="87" t="str">
        <f>IF(Proc[[#This Row],[Author]]="Marcela Urrego",VLOOKUP(LEFT(Proc[[#This Row],[Requested]],1),Table3[#All],2,0),VLOOKUP(Proc[[#This Row],[Author]],Table4[],2,0))</f>
        <v>LS</v>
      </c>
      <c r="L1803" s="87"/>
      <c r="M1803" s="89">
        <v>45806.445231481484</v>
      </c>
      <c r="N1803" s="89">
        <v>45810</v>
      </c>
      <c r="O1803" s="89">
        <v>45810</v>
      </c>
      <c r="P1803" s="92" t="str">
        <f ca="1">IF(Proc[[#This Row],[DaysAgeing]]&gt;5,"yep","on track")</f>
        <v>on track</v>
      </c>
      <c r="Q1803" s="3">
        <f ca="1">IF(Proc[[#This Row],[DateClosed]]="",ABS(NETWORKDAYS(Proc[[#This Row],[DateOpened]],TODAY()))-1,ABS(NETWORKDAYS(Proc[[#This Row],[DateOpened]],Proc[[#This Row],[DateClosed]]))-1)</f>
        <v>2</v>
      </c>
      <c r="R1803" s="92" t="s">
        <v>972</v>
      </c>
      <c r="S1803" s="87"/>
    </row>
    <row r="1804" spans="1:19" hidden="1">
      <c r="A1804" t="s">
        <v>3620</v>
      </c>
      <c r="B1804" s="87" t="str">
        <f>IFERROR(VLOOKUP(Proc[[#This Row],[App]],Table2[],3,0),"open")</f>
        <v>ok</v>
      </c>
      <c r="C1804" s="91" t="s">
        <v>369</v>
      </c>
      <c r="D1804" t="s">
        <v>3618</v>
      </c>
      <c r="E1804" t="s">
        <v>3619</v>
      </c>
      <c r="F1804" s="105" t="s">
        <v>3619</v>
      </c>
      <c r="G1804" s="91" t="s">
        <v>406</v>
      </c>
      <c r="H1804" s="87" t="str">
        <f>IF(Proc[[#This Row],[type]]="LFF (MDG-F)",MID(Proc[[#This Row],[Obj]],13,10),"")</f>
        <v>DE10B45000</v>
      </c>
      <c r="I1804" t="s">
        <v>3624</v>
      </c>
      <c r="J1804" s="87" t="b">
        <f>Proc[[#This Row],[Requested]]=Proc[[#This Row],[CurrentParent]]</f>
        <v>1</v>
      </c>
      <c r="K1804" s="87" t="str">
        <f>IF(Proc[[#This Row],[Author]]="Marcela Urrego",VLOOKUP(LEFT(Proc[[#This Row],[Requested]],1),Table3[#All],2,0),VLOOKUP(Proc[[#This Row],[Author]],Table4[],2,0))</f>
        <v>LS</v>
      </c>
      <c r="L1804" s="87"/>
      <c r="M1804" s="89">
        <v>45806.678356481483</v>
      </c>
      <c r="N1804" s="89">
        <v>45810</v>
      </c>
      <c r="O1804" s="89">
        <v>45810</v>
      </c>
      <c r="P1804" s="92" t="str">
        <f ca="1">IF(Proc[[#This Row],[DaysAgeing]]&gt;5,"yep","on track")</f>
        <v>on track</v>
      </c>
      <c r="Q1804" s="3">
        <f ca="1">IF(Proc[[#This Row],[DateClosed]]="",ABS(NETWORKDAYS(Proc[[#This Row],[DateOpened]],TODAY()))-1,ABS(NETWORKDAYS(Proc[[#This Row],[DateOpened]],Proc[[#This Row],[DateClosed]]))-1)</f>
        <v>2</v>
      </c>
      <c r="R1804" s="92" t="s">
        <v>489</v>
      </c>
      <c r="S1804" s="87"/>
    </row>
    <row r="1805" spans="1:19" hidden="1">
      <c r="A1805" t="s">
        <v>3621</v>
      </c>
      <c r="B1805" s="87" t="str">
        <f>IFERROR(VLOOKUP(Proc[[#This Row],[App]],Table2[],3,0),"open")</f>
        <v>ok</v>
      </c>
      <c r="C1805" s="91" t="s">
        <v>369</v>
      </c>
      <c r="D1805" t="s">
        <v>3622</v>
      </c>
      <c r="E1805" t="s">
        <v>3623</v>
      </c>
      <c r="F1805" s="105" t="s">
        <v>3623</v>
      </c>
      <c r="G1805" s="91" t="s">
        <v>400</v>
      </c>
      <c r="H1805" s="87" t="str">
        <f>IF(Proc[[#This Row],[type]]="LFF (MDG-F)",MID(Proc[[#This Row],[Obj]],13,10),"")</f>
        <v/>
      </c>
      <c r="J1805" s="87" t="b">
        <f>Proc[[#This Row],[Requested]]=Proc[[#This Row],[CurrentParent]]</f>
        <v>1</v>
      </c>
      <c r="K1805" s="87" t="str">
        <f>IF(Proc[[#This Row],[Author]]="Marcela Urrego",VLOOKUP(LEFT(Proc[[#This Row],[Requested]],1),Table3[#All],2,0),VLOOKUP(Proc[[#This Row],[Author]],Table4[],2,0))</f>
        <v>LS</v>
      </c>
      <c r="L1805" s="87"/>
      <c r="M1805" s="89">
        <v>45805.495625000003</v>
      </c>
      <c r="N1805" s="89">
        <v>45810</v>
      </c>
      <c r="O1805" s="89">
        <v>45810</v>
      </c>
      <c r="P1805" s="92" t="str">
        <f ca="1">IF(Proc[[#This Row],[DaysAgeing]]&gt;5,"yep","on track")</f>
        <v>on track</v>
      </c>
      <c r="Q1805" s="3">
        <f ca="1">IF(Proc[[#This Row],[DateClosed]]="",ABS(NETWORKDAYS(Proc[[#This Row],[DateOpened]],TODAY()))-1,ABS(NETWORKDAYS(Proc[[#This Row],[DateOpened]],Proc[[#This Row],[DateClosed]]))-1)</f>
        <v>3</v>
      </c>
      <c r="R1805" s="92" t="s">
        <v>1262</v>
      </c>
      <c r="S1805" s="87"/>
    </row>
    <row r="1806" spans="1:19" hidden="1">
      <c r="A1806" t="s">
        <v>3625</v>
      </c>
      <c r="B1806" s="87" t="str">
        <f>IFERROR(VLOOKUP(Proc[[#This Row],[App]],Table2[],3,0),"open")</f>
        <v>ok</v>
      </c>
      <c r="C1806" t="s">
        <v>369</v>
      </c>
      <c r="D1806" t="s">
        <v>3627</v>
      </c>
      <c r="E1806" t="s">
        <v>3626</v>
      </c>
      <c r="F1806" s="105" t="s">
        <v>3626</v>
      </c>
      <c r="G1806" s="91" t="s">
        <v>400</v>
      </c>
      <c r="H1806" s="87" t="str">
        <f>IF(Proc[[#This Row],[type]]="LFF (MDG-F)",MID(Proc[[#This Row],[Obj]],13,10),"")</f>
        <v/>
      </c>
      <c r="J1806" s="87" t="b">
        <f>Proc[[#This Row],[Requested]]=Proc[[#This Row],[CurrentParent]]</f>
        <v>1</v>
      </c>
      <c r="K1806" s="87" t="str">
        <f>IF(Proc[[#This Row],[Author]]="Marcela Urrego",VLOOKUP(LEFT(Proc[[#This Row],[Requested]],1),Table3[#All],2,0),VLOOKUP(Proc[[#This Row],[Author]],Table4[],2,0))</f>
        <v>HC</v>
      </c>
      <c r="L1806" s="87"/>
      <c r="M1806" s="92">
        <v>45806.678356481483</v>
      </c>
      <c r="N1806" s="93">
        <v>45810</v>
      </c>
      <c r="O1806" s="93">
        <v>45810</v>
      </c>
      <c r="P1806" s="92" t="str">
        <f ca="1">IF(Proc[[#This Row],[DaysAgeing]]&gt;5,"yep","on track")</f>
        <v>on track</v>
      </c>
      <c r="Q1806" s="3">
        <f ca="1">IF(Proc[[#This Row],[DateClosed]]="",ABS(NETWORKDAYS(Proc[[#This Row],[DateOpened]],TODAY()))-1,ABS(NETWORKDAYS(Proc[[#This Row],[DateOpened]],Proc[[#This Row],[DateClosed]]))-1)</f>
        <v>2</v>
      </c>
      <c r="R1806" s="92" t="s">
        <v>478</v>
      </c>
      <c r="S1806" s="87"/>
    </row>
    <row r="1807" spans="1:19" hidden="1">
      <c r="A1807" t="s">
        <v>3628</v>
      </c>
      <c r="B1807" s="87" t="str">
        <f>IFERROR(VLOOKUP(Proc[[#This Row],[App]],Table2[],3,0),"open")</f>
        <v>ok</v>
      </c>
      <c r="C1807" s="95" t="s">
        <v>369</v>
      </c>
      <c r="D1807" s="94" t="s">
        <v>3631</v>
      </c>
      <c r="E1807" t="s">
        <v>2105</v>
      </c>
      <c r="F1807" s="105" t="s">
        <v>2105</v>
      </c>
      <c r="G1807" s="94" t="s">
        <v>400</v>
      </c>
      <c r="H1807" s="87" t="str">
        <f>IF(Proc[[#This Row],[type]]="LFF (MDG-F)",MID(Proc[[#This Row],[Obj]],13,10),"")</f>
        <v/>
      </c>
      <c r="J1807" s="87" t="b">
        <f>Proc[[#This Row],[Requested]]=Proc[[#This Row],[CurrentParent]]</f>
        <v>1</v>
      </c>
      <c r="K1807" s="87" t="str">
        <f>IF(Proc[[#This Row],[Author]]="Marcela Urrego",VLOOKUP(LEFT(Proc[[#This Row],[Requested]],1),Table3[#All],2,0),VLOOKUP(Proc[[#This Row],[Author]],Table4[],2,0))</f>
        <v>HC</v>
      </c>
      <c r="L1807" s="87"/>
      <c r="M1807" s="92">
        <v>45807.678356481483</v>
      </c>
      <c r="N1807" s="93">
        <v>45810</v>
      </c>
      <c r="O1807" s="93">
        <v>45810</v>
      </c>
      <c r="P1807" s="92" t="str">
        <f ca="1">IF(Proc[[#This Row],[DaysAgeing]]&gt;5,"yep","on track")</f>
        <v>on track</v>
      </c>
      <c r="Q1807" s="3">
        <f ca="1">IF(Proc[[#This Row],[DateClosed]]="",ABS(NETWORKDAYS(Proc[[#This Row],[DateOpened]],TODAY()))-1,ABS(NETWORKDAYS(Proc[[#This Row],[DateOpened]],Proc[[#This Row],[DateClosed]]))-1)</f>
        <v>1</v>
      </c>
      <c r="R1807" s="92" t="s">
        <v>738</v>
      </c>
      <c r="S1807" s="87"/>
    </row>
    <row r="1808" spans="1:19" hidden="1">
      <c r="A1808" s="94" t="s">
        <v>3628</v>
      </c>
      <c r="B1808" s="87" t="str">
        <f>IFERROR(VLOOKUP(Proc[[#This Row],[App]],Table2[],3,0),"open")</f>
        <v>ok</v>
      </c>
      <c r="C1808" s="95" t="s">
        <v>369</v>
      </c>
      <c r="D1808" s="94" t="s">
        <v>3632</v>
      </c>
      <c r="E1808" t="s">
        <v>3629</v>
      </c>
      <c r="F1808" s="105" t="s">
        <v>3629</v>
      </c>
      <c r="G1808" s="94" t="s">
        <v>400</v>
      </c>
      <c r="H1808" s="87" t="str">
        <f>IF(Proc[[#This Row],[type]]="LFF (MDG-F)",MID(Proc[[#This Row],[Obj]],13,10),"")</f>
        <v/>
      </c>
      <c r="J1808" s="87" t="b">
        <f>Proc[[#This Row],[Requested]]=Proc[[#This Row],[CurrentParent]]</f>
        <v>1</v>
      </c>
      <c r="K1808" s="87" t="str">
        <f>IF(Proc[[#This Row],[Author]]="Marcela Urrego",VLOOKUP(LEFT(Proc[[#This Row],[Requested]],1),Table3[#All],2,0),VLOOKUP(Proc[[#This Row],[Author]],Table4[],2,0))</f>
        <v>HC</v>
      </c>
      <c r="L1808" s="87"/>
      <c r="M1808" s="92">
        <v>45807.678356481483</v>
      </c>
      <c r="N1808" s="93">
        <v>45810</v>
      </c>
      <c r="O1808" s="93">
        <v>45810</v>
      </c>
      <c r="P1808" s="92" t="str">
        <f ca="1">IF(Proc[[#This Row],[DaysAgeing]]&gt;5,"yep","on track")</f>
        <v>on track</v>
      </c>
      <c r="Q1808" s="3">
        <f ca="1">IF(Proc[[#This Row],[DateClosed]]="",ABS(NETWORKDAYS(Proc[[#This Row],[DateOpened]],TODAY()))-1,ABS(NETWORKDAYS(Proc[[#This Row],[DateOpened]],Proc[[#This Row],[DateClosed]]))-1)</f>
        <v>1</v>
      </c>
      <c r="R1808" s="92" t="s">
        <v>738</v>
      </c>
      <c r="S1808" s="87"/>
    </row>
    <row r="1809" spans="1:19" hidden="1">
      <c r="A1809" s="94" t="s">
        <v>3628</v>
      </c>
      <c r="B1809" s="87" t="str">
        <f>IFERROR(VLOOKUP(Proc[[#This Row],[App]],Table2[],3,0),"open")</f>
        <v>ok</v>
      </c>
      <c r="C1809" s="95" t="s">
        <v>369</v>
      </c>
      <c r="D1809" s="94" t="s">
        <v>3633</v>
      </c>
      <c r="E1809" t="s">
        <v>3629</v>
      </c>
      <c r="F1809" s="105" t="s">
        <v>3629</v>
      </c>
      <c r="G1809" s="94" t="s">
        <v>400</v>
      </c>
      <c r="H1809" s="87" t="str">
        <f>IF(Proc[[#This Row],[type]]="LFF (MDG-F)",MID(Proc[[#This Row],[Obj]],13,10),"")</f>
        <v/>
      </c>
      <c r="J1809" s="87" t="b">
        <f>Proc[[#This Row],[Requested]]=Proc[[#This Row],[CurrentParent]]</f>
        <v>1</v>
      </c>
      <c r="K1809" s="87" t="str">
        <f>IF(Proc[[#This Row],[Author]]="Marcela Urrego",VLOOKUP(LEFT(Proc[[#This Row],[Requested]],1),Table3[#All],2,0),VLOOKUP(Proc[[#This Row],[Author]],Table4[],2,0))</f>
        <v>HC</v>
      </c>
      <c r="L1809" s="87"/>
      <c r="M1809" s="92">
        <v>45807.678356481483</v>
      </c>
      <c r="N1809" s="93">
        <v>45810</v>
      </c>
      <c r="O1809" s="93">
        <v>45810</v>
      </c>
      <c r="P1809" s="92" t="str">
        <f ca="1">IF(Proc[[#This Row],[DaysAgeing]]&gt;5,"yep","on track")</f>
        <v>on track</v>
      </c>
      <c r="Q1809" s="3">
        <f ca="1">IF(Proc[[#This Row],[DateClosed]]="",ABS(NETWORKDAYS(Proc[[#This Row],[DateOpened]],TODAY()))-1,ABS(NETWORKDAYS(Proc[[#This Row],[DateOpened]],Proc[[#This Row],[DateClosed]]))-1)</f>
        <v>1</v>
      </c>
      <c r="R1809" s="92" t="s">
        <v>738</v>
      </c>
      <c r="S1809" s="87"/>
    </row>
    <row r="1810" spans="1:19" hidden="1">
      <c r="A1810" s="94" t="s">
        <v>3628</v>
      </c>
      <c r="B1810" s="87" t="str">
        <f>IFERROR(VLOOKUP(Proc[[#This Row],[App]],Table2[],3,0),"open")</f>
        <v>ok</v>
      </c>
      <c r="C1810" s="95" t="s">
        <v>369</v>
      </c>
      <c r="D1810" s="94" t="s">
        <v>3634</v>
      </c>
      <c r="E1810" s="94" t="s">
        <v>3629</v>
      </c>
      <c r="F1810" s="105" t="s">
        <v>3629</v>
      </c>
      <c r="G1810" s="94" t="s">
        <v>400</v>
      </c>
      <c r="H1810" s="87" t="str">
        <f>IF(Proc[[#This Row],[type]]="LFF (MDG-F)",MID(Proc[[#This Row],[Obj]],13,10),"")</f>
        <v/>
      </c>
      <c r="J1810" s="87" t="b">
        <f>Proc[[#This Row],[Requested]]=Proc[[#This Row],[CurrentParent]]</f>
        <v>1</v>
      </c>
      <c r="K1810" s="87" t="str">
        <f>IF(Proc[[#This Row],[Author]]="Marcela Urrego",VLOOKUP(LEFT(Proc[[#This Row],[Requested]],1),Table3[#All],2,0),VLOOKUP(Proc[[#This Row],[Author]],Table4[],2,0))</f>
        <v>HC</v>
      </c>
      <c r="L1810" s="87"/>
      <c r="M1810" s="92">
        <v>45807.678356481483</v>
      </c>
      <c r="N1810" s="93">
        <v>45810</v>
      </c>
      <c r="O1810" s="93">
        <v>45810</v>
      </c>
      <c r="P1810" s="92" t="str">
        <f ca="1">IF(Proc[[#This Row],[DaysAgeing]]&gt;5,"yep","on track")</f>
        <v>on track</v>
      </c>
      <c r="Q1810" s="3">
        <f ca="1">IF(Proc[[#This Row],[DateClosed]]="",ABS(NETWORKDAYS(Proc[[#This Row],[DateOpened]],TODAY()))-1,ABS(NETWORKDAYS(Proc[[#This Row],[DateOpened]],Proc[[#This Row],[DateClosed]]))-1)</f>
        <v>1</v>
      </c>
      <c r="R1810" s="92" t="s">
        <v>738</v>
      </c>
      <c r="S1810" s="87"/>
    </row>
    <row r="1811" spans="1:19" hidden="1">
      <c r="A1811" s="94" t="s">
        <v>3628</v>
      </c>
      <c r="B1811" s="87" t="str">
        <f>IFERROR(VLOOKUP(Proc[[#This Row],[App]],Table2[],3,0),"open")</f>
        <v>ok</v>
      </c>
      <c r="C1811" s="95" t="s">
        <v>369</v>
      </c>
      <c r="D1811" s="94" t="s">
        <v>3635</v>
      </c>
      <c r="E1811" t="s">
        <v>2159</v>
      </c>
      <c r="F1811" s="105" t="s">
        <v>2159</v>
      </c>
      <c r="G1811" s="94" t="s">
        <v>400</v>
      </c>
      <c r="H1811" s="87" t="str">
        <f>IF(Proc[[#This Row],[type]]="LFF (MDG-F)",MID(Proc[[#This Row],[Obj]],13,10),"")</f>
        <v/>
      </c>
      <c r="J1811" s="87" t="b">
        <f>Proc[[#This Row],[Requested]]=Proc[[#This Row],[CurrentParent]]</f>
        <v>1</v>
      </c>
      <c r="K1811" s="87" t="str">
        <f>IF(Proc[[#This Row],[Author]]="Marcela Urrego",VLOOKUP(LEFT(Proc[[#This Row],[Requested]],1),Table3[#All],2,0),VLOOKUP(Proc[[#This Row],[Author]],Table4[],2,0))</f>
        <v>HC</v>
      </c>
      <c r="L1811" s="87"/>
      <c r="M1811" s="92">
        <v>45807.678356481483</v>
      </c>
      <c r="N1811" s="93">
        <v>45810</v>
      </c>
      <c r="O1811" s="93">
        <v>45810</v>
      </c>
      <c r="P1811" s="92" t="str">
        <f ca="1">IF(Proc[[#This Row],[DaysAgeing]]&gt;5,"yep","on track")</f>
        <v>on track</v>
      </c>
      <c r="Q1811" s="3">
        <f ca="1">IF(Proc[[#This Row],[DateClosed]]="",ABS(NETWORKDAYS(Proc[[#This Row],[DateOpened]],TODAY()))-1,ABS(NETWORKDAYS(Proc[[#This Row],[DateOpened]],Proc[[#This Row],[DateClosed]]))-1)</f>
        <v>1</v>
      </c>
      <c r="R1811" s="92" t="s">
        <v>738</v>
      </c>
      <c r="S1811" s="87"/>
    </row>
    <row r="1812" spans="1:19" hidden="1">
      <c r="A1812" s="94" t="s">
        <v>3628</v>
      </c>
      <c r="B1812" s="87" t="str">
        <f>IFERROR(VLOOKUP(Proc[[#This Row],[App]],Table2[],3,0),"open")</f>
        <v>ok</v>
      </c>
      <c r="C1812" s="95" t="s">
        <v>369</v>
      </c>
      <c r="D1812" s="94" t="s">
        <v>3636</v>
      </c>
      <c r="E1812" t="s">
        <v>3630</v>
      </c>
      <c r="F1812" s="105" t="s">
        <v>3630</v>
      </c>
      <c r="G1812" s="94" t="s">
        <v>400</v>
      </c>
      <c r="H1812" s="87" t="str">
        <f>IF(Proc[[#This Row],[type]]="LFF (MDG-F)",MID(Proc[[#This Row],[Obj]],13,10),"")</f>
        <v/>
      </c>
      <c r="J1812" s="87" t="b">
        <f>Proc[[#This Row],[Requested]]=Proc[[#This Row],[CurrentParent]]</f>
        <v>1</v>
      </c>
      <c r="K1812" s="87" t="str">
        <f>IF(Proc[[#This Row],[Author]]="Marcela Urrego",VLOOKUP(LEFT(Proc[[#This Row],[Requested]],1),Table3[#All],2,0),VLOOKUP(Proc[[#This Row],[Author]],Table4[],2,0))</f>
        <v>HC</v>
      </c>
      <c r="L1812" s="87"/>
      <c r="M1812" s="92">
        <v>45807.678356481483</v>
      </c>
      <c r="N1812" s="93">
        <v>45810</v>
      </c>
      <c r="O1812" s="93">
        <v>45810</v>
      </c>
      <c r="P1812" s="92" t="str">
        <f ca="1">IF(Proc[[#This Row],[DaysAgeing]]&gt;5,"yep","on track")</f>
        <v>on track</v>
      </c>
      <c r="Q1812" s="3">
        <f ca="1">IF(Proc[[#This Row],[DateClosed]]="",ABS(NETWORKDAYS(Proc[[#This Row],[DateOpened]],TODAY()))-1,ABS(NETWORKDAYS(Proc[[#This Row],[DateOpened]],Proc[[#This Row],[DateClosed]]))-1)</f>
        <v>1</v>
      </c>
      <c r="R1812" s="92" t="s">
        <v>738</v>
      </c>
      <c r="S1812" s="87"/>
    </row>
    <row r="1813" spans="1:19" hidden="1">
      <c r="A1813" t="s">
        <v>3639</v>
      </c>
      <c r="B1813" s="96" t="str">
        <f>IFERROR(VLOOKUP(Proc[[#This Row],[App]],Table2[],3,0),"open")</f>
        <v>ok</v>
      </c>
      <c r="C1813" s="95" t="s">
        <v>369</v>
      </c>
      <c r="D1813" s="95" t="s">
        <v>3637</v>
      </c>
      <c r="E1813" t="s">
        <v>3638</v>
      </c>
      <c r="F1813" s="105" t="s">
        <v>3638</v>
      </c>
      <c r="G1813" s="95" t="s">
        <v>400</v>
      </c>
      <c r="H1813" s="96" t="str">
        <f>IF(Proc[[#This Row],[type]]="LFF (MDG-F)",MID(Proc[[#This Row],[Obj]],13,10),"")</f>
        <v/>
      </c>
      <c r="J1813" s="96" t="b">
        <f>Proc[[#This Row],[Requested]]=Proc[[#This Row],[CurrentParent]]</f>
        <v>1</v>
      </c>
      <c r="K1813" s="96" t="str">
        <f>IF(Proc[[#This Row],[Author]]="Marcela Urrego",VLOOKUP(LEFT(Proc[[#This Row],[Requested]],1),Table3[#All],2,0),VLOOKUP(Proc[[#This Row],[Author]],Table4[],2,0))</f>
        <v>HC</v>
      </c>
      <c r="L1813" s="96"/>
      <c r="M1813" s="92">
        <v>45807.678356481483</v>
      </c>
      <c r="N1813" s="93">
        <v>45810</v>
      </c>
      <c r="O1813" s="93">
        <v>45810</v>
      </c>
      <c r="P1813" s="92" t="str">
        <f ca="1">IF(Proc[[#This Row],[DaysAgeing]]&gt;5,"yep","on track")</f>
        <v>on track</v>
      </c>
      <c r="Q1813" s="3">
        <f ca="1">IF(Proc[[#This Row],[DateClosed]]="",ABS(NETWORKDAYS(Proc[[#This Row],[DateOpened]],TODAY()))-1,ABS(NETWORKDAYS(Proc[[#This Row],[DateOpened]],Proc[[#This Row],[DateClosed]]))-1)</f>
        <v>1</v>
      </c>
      <c r="R1813" s="92" t="s">
        <v>3640</v>
      </c>
      <c r="S1813" s="96"/>
    </row>
    <row r="1814" spans="1:19" hidden="1">
      <c r="A1814" t="s">
        <v>3641</v>
      </c>
      <c r="B1814" s="96" t="str">
        <f>IFERROR(VLOOKUP(Proc[[#This Row],[App]],Table2[],3,0),"open")</f>
        <v>ok</v>
      </c>
      <c r="C1814" s="95" t="s">
        <v>369</v>
      </c>
      <c r="D1814" t="s">
        <v>3642</v>
      </c>
      <c r="E1814" t="s">
        <v>3740</v>
      </c>
      <c r="F1814" s="105" t="s">
        <v>3740</v>
      </c>
      <c r="G1814" s="95" t="s">
        <v>400</v>
      </c>
      <c r="H1814" s="96" t="str">
        <f>IF(Proc[[#This Row],[type]]="LFF (MDG-F)",MID(Proc[[#This Row],[Obj]],13,10),"")</f>
        <v/>
      </c>
      <c r="J1814" s="96" t="b">
        <f>Proc[[#This Row],[Requested]]=Proc[[#This Row],[CurrentParent]]</f>
        <v>1</v>
      </c>
      <c r="K1814" s="96" t="str">
        <f>IF(Proc[[#This Row],[Author]]="Marcela Urrego",VLOOKUP(LEFT(Proc[[#This Row],[Requested]],1),Table3[#All],2,0),VLOOKUP(Proc[[#This Row],[Author]],Table4[],2,0))</f>
        <v>HC</v>
      </c>
      <c r="L1814" s="96"/>
      <c r="M1814" s="92">
        <v>45807.678356481483</v>
      </c>
      <c r="N1814" s="93">
        <v>45810</v>
      </c>
      <c r="O1814" s="93">
        <v>45810</v>
      </c>
      <c r="P1814" s="92" t="str">
        <f ca="1">IF(Proc[[#This Row],[DaysAgeing]]&gt;5,"yep","on track")</f>
        <v>on track</v>
      </c>
      <c r="Q1814" s="3">
        <f ca="1">IF(Proc[[#This Row],[DateClosed]]="",ABS(NETWORKDAYS(Proc[[#This Row],[DateOpened]],TODAY()))-1,ABS(NETWORKDAYS(Proc[[#This Row],[DateOpened]],Proc[[#This Row],[DateClosed]]))-1)</f>
        <v>1</v>
      </c>
      <c r="R1814" s="92" t="s">
        <v>1013</v>
      </c>
      <c r="S1814" s="96"/>
    </row>
    <row r="1815" spans="1:19" hidden="1">
      <c r="A1815" s="95" t="s">
        <v>3641</v>
      </c>
      <c r="B1815" s="96" t="str">
        <f>IFERROR(VLOOKUP(Proc[[#This Row],[App]],Table2[],3,0),"open")</f>
        <v>ok</v>
      </c>
      <c r="C1815" s="95" t="s">
        <v>369</v>
      </c>
      <c r="D1815" t="s">
        <v>3643</v>
      </c>
      <c r="E1815" t="s">
        <v>3007</v>
      </c>
      <c r="F1815" s="105" t="s">
        <v>3007</v>
      </c>
      <c r="G1815" s="95" t="s">
        <v>400</v>
      </c>
      <c r="H1815" s="96" t="str">
        <f>IF(Proc[[#This Row],[type]]="LFF (MDG-F)",MID(Proc[[#This Row],[Obj]],13,10),"")</f>
        <v/>
      </c>
      <c r="J1815" s="96" t="b">
        <f>Proc[[#This Row],[Requested]]=Proc[[#This Row],[CurrentParent]]</f>
        <v>1</v>
      </c>
      <c r="K1815" s="96" t="str">
        <f>IF(Proc[[#This Row],[Author]]="Marcela Urrego",VLOOKUP(LEFT(Proc[[#This Row],[Requested]],1),Table3[#All],2,0),VLOOKUP(Proc[[#This Row],[Author]],Table4[],2,0))</f>
        <v>HC</v>
      </c>
      <c r="L1815" s="96"/>
      <c r="M1815" s="92">
        <v>45807.678356481483</v>
      </c>
      <c r="N1815" s="93">
        <v>45810</v>
      </c>
      <c r="O1815" s="93">
        <v>45810</v>
      </c>
      <c r="P1815" s="92" t="str">
        <f ca="1">IF(Proc[[#This Row],[DaysAgeing]]&gt;5,"yep","on track")</f>
        <v>on track</v>
      </c>
      <c r="Q1815" s="3">
        <f ca="1">IF(Proc[[#This Row],[DateClosed]]="",ABS(NETWORKDAYS(Proc[[#This Row],[DateOpened]],TODAY()))-1,ABS(NETWORKDAYS(Proc[[#This Row],[DateOpened]],Proc[[#This Row],[DateClosed]]))-1)</f>
        <v>1</v>
      </c>
      <c r="R1815" s="92" t="s">
        <v>1013</v>
      </c>
      <c r="S1815" s="96"/>
    </row>
    <row r="1816" spans="1:19" hidden="1">
      <c r="A1816" s="95" t="s">
        <v>3641</v>
      </c>
      <c r="B1816" s="96" t="str">
        <f>IFERROR(VLOOKUP(Proc[[#This Row],[App]],Table2[],3,0),"open")</f>
        <v>ok</v>
      </c>
      <c r="C1816" s="95" t="s">
        <v>369</v>
      </c>
      <c r="D1816" t="s">
        <v>3644</v>
      </c>
      <c r="E1816" t="s">
        <v>3007</v>
      </c>
      <c r="F1816" s="105" t="s">
        <v>3007</v>
      </c>
      <c r="G1816" s="95" t="s">
        <v>400</v>
      </c>
      <c r="H1816" s="96" t="str">
        <f>IF(Proc[[#This Row],[type]]="LFF (MDG-F)",MID(Proc[[#This Row],[Obj]],13,10),"")</f>
        <v/>
      </c>
      <c r="J1816" s="96" t="b">
        <f>Proc[[#This Row],[Requested]]=Proc[[#This Row],[CurrentParent]]</f>
        <v>1</v>
      </c>
      <c r="K1816" s="96" t="str">
        <f>IF(Proc[[#This Row],[Author]]="Marcela Urrego",VLOOKUP(LEFT(Proc[[#This Row],[Requested]],1),Table3[#All],2,0),VLOOKUP(Proc[[#This Row],[Author]],Table4[],2,0))</f>
        <v>HC</v>
      </c>
      <c r="L1816" s="96"/>
      <c r="M1816" s="92">
        <v>45807.678356481483</v>
      </c>
      <c r="N1816" s="93">
        <v>45810</v>
      </c>
      <c r="O1816" s="93">
        <v>45810</v>
      </c>
      <c r="P1816" s="92" t="str">
        <f ca="1">IF(Proc[[#This Row],[DaysAgeing]]&gt;5,"yep","on track")</f>
        <v>on track</v>
      </c>
      <c r="Q1816" s="3">
        <f ca="1">IF(Proc[[#This Row],[DateClosed]]="",ABS(NETWORKDAYS(Proc[[#This Row],[DateOpened]],TODAY()))-1,ABS(NETWORKDAYS(Proc[[#This Row],[DateOpened]],Proc[[#This Row],[DateClosed]]))-1)</f>
        <v>1</v>
      </c>
      <c r="R1816" s="92" t="s">
        <v>1013</v>
      </c>
      <c r="S1816" s="96"/>
    </row>
    <row r="1817" spans="1:19" hidden="1">
      <c r="A1817" s="95" t="s">
        <v>3641</v>
      </c>
      <c r="B1817" s="96" t="str">
        <f>IFERROR(VLOOKUP(Proc[[#This Row],[App]],Table2[],3,0),"open")</f>
        <v>ok</v>
      </c>
      <c r="C1817" s="95" t="s">
        <v>369</v>
      </c>
      <c r="D1817" t="s">
        <v>3645</v>
      </c>
      <c r="E1817" t="s">
        <v>3007</v>
      </c>
      <c r="F1817" s="105" t="s">
        <v>3007</v>
      </c>
      <c r="G1817" s="95" t="s">
        <v>400</v>
      </c>
      <c r="H1817" s="96" t="str">
        <f>IF(Proc[[#This Row],[type]]="LFF (MDG-F)",MID(Proc[[#This Row],[Obj]],13,10),"")</f>
        <v/>
      </c>
      <c r="J1817" s="96" t="b">
        <f>Proc[[#This Row],[Requested]]=Proc[[#This Row],[CurrentParent]]</f>
        <v>1</v>
      </c>
      <c r="K1817" s="96" t="str">
        <f>IF(Proc[[#This Row],[Author]]="Marcela Urrego",VLOOKUP(LEFT(Proc[[#This Row],[Requested]],1),Table3[#All],2,0),VLOOKUP(Proc[[#This Row],[Author]],Table4[],2,0))</f>
        <v>HC</v>
      </c>
      <c r="L1817" s="96"/>
      <c r="M1817" s="92">
        <v>45807.678356481483</v>
      </c>
      <c r="N1817" s="93">
        <v>45810</v>
      </c>
      <c r="O1817" s="93">
        <v>45810</v>
      </c>
      <c r="P1817" s="92" t="str">
        <f ca="1">IF(Proc[[#This Row],[DaysAgeing]]&gt;5,"yep","on track")</f>
        <v>on track</v>
      </c>
      <c r="Q1817" s="3">
        <f ca="1">IF(Proc[[#This Row],[DateClosed]]="",ABS(NETWORKDAYS(Proc[[#This Row],[DateOpened]],TODAY()))-1,ABS(NETWORKDAYS(Proc[[#This Row],[DateOpened]],Proc[[#This Row],[DateClosed]]))-1)</f>
        <v>1</v>
      </c>
      <c r="R1817" s="92" t="s">
        <v>1013</v>
      </c>
      <c r="S1817" s="96"/>
    </row>
    <row r="1818" spans="1:19" hidden="1">
      <c r="A1818" s="95" t="s">
        <v>3641</v>
      </c>
      <c r="B1818" s="96" t="str">
        <f>IFERROR(VLOOKUP(Proc[[#This Row],[App]],Table2[],3,0),"open")</f>
        <v>ok</v>
      </c>
      <c r="C1818" s="95" t="s">
        <v>369</v>
      </c>
      <c r="D1818" t="s">
        <v>3646</v>
      </c>
      <c r="E1818" t="s">
        <v>3007</v>
      </c>
      <c r="F1818" s="105" t="s">
        <v>3007</v>
      </c>
      <c r="G1818" s="95" t="s">
        <v>400</v>
      </c>
      <c r="H1818" s="96" t="str">
        <f>IF(Proc[[#This Row],[type]]="LFF (MDG-F)",MID(Proc[[#This Row],[Obj]],13,10),"")</f>
        <v/>
      </c>
      <c r="J1818" s="96" t="b">
        <f>Proc[[#This Row],[Requested]]=Proc[[#This Row],[CurrentParent]]</f>
        <v>1</v>
      </c>
      <c r="K1818" s="96" t="str">
        <f>IF(Proc[[#This Row],[Author]]="Marcela Urrego",VLOOKUP(LEFT(Proc[[#This Row],[Requested]],1),Table3[#All],2,0),VLOOKUP(Proc[[#This Row],[Author]],Table4[],2,0))</f>
        <v>HC</v>
      </c>
      <c r="L1818" s="96"/>
      <c r="M1818" s="92">
        <v>45807.678356481483</v>
      </c>
      <c r="N1818" s="93">
        <v>45810</v>
      </c>
      <c r="O1818" s="93">
        <v>45810</v>
      </c>
      <c r="P1818" s="92" t="str">
        <f ca="1">IF(Proc[[#This Row],[DaysAgeing]]&gt;5,"yep","on track")</f>
        <v>on track</v>
      </c>
      <c r="Q1818" s="3">
        <f ca="1">IF(Proc[[#This Row],[DateClosed]]="",ABS(NETWORKDAYS(Proc[[#This Row],[DateOpened]],TODAY()))-1,ABS(NETWORKDAYS(Proc[[#This Row],[DateOpened]],Proc[[#This Row],[DateClosed]]))-1)</f>
        <v>1</v>
      </c>
      <c r="R1818" s="92" t="s">
        <v>1013</v>
      </c>
      <c r="S1818" s="96"/>
    </row>
    <row r="1819" spans="1:19" hidden="1">
      <c r="A1819" s="95" t="s">
        <v>3641</v>
      </c>
      <c r="B1819" s="96" t="str">
        <f>IFERROR(VLOOKUP(Proc[[#This Row],[App]],Table2[],3,0),"open")</f>
        <v>ok</v>
      </c>
      <c r="C1819" s="95" t="s">
        <v>369</v>
      </c>
      <c r="D1819" t="s">
        <v>3647</v>
      </c>
      <c r="E1819" t="s">
        <v>3007</v>
      </c>
      <c r="F1819" s="105" t="s">
        <v>3007</v>
      </c>
      <c r="G1819" s="95" t="s">
        <v>400</v>
      </c>
      <c r="H1819" s="96" t="str">
        <f>IF(Proc[[#This Row],[type]]="LFF (MDG-F)",MID(Proc[[#This Row],[Obj]],13,10),"")</f>
        <v/>
      </c>
      <c r="J1819" s="96" t="b">
        <f>Proc[[#This Row],[Requested]]=Proc[[#This Row],[CurrentParent]]</f>
        <v>1</v>
      </c>
      <c r="K1819" s="96" t="str">
        <f>IF(Proc[[#This Row],[Author]]="Marcela Urrego",VLOOKUP(LEFT(Proc[[#This Row],[Requested]],1),Table3[#All],2,0),VLOOKUP(Proc[[#This Row],[Author]],Table4[],2,0))</f>
        <v>HC</v>
      </c>
      <c r="L1819" s="96"/>
      <c r="M1819" s="92">
        <v>45807.678356481483</v>
      </c>
      <c r="N1819" s="93">
        <v>45810</v>
      </c>
      <c r="O1819" s="93">
        <v>45810</v>
      </c>
      <c r="P1819" s="92" t="str">
        <f ca="1">IF(Proc[[#This Row],[DaysAgeing]]&gt;5,"yep","on track")</f>
        <v>on track</v>
      </c>
      <c r="Q1819" s="3">
        <f ca="1">IF(Proc[[#This Row],[DateClosed]]="",ABS(NETWORKDAYS(Proc[[#This Row],[DateOpened]],TODAY()))-1,ABS(NETWORKDAYS(Proc[[#This Row],[DateOpened]],Proc[[#This Row],[DateClosed]]))-1)</f>
        <v>1</v>
      </c>
      <c r="R1819" s="92" t="s">
        <v>1013</v>
      </c>
      <c r="S1819" s="96"/>
    </row>
    <row r="1820" spans="1:19" hidden="1">
      <c r="A1820" s="95" t="s">
        <v>3641</v>
      </c>
      <c r="B1820" s="96" t="str">
        <f>IFERROR(VLOOKUP(Proc[[#This Row],[App]],Table2[],3,0),"open")</f>
        <v>ok</v>
      </c>
      <c r="C1820" s="95" t="s">
        <v>369</v>
      </c>
      <c r="D1820" t="s">
        <v>3648</v>
      </c>
      <c r="E1820" t="s">
        <v>3007</v>
      </c>
      <c r="F1820" s="105" t="s">
        <v>3007</v>
      </c>
      <c r="G1820" s="95" t="s">
        <v>400</v>
      </c>
      <c r="H1820" s="96" t="str">
        <f>IF(Proc[[#This Row],[type]]="LFF (MDG-F)",MID(Proc[[#This Row],[Obj]],13,10),"")</f>
        <v/>
      </c>
      <c r="J1820" s="96" t="b">
        <f>Proc[[#This Row],[Requested]]=Proc[[#This Row],[CurrentParent]]</f>
        <v>1</v>
      </c>
      <c r="K1820" s="96" t="str">
        <f>IF(Proc[[#This Row],[Author]]="Marcela Urrego",VLOOKUP(LEFT(Proc[[#This Row],[Requested]],1),Table3[#All],2,0),VLOOKUP(Proc[[#This Row],[Author]],Table4[],2,0))</f>
        <v>HC</v>
      </c>
      <c r="L1820" s="96"/>
      <c r="M1820" s="92">
        <v>45807.678356481483</v>
      </c>
      <c r="N1820" s="93">
        <v>45810</v>
      </c>
      <c r="O1820" s="93">
        <v>45810</v>
      </c>
      <c r="P1820" s="92" t="str">
        <f ca="1">IF(Proc[[#This Row],[DaysAgeing]]&gt;5,"yep","on track")</f>
        <v>on track</v>
      </c>
      <c r="Q1820" s="3">
        <f ca="1">IF(Proc[[#This Row],[DateClosed]]="",ABS(NETWORKDAYS(Proc[[#This Row],[DateOpened]],TODAY()))-1,ABS(NETWORKDAYS(Proc[[#This Row],[DateOpened]],Proc[[#This Row],[DateClosed]]))-1)</f>
        <v>1</v>
      </c>
      <c r="R1820" s="92" t="s">
        <v>1013</v>
      </c>
      <c r="S1820" s="96"/>
    </row>
    <row r="1821" spans="1:19" hidden="1">
      <c r="A1821" s="95" t="s">
        <v>3641</v>
      </c>
      <c r="B1821" s="96" t="str">
        <f>IFERROR(VLOOKUP(Proc[[#This Row],[App]],Table2[],3,0),"open")</f>
        <v>ok</v>
      </c>
      <c r="C1821" s="95" t="s">
        <v>369</v>
      </c>
      <c r="D1821" t="s">
        <v>3649</v>
      </c>
      <c r="E1821" t="s">
        <v>3007</v>
      </c>
      <c r="F1821" s="105" t="s">
        <v>3007</v>
      </c>
      <c r="G1821" s="95" t="s">
        <v>400</v>
      </c>
      <c r="H1821" s="96" t="str">
        <f>IF(Proc[[#This Row],[type]]="LFF (MDG-F)",MID(Proc[[#This Row],[Obj]],13,10),"")</f>
        <v/>
      </c>
      <c r="J1821" s="96" t="b">
        <f>Proc[[#This Row],[Requested]]=Proc[[#This Row],[CurrentParent]]</f>
        <v>1</v>
      </c>
      <c r="K1821" s="96" t="str">
        <f>IF(Proc[[#This Row],[Author]]="Marcela Urrego",VLOOKUP(LEFT(Proc[[#This Row],[Requested]],1),Table3[#All],2,0),VLOOKUP(Proc[[#This Row],[Author]],Table4[],2,0))</f>
        <v>HC</v>
      </c>
      <c r="L1821" s="96"/>
      <c r="M1821" s="92">
        <v>45807.678356481483</v>
      </c>
      <c r="N1821" s="93">
        <v>45810</v>
      </c>
      <c r="O1821" s="93">
        <v>45810</v>
      </c>
      <c r="P1821" s="92" t="str">
        <f ca="1">IF(Proc[[#This Row],[DaysAgeing]]&gt;5,"yep","on track")</f>
        <v>on track</v>
      </c>
      <c r="Q1821" s="3">
        <f ca="1">IF(Proc[[#This Row],[DateClosed]]="",ABS(NETWORKDAYS(Proc[[#This Row],[DateOpened]],TODAY()))-1,ABS(NETWORKDAYS(Proc[[#This Row],[DateOpened]],Proc[[#This Row],[DateClosed]]))-1)</f>
        <v>1</v>
      </c>
      <c r="R1821" s="92" t="s">
        <v>1013</v>
      </c>
      <c r="S1821" s="96"/>
    </row>
    <row r="1822" spans="1:19" hidden="1">
      <c r="A1822" s="95" t="s">
        <v>3641</v>
      </c>
      <c r="B1822" s="96" t="str">
        <f>IFERROR(VLOOKUP(Proc[[#This Row],[App]],Table2[],3,0),"open")</f>
        <v>ok</v>
      </c>
      <c r="C1822" s="95" t="s">
        <v>369</v>
      </c>
      <c r="D1822" t="s">
        <v>3650</v>
      </c>
      <c r="E1822" t="s">
        <v>3007</v>
      </c>
      <c r="F1822" s="105" t="s">
        <v>3007</v>
      </c>
      <c r="G1822" s="95" t="s">
        <v>400</v>
      </c>
      <c r="H1822" s="96" t="str">
        <f>IF(Proc[[#This Row],[type]]="LFF (MDG-F)",MID(Proc[[#This Row],[Obj]],13,10),"")</f>
        <v/>
      </c>
      <c r="J1822" s="96" t="b">
        <f>Proc[[#This Row],[Requested]]=Proc[[#This Row],[CurrentParent]]</f>
        <v>1</v>
      </c>
      <c r="K1822" s="96" t="str">
        <f>IF(Proc[[#This Row],[Author]]="Marcela Urrego",VLOOKUP(LEFT(Proc[[#This Row],[Requested]],1),Table3[#All],2,0),VLOOKUP(Proc[[#This Row],[Author]],Table4[],2,0))</f>
        <v>HC</v>
      </c>
      <c r="L1822" s="96"/>
      <c r="M1822" s="92">
        <v>45807.678356481483</v>
      </c>
      <c r="N1822" s="93">
        <v>45810</v>
      </c>
      <c r="O1822" s="93">
        <v>45810</v>
      </c>
      <c r="P1822" s="92" t="str">
        <f ca="1">IF(Proc[[#This Row],[DaysAgeing]]&gt;5,"yep","on track")</f>
        <v>on track</v>
      </c>
      <c r="Q1822" s="3">
        <f ca="1">IF(Proc[[#This Row],[DateClosed]]="",ABS(NETWORKDAYS(Proc[[#This Row],[DateOpened]],TODAY()))-1,ABS(NETWORKDAYS(Proc[[#This Row],[DateOpened]],Proc[[#This Row],[DateClosed]]))-1)</f>
        <v>1</v>
      </c>
      <c r="R1822" s="92" t="s">
        <v>1013</v>
      </c>
      <c r="S1822" s="96"/>
    </row>
    <row r="1823" spans="1:19" hidden="1">
      <c r="A1823" s="95" t="s">
        <v>3641</v>
      </c>
      <c r="B1823" s="96" t="str">
        <f>IFERROR(VLOOKUP(Proc[[#This Row],[App]],Table2[],3,0),"open")</f>
        <v>ok</v>
      </c>
      <c r="C1823" s="95" t="s">
        <v>369</v>
      </c>
      <c r="D1823" t="s">
        <v>3651</v>
      </c>
      <c r="E1823" t="s">
        <v>3007</v>
      </c>
      <c r="F1823" s="105" t="s">
        <v>3007</v>
      </c>
      <c r="G1823" s="95" t="s">
        <v>400</v>
      </c>
      <c r="H1823" s="96" t="str">
        <f>IF(Proc[[#This Row],[type]]="LFF (MDG-F)",MID(Proc[[#This Row],[Obj]],13,10),"")</f>
        <v/>
      </c>
      <c r="J1823" s="96" t="b">
        <f>Proc[[#This Row],[Requested]]=Proc[[#This Row],[CurrentParent]]</f>
        <v>1</v>
      </c>
      <c r="K1823" s="96" t="str">
        <f>IF(Proc[[#This Row],[Author]]="Marcela Urrego",VLOOKUP(LEFT(Proc[[#This Row],[Requested]],1),Table3[#All],2,0),VLOOKUP(Proc[[#This Row],[Author]],Table4[],2,0))</f>
        <v>HC</v>
      </c>
      <c r="L1823" s="96"/>
      <c r="M1823" s="92">
        <v>45807.678356481483</v>
      </c>
      <c r="N1823" s="93">
        <v>45810</v>
      </c>
      <c r="O1823" s="93">
        <v>45810</v>
      </c>
      <c r="P1823" s="92" t="str">
        <f ca="1">IF(Proc[[#This Row],[DaysAgeing]]&gt;5,"yep","on track")</f>
        <v>on track</v>
      </c>
      <c r="Q1823" s="3">
        <f ca="1">IF(Proc[[#This Row],[DateClosed]]="",ABS(NETWORKDAYS(Proc[[#This Row],[DateOpened]],TODAY()))-1,ABS(NETWORKDAYS(Proc[[#This Row],[DateOpened]],Proc[[#This Row],[DateClosed]]))-1)</f>
        <v>1</v>
      </c>
      <c r="R1823" s="92" t="s">
        <v>1013</v>
      </c>
      <c r="S1823" s="96"/>
    </row>
    <row r="1824" spans="1:19" hidden="1">
      <c r="A1824" s="95" t="s">
        <v>3641</v>
      </c>
      <c r="B1824" s="96" t="str">
        <f>IFERROR(VLOOKUP(Proc[[#This Row],[App]],Table2[],3,0),"open")</f>
        <v>ok</v>
      </c>
      <c r="C1824" s="95" t="s">
        <v>369</v>
      </c>
      <c r="D1824" t="s">
        <v>3652</v>
      </c>
      <c r="E1824" t="s">
        <v>3741</v>
      </c>
      <c r="F1824" s="105" t="s">
        <v>3741</v>
      </c>
      <c r="G1824" s="95" t="s">
        <v>400</v>
      </c>
      <c r="H1824" s="96" t="str">
        <f>IF(Proc[[#This Row],[type]]="LFF (MDG-F)",MID(Proc[[#This Row],[Obj]],13,10),"")</f>
        <v/>
      </c>
      <c r="J1824" s="96" t="b">
        <f>Proc[[#This Row],[Requested]]=Proc[[#This Row],[CurrentParent]]</f>
        <v>1</v>
      </c>
      <c r="K1824" s="96" t="str">
        <f>IF(Proc[[#This Row],[Author]]="Marcela Urrego",VLOOKUP(LEFT(Proc[[#This Row],[Requested]],1),Table3[#All],2,0),VLOOKUP(Proc[[#This Row],[Author]],Table4[],2,0))</f>
        <v>HC</v>
      </c>
      <c r="L1824" s="96"/>
      <c r="M1824" s="92">
        <v>45807.678356481483</v>
      </c>
      <c r="N1824" s="93">
        <v>45810</v>
      </c>
      <c r="O1824" s="93">
        <v>45810</v>
      </c>
      <c r="P1824" s="92" t="str">
        <f ca="1">IF(Proc[[#This Row],[DaysAgeing]]&gt;5,"yep","on track")</f>
        <v>on track</v>
      </c>
      <c r="Q1824" s="3">
        <f ca="1">IF(Proc[[#This Row],[DateClosed]]="",ABS(NETWORKDAYS(Proc[[#This Row],[DateOpened]],TODAY()))-1,ABS(NETWORKDAYS(Proc[[#This Row],[DateOpened]],Proc[[#This Row],[DateClosed]]))-1)</f>
        <v>1</v>
      </c>
      <c r="R1824" s="92" t="s">
        <v>1013</v>
      </c>
      <c r="S1824" s="96"/>
    </row>
    <row r="1825" spans="1:19" hidden="1">
      <c r="A1825" s="95" t="s">
        <v>3641</v>
      </c>
      <c r="B1825" s="96" t="str">
        <f>IFERROR(VLOOKUP(Proc[[#This Row],[App]],Table2[],3,0),"open")</f>
        <v>ok</v>
      </c>
      <c r="C1825" s="95" t="s">
        <v>369</v>
      </c>
      <c r="D1825" t="s">
        <v>3653</v>
      </c>
      <c r="E1825" t="s">
        <v>3004</v>
      </c>
      <c r="F1825" s="105" t="s">
        <v>3004</v>
      </c>
      <c r="G1825" s="95" t="s">
        <v>400</v>
      </c>
      <c r="H1825" s="96" t="str">
        <f>IF(Proc[[#This Row],[type]]="LFF (MDG-F)",MID(Proc[[#This Row],[Obj]],13,10),"")</f>
        <v/>
      </c>
      <c r="J1825" s="96" t="b">
        <f>Proc[[#This Row],[Requested]]=Proc[[#This Row],[CurrentParent]]</f>
        <v>1</v>
      </c>
      <c r="K1825" s="96" t="str">
        <f>IF(Proc[[#This Row],[Author]]="Marcela Urrego",VLOOKUP(LEFT(Proc[[#This Row],[Requested]],1),Table3[#All],2,0),VLOOKUP(Proc[[#This Row],[Author]],Table4[],2,0))</f>
        <v>HC</v>
      </c>
      <c r="L1825" s="96"/>
      <c r="M1825" s="92">
        <v>45807.678356481483</v>
      </c>
      <c r="N1825" s="93">
        <v>45810</v>
      </c>
      <c r="O1825" s="93">
        <v>45810</v>
      </c>
      <c r="P1825" s="92" t="str">
        <f ca="1">IF(Proc[[#This Row],[DaysAgeing]]&gt;5,"yep","on track")</f>
        <v>on track</v>
      </c>
      <c r="Q1825" s="3">
        <f ca="1">IF(Proc[[#This Row],[DateClosed]]="",ABS(NETWORKDAYS(Proc[[#This Row],[DateOpened]],TODAY()))-1,ABS(NETWORKDAYS(Proc[[#This Row],[DateOpened]],Proc[[#This Row],[DateClosed]]))-1)</f>
        <v>1</v>
      </c>
      <c r="R1825" s="92" t="s">
        <v>1013</v>
      </c>
      <c r="S1825" s="96"/>
    </row>
    <row r="1826" spans="1:19" hidden="1">
      <c r="A1826" s="95" t="s">
        <v>3641</v>
      </c>
      <c r="B1826" s="96" t="str">
        <f>IFERROR(VLOOKUP(Proc[[#This Row],[App]],Table2[],3,0),"open")</f>
        <v>ok</v>
      </c>
      <c r="C1826" s="95" t="s">
        <v>369</v>
      </c>
      <c r="D1826" t="s">
        <v>3654</v>
      </c>
      <c r="E1826" t="s">
        <v>3005</v>
      </c>
      <c r="F1826" s="105" t="s">
        <v>3005</v>
      </c>
      <c r="G1826" s="95" t="s">
        <v>400</v>
      </c>
      <c r="H1826" s="96" t="str">
        <f>IF(Proc[[#This Row],[type]]="LFF (MDG-F)",MID(Proc[[#This Row],[Obj]],13,10),"")</f>
        <v/>
      </c>
      <c r="J1826" s="96" t="b">
        <f>Proc[[#This Row],[Requested]]=Proc[[#This Row],[CurrentParent]]</f>
        <v>1</v>
      </c>
      <c r="K1826" s="96" t="str">
        <f>IF(Proc[[#This Row],[Author]]="Marcela Urrego",VLOOKUP(LEFT(Proc[[#This Row],[Requested]],1),Table3[#All],2,0),VLOOKUP(Proc[[#This Row],[Author]],Table4[],2,0))</f>
        <v>HC</v>
      </c>
      <c r="L1826" s="96"/>
      <c r="M1826" s="92">
        <v>45807.678356481483</v>
      </c>
      <c r="N1826" s="93">
        <v>45810</v>
      </c>
      <c r="O1826" s="93">
        <v>45810</v>
      </c>
      <c r="P1826" s="92" t="str">
        <f ca="1">IF(Proc[[#This Row],[DaysAgeing]]&gt;5,"yep","on track")</f>
        <v>on track</v>
      </c>
      <c r="Q1826" s="3">
        <f ca="1">IF(Proc[[#This Row],[DateClosed]]="",ABS(NETWORKDAYS(Proc[[#This Row],[DateOpened]],TODAY()))-1,ABS(NETWORKDAYS(Proc[[#This Row],[DateOpened]],Proc[[#This Row],[DateClosed]]))-1)</f>
        <v>1</v>
      </c>
      <c r="R1826" s="92" t="s">
        <v>1013</v>
      </c>
      <c r="S1826" s="96"/>
    </row>
    <row r="1827" spans="1:19" hidden="1">
      <c r="A1827" s="95" t="s">
        <v>3641</v>
      </c>
      <c r="B1827" s="96" t="str">
        <f>IFERROR(VLOOKUP(Proc[[#This Row],[App]],Table2[],3,0),"open")</f>
        <v>ok</v>
      </c>
      <c r="C1827" s="95" t="s">
        <v>369</v>
      </c>
      <c r="D1827" t="s">
        <v>3655</v>
      </c>
      <c r="E1827" t="s">
        <v>3007</v>
      </c>
      <c r="F1827" s="105" t="s">
        <v>3007</v>
      </c>
      <c r="G1827" s="95" t="s">
        <v>400</v>
      </c>
      <c r="H1827" s="96" t="str">
        <f>IF(Proc[[#This Row],[type]]="LFF (MDG-F)",MID(Proc[[#This Row],[Obj]],13,10),"")</f>
        <v/>
      </c>
      <c r="J1827" s="96" t="b">
        <f>Proc[[#This Row],[Requested]]=Proc[[#This Row],[CurrentParent]]</f>
        <v>1</v>
      </c>
      <c r="K1827" s="96" t="str">
        <f>IF(Proc[[#This Row],[Author]]="Marcela Urrego",VLOOKUP(LEFT(Proc[[#This Row],[Requested]],1),Table3[#All],2,0),VLOOKUP(Proc[[#This Row],[Author]],Table4[],2,0))</f>
        <v>HC</v>
      </c>
      <c r="L1827" s="96"/>
      <c r="M1827" s="92">
        <v>45807.678356481483</v>
      </c>
      <c r="N1827" s="93">
        <v>45810</v>
      </c>
      <c r="O1827" s="93">
        <v>45810</v>
      </c>
      <c r="P1827" s="92" t="str">
        <f ca="1">IF(Proc[[#This Row],[DaysAgeing]]&gt;5,"yep","on track")</f>
        <v>on track</v>
      </c>
      <c r="Q1827" s="3">
        <f ca="1">IF(Proc[[#This Row],[DateClosed]]="",ABS(NETWORKDAYS(Proc[[#This Row],[DateOpened]],TODAY()))-1,ABS(NETWORKDAYS(Proc[[#This Row],[DateOpened]],Proc[[#This Row],[DateClosed]]))-1)</f>
        <v>1</v>
      </c>
      <c r="R1827" s="92" t="s">
        <v>1013</v>
      </c>
      <c r="S1827" s="96"/>
    </row>
    <row r="1828" spans="1:19" hidden="1">
      <c r="A1828" s="95" t="s">
        <v>3641</v>
      </c>
      <c r="B1828" s="96" t="str">
        <f>IFERROR(VLOOKUP(Proc[[#This Row],[App]],Table2[],3,0),"open")</f>
        <v>ok</v>
      </c>
      <c r="C1828" s="95" t="s">
        <v>369</v>
      </c>
      <c r="D1828" t="s">
        <v>3656</v>
      </c>
      <c r="E1828" t="s">
        <v>3007</v>
      </c>
      <c r="F1828" s="105" t="s">
        <v>3007</v>
      </c>
      <c r="G1828" s="95" t="s">
        <v>400</v>
      </c>
      <c r="H1828" s="96" t="str">
        <f>IF(Proc[[#This Row],[type]]="LFF (MDG-F)",MID(Proc[[#This Row],[Obj]],13,10),"")</f>
        <v/>
      </c>
      <c r="J1828" s="96" t="b">
        <f>Proc[[#This Row],[Requested]]=Proc[[#This Row],[CurrentParent]]</f>
        <v>1</v>
      </c>
      <c r="K1828" s="96" t="str">
        <f>IF(Proc[[#This Row],[Author]]="Marcela Urrego",VLOOKUP(LEFT(Proc[[#This Row],[Requested]],1),Table3[#All],2,0),VLOOKUP(Proc[[#This Row],[Author]],Table4[],2,0))</f>
        <v>HC</v>
      </c>
      <c r="L1828" s="96"/>
      <c r="M1828" s="92">
        <v>45807.678356481483</v>
      </c>
      <c r="N1828" s="93">
        <v>45810</v>
      </c>
      <c r="O1828" s="93">
        <v>45810</v>
      </c>
      <c r="P1828" s="92" t="str">
        <f ca="1">IF(Proc[[#This Row],[DaysAgeing]]&gt;5,"yep","on track")</f>
        <v>on track</v>
      </c>
      <c r="Q1828" s="3">
        <f ca="1">IF(Proc[[#This Row],[DateClosed]]="",ABS(NETWORKDAYS(Proc[[#This Row],[DateOpened]],TODAY()))-1,ABS(NETWORKDAYS(Proc[[#This Row],[DateOpened]],Proc[[#This Row],[DateClosed]]))-1)</f>
        <v>1</v>
      </c>
      <c r="R1828" s="92" t="s">
        <v>1013</v>
      </c>
      <c r="S1828" s="96"/>
    </row>
    <row r="1829" spans="1:19" hidden="1">
      <c r="A1829" s="95" t="s">
        <v>3641</v>
      </c>
      <c r="B1829" s="96" t="str">
        <f>IFERROR(VLOOKUP(Proc[[#This Row],[App]],Table2[],3,0),"open")</f>
        <v>ok</v>
      </c>
      <c r="C1829" s="95" t="s">
        <v>369</v>
      </c>
      <c r="D1829" t="s">
        <v>3657</v>
      </c>
      <c r="E1829" t="s">
        <v>3005</v>
      </c>
      <c r="F1829" s="105" t="s">
        <v>3005</v>
      </c>
      <c r="G1829" s="95" t="s">
        <v>400</v>
      </c>
      <c r="H1829" s="96" t="str">
        <f>IF(Proc[[#This Row],[type]]="LFF (MDG-F)",MID(Proc[[#This Row],[Obj]],13,10),"")</f>
        <v/>
      </c>
      <c r="J1829" s="96" t="b">
        <f>Proc[[#This Row],[Requested]]=Proc[[#This Row],[CurrentParent]]</f>
        <v>1</v>
      </c>
      <c r="K1829" s="96" t="str">
        <f>IF(Proc[[#This Row],[Author]]="Marcela Urrego",VLOOKUP(LEFT(Proc[[#This Row],[Requested]],1),Table3[#All],2,0),VLOOKUP(Proc[[#This Row],[Author]],Table4[],2,0))</f>
        <v>HC</v>
      </c>
      <c r="L1829" s="96"/>
      <c r="M1829" s="92">
        <v>45807.678356481483</v>
      </c>
      <c r="N1829" s="93">
        <v>45810</v>
      </c>
      <c r="O1829" s="93">
        <v>45810</v>
      </c>
      <c r="P1829" s="92" t="str">
        <f ca="1">IF(Proc[[#This Row],[DaysAgeing]]&gt;5,"yep","on track")</f>
        <v>on track</v>
      </c>
      <c r="Q1829" s="3">
        <f ca="1">IF(Proc[[#This Row],[DateClosed]]="",ABS(NETWORKDAYS(Proc[[#This Row],[DateOpened]],TODAY()))-1,ABS(NETWORKDAYS(Proc[[#This Row],[DateOpened]],Proc[[#This Row],[DateClosed]]))-1)</f>
        <v>1</v>
      </c>
      <c r="R1829" s="92" t="s">
        <v>1013</v>
      </c>
      <c r="S1829" s="96"/>
    </row>
    <row r="1830" spans="1:19" hidden="1">
      <c r="A1830" s="95" t="s">
        <v>3641</v>
      </c>
      <c r="B1830" s="96" t="str">
        <f>IFERROR(VLOOKUP(Proc[[#This Row],[App]],Table2[],3,0),"open")</f>
        <v>ok</v>
      </c>
      <c r="C1830" s="95" t="s">
        <v>369</v>
      </c>
      <c r="D1830" t="s">
        <v>3658</v>
      </c>
      <c r="E1830" t="s">
        <v>3005</v>
      </c>
      <c r="F1830" s="105" t="s">
        <v>3005</v>
      </c>
      <c r="G1830" s="95" t="s">
        <v>400</v>
      </c>
      <c r="H1830" s="96" t="str">
        <f>IF(Proc[[#This Row],[type]]="LFF (MDG-F)",MID(Proc[[#This Row],[Obj]],13,10),"")</f>
        <v/>
      </c>
      <c r="J1830" s="96" t="b">
        <f>Proc[[#This Row],[Requested]]=Proc[[#This Row],[CurrentParent]]</f>
        <v>1</v>
      </c>
      <c r="K1830" s="96" t="str">
        <f>IF(Proc[[#This Row],[Author]]="Marcela Urrego",VLOOKUP(LEFT(Proc[[#This Row],[Requested]],1),Table3[#All],2,0),VLOOKUP(Proc[[#This Row],[Author]],Table4[],2,0))</f>
        <v>HC</v>
      </c>
      <c r="L1830" s="96"/>
      <c r="M1830" s="92">
        <v>45807.678356481483</v>
      </c>
      <c r="N1830" s="93">
        <v>45810</v>
      </c>
      <c r="O1830" s="93">
        <v>45810</v>
      </c>
      <c r="P1830" s="92" t="str">
        <f ca="1">IF(Proc[[#This Row],[DaysAgeing]]&gt;5,"yep","on track")</f>
        <v>on track</v>
      </c>
      <c r="Q1830" s="3">
        <f ca="1">IF(Proc[[#This Row],[DateClosed]]="",ABS(NETWORKDAYS(Proc[[#This Row],[DateOpened]],TODAY()))-1,ABS(NETWORKDAYS(Proc[[#This Row],[DateOpened]],Proc[[#This Row],[DateClosed]]))-1)</f>
        <v>1</v>
      </c>
      <c r="R1830" s="92" t="s">
        <v>1013</v>
      </c>
      <c r="S1830" s="96"/>
    </row>
    <row r="1831" spans="1:19" hidden="1">
      <c r="A1831" s="95" t="s">
        <v>3641</v>
      </c>
      <c r="B1831" s="96" t="str">
        <f>IFERROR(VLOOKUP(Proc[[#This Row],[App]],Table2[],3,0),"open")</f>
        <v>ok</v>
      </c>
      <c r="C1831" s="95" t="s">
        <v>369</v>
      </c>
      <c r="D1831" t="s">
        <v>3659</v>
      </c>
      <c r="E1831" t="s">
        <v>3004</v>
      </c>
      <c r="F1831" s="105" t="s">
        <v>3004</v>
      </c>
      <c r="G1831" s="95" t="s">
        <v>400</v>
      </c>
      <c r="H1831" s="96" t="str">
        <f>IF(Proc[[#This Row],[type]]="LFF (MDG-F)",MID(Proc[[#This Row],[Obj]],13,10),"")</f>
        <v/>
      </c>
      <c r="J1831" s="96" t="b">
        <f>Proc[[#This Row],[Requested]]=Proc[[#This Row],[CurrentParent]]</f>
        <v>1</v>
      </c>
      <c r="K1831" s="96" t="str">
        <f>IF(Proc[[#This Row],[Author]]="Marcela Urrego",VLOOKUP(LEFT(Proc[[#This Row],[Requested]],1),Table3[#All],2,0),VLOOKUP(Proc[[#This Row],[Author]],Table4[],2,0))</f>
        <v>HC</v>
      </c>
      <c r="L1831" s="96"/>
      <c r="M1831" s="92">
        <v>45807.678356481483</v>
      </c>
      <c r="N1831" s="93">
        <v>45810</v>
      </c>
      <c r="O1831" s="93">
        <v>45810</v>
      </c>
      <c r="P1831" s="92" t="str">
        <f ca="1">IF(Proc[[#This Row],[DaysAgeing]]&gt;5,"yep","on track")</f>
        <v>on track</v>
      </c>
      <c r="Q1831" s="3">
        <f ca="1">IF(Proc[[#This Row],[DateClosed]]="",ABS(NETWORKDAYS(Proc[[#This Row],[DateOpened]],TODAY()))-1,ABS(NETWORKDAYS(Proc[[#This Row],[DateOpened]],Proc[[#This Row],[DateClosed]]))-1)</f>
        <v>1</v>
      </c>
      <c r="R1831" s="92" t="s">
        <v>1013</v>
      </c>
      <c r="S1831" s="96"/>
    </row>
    <row r="1832" spans="1:19" hidden="1">
      <c r="A1832" s="95" t="s">
        <v>3641</v>
      </c>
      <c r="B1832" s="96" t="str">
        <f>IFERROR(VLOOKUP(Proc[[#This Row],[App]],Table2[],3,0),"open")</f>
        <v>ok</v>
      </c>
      <c r="C1832" s="95" t="s">
        <v>369</v>
      </c>
      <c r="D1832" t="s">
        <v>3660</v>
      </c>
      <c r="E1832" t="s">
        <v>3004</v>
      </c>
      <c r="F1832" s="105" t="s">
        <v>3004</v>
      </c>
      <c r="G1832" s="95" t="s">
        <v>400</v>
      </c>
      <c r="H1832" s="96" t="str">
        <f>IF(Proc[[#This Row],[type]]="LFF (MDG-F)",MID(Proc[[#This Row],[Obj]],13,10),"")</f>
        <v/>
      </c>
      <c r="J1832" s="96" t="b">
        <f>Proc[[#This Row],[Requested]]=Proc[[#This Row],[CurrentParent]]</f>
        <v>1</v>
      </c>
      <c r="K1832" s="96" t="str">
        <f>IF(Proc[[#This Row],[Author]]="Marcela Urrego",VLOOKUP(LEFT(Proc[[#This Row],[Requested]],1),Table3[#All],2,0),VLOOKUP(Proc[[#This Row],[Author]],Table4[],2,0))</f>
        <v>HC</v>
      </c>
      <c r="L1832" s="96"/>
      <c r="M1832" s="92">
        <v>45807.678356481483</v>
      </c>
      <c r="N1832" s="93">
        <v>45810</v>
      </c>
      <c r="O1832" s="93">
        <v>45810</v>
      </c>
      <c r="P1832" s="92" t="str">
        <f ca="1">IF(Proc[[#This Row],[DaysAgeing]]&gt;5,"yep","on track")</f>
        <v>on track</v>
      </c>
      <c r="Q1832" s="3">
        <f ca="1">IF(Proc[[#This Row],[DateClosed]]="",ABS(NETWORKDAYS(Proc[[#This Row],[DateOpened]],TODAY()))-1,ABS(NETWORKDAYS(Proc[[#This Row],[DateOpened]],Proc[[#This Row],[DateClosed]]))-1)</f>
        <v>1</v>
      </c>
      <c r="R1832" s="92" t="s">
        <v>1013</v>
      </c>
      <c r="S1832" s="96"/>
    </row>
    <row r="1833" spans="1:19" hidden="1">
      <c r="A1833" s="95" t="s">
        <v>3641</v>
      </c>
      <c r="B1833" s="96" t="str">
        <f>IFERROR(VLOOKUP(Proc[[#This Row],[App]],Table2[],3,0),"open")</f>
        <v>ok</v>
      </c>
      <c r="C1833" s="95" t="s">
        <v>369</v>
      </c>
      <c r="D1833" t="s">
        <v>3661</v>
      </c>
      <c r="E1833" t="s">
        <v>3004</v>
      </c>
      <c r="F1833" s="105" t="s">
        <v>3004</v>
      </c>
      <c r="G1833" s="95" t="s">
        <v>400</v>
      </c>
      <c r="H1833" s="96" t="str">
        <f>IF(Proc[[#This Row],[type]]="LFF (MDG-F)",MID(Proc[[#This Row],[Obj]],13,10),"")</f>
        <v/>
      </c>
      <c r="J1833" s="96" t="b">
        <f>Proc[[#This Row],[Requested]]=Proc[[#This Row],[CurrentParent]]</f>
        <v>1</v>
      </c>
      <c r="K1833" s="96" t="str">
        <f>IF(Proc[[#This Row],[Author]]="Marcela Urrego",VLOOKUP(LEFT(Proc[[#This Row],[Requested]],1),Table3[#All],2,0),VLOOKUP(Proc[[#This Row],[Author]],Table4[],2,0))</f>
        <v>HC</v>
      </c>
      <c r="L1833" s="96"/>
      <c r="M1833" s="92">
        <v>45807.678356481483</v>
      </c>
      <c r="N1833" s="93">
        <v>45810</v>
      </c>
      <c r="O1833" s="93">
        <v>45810</v>
      </c>
      <c r="P1833" s="92" t="str">
        <f ca="1">IF(Proc[[#This Row],[DaysAgeing]]&gt;5,"yep","on track")</f>
        <v>on track</v>
      </c>
      <c r="Q1833" s="3">
        <f ca="1">IF(Proc[[#This Row],[DateClosed]]="",ABS(NETWORKDAYS(Proc[[#This Row],[DateOpened]],TODAY()))-1,ABS(NETWORKDAYS(Proc[[#This Row],[DateOpened]],Proc[[#This Row],[DateClosed]]))-1)</f>
        <v>1</v>
      </c>
      <c r="R1833" s="92" t="s">
        <v>1013</v>
      </c>
      <c r="S1833" s="96"/>
    </row>
    <row r="1834" spans="1:19" hidden="1">
      <c r="A1834" s="95" t="s">
        <v>3641</v>
      </c>
      <c r="B1834" s="96" t="str">
        <f>IFERROR(VLOOKUP(Proc[[#This Row],[App]],Table2[],3,0),"open")</f>
        <v>ok</v>
      </c>
      <c r="C1834" s="95" t="s">
        <v>369</v>
      </c>
      <c r="D1834" t="s">
        <v>3662</v>
      </c>
      <c r="E1834" t="s">
        <v>3006</v>
      </c>
      <c r="F1834" s="105" t="s">
        <v>3006</v>
      </c>
      <c r="G1834" s="95" t="s">
        <v>400</v>
      </c>
      <c r="H1834" s="96" t="str">
        <f>IF(Proc[[#This Row],[type]]="LFF (MDG-F)",MID(Proc[[#This Row],[Obj]],13,10),"")</f>
        <v/>
      </c>
      <c r="J1834" s="96" t="b">
        <f>Proc[[#This Row],[Requested]]=Proc[[#This Row],[CurrentParent]]</f>
        <v>1</v>
      </c>
      <c r="K1834" s="96" t="str">
        <f>IF(Proc[[#This Row],[Author]]="Marcela Urrego",VLOOKUP(LEFT(Proc[[#This Row],[Requested]],1),Table3[#All],2,0),VLOOKUP(Proc[[#This Row],[Author]],Table4[],2,0))</f>
        <v>HC</v>
      </c>
      <c r="L1834" s="96"/>
      <c r="M1834" s="92">
        <v>45807.678356481483</v>
      </c>
      <c r="N1834" s="93">
        <v>45810</v>
      </c>
      <c r="O1834" s="93">
        <v>45810</v>
      </c>
      <c r="P1834" s="92" t="str">
        <f ca="1">IF(Proc[[#This Row],[DaysAgeing]]&gt;5,"yep","on track")</f>
        <v>on track</v>
      </c>
      <c r="Q1834" s="3">
        <f ca="1">IF(Proc[[#This Row],[DateClosed]]="",ABS(NETWORKDAYS(Proc[[#This Row],[DateOpened]],TODAY()))-1,ABS(NETWORKDAYS(Proc[[#This Row],[DateOpened]],Proc[[#This Row],[DateClosed]]))-1)</f>
        <v>1</v>
      </c>
      <c r="R1834" s="92" t="s">
        <v>1013</v>
      </c>
      <c r="S1834" s="96"/>
    </row>
    <row r="1835" spans="1:19" hidden="1">
      <c r="A1835" s="95" t="s">
        <v>3641</v>
      </c>
      <c r="B1835" s="96" t="str">
        <f>IFERROR(VLOOKUP(Proc[[#This Row],[App]],Table2[],3,0),"open")</f>
        <v>ok</v>
      </c>
      <c r="C1835" s="95" t="s">
        <v>369</v>
      </c>
      <c r="D1835" t="s">
        <v>3663</v>
      </c>
      <c r="E1835" t="s">
        <v>3006</v>
      </c>
      <c r="F1835" s="105" t="s">
        <v>3006</v>
      </c>
      <c r="G1835" s="95" t="s">
        <v>400</v>
      </c>
      <c r="H1835" s="96" t="str">
        <f>IF(Proc[[#This Row],[type]]="LFF (MDG-F)",MID(Proc[[#This Row],[Obj]],13,10),"")</f>
        <v/>
      </c>
      <c r="J1835" s="96" t="b">
        <f>Proc[[#This Row],[Requested]]=Proc[[#This Row],[CurrentParent]]</f>
        <v>1</v>
      </c>
      <c r="K1835" s="96" t="str">
        <f>IF(Proc[[#This Row],[Author]]="Marcela Urrego",VLOOKUP(LEFT(Proc[[#This Row],[Requested]],1),Table3[#All],2,0),VLOOKUP(Proc[[#This Row],[Author]],Table4[],2,0))</f>
        <v>HC</v>
      </c>
      <c r="L1835" s="96"/>
      <c r="M1835" s="92">
        <v>45807.678356481483</v>
      </c>
      <c r="N1835" s="93">
        <v>45810</v>
      </c>
      <c r="O1835" s="93">
        <v>45810</v>
      </c>
      <c r="P1835" s="92" t="str">
        <f ca="1">IF(Proc[[#This Row],[DaysAgeing]]&gt;5,"yep","on track")</f>
        <v>on track</v>
      </c>
      <c r="Q1835" s="3">
        <f ca="1">IF(Proc[[#This Row],[DateClosed]]="",ABS(NETWORKDAYS(Proc[[#This Row],[DateOpened]],TODAY()))-1,ABS(NETWORKDAYS(Proc[[#This Row],[DateOpened]],Proc[[#This Row],[DateClosed]]))-1)</f>
        <v>1</v>
      </c>
      <c r="R1835" s="92" t="s">
        <v>1013</v>
      </c>
      <c r="S1835" s="96"/>
    </row>
    <row r="1836" spans="1:19" hidden="1">
      <c r="A1836" s="95" t="s">
        <v>3641</v>
      </c>
      <c r="B1836" s="96" t="str">
        <f>IFERROR(VLOOKUP(Proc[[#This Row],[App]],Table2[],3,0),"open")</f>
        <v>ok</v>
      </c>
      <c r="C1836" s="95" t="s">
        <v>369</v>
      </c>
      <c r="D1836" t="s">
        <v>3664</v>
      </c>
      <c r="E1836" t="s">
        <v>3006</v>
      </c>
      <c r="F1836" s="105" t="s">
        <v>3006</v>
      </c>
      <c r="G1836" s="95" t="s">
        <v>400</v>
      </c>
      <c r="H1836" s="96" t="str">
        <f>IF(Proc[[#This Row],[type]]="LFF (MDG-F)",MID(Proc[[#This Row],[Obj]],13,10),"")</f>
        <v/>
      </c>
      <c r="J1836" s="96" t="b">
        <f>Proc[[#This Row],[Requested]]=Proc[[#This Row],[CurrentParent]]</f>
        <v>1</v>
      </c>
      <c r="K1836" s="96" t="str">
        <f>IF(Proc[[#This Row],[Author]]="Marcela Urrego",VLOOKUP(LEFT(Proc[[#This Row],[Requested]],1),Table3[#All],2,0),VLOOKUP(Proc[[#This Row],[Author]],Table4[],2,0))</f>
        <v>HC</v>
      </c>
      <c r="L1836" s="96"/>
      <c r="M1836" s="92">
        <v>45807.678356481483</v>
      </c>
      <c r="N1836" s="93">
        <v>45810</v>
      </c>
      <c r="O1836" s="93">
        <v>45810</v>
      </c>
      <c r="P1836" s="92" t="str">
        <f ca="1">IF(Proc[[#This Row],[DaysAgeing]]&gt;5,"yep","on track")</f>
        <v>on track</v>
      </c>
      <c r="Q1836" s="3">
        <f ca="1">IF(Proc[[#This Row],[DateClosed]]="",ABS(NETWORKDAYS(Proc[[#This Row],[DateOpened]],TODAY()))-1,ABS(NETWORKDAYS(Proc[[#This Row],[DateOpened]],Proc[[#This Row],[DateClosed]]))-1)</f>
        <v>1</v>
      </c>
      <c r="R1836" s="92" t="s">
        <v>1013</v>
      </c>
      <c r="S1836" s="96"/>
    </row>
    <row r="1837" spans="1:19" hidden="1">
      <c r="A1837" s="95" t="s">
        <v>3641</v>
      </c>
      <c r="B1837" s="96" t="str">
        <f>IFERROR(VLOOKUP(Proc[[#This Row],[App]],Table2[],3,0),"open")</f>
        <v>ok</v>
      </c>
      <c r="C1837" s="95" t="s">
        <v>369</v>
      </c>
      <c r="D1837" t="s">
        <v>3665</v>
      </c>
      <c r="E1837" t="s">
        <v>3005</v>
      </c>
      <c r="F1837" s="105" t="s">
        <v>3005</v>
      </c>
      <c r="G1837" s="95" t="s">
        <v>400</v>
      </c>
      <c r="H1837" s="96" t="str">
        <f>IF(Proc[[#This Row],[type]]="LFF (MDG-F)",MID(Proc[[#This Row],[Obj]],13,10),"")</f>
        <v/>
      </c>
      <c r="J1837" s="96" t="b">
        <f>Proc[[#This Row],[Requested]]=Proc[[#This Row],[CurrentParent]]</f>
        <v>1</v>
      </c>
      <c r="K1837" s="96" t="str">
        <f>IF(Proc[[#This Row],[Author]]="Marcela Urrego",VLOOKUP(LEFT(Proc[[#This Row],[Requested]],1),Table3[#All],2,0),VLOOKUP(Proc[[#This Row],[Author]],Table4[],2,0))</f>
        <v>HC</v>
      </c>
      <c r="L1837" s="96"/>
      <c r="M1837" s="92">
        <v>45807.678356481483</v>
      </c>
      <c r="N1837" s="93">
        <v>45810</v>
      </c>
      <c r="O1837" s="93">
        <v>45810</v>
      </c>
      <c r="P1837" s="92" t="str">
        <f ca="1">IF(Proc[[#This Row],[DaysAgeing]]&gt;5,"yep","on track")</f>
        <v>on track</v>
      </c>
      <c r="Q1837" s="3">
        <f ca="1">IF(Proc[[#This Row],[DateClosed]]="",ABS(NETWORKDAYS(Proc[[#This Row],[DateOpened]],TODAY()))-1,ABS(NETWORKDAYS(Proc[[#This Row],[DateOpened]],Proc[[#This Row],[DateClosed]]))-1)</f>
        <v>1</v>
      </c>
      <c r="R1837" s="92" t="s">
        <v>1013</v>
      </c>
      <c r="S1837" s="96"/>
    </row>
    <row r="1838" spans="1:19" hidden="1">
      <c r="A1838" s="95" t="s">
        <v>3641</v>
      </c>
      <c r="B1838" s="96" t="str">
        <f>IFERROR(VLOOKUP(Proc[[#This Row],[App]],Table2[],3,0),"open")</f>
        <v>ok</v>
      </c>
      <c r="C1838" s="95" t="s">
        <v>369</v>
      </c>
      <c r="D1838" t="s">
        <v>3666</v>
      </c>
      <c r="E1838" t="s">
        <v>3004</v>
      </c>
      <c r="F1838" s="105" t="s">
        <v>3004</v>
      </c>
      <c r="G1838" s="95" t="s">
        <v>400</v>
      </c>
      <c r="H1838" s="96" t="str">
        <f>IF(Proc[[#This Row],[type]]="LFF (MDG-F)",MID(Proc[[#This Row],[Obj]],13,10),"")</f>
        <v/>
      </c>
      <c r="J1838" s="96" t="b">
        <f>Proc[[#This Row],[Requested]]=Proc[[#This Row],[CurrentParent]]</f>
        <v>1</v>
      </c>
      <c r="K1838" s="96" t="str">
        <f>IF(Proc[[#This Row],[Author]]="Marcela Urrego",VLOOKUP(LEFT(Proc[[#This Row],[Requested]],1),Table3[#All],2,0),VLOOKUP(Proc[[#This Row],[Author]],Table4[],2,0))</f>
        <v>HC</v>
      </c>
      <c r="L1838" s="96"/>
      <c r="M1838" s="92">
        <v>45807.678356481483</v>
      </c>
      <c r="N1838" s="93">
        <v>45810</v>
      </c>
      <c r="O1838" s="93">
        <v>45810</v>
      </c>
      <c r="P1838" s="92" t="str">
        <f ca="1">IF(Proc[[#This Row],[DaysAgeing]]&gt;5,"yep","on track")</f>
        <v>on track</v>
      </c>
      <c r="Q1838" s="3">
        <f ca="1">IF(Proc[[#This Row],[DateClosed]]="",ABS(NETWORKDAYS(Proc[[#This Row],[DateOpened]],TODAY()))-1,ABS(NETWORKDAYS(Proc[[#This Row],[DateOpened]],Proc[[#This Row],[DateClosed]]))-1)</f>
        <v>1</v>
      </c>
      <c r="R1838" s="92" t="s">
        <v>1013</v>
      </c>
      <c r="S1838" s="96"/>
    </row>
    <row r="1839" spans="1:19" hidden="1">
      <c r="A1839" s="95" t="s">
        <v>3641</v>
      </c>
      <c r="B1839" s="96" t="str">
        <f>IFERROR(VLOOKUP(Proc[[#This Row],[App]],Table2[],3,0),"open")</f>
        <v>ok</v>
      </c>
      <c r="C1839" s="95" t="s">
        <v>369</v>
      </c>
      <c r="D1839" t="s">
        <v>3667</v>
      </c>
      <c r="E1839" t="s">
        <v>3004</v>
      </c>
      <c r="F1839" s="105" t="s">
        <v>3004</v>
      </c>
      <c r="G1839" s="95" t="s">
        <v>400</v>
      </c>
      <c r="H1839" s="96" t="str">
        <f>IF(Proc[[#This Row],[type]]="LFF (MDG-F)",MID(Proc[[#This Row],[Obj]],13,10),"")</f>
        <v/>
      </c>
      <c r="J1839" s="96" t="b">
        <f>Proc[[#This Row],[Requested]]=Proc[[#This Row],[CurrentParent]]</f>
        <v>1</v>
      </c>
      <c r="K1839" s="96" t="str">
        <f>IF(Proc[[#This Row],[Author]]="Marcela Urrego",VLOOKUP(LEFT(Proc[[#This Row],[Requested]],1),Table3[#All],2,0),VLOOKUP(Proc[[#This Row],[Author]],Table4[],2,0))</f>
        <v>HC</v>
      </c>
      <c r="L1839" s="96"/>
      <c r="M1839" s="92">
        <v>45807.678356481483</v>
      </c>
      <c r="N1839" s="93">
        <v>45810</v>
      </c>
      <c r="O1839" s="93">
        <v>45810</v>
      </c>
      <c r="P1839" s="92" t="str">
        <f ca="1">IF(Proc[[#This Row],[DaysAgeing]]&gt;5,"yep","on track")</f>
        <v>on track</v>
      </c>
      <c r="Q1839" s="3">
        <f ca="1">IF(Proc[[#This Row],[DateClosed]]="",ABS(NETWORKDAYS(Proc[[#This Row],[DateOpened]],TODAY()))-1,ABS(NETWORKDAYS(Proc[[#This Row],[DateOpened]],Proc[[#This Row],[DateClosed]]))-1)</f>
        <v>1</v>
      </c>
      <c r="R1839" s="92" t="s">
        <v>1013</v>
      </c>
      <c r="S1839" s="96"/>
    </row>
    <row r="1840" spans="1:19" hidden="1">
      <c r="A1840" s="95" t="s">
        <v>3641</v>
      </c>
      <c r="B1840" s="96" t="str">
        <f>IFERROR(VLOOKUP(Proc[[#This Row],[App]],Table2[],3,0),"open")</f>
        <v>ok</v>
      </c>
      <c r="C1840" s="95" t="s">
        <v>369</v>
      </c>
      <c r="D1840" t="s">
        <v>3668</v>
      </c>
      <c r="E1840" t="s">
        <v>3004</v>
      </c>
      <c r="F1840" s="105" t="s">
        <v>3004</v>
      </c>
      <c r="G1840" s="95" t="s">
        <v>400</v>
      </c>
      <c r="H1840" s="96" t="str">
        <f>IF(Proc[[#This Row],[type]]="LFF (MDG-F)",MID(Proc[[#This Row],[Obj]],13,10),"")</f>
        <v/>
      </c>
      <c r="J1840" s="96" t="b">
        <f>Proc[[#This Row],[Requested]]=Proc[[#This Row],[CurrentParent]]</f>
        <v>1</v>
      </c>
      <c r="K1840" s="96" t="str">
        <f>IF(Proc[[#This Row],[Author]]="Marcela Urrego",VLOOKUP(LEFT(Proc[[#This Row],[Requested]],1),Table3[#All],2,0),VLOOKUP(Proc[[#This Row],[Author]],Table4[],2,0))</f>
        <v>HC</v>
      </c>
      <c r="L1840" s="96"/>
      <c r="M1840" s="92">
        <v>45807.678356481483</v>
      </c>
      <c r="N1840" s="93">
        <v>45810</v>
      </c>
      <c r="O1840" s="93">
        <v>45810</v>
      </c>
      <c r="P1840" s="92" t="str">
        <f ca="1">IF(Proc[[#This Row],[DaysAgeing]]&gt;5,"yep","on track")</f>
        <v>on track</v>
      </c>
      <c r="Q1840" s="3">
        <f ca="1">IF(Proc[[#This Row],[DateClosed]]="",ABS(NETWORKDAYS(Proc[[#This Row],[DateOpened]],TODAY()))-1,ABS(NETWORKDAYS(Proc[[#This Row],[DateOpened]],Proc[[#This Row],[DateClosed]]))-1)</f>
        <v>1</v>
      </c>
      <c r="R1840" s="92" t="s">
        <v>1013</v>
      </c>
      <c r="S1840" s="96"/>
    </row>
    <row r="1841" spans="1:19" hidden="1">
      <c r="A1841" s="95" t="s">
        <v>3641</v>
      </c>
      <c r="B1841" s="96" t="str">
        <f>IFERROR(VLOOKUP(Proc[[#This Row],[App]],Table2[],3,0),"open")</f>
        <v>ok</v>
      </c>
      <c r="C1841" s="95" t="s">
        <v>369</v>
      </c>
      <c r="D1841" t="s">
        <v>3669</v>
      </c>
      <c r="E1841" t="s">
        <v>3741</v>
      </c>
      <c r="F1841" s="105" t="s">
        <v>3741</v>
      </c>
      <c r="G1841" s="95" t="s">
        <v>400</v>
      </c>
      <c r="H1841" s="96" t="str">
        <f>IF(Proc[[#This Row],[type]]="LFF (MDG-F)",MID(Proc[[#This Row],[Obj]],13,10),"")</f>
        <v/>
      </c>
      <c r="J1841" s="96" t="b">
        <f>Proc[[#This Row],[Requested]]=Proc[[#This Row],[CurrentParent]]</f>
        <v>1</v>
      </c>
      <c r="K1841" s="96" t="str">
        <f>IF(Proc[[#This Row],[Author]]="Marcela Urrego",VLOOKUP(LEFT(Proc[[#This Row],[Requested]],1),Table3[#All],2,0),VLOOKUP(Proc[[#This Row],[Author]],Table4[],2,0))</f>
        <v>HC</v>
      </c>
      <c r="L1841" s="96"/>
      <c r="M1841" s="92">
        <v>45807.678356481483</v>
      </c>
      <c r="N1841" s="93">
        <v>45810</v>
      </c>
      <c r="O1841" s="93">
        <v>45810</v>
      </c>
      <c r="P1841" s="92" t="str">
        <f ca="1">IF(Proc[[#This Row],[DaysAgeing]]&gt;5,"yep","on track")</f>
        <v>on track</v>
      </c>
      <c r="Q1841" s="3">
        <f ca="1">IF(Proc[[#This Row],[DateClosed]]="",ABS(NETWORKDAYS(Proc[[#This Row],[DateOpened]],TODAY()))-1,ABS(NETWORKDAYS(Proc[[#This Row],[DateOpened]],Proc[[#This Row],[DateClosed]]))-1)</f>
        <v>1</v>
      </c>
      <c r="R1841" s="92" t="s">
        <v>1013</v>
      </c>
      <c r="S1841" s="96"/>
    </row>
    <row r="1842" spans="1:19" hidden="1">
      <c r="A1842" s="95" t="s">
        <v>3641</v>
      </c>
      <c r="B1842" s="96" t="str">
        <f>IFERROR(VLOOKUP(Proc[[#This Row],[App]],Table2[],3,0),"open")</f>
        <v>ok</v>
      </c>
      <c r="C1842" s="95" t="s">
        <v>369</v>
      </c>
      <c r="D1842" t="s">
        <v>3670</v>
      </c>
      <c r="E1842" t="s">
        <v>3004</v>
      </c>
      <c r="F1842" s="105" t="s">
        <v>3004</v>
      </c>
      <c r="G1842" s="95" t="s">
        <v>400</v>
      </c>
      <c r="H1842" s="96" t="str">
        <f>IF(Proc[[#This Row],[type]]="LFF (MDG-F)",MID(Proc[[#This Row],[Obj]],13,10),"")</f>
        <v/>
      </c>
      <c r="J1842" s="96" t="b">
        <f>Proc[[#This Row],[Requested]]=Proc[[#This Row],[CurrentParent]]</f>
        <v>1</v>
      </c>
      <c r="K1842" s="96" t="str">
        <f>IF(Proc[[#This Row],[Author]]="Marcela Urrego",VLOOKUP(LEFT(Proc[[#This Row],[Requested]],1),Table3[#All],2,0),VLOOKUP(Proc[[#This Row],[Author]],Table4[],2,0))</f>
        <v>HC</v>
      </c>
      <c r="L1842" s="96"/>
      <c r="M1842" s="92">
        <v>45807.678356481483</v>
      </c>
      <c r="N1842" s="93">
        <v>45810</v>
      </c>
      <c r="O1842" s="93">
        <v>45810</v>
      </c>
      <c r="P1842" s="92" t="str">
        <f ca="1">IF(Proc[[#This Row],[DaysAgeing]]&gt;5,"yep","on track")</f>
        <v>on track</v>
      </c>
      <c r="Q1842" s="3">
        <f ca="1">IF(Proc[[#This Row],[DateClosed]]="",ABS(NETWORKDAYS(Proc[[#This Row],[DateOpened]],TODAY()))-1,ABS(NETWORKDAYS(Proc[[#This Row],[DateOpened]],Proc[[#This Row],[DateClosed]]))-1)</f>
        <v>1</v>
      </c>
      <c r="R1842" s="92" t="s">
        <v>1013</v>
      </c>
      <c r="S1842" s="96"/>
    </row>
    <row r="1843" spans="1:19" hidden="1">
      <c r="A1843" s="95" t="s">
        <v>3641</v>
      </c>
      <c r="B1843" s="96" t="str">
        <f>IFERROR(VLOOKUP(Proc[[#This Row],[App]],Table2[],3,0),"open")</f>
        <v>ok</v>
      </c>
      <c r="C1843" s="95" t="s">
        <v>369</v>
      </c>
      <c r="D1843" t="s">
        <v>3671</v>
      </c>
      <c r="E1843" t="s">
        <v>3004</v>
      </c>
      <c r="F1843" s="105" t="s">
        <v>3004</v>
      </c>
      <c r="G1843" s="95" t="s">
        <v>400</v>
      </c>
      <c r="H1843" s="96" t="str">
        <f>IF(Proc[[#This Row],[type]]="LFF (MDG-F)",MID(Proc[[#This Row],[Obj]],13,10),"")</f>
        <v/>
      </c>
      <c r="J1843" s="96" t="b">
        <f>Proc[[#This Row],[Requested]]=Proc[[#This Row],[CurrentParent]]</f>
        <v>1</v>
      </c>
      <c r="K1843" s="96" t="str">
        <f>IF(Proc[[#This Row],[Author]]="Marcela Urrego",VLOOKUP(LEFT(Proc[[#This Row],[Requested]],1),Table3[#All],2,0),VLOOKUP(Proc[[#This Row],[Author]],Table4[],2,0))</f>
        <v>HC</v>
      </c>
      <c r="L1843" s="96"/>
      <c r="M1843" s="92">
        <v>45807.678356481483</v>
      </c>
      <c r="N1843" s="93">
        <v>45810</v>
      </c>
      <c r="O1843" s="93">
        <v>45810</v>
      </c>
      <c r="P1843" s="92" t="str">
        <f ca="1">IF(Proc[[#This Row],[DaysAgeing]]&gt;5,"yep","on track")</f>
        <v>on track</v>
      </c>
      <c r="Q1843" s="3">
        <f ca="1">IF(Proc[[#This Row],[DateClosed]]="",ABS(NETWORKDAYS(Proc[[#This Row],[DateOpened]],TODAY()))-1,ABS(NETWORKDAYS(Proc[[#This Row],[DateOpened]],Proc[[#This Row],[DateClosed]]))-1)</f>
        <v>1</v>
      </c>
      <c r="R1843" s="92" t="s">
        <v>1013</v>
      </c>
      <c r="S1843" s="96"/>
    </row>
    <row r="1844" spans="1:19" hidden="1">
      <c r="A1844" s="95" t="s">
        <v>3641</v>
      </c>
      <c r="B1844" s="96" t="str">
        <f>IFERROR(VLOOKUP(Proc[[#This Row],[App]],Table2[],3,0),"open")</f>
        <v>ok</v>
      </c>
      <c r="C1844" s="95" t="s">
        <v>369</v>
      </c>
      <c r="D1844" t="s">
        <v>3672</v>
      </c>
      <c r="E1844" t="s">
        <v>3004</v>
      </c>
      <c r="F1844" s="105" t="s">
        <v>3004</v>
      </c>
      <c r="G1844" s="95" t="s">
        <v>400</v>
      </c>
      <c r="H1844" s="96" t="str">
        <f>IF(Proc[[#This Row],[type]]="LFF (MDG-F)",MID(Proc[[#This Row],[Obj]],13,10),"")</f>
        <v/>
      </c>
      <c r="J1844" s="96" t="b">
        <f>Proc[[#This Row],[Requested]]=Proc[[#This Row],[CurrentParent]]</f>
        <v>1</v>
      </c>
      <c r="K1844" s="96" t="str">
        <f>IF(Proc[[#This Row],[Author]]="Marcela Urrego",VLOOKUP(LEFT(Proc[[#This Row],[Requested]],1),Table3[#All],2,0),VLOOKUP(Proc[[#This Row],[Author]],Table4[],2,0))</f>
        <v>HC</v>
      </c>
      <c r="L1844" s="96"/>
      <c r="M1844" s="92">
        <v>45807.678356481483</v>
      </c>
      <c r="N1844" s="93">
        <v>45810</v>
      </c>
      <c r="O1844" s="93">
        <v>45810</v>
      </c>
      <c r="P1844" s="92" t="str">
        <f ca="1">IF(Proc[[#This Row],[DaysAgeing]]&gt;5,"yep","on track")</f>
        <v>on track</v>
      </c>
      <c r="Q1844" s="3">
        <f ca="1">IF(Proc[[#This Row],[DateClosed]]="",ABS(NETWORKDAYS(Proc[[#This Row],[DateOpened]],TODAY()))-1,ABS(NETWORKDAYS(Proc[[#This Row],[DateOpened]],Proc[[#This Row],[DateClosed]]))-1)</f>
        <v>1</v>
      </c>
      <c r="R1844" s="92" t="s">
        <v>1013</v>
      </c>
      <c r="S1844" s="96"/>
    </row>
    <row r="1845" spans="1:19" hidden="1">
      <c r="A1845" s="95" t="s">
        <v>3641</v>
      </c>
      <c r="B1845" s="96" t="str">
        <f>IFERROR(VLOOKUP(Proc[[#This Row],[App]],Table2[],3,0),"open")</f>
        <v>ok</v>
      </c>
      <c r="C1845" s="95" t="s">
        <v>369</v>
      </c>
      <c r="D1845" t="s">
        <v>3673</v>
      </c>
      <c r="E1845" t="s">
        <v>3006</v>
      </c>
      <c r="F1845" s="105" t="s">
        <v>3006</v>
      </c>
      <c r="G1845" s="95" t="s">
        <v>400</v>
      </c>
      <c r="H1845" s="96" t="str">
        <f>IF(Proc[[#This Row],[type]]="LFF (MDG-F)",MID(Proc[[#This Row],[Obj]],13,10),"")</f>
        <v/>
      </c>
      <c r="J1845" s="96" t="b">
        <f>Proc[[#This Row],[Requested]]=Proc[[#This Row],[CurrentParent]]</f>
        <v>1</v>
      </c>
      <c r="K1845" s="96" t="str">
        <f>IF(Proc[[#This Row],[Author]]="Marcela Urrego",VLOOKUP(LEFT(Proc[[#This Row],[Requested]],1),Table3[#All],2,0),VLOOKUP(Proc[[#This Row],[Author]],Table4[],2,0))</f>
        <v>HC</v>
      </c>
      <c r="L1845" s="96"/>
      <c r="M1845" s="92">
        <v>45807.678356481483</v>
      </c>
      <c r="N1845" s="93">
        <v>45810</v>
      </c>
      <c r="O1845" s="93">
        <v>45810</v>
      </c>
      <c r="P1845" s="92" t="str">
        <f ca="1">IF(Proc[[#This Row],[DaysAgeing]]&gt;5,"yep","on track")</f>
        <v>on track</v>
      </c>
      <c r="Q1845" s="3">
        <f ca="1">IF(Proc[[#This Row],[DateClosed]]="",ABS(NETWORKDAYS(Proc[[#This Row],[DateOpened]],TODAY()))-1,ABS(NETWORKDAYS(Proc[[#This Row],[DateOpened]],Proc[[#This Row],[DateClosed]]))-1)</f>
        <v>1</v>
      </c>
      <c r="R1845" s="92" t="s">
        <v>1013</v>
      </c>
      <c r="S1845" s="96"/>
    </row>
    <row r="1846" spans="1:19" hidden="1">
      <c r="A1846" s="95" t="s">
        <v>3641</v>
      </c>
      <c r="B1846" s="96" t="str">
        <f>IFERROR(VLOOKUP(Proc[[#This Row],[App]],Table2[],3,0),"open")</f>
        <v>ok</v>
      </c>
      <c r="C1846" s="95" t="s">
        <v>369</v>
      </c>
      <c r="D1846" t="s">
        <v>3674</v>
      </c>
      <c r="E1846" t="s">
        <v>3006</v>
      </c>
      <c r="F1846" s="105" t="s">
        <v>3006</v>
      </c>
      <c r="G1846" s="95" t="s">
        <v>400</v>
      </c>
      <c r="H1846" s="96" t="str">
        <f>IF(Proc[[#This Row],[type]]="LFF (MDG-F)",MID(Proc[[#This Row],[Obj]],13,10),"")</f>
        <v/>
      </c>
      <c r="J1846" s="96" t="b">
        <f>Proc[[#This Row],[Requested]]=Proc[[#This Row],[CurrentParent]]</f>
        <v>1</v>
      </c>
      <c r="K1846" s="96" t="str">
        <f>IF(Proc[[#This Row],[Author]]="Marcela Urrego",VLOOKUP(LEFT(Proc[[#This Row],[Requested]],1),Table3[#All],2,0),VLOOKUP(Proc[[#This Row],[Author]],Table4[],2,0))</f>
        <v>HC</v>
      </c>
      <c r="L1846" s="96"/>
      <c r="M1846" s="92">
        <v>45807.678356481483</v>
      </c>
      <c r="N1846" s="93">
        <v>45810</v>
      </c>
      <c r="O1846" s="93">
        <v>45810</v>
      </c>
      <c r="P1846" s="92" t="str">
        <f ca="1">IF(Proc[[#This Row],[DaysAgeing]]&gt;5,"yep","on track")</f>
        <v>on track</v>
      </c>
      <c r="Q1846" s="3">
        <f ca="1">IF(Proc[[#This Row],[DateClosed]]="",ABS(NETWORKDAYS(Proc[[#This Row],[DateOpened]],TODAY()))-1,ABS(NETWORKDAYS(Proc[[#This Row],[DateOpened]],Proc[[#This Row],[DateClosed]]))-1)</f>
        <v>1</v>
      </c>
      <c r="R1846" s="92" t="s">
        <v>1013</v>
      </c>
      <c r="S1846" s="96"/>
    </row>
    <row r="1847" spans="1:19" hidden="1">
      <c r="A1847" s="95" t="s">
        <v>3641</v>
      </c>
      <c r="B1847" s="96" t="str">
        <f>IFERROR(VLOOKUP(Proc[[#This Row],[App]],Table2[],3,0),"open")</f>
        <v>ok</v>
      </c>
      <c r="C1847" s="95" t="s">
        <v>369</v>
      </c>
      <c r="D1847" t="s">
        <v>3675</v>
      </c>
      <c r="E1847" t="s">
        <v>3006</v>
      </c>
      <c r="F1847" s="105" t="s">
        <v>3006</v>
      </c>
      <c r="G1847" s="95" t="s">
        <v>400</v>
      </c>
      <c r="H1847" s="96" t="str">
        <f>IF(Proc[[#This Row],[type]]="LFF (MDG-F)",MID(Proc[[#This Row],[Obj]],13,10),"")</f>
        <v/>
      </c>
      <c r="J1847" s="96" t="b">
        <f>Proc[[#This Row],[Requested]]=Proc[[#This Row],[CurrentParent]]</f>
        <v>1</v>
      </c>
      <c r="K1847" s="96" t="str">
        <f>IF(Proc[[#This Row],[Author]]="Marcela Urrego",VLOOKUP(LEFT(Proc[[#This Row],[Requested]],1),Table3[#All],2,0),VLOOKUP(Proc[[#This Row],[Author]],Table4[],2,0))</f>
        <v>HC</v>
      </c>
      <c r="L1847" s="96"/>
      <c r="M1847" s="92">
        <v>45807.678356481483</v>
      </c>
      <c r="N1847" s="93">
        <v>45810</v>
      </c>
      <c r="O1847" s="93">
        <v>45810</v>
      </c>
      <c r="P1847" s="92" t="str">
        <f ca="1">IF(Proc[[#This Row],[DaysAgeing]]&gt;5,"yep","on track")</f>
        <v>on track</v>
      </c>
      <c r="Q1847" s="3">
        <f ca="1">IF(Proc[[#This Row],[DateClosed]]="",ABS(NETWORKDAYS(Proc[[#This Row],[DateOpened]],TODAY()))-1,ABS(NETWORKDAYS(Proc[[#This Row],[DateOpened]],Proc[[#This Row],[DateClosed]]))-1)</f>
        <v>1</v>
      </c>
      <c r="R1847" s="92" t="s">
        <v>1013</v>
      </c>
      <c r="S1847" s="96"/>
    </row>
    <row r="1848" spans="1:19" hidden="1">
      <c r="A1848" s="95" t="s">
        <v>3641</v>
      </c>
      <c r="B1848" s="96" t="str">
        <f>IFERROR(VLOOKUP(Proc[[#This Row],[App]],Table2[],3,0),"open")</f>
        <v>ok</v>
      </c>
      <c r="C1848" s="95" t="s">
        <v>369</v>
      </c>
      <c r="D1848" t="s">
        <v>3676</v>
      </c>
      <c r="E1848" t="s">
        <v>3004</v>
      </c>
      <c r="F1848" s="105" t="s">
        <v>3004</v>
      </c>
      <c r="G1848" s="95" t="s">
        <v>400</v>
      </c>
      <c r="H1848" s="96" t="str">
        <f>IF(Proc[[#This Row],[type]]="LFF (MDG-F)",MID(Proc[[#This Row],[Obj]],13,10),"")</f>
        <v/>
      </c>
      <c r="J1848" s="96" t="b">
        <f>Proc[[#This Row],[Requested]]=Proc[[#This Row],[CurrentParent]]</f>
        <v>1</v>
      </c>
      <c r="K1848" s="96" t="str">
        <f>IF(Proc[[#This Row],[Author]]="Marcela Urrego",VLOOKUP(LEFT(Proc[[#This Row],[Requested]],1),Table3[#All],2,0),VLOOKUP(Proc[[#This Row],[Author]],Table4[],2,0))</f>
        <v>HC</v>
      </c>
      <c r="L1848" s="96"/>
      <c r="M1848" s="92">
        <v>45807.678356481483</v>
      </c>
      <c r="N1848" s="93">
        <v>45810</v>
      </c>
      <c r="O1848" s="93">
        <v>45810</v>
      </c>
      <c r="P1848" s="92" t="str">
        <f ca="1">IF(Proc[[#This Row],[DaysAgeing]]&gt;5,"yep","on track")</f>
        <v>on track</v>
      </c>
      <c r="Q1848" s="3">
        <f ca="1">IF(Proc[[#This Row],[DateClosed]]="",ABS(NETWORKDAYS(Proc[[#This Row],[DateOpened]],TODAY()))-1,ABS(NETWORKDAYS(Proc[[#This Row],[DateOpened]],Proc[[#This Row],[DateClosed]]))-1)</f>
        <v>1</v>
      </c>
      <c r="R1848" s="92" t="s">
        <v>1013</v>
      </c>
      <c r="S1848" s="96"/>
    </row>
    <row r="1849" spans="1:19" hidden="1">
      <c r="A1849" s="95" t="s">
        <v>3641</v>
      </c>
      <c r="B1849" s="96" t="str">
        <f>IFERROR(VLOOKUP(Proc[[#This Row],[App]],Table2[],3,0),"open")</f>
        <v>ok</v>
      </c>
      <c r="C1849" s="95" t="s">
        <v>369</v>
      </c>
      <c r="D1849" t="s">
        <v>3677</v>
      </c>
      <c r="E1849" t="s">
        <v>3004</v>
      </c>
      <c r="F1849" s="105" t="s">
        <v>3004</v>
      </c>
      <c r="G1849" s="95" t="s">
        <v>400</v>
      </c>
      <c r="H1849" s="96" t="str">
        <f>IF(Proc[[#This Row],[type]]="LFF (MDG-F)",MID(Proc[[#This Row],[Obj]],13,10),"")</f>
        <v/>
      </c>
      <c r="J1849" s="96" t="b">
        <f>Proc[[#This Row],[Requested]]=Proc[[#This Row],[CurrentParent]]</f>
        <v>1</v>
      </c>
      <c r="K1849" s="96" t="str">
        <f>IF(Proc[[#This Row],[Author]]="Marcela Urrego",VLOOKUP(LEFT(Proc[[#This Row],[Requested]],1),Table3[#All],2,0),VLOOKUP(Proc[[#This Row],[Author]],Table4[],2,0))</f>
        <v>HC</v>
      </c>
      <c r="L1849" s="96"/>
      <c r="M1849" s="92">
        <v>45807.678356481483</v>
      </c>
      <c r="N1849" s="93">
        <v>45810</v>
      </c>
      <c r="O1849" s="93">
        <v>45810</v>
      </c>
      <c r="P1849" s="92" t="str">
        <f ca="1">IF(Proc[[#This Row],[DaysAgeing]]&gt;5,"yep","on track")</f>
        <v>on track</v>
      </c>
      <c r="Q1849" s="3">
        <f ca="1">IF(Proc[[#This Row],[DateClosed]]="",ABS(NETWORKDAYS(Proc[[#This Row],[DateOpened]],TODAY()))-1,ABS(NETWORKDAYS(Proc[[#This Row],[DateOpened]],Proc[[#This Row],[DateClosed]]))-1)</f>
        <v>1</v>
      </c>
      <c r="R1849" s="92" t="s">
        <v>1013</v>
      </c>
      <c r="S1849" s="96"/>
    </row>
    <row r="1850" spans="1:19" hidden="1">
      <c r="A1850" s="95" t="s">
        <v>3641</v>
      </c>
      <c r="B1850" s="96" t="str">
        <f>IFERROR(VLOOKUP(Proc[[#This Row],[App]],Table2[],3,0),"open")</f>
        <v>ok</v>
      </c>
      <c r="C1850" s="95" t="s">
        <v>369</v>
      </c>
      <c r="D1850" t="s">
        <v>3678</v>
      </c>
      <c r="E1850" t="s">
        <v>3004</v>
      </c>
      <c r="F1850" s="105" t="s">
        <v>3004</v>
      </c>
      <c r="G1850" s="95" t="s">
        <v>400</v>
      </c>
      <c r="H1850" s="96" t="str">
        <f>IF(Proc[[#This Row],[type]]="LFF (MDG-F)",MID(Proc[[#This Row],[Obj]],13,10),"")</f>
        <v/>
      </c>
      <c r="J1850" s="96" t="b">
        <f>Proc[[#This Row],[Requested]]=Proc[[#This Row],[CurrentParent]]</f>
        <v>1</v>
      </c>
      <c r="K1850" s="96" t="str">
        <f>IF(Proc[[#This Row],[Author]]="Marcela Urrego",VLOOKUP(LEFT(Proc[[#This Row],[Requested]],1),Table3[#All],2,0),VLOOKUP(Proc[[#This Row],[Author]],Table4[],2,0))</f>
        <v>HC</v>
      </c>
      <c r="L1850" s="96"/>
      <c r="M1850" s="92">
        <v>45807.678356481483</v>
      </c>
      <c r="N1850" s="93">
        <v>45810</v>
      </c>
      <c r="O1850" s="93">
        <v>45810</v>
      </c>
      <c r="P1850" s="92" t="str">
        <f ca="1">IF(Proc[[#This Row],[DaysAgeing]]&gt;5,"yep","on track")</f>
        <v>on track</v>
      </c>
      <c r="Q1850" s="3">
        <f ca="1">IF(Proc[[#This Row],[DateClosed]]="",ABS(NETWORKDAYS(Proc[[#This Row],[DateOpened]],TODAY()))-1,ABS(NETWORKDAYS(Proc[[#This Row],[DateOpened]],Proc[[#This Row],[DateClosed]]))-1)</f>
        <v>1</v>
      </c>
      <c r="R1850" s="92" t="s">
        <v>1013</v>
      </c>
      <c r="S1850" s="96"/>
    </row>
    <row r="1851" spans="1:19" hidden="1">
      <c r="A1851" s="95" t="s">
        <v>3641</v>
      </c>
      <c r="B1851" s="96" t="str">
        <f>IFERROR(VLOOKUP(Proc[[#This Row],[App]],Table2[],3,0),"open")</f>
        <v>ok</v>
      </c>
      <c r="C1851" s="95" t="s">
        <v>369</v>
      </c>
      <c r="D1851" t="s">
        <v>3679</v>
      </c>
      <c r="E1851" t="s">
        <v>3004</v>
      </c>
      <c r="F1851" s="105" t="s">
        <v>3004</v>
      </c>
      <c r="G1851" s="95" t="s">
        <v>400</v>
      </c>
      <c r="H1851" s="96" t="str">
        <f>IF(Proc[[#This Row],[type]]="LFF (MDG-F)",MID(Proc[[#This Row],[Obj]],13,10),"")</f>
        <v/>
      </c>
      <c r="J1851" s="96" t="b">
        <f>Proc[[#This Row],[Requested]]=Proc[[#This Row],[CurrentParent]]</f>
        <v>1</v>
      </c>
      <c r="K1851" s="96" t="str">
        <f>IF(Proc[[#This Row],[Author]]="Marcela Urrego",VLOOKUP(LEFT(Proc[[#This Row],[Requested]],1),Table3[#All],2,0),VLOOKUP(Proc[[#This Row],[Author]],Table4[],2,0))</f>
        <v>HC</v>
      </c>
      <c r="L1851" s="96"/>
      <c r="M1851" s="92">
        <v>45807.678356481483</v>
      </c>
      <c r="N1851" s="93">
        <v>45810</v>
      </c>
      <c r="O1851" s="93">
        <v>45810</v>
      </c>
      <c r="P1851" s="92" t="str">
        <f ca="1">IF(Proc[[#This Row],[DaysAgeing]]&gt;5,"yep","on track")</f>
        <v>on track</v>
      </c>
      <c r="Q1851" s="3">
        <f ca="1">IF(Proc[[#This Row],[DateClosed]]="",ABS(NETWORKDAYS(Proc[[#This Row],[DateOpened]],TODAY()))-1,ABS(NETWORKDAYS(Proc[[#This Row],[DateOpened]],Proc[[#This Row],[DateClosed]]))-1)</f>
        <v>1</v>
      </c>
      <c r="R1851" s="92" t="s">
        <v>1013</v>
      </c>
      <c r="S1851" s="96"/>
    </row>
    <row r="1852" spans="1:19" hidden="1">
      <c r="A1852" s="95" t="s">
        <v>3641</v>
      </c>
      <c r="B1852" s="96" t="str">
        <f>IFERROR(VLOOKUP(Proc[[#This Row],[App]],Table2[],3,0),"open")</f>
        <v>ok</v>
      </c>
      <c r="C1852" s="95" t="s">
        <v>369</v>
      </c>
      <c r="D1852" t="s">
        <v>3680</v>
      </c>
      <c r="E1852" t="s">
        <v>3004</v>
      </c>
      <c r="F1852" s="105" t="s">
        <v>3004</v>
      </c>
      <c r="G1852" s="95" t="s">
        <v>400</v>
      </c>
      <c r="H1852" s="96" t="str">
        <f>IF(Proc[[#This Row],[type]]="LFF (MDG-F)",MID(Proc[[#This Row],[Obj]],13,10),"")</f>
        <v/>
      </c>
      <c r="J1852" s="96" t="b">
        <f>Proc[[#This Row],[Requested]]=Proc[[#This Row],[CurrentParent]]</f>
        <v>1</v>
      </c>
      <c r="K1852" s="96" t="str">
        <f>IF(Proc[[#This Row],[Author]]="Marcela Urrego",VLOOKUP(LEFT(Proc[[#This Row],[Requested]],1),Table3[#All],2,0),VLOOKUP(Proc[[#This Row],[Author]],Table4[],2,0))</f>
        <v>HC</v>
      </c>
      <c r="L1852" s="96"/>
      <c r="M1852" s="92">
        <v>45807.678356481483</v>
      </c>
      <c r="N1852" s="93">
        <v>45810</v>
      </c>
      <c r="O1852" s="93">
        <v>45810</v>
      </c>
      <c r="P1852" s="92" t="str">
        <f ca="1">IF(Proc[[#This Row],[DaysAgeing]]&gt;5,"yep","on track")</f>
        <v>on track</v>
      </c>
      <c r="Q1852" s="3">
        <f ca="1">IF(Proc[[#This Row],[DateClosed]]="",ABS(NETWORKDAYS(Proc[[#This Row],[DateOpened]],TODAY()))-1,ABS(NETWORKDAYS(Proc[[#This Row],[DateOpened]],Proc[[#This Row],[DateClosed]]))-1)</f>
        <v>1</v>
      </c>
      <c r="R1852" s="92" t="s">
        <v>1013</v>
      </c>
      <c r="S1852" s="96"/>
    </row>
    <row r="1853" spans="1:19" hidden="1">
      <c r="A1853" s="95" t="s">
        <v>3641</v>
      </c>
      <c r="B1853" s="96" t="str">
        <f>IFERROR(VLOOKUP(Proc[[#This Row],[App]],Table2[],3,0),"open")</f>
        <v>ok</v>
      </c>
      <c r="C1853" s="95" t="s">
        <v>369</v>
      </c>
      <c r="D1853" t="s">
        <v>3681</v>
      </c>
      <c r="E1853" t="s">
        <v>3005</v>
      </c>
      <c r="F1853" s="105" t="s">
        <v>3005</v>
      </c>
      <c r="G1853" s="95" t="s">
        <v>400</v>
      </c>
      <c r="H1853" s="96" t="str">
        <f>IF(Proc[[#This Row],[type]]="LFF (MDG-F)",MID(Proc[[#This Row],[Obj]],13,10),"")</f>
        <v/>
      </c>
      <c r="J1853" s="96" t="b">
        <f>Proc[[#This Row],[Requested]]=Proc[[#This Row],[CurrentParent]]</f>
        <v>1</v>
      </c>
      <c r="K1853" s="96" t="str">
        <f>IF(Proc[[#This Row],[Author]]="Marcela Urrego",VLOOKUP(LEFT(Proc[[#This Row],[Requested]],1),Table3[#All],2,0),VLOOKUP(Proc[[#This Row],[Author]],Table4[],2,0))</f>
        <v>HC</v>
      </c>
      <c r="L1853" s="96"/>
      <c r="M1853" s="92">
        <v>45807.678356481483</v>
      </c>
      <c r="N1853" s="93">
        <v>45810</v>
      </c>
      <c r="O1853" s="93">
        <v>45810</v>
      </c>
      <c r="P1853" s="92" t="str">
        <f ca="1">IF(Proc[[#This Row],[DaysAgeing]]&gt;5,"yep","on track")</f>
        <v>on track</v>
      </c>
      <c r="Q1853" s="3">
        <f ca="1">IF(Proc[[#This Row],[DateClosed]]="",ABS(NETWORKDAYS(Proc[[#This Row],[DateOpened]],TODAY()))-1,ABS(NETWORKDAYS(Proc[[#This Row],[DateOpened]],Proc[[#This Row],[DateClosed]]))-1)</f>
        <v>1</v>
      </c>
      <c r="R1853" s="92" t="s">
        <v>1013</v>
      </c>
      <c r="S1853" s="96"/>
    </row>
    <row r="1854" spans="1:19" hidden="1">
      <c r="A1854" s="95" t="s">
        <v>3641</v>
      </c>
      <c r="B1854" s="96" t="str">
        <f>IFERROR(VLOOKUP(Proc[[#This Row],[App]],Table2[],3,0),"open")</f>
        <v>ok</v>
      </c>
      <c r="C1854" s="95" t="s">
        <v>369</v>
      </c>
      <c r="D1854" t="s">
        <v>3682</v>
      </c>
      <c r="E1854" t="s">
        <v>3004</v>
      </c>
      <c r="F1854" s="105" t="s">
        <v>3004</v>
      </c>
      <c r="G1854" s="95" t="s">
        <v>400</v>
      </c>
      <c r="H1854" s="96" t="str">
        <f>IF(Proc[[#This Row],[type]]="LFF (MDG-F)",MID(Proc[[#This Row],[Obj]],13,10),"")</f>
        <v/>
      </c>
      <c r="J1854" s="96" t="b">
        <f>Proc[[#This Row],[Requested]]=Proc[[#This Row],[CurrentParent]]</f>
        <v>1</v>
      </c>
      <c r="K1854" s="96" t="str">
        <f>IF(Proc[[#This Row],[Author]]="Marcela Urrego",VLOOKUP(LEFT(Proc[[#This Row],[Requested]],1),Table3[#All],2,0),VLOOKUP(Proc[[#This Row],[Author]],Table4[],2,0))</f>
        <v>HC</v>
      </c>
      <c r="L1854" s="96"/>
      <c r="M1854" s="92">
        <v>45807.678356481483</v>
      </c>
      <c r="N1854" s="93">
        <v>45810</v>
      </c>
      <c r="O1854" s="93">
        <v>45810</v>
      </c>
      <c r="P1854" s="92" t="str">
        <f ca="1">IF(Proc[[#This Row],[DaysAgeing]]&gt;5,"yep","on track")</f>
        <v>on track</v>
      </c>
      <c r="Q1854" s="3">
        <f ca="1">IF(Proc[[#This Row],[DateClosed]]="",ABS(NETWORKDAYS(Proc[[#This Row],[DateOpened]],TODAY()))-1,ABS(NETWORKDAYS(Proc[[#This Row],[DateOpened]],Proc[[#This Row],[DateClosed]]))-1)</f>
        <v>1</v>
      </c>
      <c r="R1854" s="92" t="s">
        <v>1013</v>
      </c>
      <c r="S1854" s="96"/>
    </row>
    <row r="1855" spans="1:19" hidden="1">
      <c r="A1855" s="95" t="s">
        <v>3641</v>
      </c>
      <c r="B1855" s="96" t="str">
        <f>IFERROR(VLOOKUP(Proc[[#This Row],[App]],Table2[],3,0),"open")</f>
        <v>ok</v>
      </c>
      <c r="C1855" s="95" t="s">
        <v>369</v>
      </c>
      <c r="D1855" t="s">
        <v>3683</v>
      </c>
      <c r="E1855" t="s">
        <v>3004</v>
      </c>
      <c r="F1855" s="105" t="s">
        <v>3004</v>
      </c>
      <c r="G1855" s="95" t="s">
        <v>400</v>
      </c>
      <c r="H1855" s="96" t="str">
        <f>IF(Proc[[#This Row],[type]]="LFF (MDG-F)",MID(Proc[[#This Row],[Obj]],13,10),"")</f>
        <v/>
      </c>
      <c r="J1855" s="96" t="b">
        <f>Proc[[#This Row],[Requested]]=Proc[[#This Row],[CurrentParent]]</f>
        <v>1</v>
      </c>
      <c r="K1855" s="96" t="str">
        <f>IF(Proc[[#This Row],[Author]]="Marcela Urrego",VLOOKUP(LEFT(Proc[[#This Row],[Requested]],1),Table3[#All],2,0),VLOOKUP(Proc[[#This Row],[Author]],Table4[],2,0))</f>
        <v>HC</v>
      </c>
      <c r="L1855" s="96"/>
      <c r="M1855" s="92">
        <v>45807.678356481483</v>
      </c>
      <c r="N1855" s="93">
        <v>45810</v>
      </c>
      <c r="O1855" s="93">
        <v>45810</v>
      </c>
      <c r="P1855" s="92" t="str">
        <f ca="1">IF(Proc[[#This Row],[DaysAgeing]]&gt;5,"yep","on track")</f>
        <v>on track</v>
      </c>
      <c r="Q1855" s="3">
        <f ca="1">IF(Proc[[#This Row],[DateClosed]]="",ABS(NETWORKDAYS(Proc[[#This Row],[DateOpened]],TODAY()))-1,ABS(NETWORKDAYS(Proc[[#This Row],[DateOpened]],Proc[[#This Row],[DateClosed]]))-1)</f>
        <v>1</v>
      </c>
      <c r="R1855" s="92" t="s">
        <v>1013</v>
      </c>
      <c r="S1855" s="96"/>
    </row>
    <row r="1856" spans="1:19" hidden="1">
      <c r="A1856" s="95" t="s">
        <v>3641</v>
      </c>
      <c r="B1856" s="96" t="str">
        <f>IFERROR(VLOOKUP(Proc[[#This Row],[App]],Table2[],3,0),"open")</f>
        <v>ok</v>
      </c>
      <c r="C1856" s="95" t="s">
        <v>369</v>
      </c>
      <c r="D1856" t="s">
        <v>3684</v>
      </c>
      <c r="E1856" t="s">
        <v>3004</v>
      </c>
      <c r="F1856" s="105" t="s">
        <v>3004</v>
      </c>
      <c r="G1856" s="95" t="s">
        <v>400</v>
      </c>
      <c r="H1856" s="96" t="str">
        <f>IF(Proc[[#This Row],[type]]="LFF (MDG-F)",MID(Proc[[#This Row],[Obj]],13,10),"")</f>
        <v/>
      </c>
      <c r="J1856" s="96" t="b">
        <f>Proc[[#This Row],[Requested]]=Proc[[#This Row],[CurrentParent]]</f>
        <v>1</v>
      </c>
      <c r="K1856" s="96" t="str">
        <f>IF(Proc[[#This Row],[Author]]="Marcela Urrego",VLOOKUP(LEFT(Proc[[#This Row],[Requested]],1),Table3[#All],2,0),VLOOKUP(Proc[[#This Row],[Author]],Table4[],2,0))</f>
        <v>HC</v>
      </c>
      <c r="L1856" s="96"/>
      <c r="M1856" s="92">
        <v>45807.678356481483</v>
      </c>
      <c r="N1856" s="93">
        <v>45810</v>
      </c>
      <c r="O1856" s="93">
        <v>45810</v>
      </c>
      <c r="P1856" s="92" t="str">
        <f ca="1">IF(Proc[[#This Row],[DaysAgeing]]&gt;5,"yep","on track")</f>
        <v>on track</v>
      </c>
      <c r="Q1856" s="3">
        <f ca="1">IF(Proc[[#This Row],[DateClosed]]="",ABS(NETWORKDAYS(Proc[[#This Row],[DateOpened]],TODAY()))-1,ABS(NETWORKDAYS(Proc[[#This Row],[DateOpened]],Proc[[#This Row],[DateClosed]]))-1)</f>
        <v>1</v>
      </c>
      <c r="R1856" s="92" t="s">
        <v>1013</v>
      </c>
      <c r="S1856" s="96"/>
    </row>
    <row r="1857" spans="1:19" hidden="1">
      <c r="A1857" s="95" t="s">
        <v>3641</v>
      </c>
      <c r="B1857" s="96" t="str">
        <f>IFERROR(VLOOKUP(Proc[[#This Row],[App]],Table2[],3,0),"open")</f>
        <v>ok</v>
      </c>
      <c r="C1857" s="95" t="s">
        <v>369</v>
      </c>
      <c r="D1857" t="s">
        <v>3685</v>
      </c>
      <c r="E1857" t="s">
        <v>3004</v>
      </c>
      <c r="F1857" s="105" t="s">
        <v>3004</v>
      </c>
      <c r="G1857" s="95" t="s">
        <v>400</v>
      </c>
      <c r="H1857" s="96" t="str">
        <f>IF(Proc[[#This Row],[type]]="LFF (MDG-F)",MID(Proc[[#This Row],[Obj]],13,10),"")</f>
        <v/>
      </c>
      <c r="J1857" s="96" t="b">
        <f>Proc[[#This Row],[Requested]]=Proc[[#This Row],[CurrentParent]]</f>
        <v>1</v>
      </c>
      <c r="K1857" s="96" t="str">
        <f>IF(Proc[[#This Row],[Author]]="Marcela Urrego",VLOOKUP(LEFT(Proc[[#This Row],[Requested]],1),Table3[#All],2,0),VLOOKUP(Proc[[#This Row],[Author]],Table4[],2,0))</f>
        <v>HC</v>
      </c>
      <c r="L1857" s="96"/>
      <c r="M1857" s="92">
        <v>45807.678356481483</v>
      </c>
      <c r="N1857" s="93">
        <v>45810</v>
      </c>
      <c r="O1857" s="93">
        <v>45810</v>
      </c>
      <c r="P1857" s="92" t="str">
        <f ca="1">IF(Proc[[#This Row],[DaysAgeing]]&gt;5,"yep","on track")</f>
        <v>on track</v>
      </c>
      <c r="Q1857" s="3">
        <f ca="1">IF(Proc[[#This Row],[DateClosed]]="",ABS(NETWORKDAYS(Proc[[#This Row],[DateOpened]],TODAY()))-1,ABS(NETWORKDAYS(Proc[[#This Row],[DateOpened]],Proc[[#This Row],[DateClosed]]))-1)</f>
        <v>1</v>
      </c>
      <c r="R1857" s="92" t="s">
        <v>1013</v>
      </c>
      <c r="S1857" s="96"/>
    </row>
    <row r="1858" spans="1:19" hidden="1">
      <c r="A1858" s="95" t="s">
        <v>3641</v>
      </c>
      <c r="B1858" s="96" t="str">
        <f>IFERROR(VLOOKUP(Proc[[#This Row],[App]],Table2[],3,0),"open")</f>
        <v>ok</v>
      </c>
      <c r="C1858" s="95" t="s">
        <v>369</v>
      </c>
      <c r="D1858" t="s">
        <v>3686</v>
      </c>
      <c r="E1858" t="s">
        <v>3004</v>
      </c>
      <c r="F1858" s="105" t="s">
        <v>3004</v>
      </c>
      <c r="G1858" s="95" t="s">
        <v>400</v>
      </c>
      <c r="H1858" s="96" t="str">
        <f>IF(Proc[[#This Row],[type]]="LFF (MDG-F)",MID(Proc[[#This Row],[Obj]],13,10),"")</f>
        <v/>
      </c>
      <c r="J1858" s="96" t="b">
        <f>Proc[[#This Row],[Requested]]=Proc[[#This Row],[CurrentParent]]</f>
        <v>1</v>
      </c>
      <c r="K1858" s="96" t="str">
        <f>IF(Proc[[#This Row],[Author]]="Marcela Urrego",VLOOKUP(LEFT(Proc[[#This Row],[Requested]],1),Table3[#All],2,0),VLOOKUP(Proc[[#This Row],[Author]],Table4[],2,0))</f>
        <v>HC</v>
      </c>
      <c r="L1858" s="96"/>
      <c r="M1858" s="92">
        <v>45807.678356481483</v>
      </c>
      <c r="N1858" s="93">
        <v>45810</v>
      </c>
      <c r="O1858" s="93">
        <v>45810</v>
      </c>
      <c r="P1858" s="92" t="str">
        <f ca="1">IF(Proc[[#This Row],[DaysAgeing]]&gt;5,"yep","on track")</f>
        <v>on track</v>
      </c>
      <c r="Q1858" s="3">
        <f ca="1">IF(Proc[[#This Row],[DateClosed]]="",ABS(NETWORKDAYS(Proc[[#This Row],[DateOpened]],TODAY()))-1,ABS(NETWORKDAYS(Proc[[#This Row],[DateOpened]],Proc[[#This Row],[DateClosed]]))-1)</f>
        <v>1</v>
      </c>
      <c r="R1858" s="92" t="s">
        <v>1013</v>
      </c>
      <c r="S1858" s="96"/>
    </row>
    <row r="1859" spans="1:19" hidden="1">
      <c r="A1859" s="95" t="s">
        <v>3641</v>
      </c>
      <c r="B1859" s="96" t="str">
        <f>IFERROR(VLOOKUP(Proc[[#This Row],[App]],Table2[],3,0),"open")</f>
        <v>ok</v>
      </c>
      <c r="C1859" s="95" t="s">
        <v>369</v>
      </c>
      <c r="D1859" t="s">
        <v>3687</v>
      </c>
      <c r="E1859" t="s">
        <v>3006</v>
      </c>
      <c r="F1859" s="105" t="s">
        <v>3006</v>
      </c>
      <c r="G1859" s="95" t="s">
        <v>400</v>
      </c>
      <c r="H1859" s="96" t="str">
        <f>IF(Proc[[#This Row],[type]]="LFF (MDG-F)",MID(Proc[[#This Row],[Obj]],13,10),"")</f>
        <v/>
      </c>
      <c r="J1859" s="96" t="b">
        <f>Proc[[#This Row],[Requested]]=Proc[[#This Row],[CurrentParent]]</f>
        <v>1</v>
      </c>
      <c r="K1859" s="96" t="str">
        <f>IF(Proc[[#This Row],[Author]]="Marcela Urrego",VLOOKUP(LEFT(Proc[[#This Row],[Requested]],1),Table3[#All],2,0),VLOOKUP(Proc[[#This Row],[Author]],Table4[],2,0))</f>
        <v>HC</v>
      </c>
      <c r="L1859" s="96"/>
      <c r="M1859" s="92">
        <v>45807.678356481483</v>
      </c>
      <c r="N1859" s="93">
        <v>45810</v>
      </c>
      <c r="O1859" s="93">
        <v>45810</v>
      </c>
      <c r="P1859" s="92" t="str">
        <f ca="1">IF(Proc[[#This Row],[DaysAgeing]]&gt;5,"yep","on track")</f>
        <v>on track</v>
      </c>
      <c r="Q1859" s="3">
        <f ca="1">IF(Proc[[#This Row],[DateClosed]]="",ABS(NETWORKDAYS(Proc[[#This Row],[DateOpened]],TODAY()))-1,ABS(NETWORKDAYS(Proc[[#This Row],[DateOpened]],Proc[[#This Row],[DateClosed]]))-1)</f>
        <v>1</v>
      </c>
      <c r="R1859" s="92" t="s">
        <v>1013</v>
      </c>
      <c r="S1859" s="96"/>
    </row>
    <row r="1860" spans="1:19" hidden="1">
      <c r="A1860" s="95" t="s">
        <v>3641</v>
      </c>
      <c r="B1860" s="96" t="str">
        <f>IFERROR(VLOOKUP(Proc[[#This Row],[App]],Table2[],3,0),"open")</f>
        <v>ok</v>
      </c>
      <c r="C1860" s="95" t="s">
        <v>369</v>
      </c>
      <c r="D1860" t="s">
        <v>3688</v>
      </c>
      <c r="E1860" t="s">
        <v>3006</v>
      </c>
      <c r="F1860" s="105" t="s">
        <v>3006</v>
      </c>
      <c r="G1860" s="95" t="s">
        <v>400</v>
      </c>
      <c r="H1860" s="96" t="str">
        <f>IF(Proc[[#This Row],[type]]="LFF (MDG-F)",MID(Proc[[#This Row],[Obj]],13,10),"")</f>
        <v/>
      </c>
      <c r="J1860" s="96" t="b">
        <f>Proc[[#This Row],[Requested]]=Proc[[#This Row],[CurrentParent]]</f>
        <v>1</v>
      </c>
      <c r="K1860" s="96" t="str">
        <f>IF(Proc[[#This Row],[Author]]="Marcela Urrego",VLOOKUP(LEFT(Proc[[#This Row],[Requested]],1),Table3[#All],2,0),VLOOKUP(Proc[[#This Row],[Author]],Table4[],2,0))</f>
        <v>HC</v>
      </c>
      <c r="L1860" s="96"/>
      <c r="M1860" s="92">
        <v>45807.678356481483</v>
      </c>
      <c r="N1860" s="93">
        <v>45810</v>
      </c>
      <c r="O1860" s="93">
        <v>45810</v>
      </c>
      <c r="P1860" s="92" t="str">
        <f ca="1">IF(Proc[[#This Row],[DaysAgeing]]&gt;5,"yep","on track")</f>
        <v>on track</v>
      </c>
      <c r="Q1860" s="3">
        <f ca="1">IF(Proc[[#This Row],[DateClosed]]="",ABS(NETWORKDAYS(Proc[[#This Row],[DateOpened]],TODAY()))-1,ABS(NETWORKDAYS(Proc[[#This Row],[DateOpened]],Proc[[#This Row],[DateClosed]]))-1)</f>
        <v>1</v>
      </c>
      <c r="R1860" s="92" t="s">
        <v>1013</v>
      </c>
      <c r="S1860" s="96"/>
    </row>
    <row r="1861" spans="1:19" hidden="1">
      <c r="A1861" s="95" t="s">
        <v>3641</v>
      </c>
      <c r="B1861" s="96" t="str">
        <f>IFERROR(VLOOKUP(Proc[[#This Row],[App]],Table2[],3,0),"open")</f>
        <v>ok</v>
      </c>
      <c r="C1861" s="95" t="s">
        <v>369</v>
      </c>
      <c r="D1861" t="s">
        <v>3689</v>
      </c>
      <c r="E1861" t="s">
        <v>3006</v>
      </c>
      <c r="F1861" s="105" t="s">
        <v>3006</v>
      </c>
      <c r="G1861" s="95" t="s">
        <v>400</v>
      </c>
      <c r="H1861" s="96" t="str">
        <f>IF(Proc[[#This Row],[type]]="LFF (MDG-F)",MID(Proc[[#This Row],[Obj]],13,10),"")</f>
        <v/>
      </c>
      <c r="J1861" s="96" t="b">
        <f>Proc[[#This Row],[Requested]]=Proc[[#This Row],[CurrentParent]]</f>
        <v>1</v>
      </c>
      <c r="K1861" s="96" t="str">
        <f>IF(Proc[[#This Row],[Author]]="Marcela Urrego",VLOOKUP(LEFT(Proc[[#This Row],[Requested]],1),Table3[#All],2,0),VLOOKUP(Proc[[#This Row],[Author]],Table4[],2,0))</f>
        <v>HC</v>
      </c>
      <c r="L1861" s="96"/>
      <c r="M1861" s="92">
        <v>45807.678356481483</v>
      </c>
      <c r="N1861" s="93">
        <v>45810</v>
      </c>
      <c r="O1861" s="93">
        <v>45810</v>
      </c>
      <c r="P1861" s="92" t="str">
        <f ca="1">IF(Proc[[#This Row],[DaysAgeing]]&gt;5,"yep","on track")</f>
        <v>on track</v>
      </c>
      <c r="Q1861" s="3">
        <f ca="1">IF(Proc[[#This Row],[DateClosed]]="",ABS(NETWORKDAYS(Proc[[#This Row],[DateOpened]],TODAY()))-1,ABS(NETWORKDAYS(Proc[[#This Row],[DateOpened]],Proc[[#This Row],[DateClosed]]))-1)</f>
        <v>1</v>
      </c>
      <c r="R1861" s="92" t="s">
        <v>1013</v>
      </c>
      <c r="S1861" s="96"/>
    </row>
    <row r="1862" spans="1:19" hidden="1">
      <c r="A1862" s="95" t="s">
        <v>3641</v>
      </c>
      <c r="B1862" s="96" t="str">
        <f>IFERROR(VLOOKUP(Proc[[#This Row],[App]],Table2[],3,0),"open")</f>
        <v>ok</v>
      </c>
      <c r="C1862" s="95" t="s">
        <v>369</v>
      </c>
      <c r="D1862" t="s">
        <v>3690</v>
      </c>
      <c r="E1862" t="s">
        <v>3004</v>
      </c>
      <c r="F1862" s="105" t="s">
        <v>3004</v>
      </c>
      <c r="G1862" s="95" t="s">
        <v>400</v>
      </c>
      <c r="H1862" s="96" t="str">
        <f>IF(Proc[[#This Row],[type]]="LFF (MDG-F)",MID(Proc[[#This Row],[Obj]],13,10),"")</f>
        <v/>
      </c>
      <c r="J1862" s="96" t="b">
        <f>Proc[[#This Row],[Requested]]=Proc[[#This Row],[CurrentParent]]</f>
        <v>1</v>
      </c>
      <c r="K1862" s="96" t="str">
        <f>IF(Proc[[#This Row],[Author]]="Marcela Urrego",VLOOKUP(LEFT(Proc[[#This Row],[Requested]],1),Table3[#All],2,0),VLOOKUP(Proc[[#This Row],[Author]],Table4[],2,0))</f>
        <v>HC</v>
      </c>
      <c r="L1862" s="96"/>
      <c r="M1862" s="92">
        <v>45807.678356481483</v>
      </c>
      <c r="N1862" s="93">
        <v>45810</v>
      </c>
      <c r="O1862" s="93">
        <v>45810</v>
      </c>
      <c r="P1862" s="92" t="str">
        <f ca="1">IF(Proc[[#This Row],[DaysAgeing]]&gt;5,"yep","on track")</f>
        <v>on track</v>
      </c>
      <c r="Q1862" s="3">
        <f ca="1">IF(Proc[[#This Row],[DateClosed]]="",ABS(NETWORKDAYS(Proc[[#This Row],[DateOpened]],TODAY()))-1,ABS(NETWORKDAYS(Proc[[#This Row],[DateOpened]],Proc[[#This Row],[DateClosed]]))-1)</f>
        <v>1</v>
      </c>
      <c r="R1862" s="92" t="s">
        <v>1013</v>
      </c>
      <c r="S1862" s="96"/>
    </row>
    <row r="1863" spans="1:19" hidden="1">
      <c r="A1863" s="95" t="s">
        <v>3641</v>
      </c>
      <c r="B1863" s="96" t="str">
        <f>IFERROR(VLOOKUP(Proc[[#This Row],[App]],Table2[],3,0),"open")</f>
        <v>ok</v>
      </c>
      <c r="C1863" s="95" t="s">
        <v>369</v>
      </c>
      <c r="D1863" t="s">
        <v>3691</v>
      </c>
      <c r="E1863" t="s">
        <v>3741</v>
      </c>
      <c r="F1863" s="105" t="s">
        <v>3741</v>
      </c>
      <c r="G1863" s="95" t="s">
        <v>400</v>
      </c>
      <c r="H1863" s="96" t="str">
        <f>IF(Proc[[#This Row],[type]]="LFF (MDG-F)",MID(Proc[[#This Row],[Obj]],13,10),"")</f>
        <v/>
      </c>
      <c r="J1863" s="96" t="b">
        <f>Proc[[#This Row],[Requested]]=Proc[[#This Row],[CurrentParent]]</f>
        <v>1</v>
      </c>
      <c r="K1863" s="96" t="str">
        <f>IF(Proc[[#This Row],[Author]]="Marcela Urrego",VLOOKUP(LEFT(Proc[[#This Row],[Requested]],1),Table3[#All],2,0),VLOOKUP(Proc[[#This Row],[Author]],Table4[],2,0))</f>
        <v>HC</v>
      </c>
      <c r="L1863" s="96"/>
      <c r="M1863" s="92">
        <v>45807.678356481483</v>
      </c>
      <c r="N1863" s="93">
        <v>45810</v>
      </c>
      <c r="O1863" s="93">
        <v>45810</v>
      </c>
      <c r="P1863" s="92" t="str">
        <f ca="1">IF(Proc[[#This Row],[DaysAgeing]]&gt;5,"yep","on track")</f>
        <v>on track</v>
      </c>
      <c r="Q1863" s="3">
        <f ca="1">IF(Proc[[#This Row],[DateClosed]]="",ABS(NETWORKDAYS(Proc[[#This Row],[DateOpened]],TODAY()))-1,ABS(NETWORKDAYS(Proc[[#This Row],[DateOpened]],Proc[[#This Row],[DateClosed]]))-1)</f>
        <v>1</v>
      </c>
      <c r="R1863" s="92" t="s">
        <v>1013</v>
      </c>
      <c r="S1863" s="96"/>
    </row>
    <row r="1864" spans="1:19" hidden="1">
      <c r="A1864" s="95" t="s">
        <v>3641</v>
      </c>
      <c r="B1864" s="96" t="str">
        <f>IFERROR(VLOOKUP(Proc[[#This Row],[App]],Table2[],3,0),"open")</f>
        <v>ok</v>
      </c>
      <c r="C1864" s="95" t="s">
        <v>369</v>
      </c>
      <c r="D1864" t="s">
        <v>3692</v>
      </c>
      <c r="E1864" t="s">
        <v>3742</v>
      </c>
      <c r="F1864" s="105" t="s">
        <v>3742</v>
      </c>
      <c r="G1864" s="95" t="s">
        <v>400</v>
      </c>
      <c r="H1864" s="96" t="str">
        <f>IF(Proc[[#This Row],[type]]="LFF (MDG-F)",MID(Proc[[#This Row],[Obj]],13,10),"")</f>
        <v/>
      </c>
      <c r="J1864" s="96" t="b">
        <f>Proc[[#This Row],[Requested]]=Proc[[#This Row],[CurrentParent]]</f>
        <v>1</v>
      </c>
      <c r="K1864" s="96" t="str">
        <f>IF(Proc[[#This Row],[Author]]="Marcela Urrego",VLOOKUP(LEFT(Proc[[#This Row],[Requested]],1),Table3[#All],2,0),VLOOKUP(Proc[[#This Row],[Author]],Table4[],2,0))</f>
        <v>HC</v>
      </c>
      <c r="L1864" s="96"/>
      <c r="M1864" s="92">
        <v>45807.678356481483</v>
      </c>
      <c r="N1864" s="93">
        <v>45810</v>
      </c>
      <c r="O1864" s="93">
        <v>45810</v>
      </c>
      <c r="P1864" s="92" t="str">
        <f ca="1">IF(Proc[[#This Row],[DaysAgeing]]&gt;5,"yep","on track")</f>
        <v>on track</v>
      </c>
      <c r="Q1864" s="3">
        <f ca="1">IF(Proc[[#This Row],[DateClosed]]="",ABS(NETWORKDAYS(Proc[[#This Row],[DateOpened]],TODAY()))-1,ABS(NETWORKDAYS(Proc[[#This Row],[DateOpened]],Proc[[#This Row],[DateClosed]]))-1)</f>
        <v>1</v>
      </c>
      <c r="R1864" s="92" t="s">
        <v>1013</v>
      </c>
      <c r="S1864" s="96"/>
    </row>
    <row r="1865" spans="1:19" hidden="1">
      <c r="A1865" s="95" t="s">
        <v>3641</v>
      </c>
      <c r="B1865" s="96" t="str">
        <f>IFERROR(VLOOKUP(Proc[[#This Row],[App]],Table2[],3,0),"open")</f>
        <v>ok</v>
      </c>
      <c r="C1865" s="95" t="s">
        <v>369</v>
      </c>
      <c r="D1865" t="s">
        <v>3693</v>
      </c>
      <c r="E1865" t="s">
        <v>3744</v>
      </c>
      <c r="F1865" s="105" t="s">
        <v>3744</v>
      </c>
      <c r="G1865" s="95" t="s">
        <v>400</v>
      </c>
      <c r="H1865" s="96" t="str">
        <f>IF(Proc[[#This Row],[type]]="LFF (MDG-F)",MID(Proc[[#This Row],[Obj]],13,10),"")</f>
        <v/>
      </c>
      <c r="J1865" s="96" t="b">
        <f>Proc[[#This Row],[Requested]]=Proc[[#This Row],[CurrentParent]]</f>
        <v>1</v>
      </c>
      <c r="K1865" s="96" t="str">
        <f>IF(Proc[[#This Row],[Author]]="Marcela Urrego",VLOOKUP(LEFT(Proc[[#This Row],[Requested]],1),Table3[#All],2,0),VLOOKUP(Proc[[#This Row],[Author]],Table4[],2,0))</f>
        <v>HC</v>
      </c>
      <c r="L1865" s="96"/>
      <c r="M1865" s="92">
        <v>45807.678356481483</v>
      </c>
      <c r="N1865" s="93">
        <v>45810</v>
      </c>
      <c r="O1865" s="93">
        <v>45810</v>
      </c>
      <c r="P1865" s="92" t="str">
        <f ca="1">IF(Proc[[#This Row],[DaysAgeing]]&gt;5,"yep","on track")</f>
        <v>on track</v>
      </c>
      <c r="Q1865" s="3">
        <f ca="1">IF(Proc[[#This Row],[DateClosed]]="",ABS(NETWORKDAYS(Proc[[#This Row],[DateOpened]],TODAY()))-1,ABS(NETWORKDAYS(Proc[[#This Row],[DateOpened]],Proc[[#This Row],[DateClosed]]))-1)</f>
        <v>1</v>
      </c>
      <c r="R1865" s="92" t="s">
        <v>1013</v>
      </c>
      <c r="S1865" s="96"/>
    </row>
    <row r="1866" spans="1:19" hidden="1">
      <c r="A1866" s="95" t="s">
        <v>3641</v>
      </c>
      <c r="B1866" s="96" t="str">
        <f>IFERROR(VLOOKUP(Proc[[#This Row],[App]],Table2[],3,0),"open")</f>
        <v>ok</v>
      </c>
      <c r="C1866" s="95" t="s">
        <v>369</v>
      </c>
      <c r="D1866" t="s">
        <v>3694</v>
      </c>
      <c r="E1866" t="s">
        <v>3746</v>
      </c>
      <c r="F1866" s="105" t="s">
        <v>3746</v>
      </c>
      <c r="G1866" s="95" t="s">
        <v>400</v>
      </c>
      <c r="H1866" s="96" t="str">
        <f>IF(Proc[[#This Row],[type]]="LFF (MDG-F)",MID(Proc[[#This Row],[Obj]],13,10),"")</f>
        <v/>
      </c>
      <c r="J1866" s="96" t="b">
        <f>Proc[[#This Row],[Requested]]=Proc[[#This Row],[CurrentParent]]</f>
        <v>1</v>
      </c>
      <c r="K1866" s="96" t="str">
        <f>IF(Proc[[#This Row],[Author]]="Marcela Urrego",VLOOKUP(LEFT(Proc[[#This Row],[Requested]],1),Table3[#All],2,0),VLOOKUP(Proc[[#This Row],[Author]],Table4[],2,0))</f>
        <v>HC</v>
      </c>
      <c r="L1866" s="96"/>
      <c r="M1866" s="92">
        <v>45807.678356481483</v>
      </c>
      <c r="N1866" s="93">
        <v>45810</v>
      </c>
      <c r="O1866" s="93">
        <v>45810</v>
      </c>
      <c r="P1866" s="92" t="str">
        <f ca="1">IF(Proc[[#This Row],[DaysAgeing]]&gt;5,"yep","on track")</f>
        <v>on track</v>
      </c>
      <c r="Q1866" s="3">
        <f ca="1">IF(Proc[[#This Row],[DateClosed]]="",ABS(NETWORKDAYS(Proc[[#This Row],[DateOpened]],TODAY()))-1,ABS(NETWORKDAYS(Proc[[#This Row],[DateOpened]],Proc[[#This Row],[DateClosed]]))-1)</f>
        <v>1</v>
      </c>
      <c r="R1866" s="92" t="s">
        <v>1013</v>
      </c>
      <c r="S1866" s="96"/>
    </row>
    <row r="1867" spans="1:19" hidden="1">
      <c r="A1867" s="95" t="s">
        <v>3641</v>
      </c>
      <c r="B1867" s="96" t="str">
        <f>IFERROR(VLOOKUP(Proc[[#This Row],[App]],Table2[],3,0),"open")</f>
        <v>ok</v>
      </c>
      <c r="C1867" s="95" t="s">
        <v>369</v>
      </c>
      <c r="D1867" t="s">
        <v>3695</v>
      </c>
      <c r="E1867" t="s">
        <v>3742</v>
      </c>
      <c r="F1867" s="105" t="s">
        <v>3742</v>
      </c>
      <c r="G1867" s="95" t="s">
        <v>400</v>
      </c>
      <c r="H1867" s="96" t="str">
        <f>IF(Proc[[#This Row],[type]]="LFF (MDG-F)",MID(Proc[[#This Row],[Obj]],13,10),"")</f>
        <v/>
      </c>
      <c r="J1867" s="96" t="b">
        <f>Proc[[#This Row],[Requested]]=Proc[[#This Row],[CurrentParent]]</f>
        <v>1</v>
      </c>
      <c r="K1867" s="96" t="str">
        <f>IF(Proc[[#This Row],[Author]]="Marcela Urrego",VLOOKUP(LEFT(Proc[[#This Row],[Requested]],1),Table3[#All],2,0),VLOOKUP(Proc[[#This Row],[Author]],Table4[],2,0))</f>
        <v>HC</v>
      </c>
      <c r="L1867" s="96"/>
      <c r="M1867" s="92">
        <v>45807.678356481483</v>
      </c>
      <c r="N1867" s="93">
        <v>45810</v>
      </c>
      <c r="O1867" s="93">
        <v>45810</v>
      </c>
      <c r="P1867" s="92" t="str">
        <f ca="1">IF(Proc[[#This Row],[DaysAgeing]]&gt;5,"yep","on track")</f>
        <v>on track</v>
      </c>
      <c r="Q1867" s="3">
        <f ca="1">IF(Proc[[#This Row],[DateClosed]]="",ABS(NETWORKDAYS(Proc[[#This Row],[DateOpened]],TODAY()))-1,ABS(NETWORKDAYS(Proc[[#This Row],[DateOpened]],Proc[[#This Row],[DateClosed]]))-1)</f>
        <v>1</v>
      </c>
      <c r="R1867" s="92" t="s">
        <v>1013</v>
      </c>
      <c r="S1867" s="96"/>
    </row>
    <row r="1868" spans="1:19" hidden="1">
      <c r="A1868" s="95" t="s">
        <v>3641</v>
      </c>
      <c r="B1868" s="96" t="str">
        <f>IFERROR(VLOOKUP(Proc[[#This Row],[App]],Table2[],3,0),"open")</f>
        <v>ok</v>
      </c>
      <c r="C1868" s="95" t="s">
        <v>369</v>
      </c>
      <c r="D1868" t="s">
        <v>3696</v>
      </c>
      <c r="E1868" s="95" t="s">
        <v>3744</v>
      </c>
      <c r="F1868" s="105" t="s">
        <v>3744</v>
      </c>
      <c r="G1868" s="95" t="s">
        <v>400</v>
      </c>
      <c r="H1868" s="96" t="str">
        <f>IF(Proc[[#This Row],[type]]="LFF (MDG-F)",MID(Proc[[#This Row],[Obj]],13,10),"")</f>
        <v/>
      </c>
      <c r="J1868" s="96" t="b">
        <f>Proc[[#This Row],[Requested]]=Proc[[#This Row],[CurrentParent]]</f>
        <v>1</v>
      </c>
      <c r="K1868" s="96" t="str">
        <f>IF(Proc[[#This Row],[Author]]="Marcela Urrego",VLOOKUP(LEFT(Proc[[#This Row],[Requested]],1),Table3[#All],2,0),VLOOKUP(Proc[[#This Row],[Author]],Table4[],2,0))</f>
        <v>HC</v>
      </c>
      <c r="L1868" s="96"/>
      <c r="M1868" s="92">
        <v>45807.678356481483</v>
      </c>
      <c r="N1868" s="93">
        <v>45810</v>
      </c>
      <c r="O1868" s="93">
        <v>45810</v>
      </c>
      <c r="P1868" s="92" t="str">
        <f ca="1">IF(Proc[[#This Row],[DaysAgeing]]&gt;5,"yep","on track")</f>
        <v>on track</v>
      </c>
      <c r="Q1868" s="3">
        <f ca="1">IF(Proc[[#This Row],[DateClosed]]="",ABS(NETWORKDAYS(Proc[[#This Row],[DateOpened]],TODAY()))-1,ABS(NETWORKDAYS(Proc[[#This Row],[DateOpened]],Proc[[#This Row],[DateClosed]]))-1)</f>
        <v>1</v>
      </c>
      <c r="R1868" s="92" t="s">
        <v>1013</v>
      </c>
      <c r="S1868" s="96"/>
    </row>
    <row r="1869" spans="1:19" hidden="1">
      <c r="A1869" s="95" t="s">
        <v>3641</v>
      </c>
      <c r="B1869" s="96" t="str">
        <f>IFERROR(VLOOKUP(Proc[[#This Row],[App]],Table2[],3,0),"open")</f>
        <v>ok</v>
      </c>
      <c r="C1869" s="95" t="s">
        <v>369</v>
      </c>
      <c r="D1869" t="s">
        <v>3697</v>
      </c>
      <c r="E1869" t="s">
        <v>3744</v>
      </c>
      <c r="F1869" s="105" t="s">
        <v>3744</v>
      </c>
      <c r="G1869" s="95" t="s">
        <v>400</v>
      </c>
      <c r="H1869" s="96" t="str">
        <f>IF(Proc[[#This Row],[type]]="LFF (MDG-F)",MID(Proc[[#This Row],[Obj]],13,10),"")</f>
        <v/>
      </c>
      <c r="J1869" s="96" t="b">
        <f>Proc[[#This Row],[Requested]]=Proc[[#This Row],[CurrentParent]]</f>
        <v>1</v>
      </c>
      <c r="K1869" s="96" t="str">
        <f>IF(Proc[[#This Row],[Author]]="Marcela Urrego",VLOOKUP(LEFT(Proc[[#This Row],[Requested]],1),Table3[#All],2,0),VLOOKUP(Proc[[#This Row],[Author]],Table4[],2,0))</f>
        <v>HC</v>
      </c>
      <c r="L1869" s="96"/>
      <c r="M1869" s="92">
        <v>45807.678356481483</v>
      </c>
      <c r="N1869" s="93">
        <v>45810</v>
      </c>
      <c r="O1869" s="93">
        <v>45810</v>
      </c>
      <c r="P1869" s="92" t="str">
        <f ca="1">IF(Proc[[#This Row],[DaysAgeing]]&gt;5,"yep","on track")</f>
        <v>on track</v>
      </c>
      <c r="Q1869" s="3">
        <f ca="1">IF(Proc[[#This Row],[DateClosed]]="",ABS(NETWORKDAYS(Proc[[#This Row],[DateOpened]],TODAY()))-1,ABS(NETWORKDAYS(Proc[[#This Row],[DateOpened]],Proc[[#This Row],[DateClosed]]))-1)</f>
        <v>1</v>
      </c>
      <c r="R1869" s="92" t="s">
        <v>1013</v>
      </c>
      <c r="S1869" s="96"/>
    </row>
    <row r="1870" spans="1:19" hidden="1">
      <c r="A1870" s="95" t="s">
        <v>3641</v>
      </c>
      <c r="B1870" s="96" t="str">
        <f>IFERROR(VLOOKUP(Proc[[#This Row],[App]],Table2[],3,0),"open")</f>
        <v>ok</v>
      </c>
      <c r="C1870" s="95" t="s">
        <v>369</v>
      </c>
      <c r="D1870" t="s">
        <v>3698</v>
      </c>
      <c r="E1870" t="s">
        <v>3747</v>
      </c>
      <c r="F1870" s="105" t="s">
        <v>3747</v>
      </c>
      <c r="G1870" s="95" t="s">
        <v>400</v>
      </c>
      <c r="H1870" s="96" t="str">
        <f>IF(Proc[[#This Row],[type]]="LFF (MDG-F)",MID(Proc[[#This Row],[Obj]],13,10),"")</f>
        <v/>
      </c>
      <c r="J1870" s="96" t="b">
        <f>Proc[[#This Row],[Requested]]=Proc[[#This Row],[CurrentParent]]</f>
        <v>1</v>
      </c>
      <c r="K1870" s="96" t="str">
        <f>IF(Proc[[#This Row],[Author]]="Marcela Urrego",VLOOKUP(LEFT(Proc[[#This Row],[Requested]],1),Table3[#All],2,0),VLOOKUP(Proc[[#This Row],[Author]],Table4[],2,0))</f>
        <v>HC</v>
      </c>
      <c r="L1870" s="96"/>
      <c r="M1870" s="92">
        <v>45807.678356481483</v>
      </c>
      <c r="N1870" s="93">
        <v>45810</v>
      </c>
      <c r="O1870" s="93">
        <v>45810</v>
      </c>
      <c r="P1870" s="92" t="str">
        <f ca="1">IF(Proc[[#This Row],[DaysAgeing]]&gt;5,"yep","on track")</f>
        <v>on track</v>
      </c>
      <c r="Q1870" s="3">
        <f ca="1">IF(Proc[[#This Row],[DateClosed]]="",ABS(NETWORKDAYS(Proc[[#This Row],[DateOpened]],TODAY()))-1,ABS(NETWORKDAYS(Proc[[#This Row],[DateOpened]],Proc[[#This Row],[DateClosed]]))-1)</f>
        <v>1</v>
      </c>
      <c r="R1870" s="92" t="s">
        <v>1013</v>
      </c>
      <c r="S1870" s="96"/>
    </row>
    <row r="1871" spans="1:19" hidden="1">
      <c r="A1871" s="95" t="s">
        <v>3641</v>
      </c>
      <c r="B1871" s="96" t="str">
        <f>IFERROR(VLOOKUP(Proc[[#This Row],[App]],Table2[],3,0),"open")</f>
        <v>ok</v>
      </c>
      <c r="C1871" s="95" t="s">
        <v>369</v>
      </c>
      <c r="D1871" t="s">
        <v>3699</v>
      </c>
      <c r="E1871" t="s">
        <v>3746</v>
      </c>
      <c r="F1871" s="105" t="s">
        <v>3746</v>
      </c>
      <c r="G1871" s="95" t="s">
        <v>400</v>
      </c>
      <c r="H1871" s="96" t="str">
        <f>IF(Proc[[#This Row],[type]]="LFF (MDG-F)",MID(Proc[[#This Row],[Obj]],13,10),"")</f>
        <v/>
      </c>
      <c r="J1871" s="96" t="b">
        <f>Proc[[#This Row],[Requested]]=Proc[[#This Row],[CurrentParent]]</f>
        <v>1</v>
      </c>
      <c r="K1871" s="96" t="str">
        <f>IF(Proc[[#This Row],[Author]]="Marcela Urrego",VLOOKUP(LEFT(Proc[[#This Row],[Requested]],1),Table3[#All],2,0),VLOOKUP(Proc[[#This Row],[Author]],Table4[],2,0))</f>
        <v>HC</v>
      </c>
      <c r="L1871" s="96"/>
      <c r="M1871" s="92">
        <v>45807.678356481483</v>
      </c>
      <c r="N1871" s="93">
        <v>45810</v>
      </c>
      <c r="O1871" s="93">
        <v>45810</v>
      </c>
      <c r="P1871" s="92" t="str">
        <f ca="1">IF(Proc[[#This Row],[DaysAgeing]]&gt;5,"yep","on track")</f>
        <v>on track</v>
      </c>
      <c r="Q1871" s="3">
        <f ca="1">IF(Proc[[#This Row],[DateClosed]]="",ABS(NETWORKDAYS(Proc[[#This Row],[DateOpened]],TODAY()))-1,ABS(NETWORKDAYS(Proc[[#This Row],[DateOpened]],Proc[[#This Row],[DateClosed]]))-1)</f>
        <v>1</v>
      </c>
      <c r="R1871" s="92" t="s">
        <v>1013</v>
      </c>
      <c r="S1871" s="96"/>
    </row>
    <row r="1872" spans="1:19" hidden="1">
      <c r="A1872" s="95" t="s">
        <v>3641</v>
      </c>
      <c r="B1872" s="96" t="str">
        <f>IFERROR(VLOOKUP(Proc[[#This Row],[App]],Table2[],3,0),"open")</f>
        <v>ok</v>
      </c>
      <c r="C1872" s="95" t="s">
        <v>369</v>
      </c>
      <c r="D1872" t="s">
        <v>3700</v>
      </c>
      <c r="E1872" t="s">
        <v>3745</v>
      </c>
      <c r="F1872" s="105" t="s">
        <v>3745</v>
      </c>
      <c r="G1872" s="95" t="s">
        <v>400</v>
      </c>
      <c r="H1872" s="96" t="str">
        <f>IF(Proc[[#This Row],[type]]="LFF (MDG-F)",MID(Proc[[#This Row],[Obj]],13,10),"")</f>
        <v/>
      </c>
      <c r="J1872" s="96" t="b">
        <f>Proc[[#This Row],[Requested]]=Proc[[#This Row],[CurrentParent]]</f>
        <v>1</v>
      </c>
      <c r="K1872" s="96" t="str">
        <f>IF(Proc[[#This Row],[Author]]="Marcela Urrego",VLOOKUP(LEFT(Proc[[#This Row],[Requested]],1),Table3[#All],2,0),VLOOKUP(Proc[[#This Row],[Author]],Table4[],2,0))</f>
        <v>HC</v>
      </c>
      <c r="L1872" s="96"/>
      <c r="M1872" s="92">
        <v>45807.678356481483</v>
      </c>
      <c r="N1872" s="93">
        <v>45810</v>
      </c>
      <c r="O1872" s="93">
        <v>45810</v>
      </c>
      <c r="P1872" s="92" t="str">
        <f ca="1">IF(Proc[[#This Row],[DaysAgeing]]&gt;5,"yep","on track")</f>
        <v>on track</v>
      </c>
      <c r="Q1872" s="3">
        <f ca="1">IF(Proc[[#This Row],[DateClosed]]="",ABS(NETWORKDAYS(Proc[[#This Row],[DateOpened]],TODAY()))-1,ABS(NETWORKDAYS(Proc[[#This Row],[DateOpened]],Proc[[#This Row],[DateClosed]]))-1)</f>
        <v>1</v>
      </c>
      <c r="R1872" s="92" t="s">
        <v>1013</v>
      </c>
      <c r="S1872" s="96"/>
    </row>
    <row r="1873" spans="1:19" hidden="1">
      <c r="A1873" s="95" t="s">
        <v>3641</v>
      </c>
      <c r="B1873" s="96" t="str">
        <f>IFERROR(VLOOKUP(Proc[[#This Row],[App]],Table2[],3,0),"open")</f>
        <v>ok</v>
      </c>
      <c r="C1873" s="95" t="s">
        <v>369</v>
      </c>
      <c r="D1873" t="s">
        <v>3701</v>
      </c>
      <c r="E1873" t="s">
        <v>3744</v>
      </c>
      <c r="F1873" s="105" t="s">
        <v>3744</v>
      </c>
      <c r="G1873" s="95" t="s">
        <v>400</v>
      </c>
      <c r="H1873" s="96" t="str">
        <f>IF(Proc[[#This Row],[type]]="LFF (MDG-F)",MID(Proc[[#This Row],[Obj]],13,10),"")</f>
        <v/>
      </c>
      <c r="J1873" s="96" t="b">
        <f>Proc[[#This Row],[Requested]]=Proc[[#This Row],[CurrentParent]]</f>
        <v>1</v>
      </c>
      <c r="K1873" s="96" t="str">
        <f>IF(Proc[[#This Row],[Author]]="Marcela Urrego",VLOOKUP(LEFT(Proc[[#This Row],[Requested]],1),Table3[#All],2,0),VLOOKUP(Proc[[#This Row],[Author]],Table4[],2,0))</f>
        <v>HC</v>
      </c>
      <c r="L1873" s="96"/>
      <c r="M1873" s="92">
        <v>45807.678356481483</v>
      </c>
      <c r="N1873" s="93">
        <v>45810</v>
      </c>
      <c r="O1873" s="93">
        <v>45810</v>
      </c>
      <c r="P1873" s="92" t="str">
        <f ca="1">IF(Proc[[#This Row],[DaysAgeing]]&gt;5,"yep","on track")</f>
        <v>on track</v>
      </c>
      <c r="Q1873" s="3">
        <f ca="1">IF(Proc[[#This Row],[DateClosed]]="",ABS(NETWORKDAYS(Proc[[#This Row],[DateOpened]],TODAY()))-1,ABS(NETWORKDAYS(Proc[[#This Row],[DateOpened]],Proc[[#This Row],[DateClosed]]))-1)</f>
        <v>1</v>
      </c>
      <c r="R1873" s="92" t="s">
        <v>1013</v>
      </c>
      <c r="S1873" s="96"/>
    </row>
    <row r="1874" spans="1:19" hidden="1">
      <c r="A1874" s="95" t="s">
        <v>3641</v>
      </c>
      <c r="B1874" s="96" t="str">
        <f>IFERROR(VLOOKUP(Proc[[#This Row],[App]],Table2[],3,0),"open")</f>
        <v>ok</v>
      </c>
      <c r="C1874" s="95" t="s">
        <v>377</v>
      </c>
      <c r="D1874" t="s">
        <v>3702</v>
      </c>
      <c r="E1874" t="s">
        <v>3743</v>
      </c>
      <c r="F1874" s="105" t="s">
        <v>3743</v>
      </c>
      <c r="G1874" s="95" t="s">
        <v>400</v>
      </c>
      <c r="H1874" s="96" t="str">
        <f>IF(Proc[[#This Row],[type]]="LFF (MDG-F)",MID(Proc[[#This Row],[Obj]],13,10),"")</f>
        <v/>
      </c>
      <c r="I1874" t="s">
        <v>4071</v>
      </c>
      <c r="J1874" s="96" t="b">
        <f>Proc[[#This Row],[Requested]]=Proc[[#This Row],[CurrentParent]]</f>
        <v>1</v>
      </c>
      <c r="K1874" s="96" t="str">
        <f>IF(Proc[[#This Row],[Author]]="Marcela Urrego",VLOOKUP(LEFT(Proc[[#This Row],[Requested]],1),Table3[#All],2,0),VLOOKUP(Proc[[#This Row],[Author]],Table4[],2,0))</f>
        <v>HC</v>
      </c>
      <c r="L1874" s="96"/>
      <c r="M1874" s="92">
        <v>45807.678356481483</v>
      </c>
      <c r="N1874" s="93"/>
      <c r="O1874" s="93">
        <v>45810</v>
      </c>
      <c r="P1874" s="92" t="str">
        <f ca="1">IF(Proc[[#This Row],[DaysAgeing]]&gt;5,"yep","on track")</f>
        <v>on track</v>
      </c>
      <c r="Q1874" s="3">
        <f ca="1">IF(Proc[[#This Row],[DateClosed]]="",ABS(NETWORKDAYS(Proc[[#This Row],[DateOpened]],TODAY()))-1,ABS(NETWORKDAYS(Proc[[#This Row],[DateOpened]],Proc[[#This Row],[DateClosed]]))-1)</f>
        <v>1</v>
      </c>
      <c r="R1874" s="92" t="s">
        <v>1013</v>
      </c>
      <c r="S1874" s="96"/>
    </row>
    <row r="1875" spans="1:19" hidden="1">
      <c r="A1875" s="95" t="s">
        <v>3641</v>
      </c>
      <c r="B1875" s="96" t="str">
        <f>IFERROR(VLOOKUP(Proc[[#This Row],[App]],Table2[],3,0),"open")</f>
        <v>ok</v>
      </c>
      <c r="C1875" s="95" t="s">
        <v>369</v>
      </c>
      <c r="D1875" t="s">
        <v>3703</v>
      </c>
      <c r="E1875" t="s">
        <v>3402</v>
      </c>
      <c r="F1875" s="105" t="s">
        <v>3402</v>
      </c>
      <c r="G1875" s="95" t="s">
        <v>400</v>
      </c>
      <c r="H1875" s="96" t="str">
        <f>IF(Proc[[#This Row],[type]]="LFF (MDG-F)",MID(Proc[[#This Row],[Obj]],13,10),"")</f>
        <v/>
      </c>
      <c r="J1875" s="96" t="b">
        <f>Proc[[#This Row],[Requested]]=Proc[[#This Row],[CurrentParent]]</f>
        <v>1</v>
      </c>
      <c r="K1875" s="96" t="str">
        <f>IF(Proc[[#This Row],[Author]]="Marcela Urrego",VLOOKUP(LEFT(Proc[[#This Row],[Requested]],1),Table3[#All],2,0),VLOOKUP(Proc[[#This Row],[Author]],Table4[],2,0))</f>
        <v>HC</v>
      </c>
      <c r="L1875" s="96"/>
      <c r="M1875" s="92">
        <v>45807.678356481483</v>
      </c>
      <c r="N1875" s="93">
        <v>45810</v>
      </c>
      <c r="O1875" s="93">
        <v>45810</v>
      </c>
      <c r="P1875" s="92" t="str">
        <f ca="1">IF(Proc[[#This Row],[DaysAgeing]]&gt;5,"yep","on track")</f>
        <v>on track</v>
      </c>
      <c r="Q1875" s="3">
        <f ca="1">IF(Proc[[#This Row],[DateClosed]]="",ABS(NETWORKDAYS(Proc[[#This Row],[DateOpened]],TODAY()))-1,ABS(NETWORKDAYS(Proc[[#This Row],[DateOpened]],Proc[[#This Row],[DateClosed]]))-1)</f>
        <v>1</v>
      </c>
      <c r="R1875" s="92" t="s">
        <v>1013</v>
      </c>
      <c r="S1875" s="96"/>
    </row>
    <row r="1876" spans="1:19" hidden="1">
      <c r="A1876" s="95" t="s">
        <v>3641</v>
      </c>
      <c r="B1876" s="96" t="str">
        <f>IFERROR(VLOOKUP(Proc[[#This Row],[App]],Table2[],3,0),"open")</f>
        <v>ok</v>
      </c>
      <c r="C1876" s="95" t="s">
        <v>369</v>
      </c>
      <c r="D1876" t="s">
        <v>3704</v>
      </c>
      <c r="E1876" s="95" t="s">
        <v>3402</v>
      </c>
      <c r="F1876" s="105" t="s">
        <v>3402</v>
      </c>
      <c r="G1876" s="95" t="s">
        <v>400</v>
      </c>
      <c r="H1876" s="96" t="str">
        <f>IF(Proc[[#This Row],[type]]="LFF (MDG-F)",MID(Proc[[#This Row],[Obj]],13,10),"")</f>
        <v/>
      </c>
      <c r="J1876" s="96" t="b">
        <f>Proc[[#This Row],[Requested]]=Proc[[#This Row],[CurrentParent]]</f>
        <v>1</v>
      </c>
      <c r="K1876" s="96" t="str">
        <f>IF(Proc[[#This Row],[Author]]="Marcela Urrego",VLOOKUP(LEFT(Proc[[#This Row],[Requested]],1),Table3[#All],2,0),VLOOKUP(Proc[[#This Row],[Author]],Table4[],2,0))</f>
        <v>HC</v>
      </c>
      <c r="L1876" s="96"/>
      <c r="M1876" s="92">
        <v>45807.678356481483</v>
      </c>
      <c r="N1876" s="93">
        <v>45810</v>
      </c>
      <c r="O1876" s="93">
        <v>45810</v>
      </c>
      <c r="P1876" s="92" t="str">
        <f ca="1">IF(Proc[[#This Row],[DaysAgeing]]&gt;5,"yep","on track")</f>
        <v>on track</v>
      </c>
      <c r="Q1876" s="3">
        <f ca="1">IF(Proc[[#This Row],[DateClosed]]="",ABS(NETWORKDAYS(Proc[[#This Row],[DateOpened]],TODAY()))-1,ABS(NETWORKDAYS(Proc[[#This Row],[DateOpened]],Proc[[#This Row],[DateClosed]]))-1)</f>
        <v>1</v>
      </c>
      <c r="R1876" s="92" t="s">
        <v>1013</v>
      </c>
      <c r="S1876" s="96"/>
    </row>
    <row r="1877" spans="1:19" hidden="1">
      <c r="A1877" s="95" t="s">
        <v>3641</v>
      </c>
      <c r="B1877" s="96" t="str">
        <f>IFERROR(VLOOKUP(Proc[[#This Row],[App]],Table2[],3,0),"open")</f>
        <v>ok</v>
      </c>
      <c r="C1877" s="95" t="s">
        <v>369</v>
      </c>
      <c r="D1877" t="s">
        <v>3705</v>
      </c>
      <c r="E1877" s="95" t="s">
        <v>3402</v>
      </c>
      <c r="F1877" s="105" t="s">
        <v>3402</v>
      </c>
      <c r="G1877" s="95" t="s">
        <v>400</v>
      </c>
      <c r="H1877" s="96" t="str">
        <f>IF(Proc[[#This Row],[type]]="LFF (MDG-F)",MID(Proc[[#This Row],[Obj]],13,10),"")</f>
        <v/>
      </c>
      <c r="J1877" s="96" t="b">
        <f>Proc[[#This Row],[Requested]]=Proc[[#This Row],[CurrentParent]]</f>
        <v>1</v>
      </c>
      <c r="K1877" s="96" t="str">
        <f>IF(Proc[[#This Row],[Author]]="Marcela Urrego",VLOOKUP(LEFT(Proc[[#This Row],[Requested]],1),Table3[#All],2,0),VLOOKUP(Proc[[#This Row],[Author]],Table4[],2,0))</f>
        <v>HC</v>
      </c>
      <c r="L1877" s="96"/>
      <c r="M1877" s="92">
        <v>45807.678356481483</v>
      </c>
      <c r="N1877" s="93">
        <v>45810</v>
      </c>
      <c r="O1877" s="93">
        <v>45810</v>
      </c>
      <c r="P1877" s="92" t="str">
        <f ca="1">IF(Proc[[#This Row],[DaysAgeing]]&gt;5,"yep","on track")</f>
        <v>on track</v>
      </c>
      <c r="Q1877" s="3">
        <f ca="1">IF(Proc[[#This Row],[DateClosed]]="",ABS(NETWORKDAYS(Proc[[#This Row],[DateOpened]],TODAY()))-1,ABS(NETWORKDAYS(Proc[[#This Row],[DateOpened]],Proc[[#This Row],[DateClosed]]))-1)</f>
        <v>1</v>
      </c>
      <c r="R1877" s="92" t="s">
        <v>1013</v>
      </c>
      <c r="S1877" s="96"/>
    </row>
    <row r="1878" spans="1:19" hidden="1">
      <c r="A1878" s="95" t="s">
        <v>3641</v>
      </c>
      <c r="B1878" s="96" t="str">
        <f>IFERROR(VLOOKUP(Proc[[#This Row],[App]],Table2[],3,0),"open")</f>
        <v>ok</v>
      </c>
      <c r="C1878" s="95" t="s">
        <v>369</v>
      </c>
      <c r="D1878" t="s">
        <v>3706</v>
      </c>
      <c r="E1878" s="95" t="s">
        <v>3402</v>
      </c>
      <c r="F1878" s="105" t="s">
        <v>3402</v>
      </c>
      <c r="G1878" s="95" t="s">
        <v>400</v>
      </c>
      <c r="H1878" s="96" t="str">
        <f>IF(Proc[[#This Row],[type]]="LFF (MDG-F)",MID(Proc[[#This Row],[Obj]],13,10),"")</f>
        <v/>
      </c>
      <c r="J1878" s="96" t="b">
        <f>Proc[[#This Row],[Requested]]=Proc[[#This Row],[CurrentParent]]</f>
        <v>1</v>
      </c>
      <c r="K1878" s="96" t="str">
        <f>IF(Proc[[#This Row],[Author]]="Marcela Urrego",VLOOKUP(LEFT(Proc[[#This Row],[Requested]],1),Table3[#All],2,0),VLOOKUP(Proc[[#This Row],[Author]],Table4[],2,0))</f>
        <v>HC</v>
      </c>
      <c r="L1878" s="96"/>
      <c r="M1878" s="92">
        <v>45807.678356481483</v>
      </c>
      <c r="N1878" s="93">
        <v>45810</v>
      </c>
      <c r="O1878" s="93">
        <v>45810</v>
      </c>
      <c r="P1878" s="92" t="str">
        <f ca="1">IF(Proc[[#This Row],[DaysAgeing]]&gt;5,"yep","on track")</f>
        <v>on track</v>
      </c>
      <c r="Q1878" s="3">
        <f ca="1">IF(Proc[[#This Row],[DateClosed]]="",ABS(NETWORKDAYS(Proc[[#This Row],[DateOpened]],TODAY()))-1,ABS(NETWORKDAYS(Proc[[#This Row],[DateOpened]],Proc[[#This Row],[DateClosed]]))-1)</f>
        <v>1</v>
      </c>
      <c r="R1878" s="92" t="s">
        <v>1013</v>
      </c>
      <c r="S1878" s="96"/>
    </row>
    <row r="1879" spans="1:19" hidden="1">
      <c r="A1879" s="95" t="s">
        <v>3641</v>
      </c>
      <c r="B1879" s="96" t="str">
        <f>IFERROR(VLOOKUP(Proc[[#This Row],[App]],Table2[],3,0),"open")</f>
        <v>ok</v>
      </c>
      <c r="C1879" s="95" t="s">
        <v>369</v>
      </c>
      <c r="D1879" t="s">
        <v>3707</v>
      </c>
      <c r="E1879" s="95" t="s">
        <v>3402</v>
      </c>
      <c r="F1879" s="105" t="s">
        <v>3402</v>
      </c>
      <c r="G1879" s="95" t="s">
        <v>400</v>
      </c>
      <c r="H1879" s="96" t="str">
        <f>IF(Proc[[#This Row],[type]]="LFF (MDG-F)",MID(Proc[[#This Row],[Obj]],13,10),"")</f>
        <v/>
      </c>
      <c r="J1879" s="96" t="b">
        <f>Proc[[#This Row],[Requested]]=Proc[[#This Row],[CurrentParent]]</f>
        <v>1</v>
      </c>
      <c r="K1879" s="96" t="str">
        <f>IF(Proc[[#This Row],[Author]]="Marcela Urrego",VLOOKUP(LEFT(Proc[[#This Row],[Requested]],1),Table3[#All],2,0),VLOOKUP(Proc[[#This Row],[Author]],Table4[],2,0))</f>
        <v>HC</v>
      </c>
      <c r="L1879" s="96"/>
      <c r="M1879" s="92">
        <v>45807.678356481483</v>
      </c>
      <c r="N1879" s="93">
        <v>45810</v>
      </c>
      <c r="O1879" s="93">
        <v>45810</v>
      </c>
      <c r="P1879" s="92" t="str">
        <f ca="1">IF(Proc[[#This Row],[DaysAgeing]]&gt;5,"yep","on track")</f>
        <v>on track</v>
      </c>
      <c r="Q1879" s="3">
        <f ca="1">IF(Proc[[#This Row],[DateClosed]]="",ABS(NETWORKDAYS(Proc[[#This Row],[DateOpened]],TODAY()))-1,ABS(NETWORKDAYS(Proc[[#This Row],[DateOpened]],Proc[[#This Row],[DateClosed]]))-1)</f>
        <v>1</v>
      </c>
      <c r="R1879" s="92" t="s">
        <v>1013</v>
      </c>
      <c r="S1879" s="96"/>
    </row>
    <row r="1880" spans="1:19" hidden="1">
      <c r="A1880" s="95" t="s">
        <v>3641</v>
      </c>
      <c r="B1880" s="96" t="str">
        <f>IFERROR(VLOOKUP(Proc[[#This Row],[App]],Table2[],3,0),"open")</f>
        <v>ok</v>
      </c>
      <c r="C1880" s="95" t="s">
        <v>369</v>
      </c>
      <c r="D1880" t="s">
        <v>3708</v>
      </c>
      <c r="E1880" s="95" t="s">
        <v>3402</v>
      </c>
      <c r="F1880" s="105" t="s">
        <v>3402</v>
      </c>
      <c r="G1880" s="95" t="s">
        <v>400</v>
      </c>
      <c r="H1880" s="96" t="str">
        <f>IF(Proc[[#This Row],[type]]="LFF (MDG-F)",MID(Proc[[#This Row],[Obj]],13,10),"")</f>
        <v/>
      </c>
      <c r="J1880" s="96" t="b">
        <f>Proc[[#This Row],[Requested]]=Proc[[#This Row],[CurrentParent]]</f>
        <v>1</v>
      </c>
      <c r="K1880" s="96" t="str">
        <f>IF(Proc[[#This Row],[Author]]="Marcela Urrego",VLOOKUP(LEFT(Proc[[#This Row],[Requested]],1),Table3[#All],2,0),VLOOKUP(Proc[[#This Row],[Author]],Table4[],2,0))</f>
        <v>HC</v>
      </c>
      <c r="L1880" s="96"/>
      <c r="M1880" s="92">
        <v>45807.678356481483</v>
      </c>
      <c r="N1880" s="93">
        <v>45810</v>
      </c>
      <c r="O1880" s="93">
        <v>45810</v>
      </c>
      <c r="P1880" s="92" t="str">
        <f ca="1">IF(Proc[[#This Row],[DaysAgeing]]&gt;5,"yep","on track")</f>
        <v>on track</v>
      </c>
      <c r="Q1880" s="3">
        <f ca="1">IF(Proc[[#This Row],[DateClosed]]="",ABS(NETWORKDAYS(Proc[[#This Row],[DateOpened]],TODAY()))-1,ABS(NETWORKDAYS(Proc[[#This Row],[DateOpened]],Proc[[#This Row],[DateClosed]]))-1)</f>
        <v>1</v>
      </c>
      <c r="R1880" s="92" t="s">
        <v>1013</v>
      </c>
      <c r="S1880" s="96"/>
    </row>
    <row r="1881" spans="1:19" hidden="1">
      <c r="A1881" s="95" t="s">
        <v>3641</v>
      </c>
      <c r="B1881" s="96" t="str">
        <f>IFERROR(VLOOKUP(Proc[[#This Row],[App]],Table2[],3,0),"open")</f>
        <v>ok</v>
      </c>
      <c r="C1881" s="95" t="s">
        <v>369</v>
      </c>
      <c r="D1881" t="s">
        <v>3709</v>
      </c>
      <c r="E1881" s="95" t="s">
        <v>3402</v>
      </c>
      <c r="F1881" s="105" t="s">
        <v>3402</v>
      </c>
      <c r="G1881" s="95" t="s">
        <v>400</v>
      </c>
      <c r="H1881" s="96" t="str">
        <f>IF(Proc[[#This Row],[type]]="LFF (MDG-F)",MID(Proc[[#This Row],[Obj]],13,10),"")</f>
        <v/>
      </c>
      <c r="J1881" s="96" t="b">
        <f>Proc[[#This Row],[Requested]]=Proc[[#This Row],[CurrentParent]]</f>
        <v>1</v>
      </c>
      <c r="K1881" s="96" t="str">
        <f>IF(Proc[[#This Row],[Author]]="Marcela Urrego",VLOOKUP(LEFT(Proc[[#This Row],[Requested]],1),Table3[#All],2,0),VLOOKUP(Proc[[#This Row],[Author]],Table4[],2,0))</f>
        <v>HC</v>
      </c>
      <c r="L1881" s="96"/>
      <c r="M1881" s="92">
        <v>45807.678356481483</v>
      </c>
      <c r="N1881" s="93">
        <v>45810</v>
      </c>
      <c r="O1881" s="93">
        <v>45810</v>
      </c>
      <c r="P1881" s="92" t="str">
        <f ca="1">IF(Proc[[#This Row],[DaysAgeing]]&gt;5,"yep","on track")</f>
        <v>on track</v>
      </c>
      <c r="Q1881" s="3">
        <f ca="1">IF(Proc[[#This Row],[DateClosed]]="",ABS(NETWORKDAYS(Proc[[#This Row],[DateOpened]],TODAY()))-1,ABS(NETWORKDAYS(Proc[[#This Row],[DateOpened]],Proc[[#This Row],[DateClosed]]))-1)</f>
        <v>1</v>
      </c>
      <c r="R1881" s="92" t="s">
        <v>1013</v>
      </c>
      <c r="S1881" s="96"/>
    </row>
    <row r="1882" spans="1:19" hidden="1">
      <c r="A1882" s="95" t="s">
        <v>3641</v>
      </c>
      <c r="B1882" s="96" t="str">
        <f>IFERROR(VLOOKUP(Proc[[#This Row],[App]],Table2[],3,0),"open")</f>
        <v>ok</v>
      </c>
      <c r="C1882" s="95" t="s">
        <v>369</v>
      </c>
      <c r="D1882" t="s">
        <v>3710</v>
      </c>
      <c r="E1882" s="95" t="s">
        <v>3402</v>
      </c>
      <c r="F1882" s="105" t="s">
        <v>3402</v>
      </c>
      <c r="G1882" s="95" t="s">
        <v>400</v>
      </c>
      <c r="H1882" s="96" t="str">
        <f>IF(Proc[[#This Row],[type]]="LFF (MDG-F)",MID(Proc[[#This Row],[Obj]],13,10),"")</f>
        <v/>
      </c>
      <c r="J1882" s="96" t="b">
        <f>Proc[[#This Row],[Requested]]=Proc[[#This Row],[CurrentParent]]</f>
        <v>1</v>
      </c>
      <c r="K1882" s="96" t="str">
        <f>IF(Proc[[#This Row],[Author]]="Marcela Urrego",VLOOKUP(LEFT(Proc[[#This Row],[Requested]],1),Table3[#All],2,0),VLOOKUP(Proc[[#This Row],[Author]],Table4[],2,0))</f>
        <v>HC</v>
      </c>
      <c r="L1882" s="96"/>
      <c r="M1882" s="92">
        <v>45807.678356481483</v>
      </c>
      <c r="N1882" s="93">
        <v>45810</v>
      </c>
      <c r="O1882" s="93">
        <v>45810</v>
      </c>
      <c r="P1882" s="92" t="str">
        <f ca="1">IF(Proc[[#This Row],[DaysAgeing]]&gt;5,"yep","on track")</f>
        <v>on track</v>
      </c>
      <c r="Q1882" s="3">
        <f ca="1">IF(Proc[[#This Row],[DateClosed]]="",ABS(NETWORKDAYS(Proc[[#This Row],[DateOpened]],TODAY()))-1,ABS(NETWORKDAYS(Proc[[#This Row],[DateOpened]],Proc[[#This Row],[DateClosed]]))-1)</f>
        <v>1</v>
      </c>
      <c r="R1882" s="92" t="s">
        <v>1013</v>
      </c>
      <c r="S1882" s="96"/>
    </row>
    <row r="1883" spans="1:19" hidden="1">
      <c r="A1883" s="95" t="s">
        <v>3641</v>
      </c>
      <c r="B1883" s="96" t="str">
        <f>IFERROR(VLOOKUP(Proc[[#This Row],[App]],Table2[],3,0),"open")</f>
        <v>ok</v>
      </c>
      <c r="C1883" s="95" t="s">
        <v>369</v>
      </c>
      <c r="D1883" t="s">
        <v>3711</v>
      </c>
      <c r="E1883" s="95" t="s">
        <v>3402</v>
      </c>
      <c r="F1883" s="105" t="s">
        <v>3402</v>
      </c>
      <c r="G1883" s="95" t="s">
        <v>400</v>
      </c>
      <c r="H1883" s="96" t="str">
        <f>IF(Proc[[#This Row],[type]]="LFF (MDG-F)",MID(Proc[[#This Row],[Obj]],13,10),"")</f>
        <v/>
      </c>
      <c r="J1883" s="96" t="b">
        <f>Proc[[#This Row],[Requested]]=Proc[[#This Row],[CurrentParent]]</f>
        <v>1</v>
      </c>
      <c r="K1883" s="96" t="str">
        <f>IF(Proc[[#This Row],[Author]]="Marcela Urrego",VLOOKUP(LEFT(Proc[[#This Row],[Requested]],1),Table3[#All],2,0),VLOOKUP(Proc[[#This Row],[Author]],Table4[],2,0))</f>
        <v>HC</v>
      </c>
      <c r="L1883" s="96"/>
      <c r="M1883" s="92">
        <v>45807.678356481483</v>
      </c>
      <c r="N1883" s="93">
        <v>45810</v>
      </c>
      <c r="O1883" s="93">
        <v>45810</v>
      </c>
      <c r="P1883" s="92" t="str">
        <f ca="1">IF(Proc[[#This Row],[DaysAgeing]]&gt;5,"yep","on track")</f>
        <v>on track</v>
      </c>
      <c r="Q1883" s="3">
        <f ca="1">IF(Proc[[#This Row],[DateClosed]]="",ABS(NETWORKDAYS(Proc[[#This Row],[DateOpened]],TODAY()))-1,ABS(NETWORKDAYS(Proc[[#This Row],[DateOpened]],Proc[[#This Row],[DateClosed]]))-1)</f>
        <v>1</v>
      </c>
      <c r="R1883" s="92" t="s">
        <v>1013</v>
      </c>
      <c r="S1883" s="96"/>
    </row>
    <row r="1884" spans="1:19" hidden="1">
      <c r="A1884" s="95" t="s">
        <v>3641</v>
      </c>
      <c r="B1884" s="96" t="str">
        <f>IFERROR(VLOOKUP(Proc[[#This Row],[App]],Table2[],3,0),"open")</f>
        <v>ok</v>
      </c>
      <c r="C1884" s="95" t="s">
        <v>369</v>
      </c>
      <c r="D1884" t="s">
        <v>3712</v>
      </c>
      <c r="E1884" s="95" t="s">
        <v>3402</v>
      </c>
      <c r="F1884" s="105" t="s">
        <v>3402</v>
      </c>
      <c r="G1884" s="95" t="s">
        <v>400</v>
      </c>
      <c r="H1884" s="96" t="str">
        <f>IF(Proc[[#This Row],[type]]="LFF (MDG-F)",MID(Proc[[#This Row],[Obj]],13,10),"")</f>
        <v/>
      </c>
      <c r="J1884" s="96" t="b">
        <f>Proc[[#This Row],[Requested]]=Proc[[#This Row],[CurrentParent]]</f>
        <v>1</v>
      </c>
      <c r="K1884" s="96" t="str">
        <f>IF(Proc[[#This Row],[Author]]="Marcela Urrego",VLOOKUP(LEFT(Proc[[#This Row],[Requested]],1),Table3[#All],2,0),VLOOKUP(Proc[[#This Row],[Author]],Table4[],2,0))</f>
        <v>HC</v>
      </c>
      <c r="L1884" s="96"/>
      <c r="M1884" s="92">
        <v>45807.678356481483</v>
      </c>
      <c r="N1884" s="93">
        <v>45810</v>
      </c>
      <c r="O1884" s="93">
        <v>45810</v>
      </c>
      <c r="P1884" s="92" t="str">
        <f ca="1">IF(Proc[[#This Row],[DaysAgeing]]&gt;5,"yep","on track")</f>
        <v>on track</v>
      </c>
      <c r="Q1884" s="3">
        <f ca="1">IF(Proc[[#This Row],[DateClosed]]="",ABS(NETWORKDAYS(Proc[[#This Row],[DateOpened]],TODAY()))-1,ABS(NETWORKDAYS(Proc[[#This Row],[DateOpened]],Proc[[#This Row],[DateClosed]]))-1)</f>
        <v>1</v>
      </c>
      <c r="R1884" s="92" t="s">
        <v>1013</v>
      </c>
      <c r="S1884" s="96"/>
    </row>
    <row r="1885" spans="1:19" hidden="1">
      <c r="A1885" s="95" t="s">
        <v>3641</v>
      </c>
      <c r="B1885" s="96" t="str">
        <f>IFERROR(VLOOKUP(Proc[[#This Row],[App]],Table2[],3,0),"open")</f>
        <v>ok</v>
      </c>
      <c r="C1885" s="95" t="s">
        <v>369</v>
      </c>
      <c r="D1885" t="s">
        <v>3713</v>
      </c>
      <c r="E1885" s="95" t="s">
        <v>3402</v>
      </c>
      <c r="F1885" s="105" t="s">
        <v>3402</v>
      </c>
      <c r="G1885" s="95" t="s">
        <v>400</v>
      </c>
      <c r="H1885" s="96" t="str">
        <f>IF(Proc[[#This Row],[type]]="LFF (MDG-F)",MID(Proc[[#This Row],[Obj]],13,10),"")</f>
        <v/>
      </c>
      <c r="J1885" s="96" t="b">
        <f>Proc[[#This Row],[Requested]]=Proc[[#This Row],[CurrentParent]]</f>
        <v>1</v>
      </c>
      <c r="K1885" s="96" t="str">
        <f>IF(Proc[[#This Row],[Author]]="Marcela Urrego",VLOOKUP(LEFT(Proc[[#This Row],[Requested]],1),Table3[#All],2,0),VLOOKUP(Proc[[#This Row],[Author]],Table4[],2,0))</f>
        <v>HC</v>
      </c>
      <c r="L1885" s="96"/>
      <c r="M1885" s="92">
        <v>45807.678356481483</v>
      </c>
      <c r="N1885" s="93">
        <v>45810</v>
      </c>
      <c r="O1885" s="93">
        <v>45810</v>
      </c>
      <c r="P1885" s="92" t="str">
        <f ca="1">IF(Proc[[#This Row],[DaysAgeing]]&gt;5,"yep","on track")</f>
        <v>on track</v>
      </c>
      <c r="Q1885" s="3">
        <f ca="1">IF(Proc[[#This Row],[DateClosed]]="",ABS(NETWORKDAYS(Proc[[#This Row],[DateOpened]],TODAY()))-1,ABS(NETWORKDAYS(Proc[[#This Row],[DateOpened]],Proc[[#This Row],[DateClosed]]))-1)</f>
        <v>1</v>
      </c>
      <c r="R1885" s="92" t="s">
        <v>1013</v>
      </c>
      <c r="S1885" s="96"/>
    </row>
    <row r="1886" spans="1:19" hidden="1">
      <c r="A1886" s="95" t="s">
        <v>3641</v>
      </c>
      <c r="B1886" s="96" t="str">
        <f>IFERROR(VLOOKUP(Proc[[#This Row],[App]],Table2[],3,0),"open")</f>
        <v>ok</v>
      </c>
      <c r="C1886" s="95" t="s">
        <v>369</v>
      </c>
      <c r="D1886" t="s">
        <v>3714</v>
      </c>
      <c r="E1886" s="95" t="s">
        <v>3402</v>
      </c>
      <c r="F1886" s="105" t="s">
        <v>3402</v>
      </c>
      <c r="G1886" s="95" t="s">
        <v>400</v>
      </c>
      <c r="H1886" s="96" t="str">
        <f>IF(Proc[[#This Row],[type]]="LFF (MDG-F)",MID(Proc[[#This Row],[Obj]],13,10),"")</f>
        <v/>
      </c>
      <c r="J1886" s="96" t="b">
        <f>Proc[[#This Row],[Requested]]=Proc[[#This Row],[CurrentParent]]</f>
        <v>1</v>
      </c>
      <c r="K1886" s="96" t="str">
        <f>IF(Proc[[#This Row],[Author]]="Marcela Urrego",VLOOKUP(LEFT(Proc[[#This Row],[Requested]],1),Table3[#All],2,0),VLOOKUP(Proc[[#This Row],[Author]],Table4[],2,0))</f>
        <v>HC</v>
      </c>
      <c r="L1886" s="96"/>
      <c r="M1886" s="92">
        <v>45807.678356481483</v>
      </c>
      <c r="N1886" s="93">
        <v>45810</v>
      </c>
      <c r="O1886" s="93">
        <v>45810</v>
      </c>
      <c r="P1886" s="92" t="str">
        <f ca="1">IF(Proc[[#This Row],[DaysAgeing]]&gt;5,"yep","on track")</f>
        <v>on track</v>
      </c>
      <c r="Q1886" s="3">
        <f ca="1">IF(Proc[[#This Row],[DateClosed]]="",ABS(NETWORKDAYS(Proc[[#This Row],[DateOpened]],TODAY()))-1,ABS(NETWORKDAYS(Proc[[#This Row],[DateOpened]],Proc[[#This Row],[DateClosed]]))-1)</f>
        <v>1</v>
      </c>
      <c r="R1886" s="92" t="s">
        <v>1013</v>
      </c>
      <c r="S1886" s="96"/>
    </row>
    <row r="1887" spans="1:19" hidden="1">
      <c r="A1887" s="95" t="s">
        <v>3641</v>
      </c>
      <c r="B1887" s="96" t="str">
        <f>IFERROR(VLOOKUP(Proc[[#This Row],[App]],Table2[],3,0),"open")</f>
        <v>ok</v>
      </c>
      <c r="C1887" s="95" t="s">
        <v>369</v>
      </c>
      <c r="D1887" t="s">
        <v>3715</v>
      </c>
      <c r="E1887" s="95" t="s">
        <v>3402</v>
      </c>
      <c r="F1887" s="105" t="s">
        <v>3402</v>
      </c>
      <c r="G1887" s="95" t="s">
        <v>400</v>
      </c>
      <c r="H1887" s="96" t="str">
        <f>IF(Proc[[#This Row],[type]]="LFF (MDG-F)",MID(Proc[[#This Row],[Obj]],13,10),"")</f>
        <v/>
      </c>
      <c r="J1887" s="96" t="b">
        <f>Proc[[#This Row],[Requested]]=Proc[[#This Row],[CurrentParent]]</f>
        <v>1</v>
      </c>
      <c r="K1887" s="96" t="str">
        <f>IF(Proc[[#This Row],[Author]]="Marcela Urrego",VLOOKUP(LEFT(Proc[[#This Row],[Requested]],1),Table3[#All],2,0),VLOOKUP(Proc[[#This Row],[Author]],Table4[],2,0))</f>
        <v>HC</v>
      </c>
      <c r="L1887" s="96"/>
      <c r="M1887" s="92">
        <v>45807.678356481483</v>
      </c>
      <c r="N1887" s="93">
        <v>45810</v>
      </c>
      <c r="O1887" s="93">
        <v>45810</v>
      </c>
      <c r="P1887" s="92" t="str">
        <f ca="1">IF(Proc[[#This Row],[DaysAgeing]]&gt;5,"yep","on track")</f>
        <v>on track</v>
      </c>
      <c r="Q1887" s="3">
        <f ca="1">IF(Proc[[#This Row],[DateClosed]]="",ABS(NETWORKDAYS(Proc[[#This Row],[DateOpened]],TODAY()))-1,ABS(NETWORKDAYS(Proc[[#This Row],[DateOpened]],Proc[[#This Row],[DateClosed]]))-1)</f>
        <v>1</v>
      </c>
      <c r="R1887" s="92" t="s">
        <v>1013</v>
      </c>
      <c r="S1887" s="96"/>
    </row>
    <row r="1888" spans="1:19" hidden="1">
      <c r="A1888" s="95" t="s">
        <v>3641</v>
      </c>
      <c r="B1888" s="96" t="str">
        <f>IFERROR(VLOOKUP(Proc[[#This Row],[App]],Table2[],3,0),"open")</f>
        <v>ok</v>
      </c>
      <c r="C1888" s="95" t="s">
        <v>369</v>
      </c>
      <c r="D1888" t="s">
        <v>3716</v>
      </c>
      <c r="E1888" s="95" t="s">
        <v>3402</v>
      </c>
      <c r="F1888" s="105" t="s">
        <v>3402</v>
      </c>
      <c r="G1888" s="95" t="s">
        <v>400</v>
      </c>
      <c r="H1888" s="96" t="str">
        <f>IF(Proc[[#This Row],[type]]="LFF (MDG-F)",MID(Proc[[#This Row],[Obj]],13,10),"")</f>
        <v/>
      </c>
      <c r="J1888" s="96" t="b">
        <f>Proc[[#This Row],[Requested]]=Proc[[#This Row],[CurrentParent]]</f>
        <v>1</v>
      </c>
      <c r="K1888" s="96" t="str">
        <f>IF(Proc[[#This Row],[Author]]="Marcela Urrego",VLOOKUP(LEFT(Proc[[#This Row],[Requested]],1),Table3[#All],2,0),VLOOKUP(Proc[[#This Row],[Author]],Table4[],2,0))</f>
        <v>HC</v>
      </c>
      <c r="L1888" s="96"/>
      <c r="M1888" s="92">
        <v>45807.678356481483</v>
      </c>
      <c r="N1888" s="93">
        <v>45810</v>
      </c>
      <c r="O1888" s="93">
        <v>45810</v>
      </c>
      <c r="P1888" s="92" t="str">
        <f ca="1">IF(Proc[[#This Row],[DaysAgeing]]&gt;5,"yep","on track")</f>
        <v>on track</v>
      </c>
      <c r="Q1888" s="3">
        <f ca="1">IF(Proc[[#This Row],[DateClosed]]="",ABS(NETWORKDAYS(Proc[[#This Row],[DateOpened]],TODAY()))-1,ABS(NETWORKDAYS(Proc[[#This Row],[DateOpened]],Proc[[#This Row],[DateClosed]]))-1)</f>
        <v>1</v>
      </c>
      <c r="R1888" s="92" t="s">
        <v>1013</v>
      </c>
      <c r="S1888" s="96"/>
    </row>
    <row r="1889" spans="1:19" hidden="1">
      <c r="A1889" s="95" t="s">
        <v>3641</v>
      </c>
      <c r="B1889" s="96" t="str">
        <f>IFERROR(VLOOKUP(Proc[[#This Row],[App]],Table2[],3,0),"open")</f>
        <v>ok</v>
      </c>
      <c r="C1889" s="95" t="s">
        <v>369</v>
      </c>
      <c r="D1889" t="s">
        <v>3717</v>
      </c>
      <c r="E1889" s="95" t="s">
        <v>3402</v>
      </c>
      <c r="F1889" s="105" t="s">
        <v>3402</v>
      </c>
      <c r="G1889" s="95" t="s">
        <v>400</v>
      </c>
      <c r="H1889" s="96" t="str">
        <f>IF(Proc[[#This Row],[type]]="LFF (MDG-F)",MID(Proc[[#This Row],[Obj]],13,10),"")</f>
        <v/>
      </c>
      <c r="J1889" s="96" t="b">
        <f>Proc[[#This Row],[Requested]]=Proc[[#This Row],[CurrentParent]]</f>
        <v>1</v>
      </c>
      <c r="K1889" s="96" t="str">
        <f>IF(Proc[[#This Row],[Author]]="Marcela Urrego",VLOOKUP(LEFT(Proc[[#This Row],[Requested]],1),Table3[#All],2,0),VLOOKUP(Proc[[#This Row],[Author]],Table4[],2,0))</f>
        <v>HC</v>
      </c>
      <c r="L1889" s="96"/>
      <c r="M1889" s="92">
        <v>45807.678356481483</v>
      </c>
      <c r="N1889" s="93">
        <v>45810</v>
      </c>
      <c r="O1889" s="93">
        <v>45810</v>
      </c>
      <c r="P1889" s="92" t="str">
        <f ca="1">IF(Proc[[#This Row],[DaysAgeing]]&gt;5,"yep","on track")</f>
        <v>on track</v>
      </c>
      <c r="Q1889" s="3">
        <f ca="1">IF(Proc[[#This Row],[DateClosed]]="",ABS(NETWORKDAYS(Proc[[#This Row],[DateOpened]],TODAY()))-1,ABS(NETWORKDAYS(Proc[[#This Row],[DateOpened]],Proc[[#This Row],[DateClosed]]))-1)</f>
        <v>1</v>
      </c>
      <c r="R1889" s="92" t="s">
        <v>1013</v>
      </c>
      <c r="S1889" s="96"/>
    </row>
    <row r="1890" spans="1:19" hidden="1">
      <c r="A1890" s="95" t="s">
        <v>3641</v>
      </c>
      <c r="B1890" s="96" t="str">
        <f>IFERROR(VLOOKUP(Proc[[#This Row],[App]],Table2[],3,0),"open")</f>
        <v>ok</v>
      </c>
      <c r="C1890" s="95" t="s">
        <v>369</v>
      </c>
      <c r="D1890" t="s">
        <v>3718</v>
      </c>
      <c r="E1890" s="95" t="s">
        <v>3402</v>
      </c>
      <c r="F1890" s="105" t="s">
        <v>3402</v>
      </c>
      <c r="G1890" s="95" t="s">
        <v>400</v>
      </c>
      <c r="H1890" s="96" t="str">
        <f>IF(Proc[[#This Row],[type]]="LFF (MDG-F)",MID(Proc[[#This Row],[Obj]],13,10),"")</f>
        <v/>
      </c>
      <c r="J1890" s="96" t="b">
        <f>Proc[[#This Row],[Requested]]=Proc[[#This Row],[CurrentParent]]</f>
        <v>1</v>
      </c>
      <c r="K1890" s="96" t="str">
        <f>IF(Proc[[#This Row],[Author]]="Marcela Urrego",VLOOKUP(LEFT(Proc[[#This Row],[Requested]],1),Table3[#All],2,0),VLOOKUP(Proc[[#This Row],[Author]],Table4[],2,0))</f>
        <v>HC</v>
      </c>
      <c r="L1890" s="96"/>
      <c r="M1890" s="92">
        <v>45807.678356481483</v>
      </c>
      <c r="N1890" s="93">
        <v>45810</v>
      </c>
      <c r="O1890" s="93">
        <v>45810</v>
      </c>
      <c r="P1890" s="92" t="str">
        <f ca="1">IF(Proc[[#This Row],[DaysAgeing]]&gt;5,"yep","on track")</f>
        <v>on track</v>
      </c>
      <c r="Q1890" s="3">
        <f ca="1">IF(Proc[[#This Row],[DateClosed]]="",ABS(NETWORKDAYS(Proc[[#This Row],[DateOpened]],TODAY()))-1,ABS(NETWORKDAYS(Proc[[#This Row],[DateOpened]],Proc[[#This Row],[DateClosed]]))-1)</f>
        <v>1</v>
      </c>
      <c r="R1890" s="92" t="s">
        <v>1013</v>
      </c>
      <c r="S1890" s="96"/>
    </row>
    <row r="1891" spans="1:19" hidden="1">
      <c r="A1891" s="95" t="s">
        <v>3641</v>
      </c>
      <c r="B1891" s="96" t="str">
        <f>IFERROR(VLOOKUP(Proc[[#This Row],[App]],Table2[],3,0),"open")</f>
        <v>ok</v>
      </c>
      <c r="C1891" s="95" t="s">
        <v>369</v>
      </c>
      <c r="D1891" t="s">
        <v>3719</v>
      </c>
      <c r="E1891" s="95" t="s">
        <v>3402</v>
      </c>
      <c r="F1891" s="105" t="s">
        <v>3402</v>
      </c>
      <c r="G1891" s="95" t="s">
        <v>400</v>
      </c>
      <c r="H1891" s="96" t="str">
        <f>IF(Proc[[#This Row],[type]]="LFF (MDG-F)",MID(Proc[[#This Row],[Obj]],13,10),"")</f>
        <v/>
      </c>
      <c r="J1891" s="96" t="b">
        <f>Proc[[#This Row],[Requested]]=Proc[[#This Row],[CurrentParent]]</f>
        <v>1</v>
      </c>
      <c r="K1891" s="96" t="str">
        <f>IF(Proc[[#This Row],[Author]]="Marcela Urrego",VLOOKUP(LEFT(Proc[[#This Row],[Requested]],1),Table3[#All],2,0),VLOOKUP(Proc[[#This Row],[Author]],Table4[],2,0))</f>
        <v>HC</v>
      </c>
      <c r="L1891" s="96"/>
      <c r="M1891" s="92">
        <v>45807.678356481483</v>
      </c>
      <c r="N1891" s="93">
        <v>45810</v>
      </c>
      <c r="O1891" s="93">
        <v>45810</v>
      </c>
      <c r="P1891" s="92" t="str">
        <f ca="1">IF(Proc[[#This Row],[DaysAgeing]]&gt;5,"yep","on track")</f>
        <v>on track</v>
      </c>
      <c r="Q1891" s="3">
        <f ca="1">IF(Proc[[#This Row],[DateClosed]]="",ABS(NETWORKDAYS(Proc[[#This Row],[DateOpened]],TODAY()))-1,ABS(NETWORKDAYS(Proc[[#This Row],[DateOpened]],Proc[[#This Row],[DateClosed]]))-1)</f>
        <v>1</v>
      </c>
      <c r="R1891" s="92" t="s">
        <v>1013</v>
      </c>
      <c r="S1891" s="96"/>
    </row>
    <row r="1892" spans="1:19" hidden="1">
      <c r="A1892" s="95" t="s">
        <v>3641</v>
      </c>
      <c r="B1892" s="96" t="str">
        <f>IFERROR(VLOOKUP(Proc[[#This Row],[App]],Table2[],3,0),"open")</f>
        <v>ok</v>
      </c>
      <c r="C1892" s="95" t="s">
        <v>369</v>
      </c>
      <c r="D1892" t="s">
        <v>3720</v>
      </c>
      <c r="E1892" s="95" t="s">
        <v>3402</v>
      </c>
      <c r="F1892" s="105" t="s">
        <v>3402</v>
      </c>
      <c r="G1892" s="95" t="s">
        <v>400</v>
      </c>
      <c r="H1892" s="96" t="str">
        <f>IF(Proc[[#This Row],[type]]="LFF (MDG-F)",MID(Proc[[#This Row],[Obj]],13,10),"")</f>
        <v/>
      </c>
      <c r="J1892" s="96" t="b">
        <f>Proc[[#This Row],[Requested]]=Proc[[#This Row],[CurrentParent]]</f>
        <v>1</v>
      </c>
      <c r="K1892" s="96" t="str">
        <f>IF(Proc[[#This Row],[Author]]="Marcela Urrego",VLOOKUP(LEFT(Proc[[#This Row],[Requested]],1),Table3[#All],2,0),VLOOKUP(Proc[[#This Row],[Author]],Table4[],2,0))</f>
        <v>HC</v>
      </c>
      <c r="L1892" s="96"/>
      <c r="M1892" s="92">
        <v>45807.678356481483</v>
      </c>
      <c r="N1892" s="93">
        <v>45810</v>
      </c>
      <c r="O1892" s="93">
        <v>45810</v>
      </c>
      <c r="P1892" s="92" t="str">
        <f ca="1">IF(Proc[[#This Row],[DaysAgeing]]&gt;5,"yep","on track")</f>
        <v>on track</v>
      </c>
      <c r="Q1892" s="3">
        <f ca="1">IF(Proc[[#This Row],[DateClosed]]="",ABS(NETWORKDAYS(Proc[[#This Row],[DateOpened]],TODAY()))-1,ABS(NETWORKDAYS(Proc[[#This Row],[DateOpened]],Proc[[#This Row],[DateClosed]]))-1)</f>
        <v>1</v>
      </c>
      <c r="R1892" s="92" t="s">
        <v>1013</v>
      </c>
      <c r="S1892" s="96"/>
    </row>
    <row r="1893" spans="1:19" hidden="1">
      <c r="A1893" s="95" t="s">
        <v>3641</v>
      </c>
      <c r="B1893" s="96" t="str">
        <f>IFERROR(VLOOKUP(Proc[[#This Row],[App]],Table2[],3,0),"open")</f>
        <v>ok</v>
      </c>
      <c r="C1893" s="95" t="s">
        <v>369</v>
      </c>
      <c r="D1893" t="s">
        <v>3721</v>
      </c>
      <c r="E1893" s="95" t="s">
        <v>3402</v>
      </c>
      <c r="F1893" s="105" t="s">
        <v>3402</v>
      </c>
      <c r="G1893" s="95" t="s">
        <v>400</v>
      </c>
      <c r="H1893" s="96" t="str">
        <f>IF(Proc[[#This Row],[type]]="LFF (MDG-F)",MID(Proc[[#This Row],[Obj]],13,10),"")</f>
        <v/>
      </c>
      <c r="J1893" s="96" t="b">
        <f>Proc[[#This Row],[Requested]]=Proc[[#This Row],[CurrentParent]]</f>
        <v>1</v>
      </c>
      <c r="K1893" s="96" t="str">
        <f>IF(Proc[[#This Row],[Author]]="Marcela Urrego",VLOOKUP(LEFT(Proc[[#This Row],[Requested]],1),Table3[#All],2,0),VLOOKUP(Proc[[#This Row],[Author]],Table4[],2,0))</f>
        <v>HC</v>
      </c>
      <c r="L1893" s="96"/>
      <c r="M1893" s="92">
        <v>45807.678356481483</v>
      </c>
      <c r="N1893" s="93">
        <v>45810</v>
      </c>
      <c r="O1893" s="93">
        <v>45810</v>
      </c>
      <c r="P1893" s="92" t="str">
        <f ca="1">IF(Proc[[#This Row],[DaysAgeing]]&gt;5,"yep","on track")</f>
        <v>on track</v>
      </c>
      <c r="Q1893" s="3">
        <f ca="1">IF(Proc[[#This Row],[DateClosed]]="",ABS(NETWORKDAYS(Proc[[#This Row],[DateOpened]],TODAY()))-1,ABS(NETWORKDAYS(Proc[[#This Row],[DateOpened]],Proc[[#This Row],[DateClosed]]))-1)</f>
        <v>1</v>
      </c>
      <c r="R1893" s="92" t="s">
        <v>1013</v>
      </c>
      <c r="S1893" s="96"/>
    </row>
    <row r="1894" spans="1:19" hidden="1">
      <c r="A1894" s="95" t="s">
        <v>3641</v>
      </c>
      <c r="B1894" s="96" t="str">
        <f>IFERROR(VLOOKUP(Proc[[#This Row],[App]],Table2[],3,0),"open")</f>
        <v>ok</v>
      </c>
      <c r="C1894" s="95" t="s">
        <v>369</v>
      </c>
      <c r="D1894" t="s">
        <v>3722</v>
      </c>
      <c r="E1894" s="95" t="s">
        <v>3402</v>
      </c>
      <c r="F1894" s="105" t="s">
        <v>3402</v>
      </c>
      <c r="G1894" s="95" t="s">
        <v>400</v>
      </c>
      <c r="H1894" s="96" t="str">
        <f>IF(Proc[[#This Row],[type]]="LFF (MDG-F)",MID(Proc[[#This Row],[Obj]],13,10),"")</f>
        <v/>
      </c>
      <c r="J1894" s="96" t="b">
        <f>Proc[[#This Row],[Requested]]=Proc[[#This Row],[CurrentParent]]</f>
        <v>1</v>
      </c>
      <c r="K1894" s="96" t="str">
        <f>IF(Proc[[#This Row],[Author]]="Marcela Urrego",VLOOKUP(LEFT(Proc[[#This Row],[Requested]],1),Table3[#All],2,0),VLOOKUP(Proc[[#This Row],[Author]],Table4[],2,0))</f>
        <v>HC</v>
      </c>
      <c r="L1894" s="96"/>
      <c r="M1894" s="92">
        <v>45807.678356481483</v>
      </c>
      <c r="N1894" s="93">
        <v>45810</v>
      </c>
      <c r="O1894" s="93">
        <v>45810</v>
      </c>
      <c r="P1894" s="92" t="str">
        <f ca="1">IF(Proc[[#This Row],[DaysAgeing]]&gt;5,"yep","on track")</f>
        <v>on track</v>
      </c>
      <c r="Q1894" s="3">
        <f ca="1">IF(Proc[[#This Row],[DateClosed]]="",ABS(NETWORKDAYS(Proc[[#This Row],[DateOpened]],TODAY()))-1,ABS(NETWORKDAYS(Proc[[#This Row],[DateOpened]],Proc[[#This Row],[DateClosed]]))-1)</f>
        <v>1</v>
      </c>
      <c r="R1894" s="92" t="s">
        <v>1013</v>
      </c>
      <c r="S1894" s="96"/>
    </row>
    <row r="1895" spans="1:19" hidden="1">
      <c r="A1895" s="95" t="s">
        <v>3641</v>
      </c>
      <c r="B1895" s="96" t="str">
        <f>IFERROR(VLOOKUP(Proc[[#This Row],[App]],Table2[],3,0),"open")</f>
        <v>ok</v>
      </c>
      <c r="C1895" s="95" t="s">
        <v>369</v>
      </c>
      <c r="D1895" t="s">
        <v>3723</v>
      </c>
      <c r="E1895" s="95" t="s">
        <v>3402</v>
      </c>
      <c r="F1895" s="105" t="s">
        <v>3402</v>
      </c>
      <c r="G1895" s="95" t="s">
        <v>400</v>
      </c>
      <c r="H1895" s="96" t="str">
        <f>IF(Proc[[#This Row],[type]]="LFF (MDG-F)",MID(Proc[[#This Row],[Obj]],13,10),"")</f>
        <v/>
      </c>
      <c r="J1895" s="96" t="b">
        <f>Proc[[#This Row],[Requested]]=Proc[[#This Row],[CurrentParent]]</f>
        <v>1</v>
      </c>
      <c r="K1895" s="96" t="str">
        <f>IF(Proc[[#This Row],[Author]]="Marcela Urrego",VLOOKUP(LEFT(Proc[[#This Row],[Requested]],1),Table3[#All],2,0),VLOOKUP(Proc[[#This Row],[Author]],Table4[],2,0))</f>
        <v>HC</v>
      </c>
      <c r="L1895" s="96"/>
      <c r="M1895" s="92">
        <v>45807.678356481483</v>
      </c>
      <c r="N1895" s="93">
        <v>45810</v>
      </c>
      <c r="O1895" s="93">
        <v>45810</v>
      </c>
      <c r="P1895" s="92" t="str">
        <f ca="1">IF(Proc[[#This Row],[DaysAgeing]]&gt;5,"yep","on track")</f>
        <v>on track</v>
      </c>
      <c r="Q1895" s="3">
        <f ca="1">IF(Proc[[#This Row],[DateClosed]]="",ABS(NETWORKDAYS(Proc[[#This Row],[DateOpened]],TODAY()))-1,ABS(NETWORKDAYS(Proc[[#This Row],[DateOpened]],Proc[[#This Row],[DateClosed]]))-1)</f>
        <v>1</v>
      </c>
      <c r="R1895" s="92" t="s">
        <v>1013</v>
      </c>
      <c r="S1895" s="96"/>
    </row>
    <row r="1896" spans="1:19" hidden="1">
      <c r="A1896" s="95" t="s">
        <v>3641</v>
      </c>
      <c r="B1896" s="96" t="str">
        <f>IFERROR(VLOOKUP(Proc[[#This Row],[App]],Table2[],3,0),"open")</f>
        <v>ok</v>
      </c>
      <c r="C1896" s="95" t="s">
        <v>369</v>
      </c>
      <c r="D1896" t="s">
        <v>3724</v>
      </c>
      <c r="E1896" s="95" t="s">
        <v>3402</v>
      </c>
      <c r="F1896" s="105" t="s">
        <v>3402</v>
      </c>
      <c r="G1896" s="95" t="s">
        <v>400</v>
      </c>
      <c r="H1896" s="96" t="str">
        <f>IF(Proc[[#This Row],[type]]="LFF (MDG-F)",MID(Proc[[#This Row],[Obj]],13,10),"")</f>
        <v/>
      </c>
      <c r="J1896" s="96" t="b">
        <f>Proc[[#This Row],[Requested]]=Proc[[#This Row],[CurrentParent]]</f>
        <v>1</v>
      </c>
      <c r="K1896" s="96" t="str">
        <f>IF(Proc[[#This Row],[Author]]="Marcela Urrego",VLOOKUP(LEFT(Proc[[#This Row],[Requested]],1),Table3[#All],2,0),VLOOKUP(Proc[[#This Row],[Author]],Table4[],2,0))</f>
        <v>HC</v>
      </c>
      <c r="L1896" s="96"/>
      <c r="M1896" s="92">
        <v>45807.678356481483</v>
      </c>
      <c r="N1896" s="93">
        <v>45810</v>
      </c>
      <c r="O1896" s="93">
        <v>45810</v>
      </c>
      <c r="P1896" s="92" t="str">
        <f ca="1">IF(Proc[[#This Row],[DaysAgeing]]&gt;5,"yep","on track")</f>
        <v>on track</v>
      </c>
      <c r="Q1896" s="3">
        <f ca="1">IF(Proc[[#This Row],[DateClosed]]="",ABS(NETWORKDAYS(Proc[[#This Row],[DateOpened]],TODAY()))-1,ABS(NETWORKDAYS(Proc[[#This Row],[DateOpened]],Proc[[#This Row],[DateClosed]]))-1)</f>
        <v>1</v>
      </c>
      <c r="R1896" s="92" t="s">
        <v>1013</v>
      </c>
      <c r="S1896" s="96"/>
    </row>
    <row r="1897" spans="1:19" hidden="1">
      <c r="A1897" s="95" t="s">
        <v>3641</v>
      </c>
      <c r="B1897" s="96" t="str">
        <f>IFERROR(VLOOKUP(Proc[[#This Row],[App]],Table2[],3,0),"open")</f>
        <v>ok</v>
      </c>
      <c r="C1897" s="95" t="s">
        <v>369</v>
      </c>
      <c r="D1897" t="s">
        <v>3725</v>
      </c>
      <c r="E1897" s="95" t="s">
        <v>3402</v>
      </c>
      <c r="F1897" s="105" t="s">
        <v>3402</v>
      </c>
      <c r="G1897" s="95" t="s">
        <v>400</v>
      </c>
      <c r="H1897" s="96" t="str">
        <f>IF(Proc[[#This Row],[type]]="LFF (MDG-F)",MID(Proc[[#This Row],[Obj]],13,10),"")</f>
        <v/>
      </c>
      <c r="J1897" s="96" t="b">
        <f>Proc[[#This Row],[Requested]]=Proc[[#This Row],[CurrentParent]]</f>
        <v>1</v>
      </c>
      <c r="K1897" s="96" t="str">
        <f>IF(Proc[[#This Row],[Author]]="Marcela Urrego",VLOOKUP(LEFT(Proc[[#This Row],[Requested]],1),Table3[#All],2,0),VLOOKUP(Proc[[#This Row],[Author]],Table4[],2,0))</f>
        <v>HC</v>
      </c>
      <c r="L1897" s="96"/>
      <c r="M1897" s="92">
        <v>45807.678356481483</v>
      </c>
      <c r="N1897" s="93">
        <v>45810</v>
      </c>
      <c r="O1897" s="93">
        <v>45810</v>
      </c>
      <c r="P1897" s="92" t="str">
        <f ca="1">IF(Proc[[#This Row],[DaysAgeing]]&gt;5,"yep","on track")</f>
        <v>on track</v>
      </c>
      <c r="Q1897" s="3">
        <f ca="1">IF(Proc[[#This Row],[DateClosed]]="",ABS(NETWORKDAYS(Proc[[#This Row],[DateOpened]],TODAY()))-1,ABS(NETWORKDAYS(Proc[[#This Row],[DateOpened]],Proc[[#This Row],[DateClosed]]))-1)</f>
        <v>1</v>
      </c>
      <c r="R1897" s="92" t="s">
        <v>1013</v>
      </c>
      <c r="S1897" s="96"/>
    </row>
    <row r="1898" spans="1:19" hidden="1">
      <c r="A1898" s="95" t="s">
        <v>3641</v>
      </c>
      <c r="B1898" s="96" t="str">
        <f>IFERROR(VLOOKUP(Proc[[#This Row],[App]],Table2[],3,0),"open")</f>
        <v>ok</v>
      </c>
      <c r="C1898" s="95" t="s">
        <v>369</v>
      </c>
      <c r="D1898" t="s">
        <v>3726</v>
      </c>
      <c r="E1898" s="95" t="s">
        <v>3402</v>
      </c>
      <c r="F1898" s="105" t="s">
        <v>3402</v>
      </c>
      <c r="G1898" s="95" t="s">
        <v>400</v>
      </c>
      <c r="H1898" s="96" t="str">
        <f>IF(Proc[[#This Row],[type]]="LFF (MDG-F)",MID(Proc[[#This Row],[Obj]],13,10),"")</f>
        <v/>
      </c>
      <c r="J1898" s="96" t="b">
        <f>Proc[[#This Row],[Requested]]=Proc[[#This Row],[CurrentParent]]</f>
        <v>1</v>
      </c>
      <c r="K1898" s="96" t="str">
        <f>IF(Proc[[#This Row],[Author]]="Marcela Urrego",VLOOKUP(LEFT(Proc[[#This Row],[Requested]],1),Table3[#All],2,0),VLOOKUP(Proc[[#This Row],[Author]],Table4[],2,0))</f>
        <v>HC</v>
      </c>
      <c r="L1898" s="96"/>
      <c r="M1898" s="92">
        <v>45807.678356481483</v>
      </c>
      <c r="N1898" s="93">
        <v>45810</v>
      </c>
      <c r="O1898" s="93">
        <v>45810</v>
      </c>
      <c r="P1898" s="92" t="str">
        <f ca="1">IF(Proc[[#This Row],[DaysAgeing]]&gt;5,"yep","on track")</f>
        <v>on track</v>
      </c>
      <c r="Q1898" s="3">
        <f ca="1">IF(Proc[[#This Row],[DateClosed]]="",ABS(NETWORKDAYS(Proc[[#This Row],[DateOpened]],TODAY()))-1,ABS(NETWORKDAYS(Proc[[#This Row],[DateOpened]],Proc[[#This Row],[DateClosed]]))-1)</f>
        <v>1</v>
      </c>
      <c r="R1898" s="92" t="s">
        <v>1013</v>
      </c>
      <c r="S1898" s="96"/>
    </row>
    <row r="1899" spans="1:19" hidden="1">
      <c r="A1899" s="95" t="s">
        <v>3641</v>
      </c>
      <c r="B1899" s="96" t="str">
        <f>IFERROR(VLOOKUP(Proc[[#This Row],[App]],Table2[],3,0),"open")</f>
        <v>ok</v>
      </c>
      <c r="C1899" s="95" t="s">
        <v>369</v>
      </c>
      <c r="D1899" t="s">
        <v>3727</v>
      </c>
      <c r="E1899" s="95" t="s">
        <v>3402</v>
      </c>
      <c r="F1899" s="105" t="s">
        <v>3402</v>
      </c>
      <c r="G1899" s="95" t="s">
        <v>400</v>
      </c>
      <c r="H1899" s="96" t="str">
        <f>IF(Proc[[#This Row],[type]]="LFF (MDG-F)",MID(Proc[[#This Row],[Obj]],13,10),"")</f>
        <v/>
      </c>
      <c r="J1899" s="96" t="b">
        <f>Proc[[#This Row],[Requested]]=Proc[[#This Row],[CurrentParent]]</f>
        <v>1</v>
      </c>
      <c r="K1899" s="96" t="str">
        <f>IF(Proc[[#This Row],[Author]]="Marcela Urrego",VLOOKUP(LEFT(Proc[[#This Row],[Requested]],1),Table3[#All],2,0),VLOOKUP(Proc[[#This Row],[Author]],Table4[],2,0))</f>
        <v>HC</v>
      </c>
      <c r="L1899" s="96"/>
      <c r="M1899" s="92">
        <v>45807.678356481483</v>
      </c>
      <c r="N1899" s="93">
        <v>45810</v>
      </c>
      <c r="O1899" s="93">
        <v>45810</v>
      </c>
      <c r="P1899" s="92" t="str">
        <f ca="1">IF(Proc[[#This Row],[DaysAgeing]]&gt;5,"yep","on track")</f>
        <v>on track</v>
      </c>
      <c r="Q1899" s="3">
        <f ca="1">IF(Proc[[#This Row],[DateClosed]]="",ABS(NETWORKDAYS(Proc[[#This Row],[DateOpened]],TODAY()))-1,ABS(NETWORKDAYS(Proc[[#This Row],[DateOpened]],Proc[[#This Row],[DateClosed]]))-1)</f>
        <v>1</v>
      </c>
      <c r="R1899" s="92" t="s">
        <v>1013</v>
      </c>
      <c r="S1899" s="96"/>
    </row>
    <row r="1900" spans="1:19" hidden="1">
      <c r="A1900" s="95" t="s">
        <v>3641</v>
      </c>
      <c r="B1900" s="96" t="str">
        <f>IFERROR(VLOOKUP(Proc[[#This Row],[App]],Table2[],3,0),"open")</f>
        <v>ok</v>
      </c>
      <c r="C1900" s="95" t="s">
        <v>369</v>
      </c>
      <c r="D1900" t="s">
        <v>3728</v>
      </c>
      <c r="E1900" s="95" t="s">
        <v>3402</v>
      </c>
      <c r="F1900" s="105" t="s">
        <v>3402</v>
      </c>
      <c r="G1900" s="95" t="s">
        <v>400</v>
      </c>
      <c r="H1900" s="96" t="str">
        <f>IF(Proc[[#This Row],[type]]="LFF (MDG-F)",MID(Proc[[#This Row],[Obj]],13,10),"")</f>
        <v/>
      </c>
      <c r="J1900" s="96" t="b">
        <f>Proc[[#This Row],[Requested]]=Proc[[#This Row],[CurrentParent]]</f>
        <v>1</v>
      </c>
      <c r="K1900" s="96" t="str">
        <f>IF(Proc[[#This Row],[Author]]="Marcela Urrego",VLOOKUP(LEFT(Proc[[#This Row],[Requested]],1),Table3[#All],2,0),VLOOKUP(Proc[[#This Row],[Author]],Table4[],2,0))</f>
        <v>HC</v>
      </c>
      <c r="L1900" s="96"/>
      <c r="M1900" s="92">
        <v>45807.678356481483</v>
      </c>
      <c r="N1900" s="93">
        <v>45810</v>
      </c>
      <c r="O1900" s="93">
        <v>45810</v>
      </c>
      <c r="P1900" s="92" t="str">
        <f ca="1">IF(Proc[[#This Row],[DaysAgeing]]&gt;5,"yep","on track")</f>
        <v>on track</v>
      </c>
      <c r="Q1900" s="3">
        <f ca="1">IF(Proc[[#This Row],[DateClosed]]="",ABS(NETWORKDAYS(Proc[[#This Row],[DateOpened]],TODAY()))-1,ABS(NETWORKDAYS(Proc[[#This Row],[DateOpened]],Proc[[#This Row],[DateClosed]]))-1)</f>
        <v>1</v>
      </c>
      <c r="R1900" s="92" t="s">
        <v>1013</v>
      </c>
      <c r="S1900" s="96"/>
    </row>
    <row r="1901" spans="1:19" hidden="1">
      <c r="A1901" s="95" t="s">
        <v>3641</v>
      </c>
      <c r="B1901" s="96" t="str">
        <f>IFERROR(VLOOKUP(Proc[[#This Row],[App]],Table2[],3,0),"open")</f>
        <v>ok</v>
      </c>
      <c r="C1901" s="95" t="s">
        <v>369</v>
      </c>
      <c r="D1901" t="s">
        <v>3729</v>
      </c>
      <c r="E1901" s="95" t="s">
        <v>3402</v>
      </c>
      <c r="F1901" s="105" t="s">
        <v>3402</v>
      </c>
      <c r="G1901" s="95" t="s">
        <v>400</v>
      </c>
      <c r="H1901" s="96" t="str">
        <f>IF(Proc[[#This Row],[type]]="LFF (MDG-F)",MID(Proc[[#This Row],[Obj]],13,10),"")</f>
        <v/>
      </c>
      <c r="J1901" s="96" t="b">
        <f>Proc[[#This Row],[Requested]]=Proc[[#This Row],[CurrentParent]]</f>
        <v>1</v>
      </c>
      <c r="K1901" s="96" t="str">
        <f>IF(Proc[[#This Row],[Author]]="Marcela Urrego",VLOOKUP(LEFT(Proc[[#This Row],[Requested]],1),Table3[#All],2,0),VLOOKUP(Proc[[#This Row],[Author]],Table4[],2,0))</f>
        <v>HC</v>
      </c>
      <c r="L1901" s="96"/>
      <c r="M1901" s="92">
        <v>45807.678356481483</v>
      </c>
      <c r="N1901" s="93">
        <v>45810</v>
      </c>
      <c r="O1901" s="93">
        <v>45810</v>
      </c>
      <c r="P1901" s="92" t="str">
        <f ca="1">IF(Proc[[#This Row],[DaysAgeing]]&gt;5,"yep","on track")</f>
        <v>on track</v>
      </c>
      <c r="Q1901" s="3">
        <f ca="1">IF(Proc[[#This Row],[DateClosed]]="",ABS(NETWORKDAYS(Proc[[#This Row],[DateOpened]],TODAY()))-1,ABS(NETWORKDAYS(Proc[[#This Row],[DateOpened]],Proc[[#This Row],[DateClosed]]))-1)</f>
        <v>1</v>
      </c>
      <c r="R1901" s="92" t="s">
        <v>1013</v>
      </c>
      <c r="S1901" s="96"/>
    </row>
    <row r="1902" spans="1:19" hidden="1">
      <c r="A1902" s="95" t="s">
        <v>3641</v>
      </c>
      <c r="B1902" s="96" t="str">
        <f>IFERROR(VLOOKUP(Proc[[#This Row],[App]],Table2[],3,0),"open")</f>
        <v>ok</v>
      </c>
      <c r="C1902" s="95" t="s">
        <v>369</v>
      </c>
      <c r="D1902" t="s">
        <v>3730</v>
      </c>
      <c r="E1902" s="95" t="s">
        <v>3402</v>
      </c>
      <c r="F1902" s="105" t="s">
        <v>3402</v>
      </c>
      <c r="G1902" s="95" t="s">
        <v>400</v>
      </c>
      <c r="H1902" s="96" t="str">
        <f>IF(Proc[[#This Row],[type]]="LFF (MDG-F)",MID(Proc[[#This Row],[Obj]],13,10),"")</f>
        <v/>
      </c>
      <c r="J1902" s="96" t="b">
        <f>Proc[[#This Row],[Requested]]=Proc[[#This Row],[CurrentParent]]</f>
        <v>1</v>
      </c>
      <c r="K1902" s="96" t="str">
        <f>IF(Proc[[#This Row],[Author]]="Marcela Urrego",VLOOKUP(LEFT(Proc[[#This Row],[Requested]],1),Table3[#All],2,0),VLOOKUP(Proc[[#This Row],[Author]],Table4[],2,0))</f>
        <v>HC</v>
      </c>
      <c r="L1902" s="96"/>
      <c r="M1902" s="92">
        <v>45807.678356481483</v>
      </c>
      <c r="N1902" s="93">
        <v>45810</v>
      </c>
      <c r="O1902" s="93">
        <v>45810</v>
      </c>
      <c r="P1902" s="92" t="str">
        <f ca="1">IF(Proc[[#This Row],[DaysAgeing]]&gt;5,"yep","on track")</f>
        <v>on track</v>
      </c>
      <c r="Q1902" s="3">
        <f ca="1">IF(Proc[[#This Row],[DateClosed]]="",ABS(NETWORKDAYS(Proc[[#This Row],[DateOpened]],TODAY()))-1,ABS(NETWORKDAYS(Proc[[#This Row],[DateOpened]],Proc[[#This Row],[DateClosed]]))-1)</f>
        <v>1</v>
      </c>
      <c r="R1902" s="92" t="s">
        <v>1013</v>
      </c>
      <c r="S1902" s="96"/>
    </row>
    <row r="1903" spans="1:19" hidden="1">
      <c r="A1903" s="95" t="s">
        <v>3641</v>
      </c>
      <c r="B1903" s="96" t="str">
        <f>IFERROR(VLOOKUP(Proc[[#This Row],[App]],Table2[],3,0),"open")</f>
        <v>ok</v>
      </c>
      <c r="C1903" s="95" t="s">
        <v>369</v>
      </c>
      <c r="D1903" t="s">
        <v>3731</v>
      </c>
      <c r="E1903" s="95" t="s">
        <v>3402</v>
      </c>
      <c r="F1903" s="105" t="s">
        <v>3402</v>
      </c>
      <c r="G1903" s="95" t="s">
        <v>400</v>
      </c>
      <c r="H1903" s="96" t="str">
        <f>IF(Proc[[#This Row],[type]]="LFF (MDG-F)",MID(Proc[[#This Row],[Obj]],13,10),"")</f>
        <v/>
      </c>
      <c r="J1903" s="96" t="b">
        <f>Proc[[#This Row],[Requested]]=Proc[[#This Row],[CurrentParent]]</f>
        <v>1</v>
      </c>
      <c r="K1903" s="96" t="str">
        <f>IF(Proc[[#This Row],[Author]]="Marcela Urrego",VLOOKUP(LEFT(Proc[[#This Row],[Requested]],1),Table3[#All],2,0),VLOOKUP(Proc[[#This Row],[Author]],Table4[],2,0))</f>
        <v>HC</v>
      </c>
      <c r="L1903" s="96"/>
      <c r="M1903" s="92">
        <v>45807.678356481483</v>
      </c>
      <c r="N1903" s="93">
        <v>45810</v>
      </c>
      <c r="O1903" s="93">
        <v>45810</v>
      </c>
      <c r="P1903" s="92" t="str">
        <f ca="1">IF(Proc[[#This Row],[DaysAgeing]]&gt;5,"yep","on track")</f>
        <v>on track</v>
      </c>
      <c r="Q1903" s="3">
        <f ca="1">IF(Proc[[#This Row],[DateClosed]]="",ABS(NETWORKDAYS(Proc[[#This Row],[DateOpened]],TODAY()))-1,ABS(NETWORKDAYS(Proc[[#This Row],[DateOpened]],Proc[[#This Row],[DateClosed]]))-1)</f>
        <v>1</v>
      </c>
      <c r="R1903" s="92" t="s">
        <v>1013</v>
      </c>
      <c r="S1903" s="96"/>
    </row>
    <row r="1904" spans="1:19" hidden="1">
      <c r="A1904" s="95" t="s">
        <v>3641</v>
      </c>
      <c r="B1904" s="96" t="str">
        <f>IFERROR(VLOOKUP(Proc[[#This Row],[App]],Table2[],3,0),"open")</f>
        <v>ok</v>
      </c>
      <c r="C1904" s="95" t="s">
        <v>369</v>
      </c>
      <c r="D1904" t="s">
        <v>3732</v>
      </c>
      <c r="E1904" s="95" t="s">
        <v>3402</v>
      </c>
      <c r="F1904" s="105" t="s">
        <v>3402</v>
      </c>
      <c r="G1904" s="95" t="s">
        <v>400</v>
      </c>
      <c r="H1904" s="96" t="str">
        <f>IF(Proc[[#This Row],[type]]="LFF (MDG-F)",MID(Proc[[#This Row],[Obj]],13,10),"")</f>
        <v/>
      </c>
      <c r="J1904" s="96" t="b">
        <f>Proc[[#This Row],[Requested]]=Proc[[#This Row],[CurrentParent]]</f>
        <v>1</v>
      </c>
      <c r="K1904" s="96" t="str">
        <f>IF(Proc[[#This Row],[Author]]="Marcela Urrego",VLOOKUP(LEFT(Proc[[#This Row],[Requested]],1),Table3[#All],2,0),VLOOKUP(Proc[[#This Row],[Author]],Table4[],2,0))</f>
        <v>HC</v>
      </c>
      <c r="L1904" s="96"/>
      <c r="M1904" s="92">
        <v>45807.678356481483</v>
      </c>
      <c r="N1904" s="93">
        <v>45810</v>
      </c>
      <c r="O1904" s="93">
        <v>45810</v>
      </c>
      <c r="P1904" s="92" t="str">
        <f ca="1">IF(Proc[[#This Row],[DaysAgeing]]&gt;5,"yep","on track")</f>
        <v>on track</v>
      </c>
      <c r="Q1904" s="3">
        <f ca="1">IF(Proc[[#This Row],[DateClosed]]="",ABS(NETWORKDAYS(Proc[[#This Row],[DateOpened]],TODAY()))-1,ABS(NETWORKDAYS(Proc[[#This Row],[DateOpened]],Proc[[#This Row],[DateClosed]]))-1)</f>
        <v>1</v>
      </c>
      <c r="R1904" s="92" t="s">
        <v>1013</v>
      </c>
      <c r="S1904" s="96"/>
    </row>
    <row r="1905" spans="1:19" hidden="1">
      <c r="A1905" s="95" t="s">
        <v>3641</v>
      </c>
      <c r="B1905" s="96" t="str">
        <f>IFERROR(VLOOKUP(Proc[[#This Row],[App]],Table2[],3,0),"open")</f>
        <v>ok</v>
      </c>
      <c r="C1905" s="95" t="s">
        <v>369</v>
      </c>
      <c r="D1905" t="s">
        <v>3733</v>
      </c>
      <c r="E1905" s="95" t="s">
        <v>3402</v>
      </c>
      <c r="F1905" s="105" t="s">
        <v>3402</v>
      </c>
      <c r="G1905" s="95" t="s">
        <v>400</v>
      </c>
      <c r="H1905" s="96" t="str">
        <f>IF(Proc[[#This Row],[type]]="LFF (MDG-F)",MID(Proc[[#This Row],[Obj]],13,10),"")</f>
        <v/>
      </c>
      <c r="J1905" s="96" t="b">
        <f>Proc[[#This Row],[Requested]]=Proc[[#This Row],[CurrentParent]]</f>
        <v>1</v>
      </c>
      <c r="K1905" s="96" t="str">
        <f>IF(Proc[[#This Row],[Author]]="Marcela Urrego",VLOOKUP(LEFT(Proc[[#This Row],[Requested]],1),Table3[#All],2,0),VLOOKUP(Proc[[#This Row],[Author]],Table4[],2,0))</f>
        <v>HC</v>
      </c>
      <c r="L1905" s="96"/>
      <c r="M1905" s="92">
        <v>45807.678356481483</v>
      </c>
      <c r="N1905" s="93">
        <v>45810</v>
      </c>
      <c r="O1905" s="93">
        <v>45810</v>
      </c>
      <c r="P1905" s="92" t="str">
        <f ca="1">IF(Proc[[#This Row],[DaysAgeing]]&gt;5,"yep","on track")</f>
        <v>on track</v>
      </c>
      <c r="Q1905" s="3">
        <f ca="1">IF(Proc[[#This Row],[DateClosed]]="",ABS(NETWORKDAYS(Proc[[#This Row],[DateOpened]],TODAY()))-1,ABS(NETWORKDAYS(Proc[[#This Row],[DateOpened]],Proc[[#This Row],[DateClosed]]))-1)</f>
        <v>1</v>
      </c>
      <c r="R1905" s="92" t="s">
        <v>1013</v>
      </c>
      <c r="S1905" s="96"/>
    </row>
    <row r="1906" spans="1:19" hidden="1">
      <c r="A1906" s="95" t="s">
        <v>3641</v>
      </c>
      <c r="B1906" s="96" t="str">
        <f>IFERROR(VLOOKUP(Proc[[#This Row],[App]],Table2[],3,0),"open")</f>
        <v>ok</v>
      </c>
      <c r="C1906" s="95" t="s">
        <v>369</v>
      </c>
      <c r="D1906" t="s">
        <v>3734</v>
      </c>
      <c r="E1906" s="95" t="s">
        <v>3402</v>
      </c>
      <c r="F1906" s="105" t="s">
        <v>3402</v>
      </c>
      <c r="G1906" s="95" t="s">
        <v>400</v>
      </c>
      <c r="H1906" s="96" t="str">
        <f>IF(Proc[[#This Row],[type]]="LFF (MDG-F)",MID(Proc[[#This Row],[Obj]],13,10),"")</f>
        <v/>
      </c>
      <c r="J1906" s="96" t="b">
        <f>Proc[[#This Row],[Requested]]=Proc[[#This Row],[CurrentParent]]</f>
        <v>1</v>
      </c>
      <c r="K1906" s="96" t="str">
        <f>IF(Proc[[#This Row],[Author]]="Marcela Urrego",VLOOKUP(LEFT(Proc[[#This Row],[Requested]],1),Table3[#All],2,0),VLOOKUP(Proc[[#This Row],[Author]],Table4[],2,0))</f>
        <v>HC</v>
      </c>
      <c r="L1906" s="96"/>
      <c r="M1906" s="92">
        <v>45807.678356481483</v>
      </c>
      <c r="N1906" s="93">
        <v>45810</v>
      </c>
      <c r="O1906" s="93">
        <v>45810</v>
      </c>
      <c r="P1906" s="92" t="str">
        <f ca="1">IF(Proc[[#This Row],[DaysAgeing]]&gt;5,"yep","on track")</f>
        <v>on track</v>
      </c>
      <c r="Q1906" s="3">
        <f ca="1">IF(Proc[[#This Row],[DateClosed]]="",ABS(NETWORKDAYS(Proc[[#This Row],[DateOpened]],TODAY()))-1,ABS(NETWORKDAYS(Proc[[#This Row],[DateOpened]],Proc[[#This Row],[DateClosed]]))-1)</f>
        <v>1</v>
      </c>
      <c r="R1906" s="92" t="s">
        <v>1013</v>
      </c>
      <c r="S1906" s="96"/>
    </row>
    <row r="1907" spans="1:19" hidden="1">
      <c r="A1907" s="95" t="s">
        <v>3641</v>
      </c>
      <c r="B1907" s="96" t="str">
        <f>IFERROR(VLOOKUP(Proc[[#This Row],[App]],Table2[],3,0),"open")</f>
        <v>ok</v>
      </c>
      <c r="C1907" s="95" t="s">
        <v>369</v>
      </c>
      <c r="D1907" t="s">
        <v>3735</v>
      </c>
      <c r="E1907" s="95" t="s">
        <v>3402</v>
      </c>
      <c r="F1907" s="105" t="s">
        <v>3402</v>
      </c>
      <c r="G1907" s="95" t="s">
        <v>400</v>
      </c>
      <c r="H1907" s="96" t="str">
        <f>IF(Proc[[#This Row],[type]]="LFF (MDG-F)",MID(Proc[[#This Row],[Obj]],13,10),"")</f>
        <v/>
      </c>
      <c r="J1907" s="96" t="b">
        <f>Proc[[#This Row],[Requested]]=Proc[[#This Row],[CurrentParent]]</f>
        <v>1</v>
      </c>
      <c r="K1907" s="96" t="str">
        <f>IF(Proc[[#This Row],[Author]]="Marcela Urrego",VLOOKUP(LEFT(Proc[[#This Row],[Requested]],1),Table3[#All],2,0),VLOOKUP(Proc[[#This Row],[Author]],Table4[],2,0))</f>
        <v>HC</v>
      </c>
      <c r="L1907" s="96"/>
      <c r="M1907" s="92">
        <v>45807.678356481483</v>
      </c>
      <c r="N1907" s="93">
        <v>45810</v>
      </c>
      <c r="O1907" s="93">
        <v>45810</v>
      </c>
      <c r="P1907" s="92" t="str">
        <f ca="1">IF(Proc[[#This Row],[DaysAgeing]]&gt;5,"yep","on track")</f>
        <v>on track</v>
      </c>
      <c r="Q1907" s="3">
        <f ca="1">IF(Proc[[#This Row],[DateClosed]]="",ABS(NETWORKDAYS(Proc[[#This Row],[DateOpened]],TODAY()))-1,ABS(NETWORKDAYS(Proc[[#This Row],[DateOpened]],Proc[[#This Row],[DateClosed]]))-1)</f>
        <v>1</v>
      </c>
      <c r="R1907" s="92" t="s">
        <v>1013</v>
      </c>
      <c r="S1907" s="96"/>
    </row>
    <row r="1908" spans="1:19" hidden="1">
      <c r="A1908" s="95" t="s">
        <v>3641</v>
      </c>
      <c r="B1908" s="96" t="str">
        <f>IFERROR(VLOOKUP(Proc[[#This Row],[App]],Table2[],3,0),"open")</f>
        <v>ok</v>
      </c>
      <c r="C1908" s="95" t="s">
        <v>369</v>
      </c>
      <c r="D1908" t="s">
        <v>3736</v>
      </c>
      <c r="E1908" s="95" t="s">
        <v>3402</v>
      </c>
      <c r="F1908" s="105" t="s">
        <v>3402</v>
      </c>
      <c r="G1908" s="95" t="s">
        <v>400</v>
      </c>
      <c r="H1908" s="96" t="str">
        <f>IF(Proc[[#This Row],[type]]="LFF (MDG-F)",MID(Proc[[#This Row],[Obj]],13,10),"")</f>
        <v/>
      </c>
      <c r="J1908" s="96" t="b">
        <f>Proc[[#This Row],[Requested]]=Proc[[#This Row],[CurrentParent]]</f>
        <v>1</v>
      </c>
      <c r="K1908" s="96" t="str">
        <f>IF(Proc[[#This Row],[Author]]="Marcela Urrego",VLOOKUP(LEFT(Proc[[#This Row],[Requested]],1),Table3[#All],2,0),VLOOKUP(Proc[[#This Row],[Author]],Table4[],2,0))</f>
        <v>HC</v>
      </c>
      <c r="L1908" s="96"/>
      <c r="M1908" s="92">
        <v>45807.678356481483</v>
      </c>
      <c r="N1908" s="93">
        <v>45810</v>
      </c>
      <c r="O1908" s="93">
        <v>45810</v>
      </c>
      <c r="P1908" s="92" t="str">
        <f ca="1">IF(Proc[[#This Row],[DaysAgeing]]&gt;5,"yep","on track")</f>
        <v>on track</v>
      </c>
      <c r="Q1908" s="3">
        <f ca="1">IF(Proc[[#This Row],[DateClosed]]="",ABS(NETWORKDAYS(Proc[[#This Row],[DateOpened]],TODAY()))-1,ABS(NETWORKDAYS(Proc[[#This Row],[DateOpened]],Proc[[#This Row],[DateClosed]]))-1)</f>
        <v>1</v>
      </c>
      <c r="R1908" s="92" t="s">
        <v>1013</v>
      </c>
      <c r="S1908" s="96"/>
    </row>
    <row r="1909" spans="1:19" hidden="1">
      <c r="A1909" s="95" t="s">
        <v>3641</v>
      </c>
      <c r="B1909" s="96" t="str">
        <f>IFERROR(VLOOKUP(Proc[[#This Row],[App]],Table2[],3,0),"open")</f>
        <v>ok</v>
      </c>
      <c r="C1909" s="95" t="s">
        <v>369</v>
      </c>
      <c r="D1909" t="s">
        <v>3737</v>
      </c>
      <c r="E1909" s="95" t="s">
        <v>3402</v>
      </c>
      <c r="F1909" s="105" t="s">
        <v>3402</v>
      </c>
      <c r="G1909" s="95" t="s">
        <v>400</v>
      </c>
      <c r="H1909" s="96" t="str">
        <f>IF(Proc[[#This Row],[type]]="LFF (MDG-F)",MID(Proc[[#This Row],[Obj]],13,10),"")</f>
        <v/>
      </c>
      <c r="J1909" s="96" t="b">
        <f>Proc[[#This Row],[Requested]]=Proc[[#This Row],[CurrentParent]]</f>
        <v>1</v>
      </c>
      <c r="K1909" s="96" t="str">
        <f>IF(Proc[[#This Row],[Author]]="Marcela Urrego",VLOOKUP(LEFT(Proc[[#This Row],[Requested]],1),Table3[#All],2,0),VLOOKUP(Proc[[#This Row],[Author]],Table4[],2,0))</f>
        <v>HC</v>
      </c>
      <c r="L1909" s="96"/>
      <c r="M1909" s="92">
        <v>45807.678356481483</v>
      </c>
      <c r="N1909" s="93">
        <v>45810</v>
      </c>
      <c r="O1909" s="93">
        <v>45810</v>
      </c>
      <c r="P1909" s="92" t="str">
        <f ca="1">IF(Proc[[#This Row],[DaysAgeing]]&gt;5,"yep","on track")</f>
        <v>on track</v>
      </c>
      <c r="Q1909" s="3">
        <f ca="1">IF(Proc[[#This Row],[DateClosed]]="",ABS(NETWORKDAYS(Proc[[#This Row],[DateOpened]],TODAY()))-1,ABS(NETWORKDAYS(Proc[[#This Row],[DateOpened]],Proc[[#This Row],[DateClosed]]))-1)</f>
        <v>1</v>
      </c>
      <c r="R1909" s="92" t="s">
        <v>1013</v>
      </c>
      <c r="S1909" s="96"/>
    </row>
    <row r="1910" spans="1:19" hidden="1">
      <c r="A1910" s="95" t="s">
        <v>3641</v>
      </c>
      <c r="B1910" s="96" t="str">
        <f>IFERROR(VLOOKUP(Proc[[#This Row],[App]],Table2[],3,0),"open")</f>
        <v>ok</v>
      </c>
      <c r="C1910" s="95" t="s">
        <v>369</v>
      </c>
      <c r="D1910" t="s">
        <v>3738</v>
      </c>
      <c r="E1910" s="95" t="s">
        <v>3402</v>
      </c>
      <c r="F1910" s="105" t="s">
        <v>3402</v>
      </c>
      <c r="G1910" s="95" t="s">
        <v>400</v>
      </c>
      <c r="H1910" s="96" t="str">
        <f>IF(Proc[[#This Row],[type]]="LFF (MDG-F)",MID(Proc[[#This Row],[Obj]],13,10),"")</f>
        <v/>
      </c>
      <c r="J1910" s="96" t="b">
        <f>Proc[[#This Row],[Requested]]=Proc[[#This Row],[CurrentParent]]</f>
        <v>1</v>
      </c>
      <c r="K1910" s="96" t="str">
        <f>IF(Proc[[#This Row],[Author]]="Marcela Urrego",VLOOKUP(LEFT(Proc[[#This Row],[Requested]],1),Table3[#All],2,0),VLOOKUP(Proc[[#This Row],[Author]],Table4[],2,0))</f>
        <v>HC</v>
      </c>
      <c r="L1910" s="96"/>
      <c r="M1910" s="92">
        <v>45807.678356481483</v>
      </c>
      <c r="N1910" s="93">
        <v>45810</v>
      </c>
      <c r="O1910" s="93">
        <v>45810</v>
      </c>
      <c r="P1910" s="92" t="str">
        <f ca="1">IF(Proc[[#This Row],[DaysAgeing]]&gt;5,"yep","on track")</f>
        <v>on track</v>
      </c>
      <c r="Q1910" s="3">
        <f ca="1">IF(Proc[[#This Row],[DateClosed]]="",ABS(NETWORKDAYS(Proc[[#This Row],[DateOpened]],TODAY()))-1,ABS(NETWORKDAYS(Proc[[#This Row],[DateOpened]],Proc[[#This Row],[DateClosed]]))-1)</f>
        <v>1</v>
      </c>
      <c r="R1910" s="92" t="s">
        <v>1013</v>
      </c>
      <c r="S1910" s="96"/>
    </row>
    <row r="1911" spans="1:19" hidden="1">
      <c r="A1911" s="95" t="s">
        <v>3641</v>
      </c>
      <c r="B1911" s="96" t="str">
        <f>IFERROR(VLOOKUP(Proc[[#This Row],[App]],Table2[],3,0),"open")</f>
        <v>ok</v>
      </c>
      <c r="C1911" s="95" t="s">
        <v>369</v>
      </c>
      <c r="D1911" t="s">
        <v>3739</v>
      </c>
      <c r="E1911" s="95" t="s">
        <v>3402</v>
      </c>
      <c r="F1911" s="105" t="s">
        <v>3402</v>
      </c>
      <c r="G1911" s="95" t="s">
        <v>400</v>
      </c>
      <c r="H1911" s="96" t="str">
        <f>IF(Proc[[#This Row],[type]]="LFF (MDG-F)",MID(Proc[[#This Row],[Obj]],13,10),"")</f>
        <v/>
      </c>
      <c r="J1911" s="96" t="b">
        <f>Proc[[#This Row],[Requested]]=Proc[[#This Row],[CurrentParent]]</f>
        <v>1</v>
      </c>
      <c r="K1911" s="96" t="str">
        <f>IF(Proc[[#This Row],[Author]]="Marcela Urrego",VLOOKUP(LEFT(Proc[[#This Row],[Requested]],1),Table3[#All],2,0),VLOOKUP(Proc[[#This Row],[Author]],Table4[],2,0))</f>
        <v>HC</v>
      </c>
      <c r="L1911" s="96"/>
      <c r="M1911" s="92">
        <v>45807.678356481483</v>
      </c>
      <c r="N1911" s="93">
        <v>45810</v>
      </c>
      <c r="O1911" s="93">
        <v>45810</v>
      </c>
      <c r="P1911" s="92" t="str">
        <f ca="1">IF(Proc[[#This Row],[DaysAgeing]]&gt;5,"yep","on track")</f>
        <v>on track</v>
      </c>
      <c r="Q1911" s="3">
        <f ca="1">IF(Proc[[#This Row],[DateClosed]]="",ABS(NETWORKDAYS(Proc[[#This Row],[DateOpened]],TODAY()))-1,ABS(NETWORKDAYS(Proc[[#This Row],[DateOpened]],Proc[[#This Row],[DateClosed]]))-1)</f>
        <v>1</v>
      </c>
      <c r="R1911" s="92" t="s">
        <v>1013</v>
      </c>
      <c r="S1911" s="96"/>
    </row>
    <row r="1912" spans="1:19" hidden="1">
      <c r="A1912" t="s">
        <v>3748</v>
      </c>
      <c r="B1912" s="96" t="str">
        <f>IFERROR(VLOOKUP(Proc[[#This Row],[App]],Table2[],3,0),"open")</f>
        <v>ok</v>
      </c>
      <c r="C1912" s="95" t="s">
        <v>377</v>
      </c>
      <c r="D1912" t="s">
        <v>4072</v>
      </c>
      <c r="E1912" t="s">
        <v>4067</v>
      </c>
      <c r="F1912" s="105" t="s">
        <v>4067</v>
      </c>
      <c r="G1912" s="95" t="s">
        <v>400</v>
      </c>
      <c r="H1912" s="96" t="str">
        <f>IF(Proc[[#This Row],[type]]="LFF (MDG-F)",MID(Proc[[#This Row],[Obj]],13,10),"")</f>
        <v/>
      </c>
      <c r="I1912" t="s">
        <v>4074</v>
      </c>
      <c r="J1912" s="96" t="b">
        <f>Proc[[#This Row],[Requested]]=Proc[[#This Row],[CurrentParent]]</f>
        <v>1</v>
      </c>
      <c r="K1912" s="96" t="str">
        <f>IF(Proc[[#This Row],[Author]]="Marcela Urrego",VLOOKUP(LEFT(Proc[[#This Row],[Requested]],1),Table3[#All],2,0),VLOOKUP(Proc[[#This Row],[Author]],Table4[],2,0))</f>
        <v>HC</v>
      </c>
      <c r="L1912" s="96"/>
      <c r="M1912" s="92">
        <v>45807.678356481483</v>
      </c>
      <c r="N1912" s="93"/>
      <c r="O1912" s="93">
        <v>45810</v>
      </c>
      <c r="P1912" s="92" t="str">
        <f ca="1">IF(Proc[[#This Row],[DaysAgeing]]&gt;5,"yep","on track")</f>
        <v>on track</v>
      </c>
      <c r="Q1912" s="3">
        <f ca="1">IF(Proc[[#This Row],[DateClosed]]="",ABS(NETWORKDAYS(Proc[[#This Row],[DateOpened]],TODAY()))-1,ABS(NETWORKDAYS(Proc[[#This Row],[DateOpened]],Proc[[#This Row],[DateClosed]]))-1)</f>
        <v>1</v>
      </c>
      <c r="R1912" s="92" t="s">
        <v>1013</v>
      </c>
      <c r="S1912" s="96"/>
    </row>
    <row r="1913" spans="1:19" hidden="1">
      <c r="A1913" s="95" t="s">
        <v>3748</v>
      </c>
      <c r="B1913" s="96" t="str">
        <f>IFERROR(VLOOKUP(Proc[[#This Row],[App]],Table2[],3,0),"open")</f>
        <v>ok</v>
      </c>
      <c r="C1913" s="95" t="s">
        <v>369</v>
      </c>
      <c r="D1913" t="s">
        <v>3749</v>
      </c>
      <c r="E1913" t="s">
        <v>4068</v>
      </c>
      <c r="F1913" s="105" t="s">
        <v>4068</v>
      </c>
      <c r="G1913" s="95" t="s">
        <v>400</v>
      </c>
      <c r="H1913" s="96" t="str">
        <f>IF(Proc[[#This Row],[type]]="LFF (MDG-F)",MID(Proc[[#This Row],[Obj]],13,10),"")</f>
        <v/>
      </c>
      <c r="J1913" s="96" t="b">
        <f>Proc[[#This Row],[Requested]]=Proc[[#This Row],[CurrentParent]]</f>
        <v>1</v>
      </c>
      <c r="K1913" s="96" t="str">
        <f>IF(Proc[[#This Row],[Author]]="Marcela Urrego",VLOOKUP(LEFT(Proc[[#This Row],[Requested]],1),Table3[#All],2,0),VLOOKUP(Proc[[#This Row],[Author]],Table4[],2,0))</f>
        <v>HC</v>
      </c>
      <c r="L1913" s="96"/>
      <c r="M1913" s="92">
        <v>45807.678356481483</v>
      </c>
      <c r="N1913" s="93">
        <v>45810</v>
      </c>
      <c r="O1913" s="93">
        <v>45810</v>
      </c>
      <c r="P1913" s="92" t="str">
        <f ca="1">IF(Proc[[#This Row],[DaysAgeing]]&gt;5,"yep","on track")</f>
        <v>on track</v>
      </c>
      <c r="Q1913" s="3">
        <f ca="1">IF(Proc[[#This Row],[DateClosed]]="",ABS(NETWORKDAYS(Proc[[#This Row],[DateOpened]],TODAY()))-1,ABS(NETWORKDAYS(Proc[[#This Row],[DateOpened]],Proc[[#This Row],[DateClosed]]))-1)</f>
        <v>1</v>
      </c>
      <c r="R1913" s="92" t="s">
        <v>1013</v>
      </c>
      <c r="S1913" s="96"/>
    </row>
    <row r="1914" spans="1:19" hidden="1">
      <c r="A1914" s="95" t="s">
        <v>3748</v>
      </c>
      <c r="B1914" s="96" t="str">
        <f>IFERROR(VLOOKUP(Proc[[#This Row],[App]],Table2[],3,0),"open")</f>
        <v>ok</v>
      </c>
      <c r="C1914" s="95" t="s">
        <v>369</v>
      </c>
      <c r="D1914" t="s">
        <v>3750</v>
      </c>
      <c r="E1914" t="s">
        <v>4069</v>
      </c>
      <c r="F1914" s="105" t="s">
        <v>4069</v>
      </c>
      <c r="G1914" s="95" t="s">
        <v>400</v>
      </c>
      <c r="H1914" s="96" t="str">
        <f>IF(Proc[[#This Row],[type]]="LFF (MDG-F)",MID(Proc[[#This Row],[Obj]],13,10),"")</f>
        <v/>
      </c>
      <c r="J1914" s="96" t="b">
        <f>Proc[[#This Row],[Requested]]=Proc[[#This Row],[CurrentParent]]</f>
        <v>1</v>
      </c>
      <c r="K1914" s="96" t="str">
        <f>IF(Proc[[#This Row],[Author]]="Marcela Urrego",VLOOKUP(LEFT(Proc[[#This Row],[Requested]],1),Table3[#All],2,0),VLOOKUP(Proc[[#This Row],[Author]],Table4[],2,0))</f>
        <v>HC</v>
      </c>
      <c r="L1914" s="96"/>
      <c r="M1914" s="92">
        <v>45807.678356481483</v>
      </c>
      <c r="N1914" s="93">
        <v>45810</v>
      </c>
      <c r="O1914" s="93">
        <v>45810</v>
      </c>
      <c r="P1914" s="92" t="str">
        <f ca="1">IF(Proc[[#This Row],[DaysAgeing]]&gt;5,"yep","on track")</f>
        <v>on track</v>
      </c>
      <c r="Q1914" s="3">
        <f ca="1">IF(Proc[[#This Row],[DateClosed]]="",ABS(NETWORKDAYS(Proc[[#This Row],[DateOpened]],TODAY()))-1,ABS(NETWORKDAYS(Proc[[#This Row],[DateOpened]],Proc[[#This Row],[DateClosed]]))-1)</f>
        <v>1</v>
      </c>
      <c r="R1914" s="92" t="s">
        <v>1013</v>
      </c>
      <c r="S1914" s="96"/>
    </row>
    <row r="1915" spans="1:19" hidden="1">
      <c r="A1915" s="95" t="s">
        <v>3748</v>
      </c>
      <c r="B1915" s="96" t="str">
        <f>IFERROR(VLOOKUP(Proc[[#This Row],[App]],Table2[],3,0),"open")</f>
        <v>ok</v>
      </c>
      <c r="C1915" s="95" t="s">
        <v>369</v>
      </c>
      <c r="D1915" t="s">
        <v>3751</v>
      </c>
      <c r="E1915" t="s">
        <v>4069</v>
      </c>
      <c r="F1915" s="105" t="s">
        <v>4069</v>
      </c>
      <c r="G1915" s="95" t="s">
        <v>400</v>
      </c>
      <c r="H1915" s="96" t="str">
        <f>IF(Proc[[#This Row],[type]]="LFF (MDG-F)",MID(Proc[[#This Row],[Obj]],13,10),"")</f>
        <v/>
      </c>
      <c r="J1915" s="96" t="b">
        <f>Proc[[#This Row],[Requested]]=Proc[[#This Row],[CurrentParent]]</f>
        <v>1</v>
      </c>
      <c r="K1915" s="96" t="str">
        <f>IF(Proc[[#This Row],[Author]]="Marcela Urrego",VLOOKUP(LEFT(Proc[[#This Row],[Requested]],1),Table3[#All],2,0),VLOOKUP(Proc[[#This Row],[Author]],Table4[],2,0))</f>
        <v>HC</v>
      </c>
      <c r="L1915" s="96"/>
      <c r="M1915" s="92">
        <v>45807.678356481483</v>
      </c>
      <c r="N1915" s="93">
        <v>45810</v>
      </c>
      <c r="O1915" s="93">
        <v>45810</v>
      </c>
      <c r="P1915" s="92" t="str">
        <f ca="1">IF(Proc[[#This Row],[DaysAgeing]]&gt;5,"yep","on track")</f>
        <v>on track</v>
      </c>
      <c r="Q1915" s="3">
        <f ca="1">IF(Proc[[#This Row],[DateClosed]]="",ABS(NETWORKDAYS(Proc[[#This Row],[DateOpened]],TODAY()))-1,ABS(NETWORKDAYS(Proc[[#This Row],[DateOpened]],Proc[[#This Row],[DateClosed]]))-1)</f>
        <v>1</v>
      </c>
      <c r="R1915" s="92" t="s">
        <v>1013</v>
      </c>
      <c r="S1915" s="96"/>
    </row>
    <row r="1916" spans="1:19" hidden="1">
      <c r="A1916" s="95" t="s">
        <v>3748</v>
      </c>
      <c r="B1916" s="96" t="str">
        <f>IFERROR(VLOOKUP(Proc[[#This Row],[App]],Table2[],3,0),"open")</f>
        <v>ok</v>
      </c>
      <c r="C1916" s="95" t="s">
        <v>369</v>
      </c>
      <c r="D1916" t="s">
        <v>3752</v>
      </c>
      <c r="E1916" t="s">
        <v>4069</v>
      </c>
      <c r="F1916" s="105" t="s">
        <v>4069</v>
      </c>
      <c r="G1916" s="95" t="s">
        <v>400</v>
      </c>
      <c r="H1916" s="96" t="str">
        <f>IF(Proc[[#This Row],[type]]="LFF (MDG-F)",MID(Proc[[#This Row],[Obj]],13,10),"")</f>
        <v/>
      </c>
      <c r="J1916" s="96" t="b">
        <f>Proc[[#This Row],[Requested]]=Proc[[#This Row],[CurrentParent]]</f>
        <v>1</v>
      </c>
      <c r="K1916" s="96" t="str">
        <f>IF(Proc[[#This Row],[Author]]="Marcela Urrego",VLOOKUP(LEFT(Proc[[#This Row],[Requested]],1),Table3[#All],2,0),VLOOKUP(Proc[[#This Row],[Author]],Table4[],2,0))</f>
        <v>HC</v>
      </c>
      <c r="L1916" s="96"/>
      <c r="M1916" s="92">
        <v>45807.678356481483</v>
      </c>
      <c r="N1916" s="93">
        <v>45810</v>
      </c>
      <c r="O1916" s="93">
        <v>45810</v>
      </c>
      <c r="P1916" s="92" t="str">
        <f ca="1">IF(Proc[[#This Row],[DaysAgeing]]&gt;5,"yep","on track")</f>
        <v>on track</v>
      </c>
      <c r="Q1916" s="3">
        <f ca="1">IF(Proc[[#This Row],[DateClosed]]="",ABS(NETWORKDAYS(Proc[[#This Row],[DateOpened]],TODAY()))-1,ABS(NETWORKDAYS(Proc[[#This Row],[DateOpened]],Proc[[#This Row],[DateClosed]]))-1)</f>
        <v>1</v>
      </c>
      <c r="R1916" s="92" t="s">
        <v>1013</v>
      </c>
      <c r="S1916" s="96"/>
    </row>
    <row r="1917" spans="1:19" hidden="1">
      <c r="A1917" s="95" t="s">
        <v>3748</v>
      </c>
      <c r="B1917" s="96" t="str">
        <f>IFERROR(VLOOKUP(Proc[[#This Row],[App]],Table2[],3,0),"open")</f>
        <v>ok</v>
      </c>
      <c r="C1917" s="95" t="s">
        <v>369</v>
      </c>
      <c r="D1917" t="s">
        <v>3753</v>
      </c>
      <c r="E1917" t="s">
        <v>4069</v>
      </c>
      <c r="F1917" s="105" t="s">
        <v>4069</v>
      </c>
      <c r="G1917" s="95" t="s">
        <v>400</v>
      </c>
      <c r="H1917" s="96" t="str">
        <f>IF(Proc[[#This Row],[type]]="LFF (MDG-F)",MID(Proc[[#This Row],[Obj]],13,10),"")</f>
        <v/>
      </c>
      <c r="J1917" s="96" t="b">
        <f>Proc[[#This Row],[Requested]]=Proc[[#This Row],[CurrentParent]]</f>
        <v>1</v>
      </c>
      <c r="K1917" s="96" t="str">
        <f>IF(Proc[[#This Row],[Author]]="Marcela Urrego",VLOOKUP(LEFT(Proc[[#This Row],[Requested]],1),Table3[#All],2,0),VLOOKUP(Proc[[#This Row],[Author]],Table4[],2,0))</f>
        <v>HC</v>
      </c>
      <c r="L1917" s="96"/>
      <c r="M1917" s="92">
        <v>45807.678356481483</v>
      </c>
      <c r="N1917" s="93">
        <v>45810</v>
      </c>
      <c r="O1917" s="93">
        <v>45810</v>
      </c>
      <c r="P1917" s="92" t="str">
        <f ca="1">IF(Proc[[#This Row],[DaysAgeing]]&gt;5,"yep","on track")</f>
        <v>on track</v>
      </c>
      <c r="Q1917" s="3">
        <f ca="1">IF(Proc[[#This Row],[DateClosed]]="",ABS(NETWORKDAYS(Proc[[#This Row],[DateOpened]],TODAY()))-1,ABS(NETWORKDAYS(Proc[[#This Row],[DateOpened]],Proc[[#This Row],[DateClosed]]))-1)</f>
        <v>1</v>
      </c>
      <c r="R1917" s="92" t="s">
        <v>1013</v>
      </c>
      <c r="S1917" s="96"/>
    </row>
    <row r="1918" spans="1:19" hidden="1">
      <c r="A1918" s="95" t="s">
        <v>3748</v>
      </c>
      <c r="B1918" s="96" t="str">
        <f>IFERROR(VLOOKUP(Proc[[#This Row],[App]],Table2[],3,0),"open")</f>
        <v>ok</v>
      </c>
      <c r="C1918" s="95" t="s">
        <v>369</v>
      </c>
      <c r="D1918" t="s">
        <v>3754</v>
      </c>
      <c r="E1918" t="s">
        <v>4069</v>
      </c>
      <c r="F1918" s="105" t="s">
        <v>4069</v>
      </c>
      <c r="G1918" s="95" t="s">
        <v>400</v>
      </c>
      <c r="H1918" s="96" t="str">
        <f>IF(Proc[[#This Row],[type]]="LFF (MDG-F)",MID(Proc[[#This Row],[Obj]],13,10),"")</f>
        <v/>
      </c>
      <c r="J1918" s="96" t="b">
        <f>Proc[[#This Row],[Requested]]=Proc[[#This Row],[CurrentParent]]</f>
        <v>1</v>
      </c>
      <c r="K1918" s="96" t="str">
        <f>IF(Proc[[#This Row],[Author]]="Marcela Urrego",VLOOKUP(LEFT(Proc[[#This Row],[Requested]],1),Table3[#All],2,0),VLOOKUP(Proc[[#This Row],[Author]],Table4[],2,0))</f>
        <v>HC</v>
      </c>
      <c r="L1918" s="96"/>
      <c r="M1918" s="92">
        <v>45807.678356481483</v>
      </c>
      <c r="N1918" s="93">
        <v>45810</v>
      </c>
      <c r="O1918" s="93">
        <v>45810</v>
      </c>
      <c r="P1918" s="92" t="str">
        <f ca="1">IF(Proc[[#This Row],[DaysAgeing]]&gt;5,"yep","on track")</f>
        <v>on track</v>
      </c>
      <c r="Q1918" s="3">
        <f ca="1">IF(Proc[[#This Row],[DateClosed]]="",ABS(NETWORKDAYS(Proc[[#This Row],[DateOpened]],TODAY()))-1,ABS(NETWORKDAYS(Proc[[#This Row],[DateOpened]],Proc[[#This Row],[DateClosed]]))-1)</f>
        <v>1</v>
      </c>
      <c r="R1918" s="92" t="s">
        <v>1013</v>
      </c>
      <c r="S1918" s="96"/>
    </row>
    <row r="1919" spans="1:19" hidden="1">
      <c r="A1919" s="95" t="s">
        <v>3748</v>
      </c>
      <c r="B1919" s="96" t="str">
        <f>IFERROR(VLOOKUP(Proc[[#This Row],[App]],Table2[],3,0),"open")</f>
        <v>ok</v>
      </c>
      <c r="C1919" s="95" t="s">
        <v>369</v>
      </c>
      <c r="D1919" t="s">
        <v>3755</v>
      </c>
      <c r="E1919" t="s">
        <v>4069</v>
      </c>
      <c r="F1919" s="105" t="s">
        <v>4069</v>
      </c>
      <c r="G1919" s="95" t="s">
        <v>400</v>
      </c>
      <c r="H1919" s="96" t="str">
        <f>IF(Proc[[#This Row],[type]]="LFF (MDG-F)",MID(Proc[[#This Row],[Obj]],13,10),"")</f>
        <v/>
      </c>
      <c r="J1919" s="96" t="b">
        <f>Proc[[#This Row],[Requested]]=Proc[[#This Row],[CurrentParent]]</f>
        <v>1</v>
      </c>
      <c r="K1919" s="96" t="str">
        <f>IF(Proc[[#This Row],[Author]]="Marcela Urrego",VLOOKUP(LEFT(Proc[[#This Row],[Requested]],1),Table3[#All],2,0),VLOOKUP(Proc[[#This Row],[Author]],Table4[],2,0))</f>
        <v>HC</v>
      </c>
      <c r="L1919" s="96"/>
      <c r="M1919" s="92">
        <v>45807.678356481483</v>
      </c>
      <c r="N1919" s="93">
        <v>45810</v>
      </c>
      <c r="O1919" s="93">
        <v>45810</v>
      </c>
      <c r="P1919" s="92" t="str">
        <f ca="1">IF(Proc[[#This Row],[DaysAgeing]]&gt;5,"yep","on track")</f>
        <v>on track</v>
      </c>
      <c r="Q1919" s="3">
        <f ca="1">IF(Proc[[#This Row],[DateClosed]]="",ABS(NETWORKDAYS(Proc[[#This Row],[DateOpened]],TODAY()))-1,ABS(NETWORKDAYS(Proc[[#This Row],[DateOpened]],Proc[[#This Row],[DateClosed]]))-1)</f>
        <v>1</v>
      </c>
      <c r="R1919" s="92" t="s">
        <v>1013</v>
      </c>
      <c r="S1919" s="96"/>
    </row>
    <row r="1920" spans="1:19" hidden="1">
      <c r="A1920" s="95" t="s">
        <v>3748</v>
      </c>
      <c r="B1920" s="96" t="str">
        <f>IFERROR(VLOOKUP(Proc[[#This Row],[App]],Table2[],3,0),"open")</f>
        <v>ok</v>
      </c>
      <c r="C1920" s="95" t="s">
        <v>369</v>
      </c>
      <c r="D1920" t="s">
        <v>3756</v>
      </c>
      <c r="E1920" t="s">
        <v>4069</v>
      </c>
      <c r="F1920" s="105" t="s">
        <v>4069</v>
      </c>
      <c r="G1920" s="95" t="s">
        <v>400</v>
      </c>
      <c r="H1920" s="96" t="str">
        <f>IF(Proc[[#This Row],[type]]="LFF (MDG-F)",MID(Proc[[#This Row],[Obj]],13,10),"")</f>
        <v/>
      </c>
      <c r="J1920" s="96" t="b">
        <f>Proc[[#This Row],[Requested]]=Proc[[#This Row],[CurrentParent]]</f>
        <v>1</v>
      </c>
      <c r="K1920" s="96" t="str">
        <f>IF(Proc[[#This Row],[Author]]="Marcela Urrego",VLOOKUP(LEFT(Proc[[#This Row],[Requested]],1),Table3[#All],2,0),VLOOKUP(Proc[[#This Row],[Author]],Table4[],2,0))</f>
        <v>HC</v>
      </c>
      <c r="L1920" s="96"/>
      <c r="M1920" s="92">
        <v>45807.678356481483</v>
      </c>
      <c r="N1920" s="93">
        <v>45810</v>
      </c>
      <c r="O1920" s="93">
        <v>45810</v>
      </c>
      <c r="P1920" s="92" t="str">
        <f ca="1">IF(Proc[[#This Row],[DaysAgeing]]&gt;5,"yep","on track")</f>
        <v>on track</v>
      </c>
      <c r="Q1920" s="3">
        <f ca="1">IF(Proc[[#This Row],[DateClosed]]="",ABS(NETWORKDAYS(Proc[[#This Row],[DateOpened]],TODAY()))-1,ABS(NETWORKDAYS(Proc[[#This Row],[DateOpened]],Proc[[#This Row],[DateClosed]]))-1)</f>
        <v>1</v>
      </c>
      <c r="R1920" s="92" t="s">
        <v>1013</v>
      </c>
      <c r="S1920" s="96"/>
    </row>
    <row r="1921" spans="1:19" hidden="1">
      <c r="A1921" s="95" t="s">
        <v>3748</v>
      </c>
      <c r="B1921" s="96" t="str">
        <f>IFERROR(VLOOKUP(Proc[[#This Row],[App]],Table2[],3,0),"open")</f>
        <v>ok</v>
      </c>
      <c r="C1921" s="95" t="s">
        <v>369</v>
      </c>
      <c r="D1921" t="s">
        <v>3757</v>
      </c>
      <c r="E1921" t="s">
        <v>4069</v>
      </c>
      <c r="F1921" s="105" t="s">
        <v>4069</v>
      </c>
      <c r="G1921" s="95" t="s">
        <v>400</v>
      </c>
      <c r="H1921" s="96" t="str">
        <f>IF(Proc[[#This Row],[type]]="LFF (MDG-F)",MID(Proc[[#This Row],[Obj]],13,10),"")</f>
        <v/>
      </c>
      <c r="J1921" s="96" t="b">
        <f>Proc[[#This Row],[Requested]]=Proc[[#This Row],[CurrentParent]]</f>
        <v>1</v>
      </c>
      <c r="K1921" s="96" t="str">
        <f>IF(Proc[[#This Row],[Author]]="Marcela Urrego",VLOOKUP(LEFT(Proc[[#This Row],[Requested]],1),Table3[#All],2,0),VLOOKUP(Proc[[#This Row],[Author]],Table4[],2,0))</f>
        <v>HC</v>
      </c>
      <c r="L1921" s="96"/>
      <c r="M1921" s="92">
        <v>45807.678356481483</v>
      </c>
      <c r="N1921" s="93">
        <v>45810</v>
      </c>
      <c r="O1921" s="93">
        <v>45810</v>
      </c>
      <c r="P1921" s="92" t="str">
        <f ca="1">IF(Proc[[#This Row],[DaysAgeing]]&gt;5,"yep","on track")</f>
        <v>on track</v>
      </c>
      <c r="Q1921" s="3">
        <f ca="1">IF(Proc[[#This Row],[DateClosed]]="",ABS(NETWORKDAYS(Proc[[#This Row],[DateOpened]],TODAY()))-1,ABS(NETWORKDAYS(Proc[[#This Row],[DateOpened]],Proc[[#This Row],[DateClosed]]))-1)</f>
        <v>1</v>
      </c>
      <c r="R1921" s="92" t="s">
        <v>1013</v>
      </c>
      <c r="S1921" s="96"/>
    </row>
    <row r="1922" spans="1:19" hidden="1">
      <c r="A1922" s="95" t="s">
        <v>3748</v>
      </c>
      <c r="B1922" s="96" t="str">
        <f>IFERROR(VLOOKUP(Proc[[#This Row],[App]],Table2[],3,0),"open")</f>
        <v>ok</v>
      </c>
      <c r="C1922" s="95" t="s">
        <v>369</v>
      </c>
      <c r="D1922" t="s">
        <v>3758</v>
      </c>
      <c r="E1922" t="s">
        <v>4069</v>
      </c>
      <c r="F1922" s="105" t="s">
        <v>4069</v>
      </c>
      <c r="G1922" s="95" t="s">
        <v>400</v>
      </c>
      <c r="H1922" s="96" t="str">
        <f>IF(Proc[[#This Row],[type]]="LFF (MDG-F)",MID(Proc[[#This Row],[Obj]],13,10),"")</f>
        <v/>
      </c>
      <c r="J1922" s="96" t="b">
        <f>Proc[[#This Row],[Requested]]=Proc[[#This Row],[CurrentParent]]</f>
        <v>1</v>
      </c>
      <c r="K1922" s="96" t="str">
        <f>IF(Proc[[#This Row],[Author]]="Marcela Urrego",VLOOKUP(LEFT(Proc[[#This Row],[Requested]],1),Table3[#All],2,0),VLOOKUP(Proc[[#This Row],[Author]],Table4[],2,0))</f>
        <v>HC</v>
      </c>
      <c r="L1922" s="96"/>
      <c r="M1922" s="92">
        <v>45807.678356481483</v>
      </c>
      <c r="N1922" s="93">
        <v>45810</v>
      </c>
      <c r="O1922" s="93">
        <v>45810</v>
      </c>
      <c r="P1922" s="92" t="str">
        <f ca="1">IF(Proc[[#This Row],[DaysAgeing]]&gt;5,"yep","on track")</f>
        <v>on track</v>
      </c>
      <c r="Q1922" s="3">
        <f ca="1">IF(Proc[[#This Row],[DateClosed]]="",ABS(NETWORKDAYS(Proc[[#This Row],[DateOpened]],TODAY()))-1,ABS(NETWORKDAYS(Proc[[#This Row],[DateOpened]],Proc[[#This Row],[DateClosed]]))-1)</f>
        <v>1</v>
      </c>
      <c r="R1922" s="92" t="s">
        <v>1013</v>
      </c>
      <c r="S1922" s="96"/>
    </row>
    <row r="1923" spans="1:19" hidden="1">
      <c r="A1923" s="95" t="s">
        <v>3748</v>
      </c>
      <c r="B1923" s="96" t="str">
        <f>IFERROR(VLOOKUP(Proc[[#This Row],[App]],Table2[],3,0),"open")</f>
        <v>ok</v>
      </c>
      <c r="C1923" s="95" t="s">
        <v>369</v>
      </c>
      <c r="D1923" t="s">
        <v>3759</v>
      </c>
      <c r="E1923" t="s">
        <v>4069</v>
      </c>
      <c r="F1923" s="105" t="s">
        <v>4069</v>
      </c>
      <c r="G1923" s="95" t="s">
        <v>400</v>
      </c>
      <c r="H1923" s="96" t="str">
        <f>IF(Proc[[#This Row],[type]]="LFF (MDG-F)",MID(Proc[[#This Row],[Obj]],13,10),"")</f>
        <v/>
      </c>
      <c r="J1923" s="96" t="b">
        <f>Proc[[#This Row],[Requested]]=Proc[[#This Row],[CurrentParent]]</f>
        <v>1</v>
      </c>
      <c r="K1923" s="96" t="str">
        <f>IF(Proc[[#This Row],[Author]]="Marcela Urrego",VLOOKUP(LEFT(Proc[[#This Row],[Requested]],1),Table3[#All],2,0),VLOOKUP(Proc[[#This Row],[Author]],Table4[],2,0))</f>
        <v>HC</v>
      </c>
      <c r="L1923" s="96"/>
      <c r="M1923" s="92">
        <v>45807.678356481483</v>
      </c>
      <c r="N1923" s="93">
        <v>45810</v>
      </c>
      <c r="O1923" s="93">
        <v>45810</v>
      </c>
      <c r="P1923" s="92" t="str">
        <f ca="1">IF(Proc[[#This Row],[DaysAgeing]]&gt;5,"yep","on track")</f>
        <v>on track</v>
      </c>
      <c r="Q1923" s="3">
        <f ca="1">IF(Proc[[#This Row],[DateClosed]]="",ABS(NETWORKDAYS(Proc[[#This Row],[DateOpened]],TODAY()))-1,ABS(NETWORKDAYS(Proc[[#This Row],[DateOpened]],Proc[[#This Row],[DateClosed]]))-1)</f>
        <v>1</v>
      </c>
      <c r="R1923" s="92" t="s">
        <v>1013</v>
      </c>
      <c r="S1923" s="96"/>
    </row>
    <row r="1924" spans="1:19" hidden="1">
      <c r="A1924" s="95" t="s">
        <v>3748</v>
      </c>
      <c r="B1924" s="96" t="str">
        <f>IFERROR(VLOOKUP(Proc[[#This Row],[App]],Table2[],3,0),"open")</f>
        <v>ok</v>
      </c>
      <c r="C1924" s="95" t="s">
        <v>369</v>
      </c>
      <c r="D1924" t="s">
        <v>3760</v>
      </c>
      <c r="E1924" t="s">
        <v>4069</v>
      </c>
      <c r="F1924" s="105" t="s">
        <v>4069</v>
      </c>
      <c r="G1924" s="95" t="s">
        <v>400</v>
      </c>
      <c r="H1924" s="96" t="str">
        <f>IF(Proc[[#This Row],[type]]="LFF (MDG-F)",MID(Proc[[#This Row],[Obj]],13,10),"")</f>
        <v/>
      </c>
      <c r="J1924" s="96" t="b">
        <f>Proc[[#This Row],[Requested]]=Proc[[#This Row],[CurrentParent]]</f>
        <v>1</v>
      </c>
      <c r="K1924" s="96" t="str">
        <f>IF(Proc[[#This Row],[Author]]="Marcela Urrego",VLOOKUP(LEFT(Proc[[#This Row],[Requested]],1),Table3[#All],2,0),VLOOKUP(Proc[[#This Row],[Author]],Table4[],2,0))</f>
        <v>HC</v>
      </c>
      <c r="L1924" s="96"/>
      <c r="M1924" s="92">
        <v>45807.678356481483</v>
      </c>
      <c r="N1924" s="93">
        <v>45810</v>
      </c>
      <c r="O1924" s="93">
        <v>45810</v>
      </c>
      <c r="P1924" s="92" t="str">
        <f ca="1">IF(Proc[[#This Row],[DaysAgeing]]&gt;5,"yep","on track")</f>
        <v>on track</v>
      </c>
      <c r="Q1924" s="3">
        <f ca="1">IF(Proc[[#This Row],[DateClosed]]="",ABS(NETWORKDAYS(Proc[[#This Row],[DateOpened]],TODAY()))-1,ABS(NETWORKDAYS(Proc[[#This Row],[DateOpened]],Proc[[#This Row],[DateClosed]]))-1)</f>
        <v>1</v>
      </c>
      <c r="R1924" s="92" t="s">
        <v>1013</v>
      </c>
      <c r="S1924" s="96"/>
    </row>
    <row r="1925" spans="1:19" hidden="1">
      <c r="A1925" s="95" t="s">
        <v>3748</v>
      </c>
      <c r="B1925" s="96" t="str">
        <f>IFERROR(VLOOKUP(Proc[[#This Row],[App]],Table2[],3,0),"open")</f>
        <v>ok</v>
      </c>
      <c r="C1925" s="95" t="s">
        <v>369</v>
      </c>
      <c r="D1925" t="s">
        <v>3761</v>
      </c>
      <c r="E1925" t="s">
        <v>4069</v>
      </c>
      <c r="F1925" s="105" t="s">
        <v>4069</v>
      </c>
      <c r="G1925" s="95" t="s">
        <v>400</v>
      </c>
      <c r="H1925" s="96" t="str">
        <f>IF(Proc[[#This Row],[type]]="LFF (MDG-F)",MID(Proc[[#This Row],[Obj]],13,10),"")</f>
        <v/>
      </c>
      <c r="J1925" s="96" t="b">
        <f>Proc[[#This Row],[Requested]]=Proc[[#This Row],[CurrentParent]]</f>
        <v>1</v>
      </c>
      <c r="K1925" s="96" t="str">
        <f>IF(Proc[[#This Row],[Author]]="Marcela Urrego",VLOOKUP(LEFT(Proc[[#This Row],[Requested]],1),Table3[#All],2,0),VLOOKUP(Proc[[#This Row],[Author]],Table4[],2,0))</f>
        <v>HC</v>
      </c>
      <c r="L1925" s="96"/>
      <c r="M1925" s="92">
        <v>45807.678356481483</v>
      </c>
      <c r="N1925" s="93">
        <v>45810</v>
      </c>
      <c r="O1925" s="93">
        <v>45810</v>
      </c>
      <c r="P1925" s="92" t="str">
        <f ca="1">IF(Proc[[#This Row],[DaysAgeing]]&gt;5,"yep","on track")</f>
        <v>on track</v>
      </c>
      <c r="Q1925" s="3">
        <f ca="1">IF(Proc[[#This Row],[DateClosed]]="",ABS(NETWORKDAYS(Proc[[#This Row],[DateOpened]],TODAY()))-1,ABS(NETWORKDAYS(Proc[[#This Row],[DateOpened]],Proc[[#This Row],[DateClosed]]))-1)</f>
        <v>1</v>
      </c>
      <c r="R1925" s="92" t="s">
        <v>1013</v>
      </c>
      <c r="S1925" s="96"/>
    </row>
    <row r="1926" spans="1:19" hidden="1">
      <c r="A1926" s="95" t="s">
        <v>3748</v>
      </c>
      <c r="B1926" s="96" t="str">
        <f>IFERROR(VLOOKUP(Proc[[#This Row],[App]],Table2[],3,0),"open")</f>
        <v>ok</v>
      </c>
      <c r="C1926" s="95" t="s">
        <v>369</v>
      </c>
      <c r="D1926" t="s">
        <v>3762</v>
      </c>
      <c r="E1926" t="s">
        <v>4069</v>
      </c>
      <c r="F1926" s="105" t="s">
        <v>4069</v>
      </c>
      <c r="G1926" s="95" t="s">
        <v>400</v>
      </c>
      <c r="H1926" s="96" t="str">
        <f>IF(Proc[[#This Row],[type]]="LFF (MDG-F)",MID(Proc[[#This Row],[Obj]],13,10),"")</f>
        <v/>
      </c>
      <c r="J1926" s="96" t="b">
        <f>Proc[[#This Row],[Requested]]=Proc[[#This Row],[CurrentParent]]</f>
        <v>1</v>
      </c>
      <c r="K1926" s="96" t="str">
        <f>IF(Proc[[#This Row],[Author]]="Marcela Urrego",VLOOKUP(LEFT(Proc[[#This Row],[Requested]],1),Table3[#All],2,0),VLOOKUP(Proc[[#This Row],[Author]],Table4[],2,0))</f>
        <v>HC</v>
      </c>
      <c r="L1926" s="96"/>
      <c r="M1926" s="92">
        <v>45807.678356481483</v>
      </c>
      <c r="N1926" s="93">
        <v>45810</v>
      </c>
      <c r="O1926" s="93">
        <v>45810</v>
      </c>
      <c r="P1926" s="92" t="str">
        <f ca="1">IF(Proc[[#This Row],[DaysAgeing]]&gt;5,"yep","on track")</f>
        <v>on track</v>
      </c>
      <c r="Q1926" s="3">
        <f ca="1">IF(Proc[[#This Row],[DateClosed]]="",ABS(NETWORKDAYS(Proc[[#This Row],[DateOpened]],TODAY()))-1,ABS(NETWORKDAYS(Proc[[#This Row],[DateOpened]],Proc[[#This Row],[DateClosed]]))-1)</f>
        <v>1</v>
      </c>
      <c r="R1926" s="92" t="s">
        <v>1013</v>
      </c>
      <c r="S1926" s="96"/>
    </row>
    <row r="1927" spans="1:19" hidden="1">
      <c r="A1927" s="95" t="s">
        <v>3748</v>
      </c>
      <c r="B1927" s="96" t="str">
        <f>IFERROR(VLOOKUP(Proc[[#This Row],[App]],Table2[],3,0),"open")</f>
        <v>ok</v>
      </c>
      <c r="C1927" s="95" t="s">
        <v>369</v>
      </c>
      <c r="D1927" t="s">
        <v>3763</v>
      </c>
      <c r="E1927" t="s">
        <v>4069</v>
      </c>
      <c r="F1927" s="105" t="s">
        <v>4069</v>
      </c>
      <c r="G1927" s="95" t="s">
        <v>400</v>
      </c>
      <c r="H1927" s="96" t="str">
        <f>IF(Proc[[#This Row],[type]]="LFF (MDG-F)",MID(Proc[[#This Row],[Obj]],13,10),"")</f>
        <v/>
      </c>
      <c r="J1927" s="96" t="b">
        <f>Proc[[#This Row],[Requested]]=Proc[[#This Row],[CurrentParent]]</f>
        <v>1</v>
      </c>
      <c r="K1927" s="96" t="str">
        <f>IF(Proc[[#This Row],[Author]]="Marcela Urrego",VLOOKUP(LEFT(Proc[[#This Row],[Requested]],1),Table3[#All],2,0),VLOOKUP(Proc[[#This Row],[Author]],Table4[],2,0))</f>
        <v>HC</v>
      </c>
      <c r="L1927" s="96"/>
      <c r="M1927" s="92">
        <v>45807.678356481483</v>
      </c>
      <c r="N1927" s="93">
        <v>45810</v>
      </c>
      <c r="O1927" s="93">
        <v>45810</v>
      </c>
      <c r="P1927" s="92" t="str">
        <f ca="1">IF(Proc[[#This Row],[DaysAgeing]]&gt;5,"yep","on track")</f>
        <v>on track</v>
      </c>
      <c r="Q1927" s="3">
        <f ca="1">IF(Proc[[#This Row],[DateClosed]]="",ABS(NETWORKDAYS(Proc[[#This Row],[DateOpened]],TODAY()))-1,ABS(NETWORKDAYS(Proc[[#This Row],[DateOpened]],Proc[[#This Row],[DateClosed]]))-1)</f>
        <v>1</v>
      </c>
      <c r="R1927" s="92" t="s">
        <v>1013</v>
      </c>
      <c r="S1927" s="96"/>
    </row>
    <row r="1928" spans="1:19" hidden="1">
      <c r="A1928" s="95" t="s">
        <v>3748</v>
      </c>
      <c r="B1928" s="96" t="str">
        <f>IFERROR(VLOOKUP(Proc[[#This Row],[App]],Table2[],3,0),"open")</f>
        <v>ok</v>
      </c>
      <c r="C1928" s="95" t="s">
        <v>369</v>
      </c>
      <c r="D1928" t="s">
        <v>3764</v>
      </c>
      <c r="E1928" t="s">
        <v>4069</v>
      </c>
      <c r="F1928" s="105" t="s">
        <v>4069</v>
      </c>
      <c r="G1928" s="95" t="s">
        <v>400</v>
      </c>
      <c r="H1928" s="96" t="str">
        <f>IF(Proc[[#This Row],[type]]="LFF (MDG-F)",MID(Proc[[#This Row],[Obj]],13,10),"")</f>
        <v/>
      </c>
      <c r="J1928" s="96" t="b">
        <f>Proc[[#This Row],[Requested]]=Proc[[#This Row],[CurrentParent]]</f>
        <v>1</v>
      </c>
      <c r="K1928" s="96" t="str">
        <f>IF(Proc[[#This Row],[Author]]="Marcela Urrego",VLOOKUP(LEFT(Proc[[#This Row],[Requested]],1),Table3[#All],2,0),VLOOKUP(Proc[[#This Row],[Author]],Table4[],2,0))</f>
        <v>HC</v>
      </c>
      <c r="L1928" s="96"/>
      <c r="M1928" s="92">
        <v>45807.678356481483</v>
      </c>
      <c r="N1928" s="93">
        <v>45810</v>
      </c>
      <c r="O1928" s="93">
        <v>45810</v>
      </c>
      <c r="P1928" s="92" t="str">
        <f ca="1">IF(Proc[[#This Row],[DaysAgeing]]&gt;5,"yep","on track")</f>
        <v>on track</v>
      </c>
      <c r="Q1928" s="3">
        <f ca="1">IF(Proc[[#This Row],[DateClosed]]="",ABS(NETWORKDAYS(Proc[[#This Row],[DateOpened]],TODAY()))-1,ABS(NETWORKDAYS(Proc[[#This Row],[DateOpened]],Proc[[#This Row],[DateClosed]]))-1)</f>
        <v>1</v>
      </c>
      <c r="R1928" s="92" t="s">
        <v>1013</v>
      </c>
      <c r="S1928" s="96"/>
    </row>
    <row r="1929" spans="1:19" hidden="1">
      <c r="A1929" s="95" t="s">
        <v>3748</v>
      </c>
      <c r="B1929" s="96" t="str">
        <f>IFERROR(VLOOKUP(Proc[[#This Row],[App]],Table2[],3,0),"open")</f>
        <v>ok</v>
      </c>
      <c r="C1929" s="95" t="s">
        <v>369</v>
      </c>
      <c r="D1929" t="s">
        <v>3765</v>
      </c>
      <c r="E1929" t="s">
        <v>4069</v>
      </c>
      <c r="F1929" s="105" t="s">
        <v>4069</v>
      </c>
      <c r="G1929" s="95" t="s">
        <v>400</v>
      </c>
      <c r="H1929" s="96" t="str">
        <f>IF(Proc[[#This Row],[type]]="LFF (MDG-F)",MID(Proc[[#This Row],[Obj]],13,10),"")</f>
        <v/>
      </c>
      <c r="J1929" s="96" t="b">
        <f>Proc[[#This Row],[Requested]]=Proc[[#This Row],[CurrentParent]]</f>
        <v>1</v>
      </c>
      <c r="K1929" s="96" t="str">
        <f>IF(Proc[[#This Row],[Author]]="Marcela Urrego",VLOOKUP(LEFT(Proc[[#This Row],[Requested]],1),Table3[#All],2,0),VLOOKUP(Proc[[#This Row],[Author]],Table4[],2,0))</f>
        <v>HC</v>
      </c>
      <c r="L1929" s="96"/>
      <c r="M1929" s="92">
        <v>45807.678356481483</v>
      </c>
      <c r="N1929" s="93">
        <v>45810</v>
      </c>
      <c r="O1929" s="93">
        <v>45810</v>
      </c>
      <c r="P1929" s="92" t="str">
        <f ca="1">IF(Proc[[#This Row],[DaysAgeing]]&gt;5,"yep","on track")</f>
        <v>on track</v>
      </c>
      <c r="Q1929" s="3">
        <f ca="1">IF(Proc[[#This Row],[DateClosed]]="",ABS(NETWORKDAYS(Proc[[#This Row],[DateOpened]],TODAY()))-1,ABS(NETWORKDAYS(Proc[[#This Row],[DateOpened]],Proc[[#This Row],[DateClosed]]))-1)</f>
        <v>1</v>
      </c>
      <c r="R1929" s="92" t="s">
        <v>1013</v>
      </c>
      <c r="S1929" s="96"/>
    </row>
    <row r="1930" spans="1:19" hidden="1">
      <c r="A1930" s="95" t="s">
        <v>3748</v>
      </c>
      <c r="B1930" s="96" t="str">
        <f>IFERROR(VLOOKUP(Proc[[#This Row],[App]],Table2[],3,0),"open")</f>
        <v>ok</v>
      </c>
      <c r="C1930" s="95" t="s">
        <v>369</v>
      </c>
      <c r="D1930" t="s">
        <v>3766</v>
      </c>
      <c r="E1930" t="s">
        <v>4069</v>
      </c>
      <c r="F1930" s="105" t="s">
        <v>4069</v>
      </c>
      <c r="G1930" s="95" t="s">
        <v>400</v>
      </c>
      <c r="H1930" s="96" t="str">
        <f>IF(Proc[[#This Row],[type]]="LFF (MDG-F)",MID(Proc[[#This Row],[Obj]],13,10),"")</f>
        <v/>
      </c>
      <c r="J1930" s="96" t="b">
        <f>Proc[[#This Row],[Requested]]=Proc[[#This Row],[CurrentParent]]</f>
        <v>1</v>
      </c>
      <c r="K1930" s="96" t="str">
        <f>IF(Proc[[#This Row],[Author]]="Marcela Urrego",VLOOKUP(LEFT(Proc[[#This Row],[Requested]],1),Table3[#All],2,0),VLOOKUP(Proc[[#This Row],[Author]],Table4[],2,0))</f>
        <v>HC</v>
      </c>
      <c r="L1930" s="96"/>
      <c r="M1930" s="92">
        <v>45807.678356481483</v>
      </c>
      <c r="N1930" s="93">
        <v>45810</v>
      </c>
      <c r="O1930" s="93">
        <v>45810</v>
      </c>
      <c r="P1930" s="92" t="str">
        <f ca="1">IF(Proc[[#This Row],[DaysAgeing]]&gt;5,"yep","on track")</f>
        <v>on track</v>
      </c>
      <c r="Q1930" s="3">
        <f ca="1">IF(Proc[[#This Row],[DateClosed]]="",ABS(NETWORKDAYS(Proc[[#This Row],[DateOpened]],TODAY()))-1,ABS(NETWORKDAYS(Proc[[#This Row],[DateOpened]],Proc[[#This Row],[DateClosed]]))-1)</f>
        <v>1</v>
      </c>
      <c r="R1930" s="92" t="s">
        <v>1013</v>
      </c>
      <c r="S1930" s="96"/>
    </row>
    <row r="1931" spans="1:19" hidden="1">
      <c r="A1931" s="95" t="s">
        <v>3748</v>
      </c>
      <c r="B1931" s="96" t="str">
        <f>IFERROR(VLOOKUP(Proc[[#This Row],[App]],Table2[],3,0),"open")</f>
        <v>ok</v>
      </c>
      <c r="C1931" s="95" t="s">
        <v>369</v>
      </c>
      <c r="D1931" t="s">
        <v>3767</v>
      </c>
      <c r="E1931" t="s">
        <v>4069</v>
      </c>
      <c r="F1931" s="105" t="s">
        <v>4069</v>
      </c>
      <c r="G1931" s="95" t="s">
        <v>400</v>
      </c>
      <c r="H1931" s="96" t="str">
        <f>IF(Proc[[#This Row],[type]]="LFF (MDG-F)",MID(Proc[[#This Row],[Obj]],13,10),"")</f>
        <v/>
      </c>
      <c r="J1931" s="96" t="b">
        <f>Proc[[#This Row],[Requested]]=Proc[[#This Row],[CurrentParent]]</f>
        <v>1</v>
      </c>
      <c r="K1931" s="96" t="str">
        <f>IF(Proc[[#This Row],[Author]]="Marcela Urrego",VLOOKUP(LEFT(Proc[[#This Row],[Requested]],1),Table3[#All],2,0),VLOOKUP(Proc[[#This Row],[Author]],Table4[],2,0))</f>
        <v>HC</v>
      </c>
      <c r="L1931" s="96"/>
      <c r="M1931" s="92">
        <v>45807.678356481483</v>
      </c>
      <c r="N1931" s="93">
        <v>45810</v>
      </c>
      <c r="O1931" s="93">
        <v>45810</v>
      </c>
      <c r="P1931" s="92" t="str">
        <f ca="1">IF(Proc[[#This Row],[DaysAgeing]]&gt;5,"yep","on track")</f>
        <v>on track</v>
      </c>
      <c r="Q1931" s="3">
        <f ca="1">IF(Proc[[#This Row],[DateClosed]]="",ABS(NETWORKDAYS(Proc[[#This Row],[DateOpened]],TODAY()))-1,ABS(NETWORKDAYS(Proc[[#This Row],[DateOpened]],Proc[[#This Row],[DateClosed]]))-1)</f>
        <v>1</v>
      </c>
      <c r="R1931" s="92" t="s">
        <v>1013</v>
      </c>
      <c r="S1931" s="96"/>
    </row>
    <row r="1932" spans="1:19" hidden="1">
      <c r="A1932" s="95" t="s">
        <v>3748</v>
      </c>
      <c r="B1932" s="96" t="str">
        <f>IFERROR(VLOOKUP(Proc[[#This Row],[App]],Table2[],3,0),"open")</f>
        <v>ok</v>
      </c>
      <c r="C1932" s="95" t="s">
        <v>369</v>
      </c>
      <c r="D1932" t="s">
        <v>3768</v>
      </c>
      <c r="E1932" t="s">
        <v>4069</v>
      </c>
      <c r="F1932" s="105" t="s">
        <v>4069</v>
      </c>
      <c r="G1932" s="95" t="s">
        <v>400</v>
      </c>
      <c r="H1932" s="96" t="str">
        <f>IF(Proc[[#This Row],[type]]="LFF (MDG-F)",MID(Proc[[#This Row],[Obj]],13,10),"")</f>
        <v/>
      </c>
      <c r="J1932" s="96" t="b">
        <f>Proc[[#This Row],[Requested]]=Proc[[#This Row],[CurrentParent]]</f>
        <v>1</v>
      </c>
      <c r="K1932" s="96" t="str">
        <f>IF(Proc[[#This Row],[Author]]="Marcela Urrego",VLOOKUP(LEFT(Proc[[#This Row],[Requested]],1),Table3[#All],2,0),VLOOKUP(Proc[[#This Row],[Author]],Table4[],2,0))</f>
        <v>HC</v>
      </c>
      <c r="L1932" s="96"/>
      <c r="M1932" s="92">
        <v>45807.678356481483</v>
      </c>
      <c r="N1932" s="93">
        <v>45810</v>
      </c>
      <c r="O1932" s="93">
        <v>45810</v>
      </c>
      <c r="P1932" s="92" t="str">
        <f ca="1">IF(Proc[[#This Row],[DaysAgeing]]&gt;5,"yep","on track")</f>
        <v>on track</v>
      </c>
      <c r="Q1932" s="3">
        <f ca="1">IF(Proc[[#This Row],[DateClosed]]="",ABS(NETWORKDAYS(Proc[[#This Row],[DateOpened]],TODAY()))-1,ABS(NETWORKDAYS(Proc[[#This Row],[DateOpened]],Proc[[#This Row],[DateClosed]]))-1)</f>
        <v>1</v>
      </c>
      <c r="R1932" s="92" t="s">
        <v>1013</v>
      </c>
      <c r="S1932" s="96"/>
    </row>
    <row r="1933" spans="1:19" hidden="1">
      <c r="A1933" s="95" t="s">
        <v>3748</v>
      </c>
      <c r="B1933" s="96" t="str">
        <f>IFERROR(VLOOKUP(Proc[[#This Row],[App]],Table2[],3,0),"open")</f>
        <v>ok</v>
      </c>
      <c r="C1933" s="95" t="s">
        <v>369</v>
      </c>
      <c r="D1933" t="s">
        <v>3769</v>
      </c>
      <c r="E1933" t="s">
        <v>4069</v>
      </c>
      <c r="F1933" s="105" t="s">
        <v>4069</v>
      </c>
      <c r="G1933" s="95" t="s">
        <v>400</v>
      </c>
      <c r="H1933" s="96" t="str">
        <f>IF(Proc[[#This Row],[type]]="LFF (MDG-F)",MID(Proc[[#This Row],[Obj]],13,10),"")</f>
        <v/>
      </c>
      <c r="J1933" s="96" t="b">
        <f>Proc[[#This Row],[Requested]]=Proc[[#This Row],[CurrentParent]]</f>
        <v>1</v>
      </c>
      <c r="K1933" s="96" t="str">
        <f>IF(Proc[[#This Row],[Author]]="Marcela Urrego",VLOOKUP(LEFT(Proc[[#This Row],[Requested]],1),Table3[#All],2,0),VLOOKUP(Proc[[#This Row],[Author]],Table4[],2,0))</f>
        <v>HC</v>
      </c>
      <c r="L1933" s="96"/>
      <c r="M1933" s="92">
        <v>45807.678356481483</v>
      </c>
      <c r="N1933" s="93">
        <v>45810</v>
      </c>
      <c r="O1933" s="93">
        <v>45810</v>
      </c>
      <c r="P1933" s="92" t="str">
        <f ca="1">IF(Proc[[#This Row],[DaysAgeing]]&gt;5,"yep","on track")</f>
        <v>on track</v>
      </c>
      <c r="Q1933" s="3">
        <f ca="1">IF(Proc[[#This Row],[DateClosed]]="",ABS(NETWORKDAYS(Proc[[#This Row],[DateOpened]],TODAY()))-1,ABS(NETWORKDAYS(Proc[[#This Row],[DateOpened]],Proc[[#This Row],[DateClosed]]))-1)</f>
        <v>1</v>
      </c>
      <c r="R1933" s="92" t="s">
        <v>1013</v>
      </c>
      <c r="S1933" s="96"/>
    </row>
    <row r="1934" spans="1:19" hidden="1">
      <c r="A1934" s="95" t="s">
        <v>3748</v>
      </c>
      <c r="B1934" s="96" t="str">
        <f>IFERROR(VLOOKUP(Proc[[#This Row],[App]],Table2[],3,0),"open")</f>
        <v>ok</v>
      </c>
      <c r="C1934" s="95" t="s">
        <v>369</v>
      </c>
      <c r="D1934" t="s">
        <v>3770</v>
      </c>
      <c r="E1934" t="s">
        <v>4069</v>
      </c>
      <c r="F1934" s="105" t="s">
        <v>4069</v>
      </c>
      <c r="G1934" s="95" t="s">
        <v>400</v>
      </c>
      <c r="H1934" s="96" t="str">
        <f>IF(Proc[[#This Row],[type]]="LFF (MDG-F)",MID(Proc[[#This Row],[Obj]],13,10),"")</f>
        <v/>
      </c>
      <c r="J1934" s="96" t="b">
        <f>Proc[[#This Row],[Requested]]=Proc[[#This Row],[CurrentParent]]</f>
        <v>1</v>
      </c>
      <c r="K1934" s="96" t="str">
        <f>IF(Proc[[#This Row],[Author]]="Marcela Urrego",VLOOKUP(LEFT(Proc[[#This Row],[Requested]],1),Table3[#All],2,0),VLOOKUP(Proc[[#This Row],[Author]],Table4[],2,0))</f>
        <v>HC</v>
      </c>
      <c r="L1934" s="96"/>
      <c r="M1934" s="92">
        <v>45807.678356481483</v>
      </c>
      <c r="N1934" s="93">
        <v>45810</v>
      </c>
      <c r="O1934" s="93">
        <v>45810</v>
      </c>
      <c r="P1934" s="92" t="str">
        <f ca="1">IF(Proc[[#This Row],[DaysAgeing]]&gt;5,"yep","on track")</f>
        <v>on track</v>
      </c>
      <c r="Q1934" s="3">
        <f ca="1">IF(Proc[[#This Row],[DateClosed]]="",ABS(NETWORKDAYS(Proc[[#This Row],[DateOpened]],TODAY()))-1,ABS(NETWORKDAYS(Proc[[#This Row],[DateOpened]],Proc[[#This Row],[DateClosed]]))-1)</f>
        <v>1</v>
      </c>
      <c r="R1934" s="92" t="s">
        <v>1013</v>
      </c>
      <c r="S1934" s="96"/>
    </row>
    <row r="1935" spans="1:19" hidden="1">
      <c r="A1935" s="95" t="s">
        <v>3748</v>
      </c>
      <c r="B1935" s="96" t="str">
        <f>IFERROR(VLOOKUP(Proc[[#This Row],[App]],Table2[],3,0),"open")</f>
        <v>ok</v>
      </c>
      <c r="C1935" s="95" t="s">
        <v>369</v>
      </c>
      <c r="D1935" t="s">
        <v>3771</v>
      </c>
      <c r="E1935" t="s">
        <v>4069</v>
      </c>
      <c r="F1935" s="105" t="s">
        <v>4069</v>
      </c>
      <c r="G1935" s="95" t="s">
        <v>400</v>
      </c>
      <c r="H1935" s="96" t="str">
        <f>IF(Proc[[#This Row],[type]]="LFF (MDG-F)",MID(Proc[[#This Row],[Obj]],13,10),"")</f>
        <v/>
      </c>
      <c r="J1935" s="96" t="b">
        <f>Proc[[#This Row],[Requested]]=Proc[[#This Row],[CurrentParent]]</f>
        <v>1</v>
      </c>
      <c r="K1935" s="96" t="str">
        <f>IF(Proc[[#This Row],[Author]]="Marcela Urrego",VLOOKUP(LEFT(Proc[[#This Row],[Requested]],1),Table3[#All],2,0),VLOOKUP(Proc[[#This Row],[Author]],Table4[],2,0))</f>
        <v>HC</v>
      </c>
      <c r="L1935" s="96"/>
      <c r="M1935" s="92">
        <v>45807.678356481483</v>
      </c>
      <c r="N1935" s="93">
        <v>45810</v>
      </c>
      <c r="O1935" s="93">
        <v>45810</v>
      </c>
      <c r="P1935" s="92" t="str">
        <f ca="1">IF(Proc[[#This Row],[DaysAgeing]]&gt;5,"yep","on track")</f>
        <v>on track</v>
      </c>
      <c r="Q1935" s="3">
        <f ca="1">IF(Proc[[#This Row],[DateClosed]]="",ABS(NETWORKDAYS(Proc[[#This Row],[DateOpened]],TODAY()))-1,ABS(NETWORKDAYS(Proc[[#This Row],[DateOpened]],Proc[[#This Row],[DateClosed]]))-1)</f>
        <v>1</v>
      </c>
      <c r="R1935" s="92" t="s">
        <v>1013</v>
      </c>
      <c r="S1935" s="96"/>
    </row>
    <row r="1936" spans="1:19" hidden="1">
      <c r="A1936" s="95" t="s">
        <v>3748</v>
      </c>
      <c r="B1936" s="96" t="str">
        <f>IFERROR(VLOOKUP(Proc[[#This Row],[App]],Table2[],3,0),"open")</f>
        <v>ok</v>
      </c>
      <c r="C1936" s="95" t="s">
        <v>369</v>
      </c>
      <c r="D1936" t="s">
        <v>3772</v>
      </c>
      <c r="E1936" t="s">
        <v>4069</v>
      </c>
      <c r="F1936" s="105" t="s">
        <v>4069</v>
      </c>
      <c r="G1936" s="95" t="s">
        <v>400</v>
      </c>
      <c r="H1936" s="96" t="str">
        <f>IF(Proc[[#This Row],[type]]="LFF (MDG-F)",MID(Proc[[#This Row],[Obj]],13,10),"")</f>
        <v/>
      </c>
      <c r="J1936" s="96" t="b">
        <f>Proc[[#This Row],[Requested]]=Proc[[#This Row],[CurrentParent]]</f>
        <v>1</v>
      </c>
      <c r="K1936" s="96" t="str">
        <f>IF(Proc[[#This Row],[Author]]="Marcela Urrego",VLOOKUP(LEFT(Proc[[#This Row],[Requested]],1),Table3[#All],2,0),VLOOKUP(Proc[[#This Row],[Author]],Table4[],2,0))</f>
        <v>HC</v>
      </c>
      <c r="L1936" s="96"/>
      <c r="M1936" s="92">
        <v>45807.678356481483</v>
      </c>
      <c r="N1936" s="93">
        <v>45810</v>
      </c>
      <c r="O1936" s="93">
        <v>45810</v>
      </c>
      <c r="P1936" s="92" t="str">
        <f ca="1">IF(Proc[[#This Row],[DaysAgeing]]&gt;5,"yep","on track")</f>
        <v>on track</v>
      </c>
      <c r="Q1936" s="3">
        <f ca="1">IF(Proc[[#This Row],[DateClosed]]="",ABS(NETWORKDAYS(Proc[[#This Row],[DateOpened]],TODAY()))-1,ABS(NETWORKDAYS(Proc[[#This Row],[DateOpened]],Proc[[#This Row],[DateClosed]]))-1)</f>
        <v>1</v>
      </c>
      <c r="R1936" s="92" t="s">
        <v>1013</v>
      </c>
      <c r="S1936" s="96"/>
    </row>
    <row r="1937" spans="1:19" hidden="1">
      <c r="A1937" s="95" t="s">
        <v>3748</v>
      </c>
      <c r="B1937" s="96" t="str">
        <f>IFERROR(VLOOKUP(Proc[[#This Row],[App]],Table2[],3,0),"open")</f>
        <v>ok</v>
      </c>
      <c r="C1937" s="95" t="s">
        <v>369</v>
      </c>
      <c r="D1937" t="s">
        <v>3773</v>
      </c>
      <c r="E1937" t="s">
        <v>4069</v>
      </c>
      <c r="F1937" s="105" t="s">
        <v>4069</v>
      </c>
      <c r="G1937" s="95" t="s">
        <v>400</v>
      </c>
      <c r="H1937" s="96" t="str">
        <f>IF(Proc[[#This Row],[type]]="LFF (MDG-F)",MID(Proc[[#This Row],[Obj]],13,10),"")</f>
        <v/>
      </c>
      <c r="J1937" s="96" t="b">
        <f>Proc[[#This Row],[Requested]]=Proc[[#This Row],[CurrentParent]]</f>
        <v>1</v>
      </c>
      <c r="K1937" s="96" t="str">
        <f>IF(Proc[[#This Row],[Author]]="Marcela Urrego",VLOOKUP(LEFT(Proc[[#This Row],[Requested]],1),Table3[#All],2,0),VLOOKUP(Proc[[#This Row],[Author]],Table4[],2,0))</f>
        <v>HC</v>
      </c>
      <c r="L1937" s="96"/>
      <c r="M1937" s="92">
        <v>45807.678356481483</v>
      </c>
      <c r="N1937" s="93">
        <v>45810</v>
      </c>
      <c r="O1937" s="93">
        <v>45810</v>
      </c>
      <c r="P1937" s="92" t="str">
        <f ca="1">IF(Proc[[#This Row],[DaysAgeing]]&gt;5,"yep","on track")</f>
        <v>on track</v>
      </c>
      <c r="Q1937" s="3">
        <f ca="1">IF(Proc[[#This Row],[DateClosed]]="",ABS(NETWORKDAYS(Proc[[#This Row],[DateOpened]],TODAY()))-1,ABS(NETWORKDAYS(Proc[[#This Row],[DateOpened]],Proc[[#This Row],[DateClosed]]))-1)</f>
        <v>1</v>
      </c>
      <c r="R1937" s="92" t="s">
        <v>1013</v>
      </c>
      <c r="S1937" s="96"/>
    </row>
    <row r="1938" spans="1:19" hidden="1">
      <c r="A1938" s="95" t="s">
        <v>3748</v>
      </c>
      <c r="B1938" s="96" t="str">
        <f>IFERROR(VLOOKUP(Proc[[#This Row],[App]],Table2[],3,0),"open")</f>
        <v>ok</v>
      </c>
      <c r="C1938" s="95" t="s">
        <v>369</v>
      </c>
      <c r="D1938" t="s">
        <v>3774</v>
      </c>
      <c r="E1938" t="s">
        <v>4069</v>
      </c>
      <c r="F1938" s="105" t="s">
        <v>4069</v>
      </c>
      <c r="G1938" s="95" t="s">
        <v>400</v>
      </c>
      <c r="H1938" s="96" t="str">
        <f>IF(Proc[[#This Row],[type]]="LFF (MDG-F)",MID(Proc[[#This Row],[Obj]],13,10),"")</f>
        <v/>
      </c>
      <c r="J1938" s="96" t="b">
        <f>Proc[[#This Row],[Requested]]=Proc[[#This Row],[CurrentParent]]</f>
        <v>1</v>
      </c>
      <c r="K1938" s="96" t="str">
        <f>IF(Proc[[#This Row],[Author]]="Marcela Urrego",VLOOKUP(LEFT(Proc[[#This Row],[Requested]],1),Table3[#All],2,0),VLOOKUP(Proc[[#This Row],[Author]],Table4[],2,0))</f>
        <v>HC</v>
      </c>
      <c r="L1938" s="96"/>
      <c r="M1938" s="92">
        <v>45807.678356481483</v>
      </c>
      <c r="N1938" s="93">
        <v>45810</v>
      </c>
      <c r="O1938" s="93">
        <v>45810</v>
      </c>
      <c r="P1938" s="92" t="str">
        <f ca="1">IF(Proc[[#This Row],[DaysAgeing]]&gt;5,"yep","on track")</f>
        <v>on track</v>
      </c>
      <c r="Q1938" s="3">
        <f ca="1">IF(Proc[[#This Row],[DateClosed]]="",ABS(NETWORKDAYS(Proc[[#This Row],[DateOpened]],TODAY()))-1,ABS(NETWORKDAYS(Proc[[#This Row],[DateOpened]],Proc[[#This Row],[DateClosed]]))-1)</f>
        <v>1</v>
      </c>
      <c r="R1938" s="92" t="s">
        <v>1013</v>
      </c>
      <c r="S1938" s="96"/>
    </row>
    <row r="1939" spans="1:19" hidden="1">
      <c r="A1939" s="95" t="s">
        <v>3748</v>
      </c>
      <c r="B1939" s="96" t="str">
        <f>IFERROR(VLOOKUP(Proc[[#This Row],[App]],Table2[],3,0),"open")</f>
        <v>ok</v>
      </c>
      <c r="C1939" s="95" t="s">
        <v>369</v>
      </c>
      <c r="D1939" t="s">
        <v>3775</v>
      </c>
      <c r="E1939" t="s">
        <v>4069</v>
      </c>
      <c r="F1939" s="105" t="s">
        <v>4069</v>
      </c>
      <c r="G1939" s="95" t="s">
        <v>400</v>
      </c>
      <c r="H1939" s="96" t="str">
        <f>IF(Proc[[#This Row],[type]]="LFF (MDG-F)",MID(Proc[[#This Row],[Obj]],13,10),"")</f>
        <v/>
      </c>
      <c r="J1939" s="96" t="b">
        <f>Proc[[#This Row],[Requested]]=Proc[[#This Row],[CurrentParent]]</f>
        <v>1</v>
      </c>
      <c r="K1939" s="96" t="str">
        <f>IF(Proc[[#This Row],[Author]]="Marcela Urrego",VLOOKUP(LEFT(Proc[[#This Row],[Requested]],1),Table3[#All],2,0),VLOOKUP(Proc[[#This Row],[Author]],Table4[],2,0))</f>
        <v>HC</v>
      </c>
      <c r="L1939" s="96"/>
      <c r="M1939" s="92">
        <v>45807.678356481483</v>
      </c>
      <c r="N1939" s="93">
        <v>45810</v>
      </c>
      <c r="O1939" s="93">
        <v>45810</v>
      </c>
      <c r="P1939" s="92" t="str">
        <f ca="1">IF(Proc[[#This Row],[DaysAgeing]]&gt;5,"yep","on track")</f>
        <v>on track</v>
      </c>
      <c r="Q1939" s="3">
        <f ca="1">IF(Proc[[#This Row],[DateClosed]]="",ABS(NETWORKDAYS(Proc[[#This Row],[DateOpened]],TODAY()))-1,ABS(NETWORKDAYS(Proc[[#This Row],[DateOpened]],Proc[[#This Row],[DateClosed]]))-1)</f>
        <v>1</v>
      </c>
      <c r="R1939" s="92" t="s">
        <v>1013</v>
      </c>
      <c r="S1939" s="96"/>
    </row>
    <row r="1940" spans="1:19" hidden="1">
      <c r="A1940" s="95" t="s">
        <v>3748</v>
      </c>
      <c r="B1940" s="96" t="str">
        <f>IFERROR(VLOOKUP(Proc[[#This Row],[App]],Table2[],3,0),"open")</f>
        <v>ok</v>
      </c>
      <c r="C1940" s="95" t="s">
        <v>369</v>
      </c>
      <c r="D1940" t="s">
        <v>3776</v>
      </c>
      <c r="E1940" t="s">
        <v>4069</v>
      </c>
      <c r="F1940" s="105" t="s">
        <v>4069</v>
      </c>
      <c r="G1940" s="95" t="s">
        <v>400</v>
      </c>
      <c r="H1940" s="96" t="str">
        <f>IF(Proc[[#This Row],[type]]="LFF (MDG-F)",MID(Proc[[#This Row],[Obj]],13,10),"")</f>
        <v/>
      </c>
      <c r="J1940" s="96" t="b">
        <f>Proc[[#This Row],[Requested]]=Proc[[#This Row],[CurrentParent]]</f>
        <v>1</v>
      </c>
      <c r="K1940" s="96" t="str">
        <f>IF(Proc[[#This Row],[Author]]="Marcela Urrego",VLOOKUP(LEFT(Proc[[#This Row],[Requested]],1),Table3[#All],2,0),VLOOKUP(Proc[[#This Row],[Author]],Table4[],2,0))</f>
        <v>HC</v>
      </c>
      <c r="L1940" s="96"/>
      <c r="M1940" s="92">
        <v>45807.678356481483</v>
      </c>
      <c r="N1940" s="93">
        <v>45810</v>
      </c>
      <c r="O1940" s="93">
        <v>45810</v>
      </c>
      <c r="P1940" s="92" t="str">
        <f ca="1">IF(Proc[[#This Row],[DaysAgeing]]&gt;5,"yep","on track")</f>
        <v>on track</v>
      </c>
      <c r="Q1940" s="3">
        <f ca="1">IF(Proc[[#This Row],[DateClosed]]="",ABS(NETWORKDAYS(Proc[[#This Row],[DateOpened]],TODAY()))-1,ABS(NETWORKDAYS(Proc[[#This Row],[DateOpened]],Proc[[#This Row],[DateClosed]]))-1)</f>
        <v>1</v>
      </c>
      <c r="R1940" s="92" t="s">
        <v>1013</v>
      </c>
      <c r="S1940" s="96"/>
    </row>
    <row r="1941" spans="1:19" hidden="1">
      <c r="A1941" s="95" t="s">
        <v>3748</v>
      </c>
      <c r="B1941" s="96" t="str">
        <f>IFERROR(VLOOKUP(Proc[[#This Row],[App]],Table2[],3,0),"open")</f>
        <v>ok</v>
      </c>
      <c r="C1941" s="95" t="s">
        <v>369</v>
      </c>
      <c r="D1941" t="s">
        <v>3777</v>
      </c>
      <c r="E1941" t="s">
        <v>4069</v>
      </c>
      <c r="F1941" s="105" t="s">
        <v>4069</v>
      </c>
      <c r="G1941" s="95" t="s">
        <v>400</v>
      </c>
      <c r="H1941" s="96" t="str">
        <f>IF(Proc[[#This Row],[type]]="LFF (MDG-F)",MID(Proc[[#This Row],[Obj]],13,10),"")</f>
        <v/>
      </c>
      <c r="J1941" s="96" t="b">
        <f>Proc[[#This Row],[Requested]]=Proc[[#This Row],[CurrentParent]]</f>
        <v>1</v>
      </c>
      <c r="K1941" s="96" t="str">
        <f>IF(Proc[[#This Row],[Author]]="Marcela Urrego",VLOOKUP(LEFT(Proc[[#This Row],[Requested]],1),Table3[#All],2,0),VLOOKUP(Proc[[#This Row],[Author]],Table4[],2,0))</f>
        <v>HC</v>
      </c>
      <c r="L1941" s="96"/>
      <c r="M1941" s="92">
        <v>45807.678356481483</v>
      </c>
      <c r="N1941" s="93">
        <v>45810</v>
      </c>
      <c r="O1941" s="93">
        <v>45810</v>
      </c>
      <c r="P1941" s="92" t="str">
        <f ca="1">IF(Proc[[#This Row],[DaysAgeing]]&gt;5,"yep","on track")</f>
        <v>on track</v>
      </c>
      <c r="Q1941" s="3">
        <f ca="1">IF(Proc[[#This Row],[DateClosed]]="",ABS(NETWORKDAYS(Proc[[#This Row],[DateOpened]],TODAY()))-1,ABS(NETWORKDAYS(Proc[[#This Row],[DateOpened]],Proc[[#This Row],[DateClosed]]))-1)</f>
        <v>1</v>
      </c>
      <c r="R1941" s="92" t="s">
        <v>1013</v>
      </c>
      <c r="S1941" s="96"/>
    </row>
    <row r="1942" spans="1:19" hidden="1">
      <c r="A1942" s="95" t="s">
        <v>3748</v>
      </c>
      <c r="B1942" s="96" t="str">
        <f>IFERROR(VLOOKUP(Proc[[#This Row],[App]],Table2[],3,0),"open")</f>
        <v>ok</v>
      </c>
      <c r="C1942" s="95" t="s">
        <v>369</v>
      </c>
      <c r="D1942" t="s">
        <v>3778</v>
      </c>
      <c r="E1942" t="s">
        <v>4069</v>
      </c>
      <c r="F1942" s="105" t="s">
        <v>4069</v>
      </c>
      <c r="G1942" s="95" t="s">
        <v>400</v>
      </c>
      <c r="H1942" s="96" t="str">
        <f>IF(Proc[[#This Row],[type]]="LFF (MDG-F)",MID(Proc[[#This Row],[Obj]],13,10),"")</f>
        <v/>
      </c>
      <c r="J1942" s="96" t="b">
        <f>Proc[[#This Row],[Requested]]=Proc[[#This Row],[CurrentParent]]</f>
        <v>1</v>
      </c>
      <c r="K1942" s="96" t="str">
        <f>IF(Proc[[#This Row],[Author]]="Marcela Urrego",VLOOKUP(LEFT(Proc[[#This Row],[Requested]],1),Table3[#All],2,0),VLOOKUP(Proc[[#This Row],[Author]],Table4[],2,0))</f>
        <v>HC</v>
      </c>
      <c r="L1942" s="96"/>
      <c r="M1942" s="92">
        <v>45807.678356481483</v>
      </c>
      <c r="N1942" s="93">
        <v>45810</v>
      </c>
      <c r="O1942" s="93">
        <v>45810</v>
      </c>
      <c r="P1942" s="92" t="str">
        <f ca="1">IF(Proc[[#This Row],[DaysAgeing]]&gt;5,"yep","on track")</f>
        <v>on track</v>
      </c>
      <c r="Q1942" s="3">
        <f ca="1">IF(Proc[[#This Row],[DateClosed]]="",ABS(NETWORKDAYS(Proc[[#This Row],[DateOpened]],TODAY()))-1,ABS(NETWORKDAYS(Proc[[#This Row],[DateOpened]],Proc[[#This Row],[DateClosed]]))-1)</f>
        <v>1</v>
      </c>
      <c r="R1942" s="92" t="s">
        <v>1013</v>
      </c>
      <c r="S1942" s="96"/>
    </row>
    <row r="1943" spans="1:19" hidden="1">
      <c r="A1943" s="95" t="s">
        <v>3748</v>
      </c>
      <c r="B1943" s="96" t="str">
        <f>IFERROR(VLOOKUP(Proc[[#This Row],[App]],Table2[],3,0),"open")</f>
        <v>ok</v>
      </c>
      <c r="C1943" s="95" t="s">
        <v>369</v>
      </c>
      <c r="D1943" t="s">
        <v>3779</v>
      </c>
      <c r="E1943" t="s">
        <v>4069</v>
      </c>
      <c r="F1943" s="105" t="s">
        <v>4069</v>
      </c>
      <c r="G1943" s="95" t="s">
        <v>400</v>
      </c>
      <c r="H1943" s="96" t="str">
        <f>IF(Proc[[#This Row],[type]]="LFF (MDG-F)",MID(Proc[[#This Row],[Obj]],13,10),"")</f>
        <v/>
      </c>
      <c r="J1943" s="96" t="b">
        <f>Proc[[#This Row],[Requested]]=Proc[[#This Row],[CurrentParent]]</f>
        <v>1</v>
      </c>
      <c r="K1943" s="96" t="str">
        <f>IF(Proc[[#This Row],[Author]]="Marcela Urrego",VLOOKUP(LEFT(Proc[[#This Row],[Requested]],1),Table3[#All],2,0),VLOOKUP(Proc[[#This Row],[Author]],Table4[],2,0))</f>
        <v>HC</v>
      </c>
      <c r="L1943" s="96"/>
      <c r="M1943" s="92">
        <v>45807.678356481483</v>
      </c>
      <c r="N1943" s="93">
        <v>45810</v>
      </c>
      <c r="O1943" s="93">
        <v>45810</v>
      </c>
      <c r="P1943" s="92" t="str">
        <f ca="1">IF(Proc[[#This Row],[DaysAgeing]]&gt;5,"yep","on track")</f>
        <v>on track</v>
      </c>
      <c r="Q1943" s="3">
        <f ca="1">IF(Proc[[#This Row],[DateClosed]]="",ABS(NETWORKDAYS(Proc[[#This Row],[DateOpened]],TODAY()))-1,ABS(NETWORKDAYS(Proc[[#This Row],[DateOpened]],Proc[[#This Row],[DateClosed]]))-1)</f>
        <v>1</v>
      </c>
      <c r="R1943" s="92" t="s">
        <v>1013</v>
      </c>
      <c r="S1943" s="96"/>
    </row>
    <row r="1944" spans="1:19" hidden="1">
      <c r="A1944" s="95" t="s">
        <v>3748</v>
      </c>
      <c r="B1944" s="96" t="str">
        <f>IFERROR(VLOOKUP(Proc[[#This Row],[App]],Table2[],3,0),"open")</f>
        <v>ok</v>
      </c>
      <c r="C1944" s="95" t="s">
        <v>369</v>
      </c>
      <c r="D1944" t="s">
        <v>3780</v>
      </c>
      <c r="E1944" t="s">
        <v>4069</v>
      </c>
      <c r="F1944" s="105" t="s">
        <v>4069</v>
      </c>
      <c r="G1944" s="95" t="s">
        <v>400</v>
      </c>
      <c r="H1944" s="96" t="str">
        <f>IF(Proc[[#This Row],[type]]="LFF (MDG-F)",MID(Proc[[#This Row],[Obj]],13,10),"")</f>
        <v/>
      </c>
      <c r="J1944" s="96" t="b">
        <f>Proc[[#This Row],[Requested]]=Proc[[#This Row],[CurrentParent]]</f>
        <v>1</v>
      </c>
      <c r="K1944" s="96" t="str">
        <f>IF(Proc[[#This Row],[Author]]="Marcela Urrego",VLOOKUP(LEFT(Proc[[#This Row],[Requested]],1),Table3[#All],2,0),VLOOKUP(Proc[[#This Row],[Author]],Table4[],2,0))</f>
        <v>HC</v>
      </c>
      <c r="L1944" s="96"/>
      <c r="M1944" s="92">
        <v>45807.678356481483</v>
      </c>
      <c r="N1944" s="93">
        <v>45810</v>
      </c>
      <c r="O1944" s="93">
        <v>45810</v>
      </c>
      <c r="P1944" s="92" t="str">
        <f ca="1">IF(Proc[[#This Row],[DaysAgeing]]&gt;5,"yep","on track")</f>
        <v>on track</v>
      </c>
      <c r="Q1944" s="3">
        <f ca="1">IF(Proc[[#This Row],[DateClosed]]="",ABS(NETWORKDAYS(Proc[[#This Row],[DateOpened]],TODAY()))-1,ABS(NETWORKDAYS(Proc[[#This Row],[DateOpened]],Proc[[#This Row],[DateClosed]]))-1)</f>
        <v>1</v>
      </c>
      <c r="R1944" s="92" t="s">
        <v>1013</v>
      </c>
      <c r="S1944" s="96"/>
    </row>
    <row r="1945" spans="1:19" hidden="1">
      <c r="A1945" s="95" t="s">
        <v>3748</v>
      </c>
      <c r="B1945" s="96" t="str">
        <f>IFERROR(VLOOKUP(Proc[[#This Row],[App]],Table2[],3,0),"open")</f>
        <v>ok</v>
      </c>
      <c r="C1945" s="95" t="s">
        <v>369</v>
      </c>
      <c r="D1945" t="s">
        <v>3781</v>
      </c>
      <c r="E1945" t="s">
        <v>4069</v>
      </c>
      <c r="F1945" s="105" t="s">
        <v>4069</v>
      </c>
      <c r="G1945" s="95" t="s">
        <v>400</v>
      </c>
      <c r="H1945" s="96" t="str">
        <f>IF(Proc[[#This Row],[type]]="LFF (MDG-F)",MID(Proc[[#This Row],[Obj]],13,10),"")</f>
        <v/>
      </c>
      <c r="J1945" s="96" t="b">
        <f>Proc[[#This Row],[Requested]]=Proc[[#This Row],[CurrentParent]]</f>
        <v>1</v>
      </c>
      <c r="K1945" s="96" t="str">
        <f>IF(Proc[[#This Row],[Author]]="Marcela Urrego",VLOOKUP(LEFT(Proc[[#This Row],[Requested]],1),Table3[#All],2,0),VLOOKUP(Proc[[#This Row],[Author]],Table4[],2,0))</f>
        <v>HC</v>
      </c>
      <c r="L1945" s="96"/>
      <c r="M1945" s="92">
        <v>45807.678356481483</v>
      </c>
      <c r="N1945" s="93">
        <v>45810</v>
      </c>
      <c r="O1945" s="93">
        <v>45810</v>
      </c>
      <c r="P1945" s="92" t="str">
        <f ca="1">IF(Proc[[#This Row],[DaysAgeing]]&gt;5,"yep","on track")</f>
        <v>on track</v>
      </c>
      <c r="Q1945" s="3">
        <f ca="1">IF(Proc[[#This Row],[DateClosed]]="",ABS(NETWORKDAYS(Proc[[#This Row],[DateOpened]],TODAY()))-1,ABS(NETWORKDAYS(Proc[[#This Row],[DateOpened]],Proc[[#This Row],[DateClosed]]))-1)</f>
        <v>1</v>
      </c>
      <c r="R1945" s="92" t="s">
        <v>1013</v>
      </c>
      <c r="S1945" s="96"/>
    </row>
    <row r="1946" spans="1:19" hidden="1">
      <c r="A1946" s="95" t="s">
        <v>3748</v>
      </c>
      <c r="B1946" s="96" t="str">
        <f>IFERROR(VLOOKUP(Proc[[#This Row],[App]],Table2[],3,0),"open")</f>
        <v>ok</v>
      </c>
      <c r="C1946" s="95" t="s">
        <v>369</v>
      </c>
      <c r="D1946" t="s">
        <v>3782</v>
      </c>
      <c r="E1946" t="s">
        <v>4069</v>
      </c>
      <c r="F1946" s="105" t="s">
        <v>4069</v>
      </c>
      <c r="G1946" s="95" t="s">
        <v>400</v>
      </c>
      <c r="H1946" s="96" t="str">
        <f>IF(Proc[[#This Row],[type]]="LFF (MDG-F)",MID(Proc[[#This Row],[Obj]],13,10),"")</f>
        <v/>
      </c>
      <c r="J1946" s="96" t="b">
        <f>Proc[[#This Row],[Requested]]=Proc[[#This Row],[CurrentParent]]</f>
        <v>1</v>
      </c>
      <c r="K1946" s="96" t="str">
        <f>IF(Proc[[#This Row],[Author]]="Marcela Urrego",VLOOKUP(LEFT(Proc[[#This Row],[Requested]],1),Table3[#All],2,0),VLOOKUP(Proc[[#This Row],[Author]],Table4[],2,0))</f>
        <v>HC</v>
      </c>
      <c r="L1946" s="96"/>
      <c r="M1946" s="92">
        <v>45807.678356481483</v>
      </c>
      <c r="N1946" s="93">
        <v>45810</v>
      </c>
      <c r="O1946" s="93">
        <v>45810</v>
      </c>
      <c r="P1946" s="92" t="str">
        <f ca="1">IF(Proc[[#This Row],[DaysAgeing]]&gt;5,"yep","on track")</f>
        <v>on track</v>
      </c>
      <c r="Q1946" s="3">
        <f ca="1">IF(Proc[[#This Row],[DateClosed]]="",ABS(NETWORKDAYS(Proc[[#This Row],[DateOpened]],TODAY()))-1,ABS(NETWORKDAYS(Proc[[#This Row],[DateOpened]],Proc[[#This Row],[DateClosed]]))-1)</f>
        <v>1</v>
      </c>
      <c r="R1946" s="92" t="s">
        <v>1013</v>
      </c>
      <c r="S1946" s="96"/>
    </row>
    <row r="1947" spans="1:19" hidden="1">
      <c r="A1947" s="95" t="s">
        <v>3748</v>
      </c>
      <c r="B1947" s="96" t="str">
        <f>IFERROR(VLOOKUP(Proc[[#This Row],[App]],Table2[],3,0),"open")</f>
        <v>ok</v>
      </c>
      <c r="C1947" s="95" t="s">
        <v>369</v>
      </c>
      <c r="D1947" t="s">
        <v>3783</v>
      </c>
      <c r="E1947" t="s">
        <v>4069</v>
      </c>
      <c r="F1947" s="105" t="s">
        <v>4069</v>
      </c>
      <c r="G1947" s="95" t="s">
        <v>400</v>
      </c>
      <c r="H1947" s="96" t="str">
        <f>IF(Proc[[#This Row],[type]]="LFF (MDG-F)",MID(Proc[[#This Row],[Obj]],13,10),"")</f>
        <v/>
      </c>
      <c r="J1947" s="96" t="b">
        <f>Proc[[#This Row],[Requested]]=Proc[[#This Row],[CurrentParent]]</f>
        <v>1</v>
      </c>
      <c r="K1947" s="96" t="str">
        <f>IF(Proc[[#This Row],[Author]]="Marcela Urrego",VLOOKUP(LEFT(Proc[[#This Row],[Requested]],1),Table3[#All],2,0),VLOOKUP(Proc[[#This Row],[Author]],Table4[],2,0))</f>
        <v>HC</v>
      </c>
      <c r="L1947" s="96"/>
      <c r="M1947" s="92">
        <v>45807.678356481483</v>
      </c>
      <c r="N1947" s="93">
        <v>45810</v>
      </c>
      <c r="O1947" s="93">
        <v>45810</v>
      </c>
      <c r="P1947" s="92" t="str">
        <f ca="1">IF(Proc[[#This Row],[DaysAgeing]]&gt;5,"yep","on track")</f>
        <v>on track</v>
      </c>
      <c r="Q1947" s="3">
        <f ca="1">IF(Proc[[#This Row],[DateClosed]]="",ABS(NETWORKDAYS(Proc[[#This Row],[DateOpened]],TODAY()))-1,ABS(NETWORKDAYS(Proc[[#This Row],[DateOpened]],Proc[[#This Row],[DateClosed]]))-1)</f>
        <v>1</v>
      </c>
      <c r="R1947" s="92" t="s">
        <v>1013</v>
      </c>
      <c r="S1947" s="96"/>
    </row>
    <row r="1948" spans="1:19" hidden="1">
      <c r="A1948" s="95" t="s">
        <v>3748</v>
      </c>
      <c r="B1948" s="96" t="str">
        <f>IFERROR(VLOOKUP(Proc[[#This Row],[App]],Table2[],3,0),"open")</f>
        <v>ok</v>
      </c>
      <c r="C1948" s="95" t="s">
        <v>369</v>
      </c>
      <c r="D1948" t="s">
        <v>3784</v>
      </c>
      <c r="E1948" t="s">
        <v>4069</v>
      </c>
      <c r="F1948" s="105" t="s">
        <v>4069</v>
      </c>
      <c r="G1948" s="95" t="s">
        <v>400</v>
      </c>
      <c r="H1948" s="96" t="str">
        <f>IF(Proc[[#This Row],[type]]="LFF (MDG-F)",MID(Proc[[#This Row],[Obj]],13,10),"")</f>
        <v/>
      </c>
      <c r="J1948" s="96" t="b">
        <f>Proc[[#This Row],[Requested]]=Proc[[#This Row],[CurrentParent]]</f>
        <v>1</v>
      </c>
      <c r="K1948" s="96" t="str">
        <f>IF(Proc[[#This Row],[Author]]="Marcela Urrego",VLOOKUP(LEFT(Proc[[#This Row],[Requested]],1),Table3[#All],2,0),VLOOKUP(Proc[[#This Row],[Author]],Table4[],2,0))</f>
        <v>HC</v>
      </c>
      <c r="L1948" s="96"/>
      <c r="M1948" s="92">
        <v>45807.678356481483</v>
      </c>
      <c r="N1948" s="93">
        <v>45810</v>
      </c>
      <c r="O1948" s="93">
        <v>45810</v>
      </c>
      <c r="P1948" s="92" t="str">
        <f ca="1">IF(Proc[[#This Row],[DaysAgeing]]&gt;5,"yep","on track")</f>
        <v>on track</v>
      </c>
      <c r="Q1948" s="3">
        <f ca="1">IF(Proc[[#This Row],[DateClosed]]="",ABS(NETWORKDAYS(Proc[[#This Row],[DateOpened]],TODAY()))-1,ABS(NETWORKDAYS(Proc[[#This Row],[DateOpened]],Proc[[#This Row],[DateClosed]]))-1)</f>
        <v>1</v>
      </c>
      <c r="R1948" s="92" t="s">
        <v>1013</v>
      </c>
      <c r="S1948" s="96"/>
    </row>
    <row r="1949" spans="1:19" hidden="1">
      <c r="A1949" s="95" t="s">
        <v>3748</v>
      </c>
      <c r="B1949" s="96" t="str">
        <f>IFERROR(VLOOKUP(Proc[[#This Row],[App]],Table2[],3,0),"open")</f>
        <v>ok</v>
      </c>
      <c r="C1949" s="95" t="s">
        <v>369</v>
      </c>
      <c r="D1949" t="s">
        <v>3785</v>
      </c>
      <c r="E1949" t="s">
        <v>4069</v>
      </c>
      <c r="F1949" s="105" t="s">
        <v>4069</v>
      </c>
      <c r="G1949" s="95" t="s">
        <v>400</v>
      </c>
      <c r="H1949" s="96" t="str">
        <f>IF(Proc[[#This Row],[type]]="LFF (MDG-F)",MID(Proc[[#This Row],[Obj]],13,10),"")</f>
        <v/>
      </c>
      <c r="J1949" s="96" t="b">
        <f>Proc[[#This Row],[Requested]]=Proc[[#This Row],[CurrentParent]]</f>
        <v>1</v>
      </c>
      <c r="K1949" s="96" t="str">
        <f>IF(Proc[[#This Row],[Author]]="Marcela Urrego",VLOOKUP(LEFT(Proc[[#This Row],[Requested]],1),Table3[#All],2,0),VLOOKUP(Proc[[#This Row],[Author]],Table4[],2,0))</f>
        <v>HC</v>
      </c>
      <c r="L1949" s="96"/>
      <c r="M1949" s="92">
        <v>45807.678356481483</v>
      </c>
      <c r="N1949" s="93">
        <v>45810</v>
      </c>
      <c r="O1949" s="93">
        <v>45810</v>
      </c>
      <c r="P1949" s="92" t="str">
        <f ca="1">IF(Proc[[#This Row],[DaysAgeing]]&gt;5,"yep","on track")</f>
        <v>on track</v>
      </c>
      <c r="Q1949" s="3">
        <f ca="1">IF(Proc[[#This Row],[DateClosed]]="",ABS(NETWORKDAYS(Proc[[#This Row],[DateOpened]],TODAY()))-1,ABS(NETWORKDAYS(Proc[[#This Row],[DateOpened]],Proc[[#This Row],[DateClosed]]))-1)</f>
        <v>1</v>
      </c>
      <c r="R1949" s="92" t="s">
        <v>1013</v>
      </c>
      <c r="S1949" s="96"/>
    </row>
    <row r="1950" spans="1:19" hidden="1">
      <c r="A1950" s="95" t="s">
        <v>3748</v>
      </c>
      <c r="B1950" s="96" t="str">
        <f>IFERROR(VLOOKUP(Proc[[#This Row],[App]],Table2[],3,0),"open")</f>
        <v>ok</v>
      </c>
      <c r="C1950" s="95" t="s">
        <v>369</v>
      </c>
      <c r="D1950" t="s">
        <v>3786</v>
      </c>
      <c r="E1950" t="s">
        <v>4069</v>
      </c>
      <c r="F1950" s="105" t="s">
        <v>4069</v>
      </c>
      <c r="G1950" s="95" t="s">
        <v>400</v>
      </c>
      <c r="H1950" s="96" t="str">
        <f>IF(Proc[[#This Row],[type]]="LFF (MDG-F)",MID(Proc[[#This Row],[Obj]],13,10),"")</f>
        <v/>
      </c>
      <c r="J1950" s="96" t="b">
        <f>Proc[[#This Row],[Requested]]=Proc[[#This Row],[CurrentParent]]</f>
        <v>1</v>
      </c>
      <c r="K1950" s="96" t="str">
        <f>IF(Proc[[#This Row],[Author]]="Marcela Urrego",VLOOKUP(LEFT(Proc[[#This Row],[Requested]],1),Table3[#All],2,0),VLOOKUP(Proc[[#This Row],[Author]],Table4[],2,0))</f>
        <v>HC</v>
      </c>
      <c r="L1950" s="96"/>
      <c r="M1950" s="92">
        <v>45807.678356481483</v>
      </c>
      <c r="N1950" s="93">
        <v>45810</v>
      </c>
      <c r="O1950" s="93">
        <v>45810</v>
      </c>
      <c r="P1950" s="92" t="str">
        <f ca="1">IF(Proc[[#This Row],[DaysAgeing]]&gt;5,"yep","on track")</f>
        <v>on track</v>
      </c>
      <c r="Q1950" s="3">
        <f ca="1">IF(Proc[[#This Row],[DateClosed]]="",ABS(NETWORKDAYS(Proc[[#This Row],[DateOpened]],TODAY()))-1,ABS(NETWORKDAYS(Proc[[#This Row],[DateOpened]],Proc[[#This Row],[DateClosed]]))-1)</f>
        <v>1</v>
      </c>
      <c r="R1950" s="92" t="s">
        <v>1013</v>
      </c>
      <c r="S1950" s="96"/>
    </row>
    <row r="1951" spans="1:19" hidden="1">
      <c r="A1951" s="95" t="s">
        <v>3748</v>
      </c>
      <c r="B1951" s="96" t="str">
        <f>IFERROR(VLOOKUP(Proc[[#This Row],[App]],Table2[],3,0),"open")</f>
        <v>ok</v>
      </c>
      <c r="C1951" s="95" t="s">
        <v>369</v>
      </c>
      <c r="D1951" t="s">
        <v>3787</v>
      </c>
      <c r="E1951" t="s">
        <v>4069</v>
      </c>
      <c r="F1951" s="105" t="s">
        <v>4069</v>
      </c>
      <c r="G1951" s="95" t="s">
        <v>400</v>
      </c>
      <c r="H1951" s="96" t="str">
        <f>IF(Proc[[#This Row],[type]]="LFF (MDG-F)",MID(Proc[[#This Row],[Obj]],13,10),"")</f>
        <v/>
      </c>
      <c r="J1951" s="96" t="b">
        <f>Proc[[#This Row],[Requested]]=Proc[[#This Row],[CurrentParent]]</f>
        <v>1</v>
      </c>
      <c r="K1951" s="96" t="str">
        <f>IF(Proc[[#This Row],[Author]]="Marcela Urrego",VLOOKUP(LEFT(Proc[[#This Row],[Requested]],1),Table3[#All],2,0),VLOOKUP(Proc[[#This Row],[Author]],Table4[],2,0))</f>
        <v>HC</v>
      </c>
      <c r="L1951" s="96"/>
      <c r="M1951" s="92">
        <v>45807.678356481483</v>
      </c>
      <c r="N1951" s="93">
        <v>45810</v>
      </c>
      <c r="O1951" s="93">
        <v>45810</v>
      </c>
      <c r="P1951" s="92" t="str">
        <f ca="1">IF(Proc[[#This Row],[DaysAgeing]]&gt;5,"yep","on track")</f>
        <v>on track</v>
      </c>
      <c r="Q1951" s="3">
        <f ca="1">IF(Proc[[#This Row],[DateClosed]]="",ABS(NETWORKDAYS(Proc[[#This Row],[DateOpened]],TODAY()))-1,ABS(NETWORKDAYS(Proc[[#This Row],[DateOpened]],Proc[[#This Row],[DateClosed]]))-1)</f>
        <v>1</v>
      </c>
      <c r="R1951" s="92" t="s">
        <v>1013</v>
      </c>
      <c r="S1951" s="96"/>
    </row>
    <row r="1952" spans="1:19" hidden="1">
      <c r="A1952" s="95" t="s">
        <v>3748</v>
      </c>
      <c r="B1952" s="96" t="str">
        <f>IFERROR(VLOOKUP(Proc[[#This Row],[App]],Table2[],3,0),"open")</f>
        <v>ok</v>
      </c>
      <c r="C1952" s="95" t="s">
        <v>369</v>
      </c>
      <c r="D1952" t="s">
        <v>3788</v>
      </c>
      <c r="E1952" t="s">
        <v>4069</v>
      </c>
      <c r="F1952" s="105" t="s">
        <v>4069</v>
      </c>
      <c r="G1952" s="95" t="s">
        <v>400</v>
      </c>
      <c r="H1952" s="96" t="str">
        <f>IF(Proc[[#This Row],[type]]="LFF (MDG-F)",MID(Proc[[#This Row],[Obj]],13,10),"")</f>
        <v/>
      </c>
      <c r="J1952" s="96" t="b">
        <f>Proc[[#This Row],[Requested]]=Proc[[#This Row],[CurrentParent]]</f>
        <v>1</v>
      </c>
      <c r="K1952" s="96" t="str">
        <f>IF(Proc[[#This Row],[Author]]="Marcela Urrego",VLOOKUP(LEFT(Proc[[#This Row],[Requested]],1),Table3[#All],2,0),VLOOKUP(Proc[[#This Row],[Author]],Table4[],2,0))</f>
        <v>HC</v>
      </c>
      <c r="L1952" s="96"/>
      <c r="M1952" s="92">
        <v>45807.678356481483</v>
      </c>
      <c r="N1952" s="93">
        <v>45810</v>
      </c>
      <c r="O1952" s="93">
        <v>45810</v>
      </c>
      <c r="P1952" s="92" t="str">
        <f ca="1">IF(Proc[[#This Row],[DaysAgeing]]&gt;5,"yep","on track")</f>
        <v>on track</v>
      </c>
      <c r="Q1952" s="3">
        <f ca="1">IF(Proc[[#This Row],[DateClosed]]="",ABS(NETWORKDAYS(Proc[[#This Row],[DateOpened]],TODAY()))-1,ABS(NETWORKDAYS(Proc[[#This Row],[DateOpened]],Proc[[#This Row],[DateClosed]]))-1)</f>
        <v>1</v>
      </c>
      <c r="R1952" s="92" t="s">
        <v>1013</v>
      </c>
      <c r="S1952" s="96"/>
    </row>
    <row r="1953" spans="1:19" hidden="1">
      <c r="A1953" s="95" t="s">
        <v>3748</v>
      </c>
      <c r="B1953" s="96" t="str">
        <f>IFERROR(VLOOKUP(Proc[[#This Row],[App]],Table2[],3,0),"open")</f>
        <v>ok</v>
      </c>
      <c r="C1953" s="95" t="s">
        <v>369</v>
      </c>
      <c r="D1953" t="s">
        <v>3789</v>
      </c>
      <c r="E1953" t="s">
        <v>4069</v>
      </c>
      <c r="F1953" s="105" t="s">
        <v>4069</v>
      </c>
      <c r="G1953" s="95" t="s">
        <v>400</v>
      </c>
      <c r="H1953" s="96" t="str">
        <f>IF(Proc[[#This Row],[type]]="LFF (MDG-F)",MID(Proc[[#This Row],[Obj]],13,10),"")</f>
        <v/>
      </c>
      <c r="J1953" s="96" t="b">
        <f>Proc[[#This Row],[Requested]]=Proc[[#This Row],[CurrentParent]]</f>
        <v>1</v>
      </c>
      <c r="K1953" s="96" t="str">
        <f>IF(Proc[[#This Row],[Author]]="Marcela Urrego",VLOOKUP(LEFT(Proc[[#This Row],[Requested]],1),Table3[#All],2,0),VLOOKUP(Proc[[#This Row],[Author]],Table4[],2,0))</f>
        <v>HC</v>
      </c>
      <c r="L1953" s="96"/>
      <c r="M1953" s="92">
        <v>45807.678356481483</v>
      </c>
      <c r="N1953" s="93">
        <v>45810</v>
      </c>
      <c r="O1953" s="93">
        <v>45810</v>
      </c>
      <c r="P1953" s="92" t="str">
        <f ca="1">IF(Proc[[#This Row],[DaysAgeing]]&gt;5,"yep","on track")</f>
        <v>on track</v>
      </c>
      <c r="Q1953" s="3">
        <f ca="1">IF(Proc[[#This Row],[DateClosed]]="",ABS(NETWORKDAYS(Proc[[#This Row],[DateOpened]],TODAY()))-1,ABS(NETWORKDAYS(Proc[[#This Row],[DateOpened]],Proc[[#This Row],[DateClosed]]))-1)</f>
        <v>1</v>
      </c>
      <c r="R1953" s="92" t="s">
        <v>1013</v>
      </c>
      <c r="S1953" s="96"/>
    </row>
    <row r="1954" spans="1:19" hidden="1">
      <c r="A1954" s="95" t="s">
        <v>3748</v>
      </c>
      <c r="B1954" s="96" t="str">
        <f>IFERROR(VLOOKUP(Proc[[#This Row],[App]],Table2[],3,0),"open")</f>
        <v>ok</v>
      </c>
      <c r="C1954" s="95" t="s">
        <v>369</v>
      </c>
      <c r="D1954" t="s">
        <v>3790</v>
      </c>
      <c r="E1954" t="s">
        <v>4069</v>
      </c>
      <c r="F1954" s="105" t="s">
        <v>4069</v>
      </c>
      <c r="G1954" s="95" t="s">
        <v>400</v>
      </c>
      <c r="H1954" s="96" t="str">
        <f>IF(Proc[[#This Row],[type]]="LFF (MDG-F)",MID(Proc[[#This Row],[Obj]],13,10),"")</f>
        <v/>
      </c>
      <c r="J1954" s="96" t="b">
        <f>Proc[[#This Row],[Requested]]=Proc[[#This Row],[CurrentParent]]</f>
        <v>1</v>
      </c>
      <c r="K1954" s="96" t="str">
        <f>IF(Proc[[#This Row],[Author]]="Marcela Urrego",VLOOKUP(LEFT(Proc[[#This Row],[Requested]],1),Table3[#All],2,0),VLOOKUP(Proc[[#This Row],[Author]],Table4[],2,0))</f>
        <v>HC</v>
      </c>
      <c r="L1954" s="96"/>
      <c r="M1954" s="92">
        <v>45807.678356481483</v>
      </c>
      <c r="N1954" s="93">
        <v>45810</v>
      </c>
      <c r="O1954" s="93">
        <v>45810</v>
      </c>
      <c r="P1954" s="92" t="str">
        <f ca="1">IF(Proc[[#This Row],[DaysAgeing]]&gt;5,"yep","on track")</f>
        <v>on track</v>
      </c>
      <c r="Q1954" s="3">
        <f ca="1">IF(Proc[[#This Row],[DateClosed]]="",ABS(NETWORKDAYS(Proc[[#This Row],[DateOpened]],TODAY()))-1,ABS(NETWORKDAYS(Proc[[#This Row],[DateOpened]],Proc[[#This Row],[DateClosed]]))-1)</f>
        <v>1</v>
      </c>
      <c r="R1954" s="92" t="s">
        <v>1013</v>
      </c>
      <c r="S1954" s="96"/>
    </row>
    <row r="1955" spans="1:19" hidden="1">
      <c r="A1955" s="95" t="s">
        <v>3748</v>
      </c>
      <c r="B1955" s="96" t="str">
        <f>IFERROR(VLOOKUP(Proc[[#This Row],[App]],Table2[],3,0),"open")</f>
        <v>ok</v>
      </c>
      <c r="C1955" s="95" t="s">
        <v>369</v>
      </c>
      <c r="D1955" t="s">
        <v>3791</v>
      </c>
      <c r="E1955" t="s">
        <v>4069</v>
      </c>
      <c r="F1955" s="105" t="s">
        <v>4069</v>
      </c>
      <c r="G1955" s="95" t="s">
        <v>400</v>
      </c>
      <c r="H1955" s="96" t="str">
        <f>IF(Proc[[#This Row],[type]]="LFF (MDG-F)",MID(Proc[[#This Row],[Obj]],13,10),"")</f>
        <v/>
      </c>
      <c r="J1955" s="96" t="b">
        <f>Proc[[#This Row],[Requested]]=Proc[[#This Row],[CurrentParent]]</f>
        <v>1</v>
      </c>
      <c r="K1955" s="96" t="str">
        <f>IF(Proc[[#This Row],[Author]]="Marcela Urrego",VLOOKUP(LEFT(Proc[[#This Row],[Requested]],1),Table3[#All],2,0),VLOOKUP(Proc[[#This Row],[Author]],Table4[],2,0))</f>
        <v>HC</v>
      </c>
      <c r="L1955" s="96"/>
      <c r="M1955" s="92">
        <v>45807.678356481483</v>
      </c>
      <c r="N1955" s="93">
        <v>45810</v>
      </c>
      <c r="O1955" s="93">
        <v>45810</v>
      </c>
      <c r="P1955" s="92" t="str">
        <f ca="1">IF(Proc[[#This Row],[DaysAgeing]]&gt;5,"yep","on track")</f>
        <v>on track</v>
      </c>
      <c r="Q1955" s="3">
        <f ca="1">IF(Proc[[#This Row],[DateClosed]]="",ABS(NETWORKDAYS(Proc[[#This Row],[DateOpened]],TODAY()))-1,ABS(NETWORKDAYS(Proc[[#This Row],[DateOpened]],Proc[[#This Row],[DateClosed]]))-1)</f>
        <v>1</v>
      </c>
      <c r="R1955" s="92" t="s">
        <v>1013</v>
      </c>
      <c r="S1955" s="96"/>
    </row>
    <row r="1956" spans="1:19" hidden="1">
      <c r="A1956" s="95" t="s">
        <v>3748</v>
      </c>
      <c r="B1956" s="96" t="str">
        <f>IFERROR(VLOOKUP(Proc[[#This Row],[App]],Table2[],3,0),"open")</f>
        <v>ok</v>
      </c>
      <c r="C1956" s="95" t="s">
        <v>369</v>
      </c>
      <c r="D1956" t="s">
        <v>3792</v>
      </c>
      <c r="E1956" t="s">
        <v>4069</v>
      </c>
      <c r="F1956" s="105" t="s">
        <v>4069</v>
      </c>
      <c r="G1956" s="95" t="s">
        <v>400</v>
      </c>
      <c r="H1956" s="96" t="str">
        <f>IF(Proc[[#This Row],[type]]="LFF (MDG-F)",MID(Proc[[#This Row],[Obj]],13,10),"")</f>
        <v/>
      </c>
      <c r="J1956" s="96" t="b">
        <f>Proc[[#This Row],[Requested]]=Proc[[#This Row],[CurrentParent]]</f>
        <v>1</v>
      </c>
      <c r="K1956" s="96" t="str">
        <f>IF(Proc[[#This Row],[Author]]="Marcela Urrego",VLOOKUP(LEFT(Proc[[#This Row],[Requested]],1),Table3[#All],2,0),VLOOKUP(Proc[[#This Row],[Author]],Table4[],2,0))</f>
        <v>HC</v>
      </c>
      <c r="L1956" s="96"/>
      <c r="M1956" s="92">
        <v>45807.678356481483</v>
      </c>
      <c r="N1956" s="93">
        <v>45810</v>
      </c>
      <c r="O1956" s="93">
        <v>45810</v>
      </c>
      <c r="P1956" s="92" t="str">
        <f ca="1">IF(Proc[[#This Row],[DaysAgeing]]&gt;5,"yep","on track")</f>
        <v>on track</v>
      </c>
      <c r="Q1956" s="3">
        <f ca="1">IF(Proc[[#This Row],[DateClosed]]="",ABS(NETWORKDAYS(Proc[[#This Row],[DateOpened]],TODAY()))-1,ABS(NETWORKDAYS(Proc[[#This Row],[DateOpened]],Proc[[#This Row],[DateClosed]]))-1)</f>
        <v>1</v>
      </c>
      <c r="R1956" s="92" t="s">
        <v>1013</v>
      </c>
      <c r="S1956" s="96"/>
    </row>
    <row r="1957" spans="1:19" hidden="1">
      <c r="A1957" s="95" t="s">
        <v>3748</v>
      </c>
      <c r="B1957" s="96" t="str">
        <f>IFERROR(VLOOKUP(Proc[[#This Row],[App]],Table2[],3,0),"open")</f>
        <v>ok</v>
      </c>
      <c r="C1957" s="95" t="s">
        <v>369</v>
      </c>
      <c r="D1957" t="s">
        <v>3793</v>
      </c>
      <c r="E1957" t="s">
        <v>4069</v>
      </c>
      <c r="F1957" s="105" t="s">
        <v>4069</v>
      </c>
      <c r="G1957" s="95" t="s">
        <v>400</v>
      </c>
      <c r="H1957" s="96" t="str">
        <f>IF(Proc[[#This Row],[type]]="LFF (MDG-F)",MID(Proc[[#This Row],[Obj]],13,10),"")</f>
        <v/>
      </c>
      <c r="J1957" s="96" t="b">
        <f>Proc[[#This Row],[Requested]]=Proc[[#This Row],[CurrentParent]]</f>
        <v>1</v>
      </c>
      <c r="K1957" s="96" t="str">
        <f>IF(Proc[[#This Row],[Author]]="Marcela Urrego",VLOOKUP(LEFT(Proc[[#This Row],[Requested]],1),Table3[#All],2,0),VLOOKUP(Proc[[#This Row],[Author]],Table4[],2,0))</f>
        <v>HC</v>
      </c>
      <c r="L1957" s="96"/>
      <c r="M1957" s="92">
        <v>45807.678356481483</v>
      </c>
      <c r="N1957" s="93">
        <v>45810</v>
      </c>
      <c r="O1957" s="93">
        <v>45810</v>
      </c>
      <c r="P1957" s="92" t="str">
        <f ca="1">IF(Proc[[#This Row],[DaysAgeing]]&gt;5,"yep","on track")</f>
        <v>on track</v>
      </c>
      <c r="Q1957" s="3">
        <f ca="1">IF(Proc[[#This Row],[DateClosed]]="",ABS(NETWORKDAYS(Proc[[#This Row],[DateOpened]],TODAY()))-1,ABS(NETWORKDAYS(Proc[[#This Row],[DateOpened]],Proc[[#This Row],[DateClosed]]))-1)</f>
        <v>1</v>
      </c>
      <c r="R1957" s="92" t="s">
        <v>1013</v>
      </c>
      <c r="S1957" s="96"/>
    </row>
    <row r="1958" spans="1:19" hidden="1">
      <c r="A1958" s="95" t="s">
        <v>3748</v>
      </c>
      <c r="B1958" s="96" t="str">
        <f>IFERROR(VLOOKUP(Proc[[#This Row],[App]],Table2[],3,0),"open")</f>
        <v>ok</v>
      </c>
      <c r="C1958" s="95" t="s">
        <v>369</v>
      </c>
      <c r="D1958" t="s">
        <v>3794</v>
      </c>
      <c r="E1958" t="s">
        <v>4069</v>
      </c>
      <c r="F1958" s="105" t="s">
        <v>4069</v>
      </c>
      <c r="G1958" s="95" t="s">
        <v>400</v>
      </c>
      <c r="H1958" s="96" t="str">
        <f>IF(Proc[[#This Row],[type]]="LFF (MDG-F)",MID(Proc[[#This Row],[Obj]],13,10),"")</f>
        <v/>
      </c>
      <c r="J1958" s="96" t="b">
        <f>Proc[[#This Row],[Requested]]=Proc[[#This Row],[CurrentParent]]</f>
        <v>1</v>
      </c>
      <c r="K1958" s="96" t="str">
        <f>IF(Proc[[#This Row],[Author]]="Marcela Urrego",VLOOKUP(LEFT(Proc[[#This Row],[Requested]],1),Table3[#All],2,0),VLOOKUP(Proc[[#This Row],[Author]],Table4[],2,0))</f>
        <v>HC</v>
      </c>
      <c r="L1958" s="96"/>
      <c r="M1958" s="92">
        <v>45807.678356481483</v>
      </c>
      <c r="N1958" s="93">
        <v>45810</v>
      </c>
      <c r="O1958" s="93">
        <v>45810</v>
      </c>
      <c r="P1958" s="92" t="str">
        <f ca="1">IF(Proc[[#This Row],[DaysAgeing]]&gt;5,"yep","on track")</f>
        <v>on track</v>
      </c>
      <c r="Q1958" s="3">
        <f ca="1">IF(Proc[[#This Row],[DateClosed]]="",ABS(NETWORKDAYS(Proc[[#This Row],[DateOpened]],TODAY()))-1,ABS(NETWORKDAYS(Proc[[#This Row],[DateOpened]],Proc[[#This Row],[DateClosed]]))-1)</f>
        <v>1</v>
      </c>
      <c r="R1958" s="92" t="s">
        <v>1013</v>
      </c>
      <c r="S1958" s="96"/>
    </row>
    <row r="1959" spans="1:19" hidden="1">
      <c r="A1959" s="95" t="s">
        <v>3748</v>
      </c>
      <c r="B1959" s="96" t="str">
        <f>IFERROR(VLOOKUP(Proc[[#This Row],[App]],Table2[],3,0),"open")</f>
        <v>ok</v>
      </c>
      <c r="C1959" s="95" t="s">
        <v>369</v>
      </c>
      <c r="D1959" t="s">
        <v>3795</v>
      </c>
      <c r="E1959" t="s">
        <v>4069</v>
      </c>
      <c r="F1959" s="105" t="s">
        <v>4069</v>
      </c>
      <c r="G1959" s="95" t="s">
        <v>400</v>
      </c>
      <c r="H1959" s="96" t="str">
        <f>IF(Proc[[#This Row],[type]]="LFF (MDG-F)",MID(Proc[[#This Row],[Obj]],13,10),"")</f>
        <v/>
      </c>
      <c r="J1959" s="96" t="b">
        <f>Proc[[#This Row],[Requested]]=Proc[[#This Row],[CurrentParent]]</f>
        <v>1</v>
      </c>
      <c r="K1959" s="96" t="str">
        <f>IF(Proc[[#This Row],[Author]]="Marcela Urrego",VLOOKUP(LEFT(Proc[[#This Row],[Requested]],1),Table3[#All],2,0),VLOOKUP(Proc[[#This Row],[Author]],Table4[],2,0))</f>
        <v>HC</v>
      </c>
      <c r="L1959" s="96"/>
      <c r="M1959" s="92">
        <v>45807.678356481483</v>
      </c>
      <c r="N1959" s="93">
        <v>45810</v>
      </c>
      <c r="O1959" s="93">
        <v>45810</v>
      </c>
      <c r="P1959" s="92" t="str">
        <f ca="1">IF(Proc[[#This Row],[DaysAgeing]]&gt;5,"yep","on track")</f>
        <v>on track</v>
      </c>
      <c r="Q1959" s="3">
        <f ca="1">IF(Proc[[#This Row],[DateClosed]]="",ABS(NETWORKDAYS(Proc[[#This Row],[DateOpened]],TODAY()))-1,ABS(NETWORKDAYS(Proc[[#This Row],[DateOpened]],Proc[[#This Row],[DateClosed]]))-1)</f>
        <v>1</v>
      </c>
      <c r="R1959" s="92" t="s">
        <v>1013</v>
      </c>
      <c r="S1959" s="96"/>
    </row>
    <row r="1960" spans="1:19" hidden="1">
      <c r="A1960" s="95" t="s">
        <v>3748</v>
      </c>
      <c r="B1960" s="96" t="str">
        <f>IFERROR(VLOOKUP(Proc[[#This Row],[App]],Table2[],3,0),"open")</f>
        <v>ok</v>
      </c>
      <c r="C1960" s="95" t="s">
        <v>369</v>
      </c>
      <c r="D1960" t="s">
        <v>3796</v>
      </c>
      <c r="E1960" t="s">
        <v>4069</v>
      </c>
      <c r="F1960" s="105" t="s">
        <v>4069</v>
      </c>
      <c r="G1960" s="95" t="s">
        <v>400</v>
      </c>
      <c r="H1960" s="96" t="str">
        <f>IF(Proc[[#This Row],[type]]="LFF (MDG-F)",MID(Proc[[#This Row],[Obj]],13,10),"")</f>
        <v/>
      </c>
      <c r="J1960" s="96" t="b">
        <f>Proc[[#This Row],[Requested]]=Proc[[#This Row],[CurrentParent]]</f>
        <v>1</v>
      </c>
      <c r="K1960" s="96" t="str">
        <f>IF(Proc[[#This Row],[Author]]="Marcela Urrego",VLOOKUP(LEFT(Proc[[#This Row],[Requested]],1),Table3[#All],2,0),VLOOKUP(Proc[[#This Row],[Author]],Table4[],2,0))</f>
        <v>HC</v>
      </c>
      <c r="L1960" s="96"/>
      <c r="M1960" s="92">
        <v>45807.678356481483</v>
      </c>
      <c r="N1960" s="93">
        <v>45810</v>
      </c>
      <c r="O1960" s="93">
        <v>45810</v>
      </c>
      <c r="P1960" s="92" t="str">
        <f ca="1">IF(Proc[[#This Row],[DaysAgeing]]&gt;5,"yep","on track")</f>
        <v>on track</v>
      </c>
      <c r="Q1960" s="3">
        <f ca="1">IF(Proc[[#This Row],[DateClosed]]="",ABS(NETWORKDAYS(Proc[[#This Row],[DateOpened]],TODAY()))-1,ABS(NETWORKDAYS(Proc[[#This Row],[DateOpened]],Proc[[#This Row],[DateClosed]]))-1)</f>
        <v>1</v>
      </c>
      <c r="R1960" s="92" t="s">
        <v>1013</v>
      </c>
      <c r="S1960" s="96"/>
    </row>
    <row r="1961" spans="1:19" hidden="1">
      <c r="A1961" s="95" t="s">
        <v>3748</v>
      </c>
      <c r="B1961" s="96" t="str">
        <f>IFERROR(VLOOKUP(Proc[[#This Row],[App]],Table2[],3,0),"open")</f>
        <v>ok</v>
      </c>
      <c r="C1961" s="95" t="s">
        <v>369</v>
      </c>
      <c r="D1961" t="s">
        <v>3797</v>
      </c>
      <c r="E1961" t="s">
        <v>4067</v>
      </c>
      <c r="F1961" s="105" t="s">
        <v>4067</v>
      </c>
      <c r="G1961" s="95" t="s">
        <v>400</v>
      </c>
      <c r="H1961" s="96" t="str">
        <f>IF(Proc[[#This Row],[type]]="LFF (MDG-F)",MID(Proc[[#This Row],[Obj]],13,10),"")</f>
        <v/>
      </c>
      <c r="J1961" s="96" t="b">
        <f>Proc[[#This Row],[Requested]]=Proc[[#This Row],[CurrentParent]]</f>
        <v>1</v>
      </c>
      <c r="K1961" s="96" t="str">
        <f>IF(Proc[[#This Row],[Author]]="Marcela Urrego",VLOOKUP(LEFT(Proc[[#This Row],[Requested]],1),Table3[#All],2,0),VLOOKUP(Proc[[#This Row],[Author]],Table4[],2,0))</f>
        <v>HC</v>
      </c>
      <c r="L1961" s="96"/>
      <c r="M1961" s="92">
        <v>45807.678356481483</v>
      </c>
      <c r="N1961" s="93">
        <v>45810</v>
      </c>
      <c r="O1961" s="93">
        <v>45810</v>
      </c>
      <c r="P1961" s="92" t="str">
        <f ca="1">IF(Proc[[#This Row],[DaysAgeing]]&gt;5,"yep","on track")</f>
        <v>on track</v>
      </c>
      <c r="Q1961" s="3">
        <f ca="1">IF(Proc[[#This Row],[DateClosed]]="",ABS(NETWORKDAYS(Proc[[#This Row],[DateOpened]],TODAY()))-1,ABS(NETWORKDAYS(Proc[[#This Row],[DateOpened]],Proc[[#This Row],[DateClosed]]))-1)</f>
        <v>1</v>
      </c>
      <c r="R1961" s="92" t="s">
        <v>1013</v>
      </c>
      <c r="S1961" s="96"/>
    </row>
    <row r="1962" spans="1:19" hidden="1">
      <c r="A1962" s="95" t="s">
        <v>3748</v>
      </c>
      <c r="B1962" s="96" t="str">
        <f>IFERROR(VLOOKUP(Proc[[#This Row],[App]],Table2[],3,0),"open")</f>
        <v>ok</v>
      </c>
      <c r="C1962" s="95" t="s">
        <v>369</v>
      </c>
      <c r="D1962" t="s">
        <v>3798</v>
      </c>
      <c r="E1962" t="s">
        <v>4068</v>
      </c>
      <c r="F1962" s="105" t="s">
        <v>4068</v>
      </c>
      <c r="G1962" s="95" t="s">
        <v>400</v>
      </c>
      <c r="H1962" s="96" t="str">
        <f>IF(Proc[[#This Row],[type]]="LFF (MDG-F)",MID(Proc[[#This Row],[Obj]],13,10),"")</f>
        <v/>
      </c>
      <c r="J1962" s="96" t="b">
        <f>Proc[[#This Row],[Requested]]=Proc[[#This Row],[CurrentParent]]</f>
        <v>1</v>
      </c>
      <c r="K1962" s="96" t="str">
        <f>IF(Proc[[#This Row],[Author]]="Marcela Urrego",VLOOKUP(LEFT(Proc[[#This Row],[Requested]],1),Table3[#All],2,0),VLOOKUP(Proc[[#This Row],[Author]],Table4[],2,0))</f>
        <v>HC</v>
      </c>
      <c r="L1962" s="96"/>
      <c r="M1962" s="92">
        <v>45807.678356481483</v>
      </c>
      <c r="N1962" s="93">
        <v>45810</v>
      </c>
      <c r="O1962" s="93">
        <v>45810</v>
      </c>
      <c r="P1962" s="92" t="str">
        <f ca="1">IF(Proc[[#This Row],[DaysAgeing]]&gt;5,"yep","on track")</f>
        <v>on track</v>
      </c>
      <c r="Q1962" s="3">
        <f ca="1">IF(Proc[[#This Row],[DateClosed]]="",ABS(NETWORKDAYS(Proc[[#This Row],[DateOpened]],TODAY()))-1,ABS(NETWORKDAYS(Proc[[#This Row],[DateOpened]],Proc[[#This Row],[DateClosed]]))-1)</f>
        <v>1</v>
      </c>
      <c r="R1962" s="92" t="s">
        <v>1013</v>
      </c>
      <c r="S1962" s="96"/>
    </row>
    <row r="1963" spans="1:19" hidden="1">
      <c r="A1963" s="95" t="s">
        <v>3748</v>
      </c>
      <c r="B1963" s="96" t="str">
        <f>IFERROR(VLOOKUP(Proc[[#This Row],[App]],Table2[],3,0),"open")</f>
        <v>ok</v>
      </c>
      <c r="C1963" s="95" t="s">
        <v>369</v>
      </c>
      <c r="D1963" t="s">
        <v>3799</v>
      </c>
      <c r="E1963" t="s">
        <v>4069</v>
      </c>
      <c r="F1963" s="105" t="s">
        <v>4069</v>
      </c>
      <c r="G1963" s="95" t="s">
        <v>400</v>
      </c>
      <c r="H1963" s="96" t="str">
        <f>IF(Proc[[#This Row],[type]]="LFF (MDG-F)",MID(Proc[[#This Row],[Obj]],13,10),"")</f>
        <v/>
      </c>
      <c r="J1963" s="96" t="b">
        <f>Proc[[#This Row],[Requested]]=Proc[[#This Row],[CurrentParent]]</f>
        <v>1</v>
      </c>
      <c r="K1963" s="96" t="str">
        <f>IF(Proc[[#This Row],[Author]]="Marcela Urrego",VLOOKUP(LEFT(Proc[[#This Row],[Requested]],1),Table3[#All],2,0),VLOOKUP(Proc[[#This Row],[Author]],Table4[],2,0))</f>
        <v>HC</v>
      </c>
      <c r="L1963" s="96"/>
      <c r="M1963" s="92">
        <v>45807.678356481483</v>
      </c>
      <c r="N1963" s="93">
        <v>45810</v>
      </c>
      <c r="O1963" s="93">
        <v>45810</v>
      </c>
      <c r="P1963" s="92" t="str">
        <f ca="1">IF(Proc[[#This Row],[DaysAgeing]]&gt;5,"yep","on track")</f>
        <v>on track</v>
      </c>
      <c r="Q1963" s="3">
        <f ca="1">IF(Proc[[#This Row],[DateClosed]]="",ABS(NETWORKDAYS(Proc[[#This Row],[DateOpened]],TODAY()))-1,ABS(NETWORKDAYS(Proc[[#This Row],[DateOpened]],Proc[[#This Row],[DateClosed]]))-1)</f>
        <v>1</v>
      </c>
      <c r="R1963" s="92" t="s">
        <v>1013</v>
      </c>
      <c r="S1963" s="96"/>
    </row>
    <row r="1964" spans="1:19" hidden="1">
      <c r="A1964" s="95" t="s">
        <v>3748</v>
      </c>
      <c r="B1964" s="96" t="str">
        <f>IFERROR(VLOOKUP(Proc[[#This Row],[App]],Table2[],3,0),"open")</f>
        <v>ok</v>
      </c>
      <c r="C1964" s="95" t="s">
        <v>369</v>
      </c>
      <c r="D1964" t="s">
        <v>3800</v>
      </c>
      <c r="E1964" t="s">
        <v>4069</v>
      </c>
      <c r="F1964" s="105" t="s">
        <v>4069</v>
      </c>
      <c r="G1964" s="95" t="s">
        <v>400</v>
      </c>
      <c r="H1964" s="96" t="str">
        <f>IF(Proc[[#This Row],[type]]="LFF (MDG-F)",MID(Proc[[#This Row],[Obj]],13,10),"")</f>
        <v/>
      </c>
      <c r="J1964" s="96" t="b">
        <f>Proc[[#This Row],[Requested]]=Proc[[#This Row],[CurrentParent]]</f>
        <v>1</v>
      </c>
      <c r="K1964" s="96" t="str">
        <f>IF(Proc[[#This Row],[Author]]="Marcela Urrego",VLOOKUP(LEFT(Proc[[#This Row],[Requested]],1),Table3[#All],2,0),VLOOKUP(Proc[[#This Row],[Author]],Table4[],2,0))</f>
        <v>HC</v>
      </c>
      <c r="L1964" s="96"/>
      <c r="M1964" s="92">
        <v>45807.678356481483</v>
      </c>
      <c r="N1964" s="93">
        <v>45810</v>
      </c>
      <c r="O1964" s="93">
        <v>45810</v>
      </c>
      <c r="P1964" s="92" t="str">
        <f ca="1">IF(Proc[[#This Row],[DaysAgeing]]&gt;5,"yep","on track")</f>
        <v>on track</v>
      </c>
      <c r="Q1964" s="3">
        <f ca="1">IF(Proc[[#This Row],[DateClosed]]="",ABS(NETWORKDAYS(Proc[[#This Row],[DateOpened]],TODAY()))-1,ABS(NETWORKDAYS(Proc[[#This Row],[DateOpened]],Proc[[#This Row],[DateClosed]]))-1)</f>
        <v>1</v>
      </c>
      <c r="R1964" s="92" t="s">
        <v>1013</v>
      </c>
      <c r="S1964" s="96"/>
    </row>
    <row r="1965" spans="1:19" hidden="1">
      <c r="A1965" s="95" t="s">
        <v>3748</v>
      </c>
      <c r="B1965" s="96" t="str">
        <f>IFERROR(VLOOKUP(Proc[[#This Row],[App]],Table2[],3,0),"open")</f>
        <v>ok</v>
      </c>
      <c r="C1965" s="95" t="s">
        <v>369</v>
      </c>
      <c r="D1965" t="s">
        <v>3801</v>
      </c>
      <c r="E1965" t="s">
        <v>4069</v>
      </c>
      <c r="F1965" s="105" t="s">
        <v>4069</v>
      </c>
      <c r="G1965" s="95" t="s">
        <v>400</v>
      </c>
      <c r="H1965" s="96" t="str">
        <f>IF(Proc[[#This Row],[type]]="LFF (MDG-F)",MID(Proc[[#This Row],[Obj]],13,10),"")</f>
        <v/>
      </c>
      <c r="J1965" s="96" t="b">
        <f>Proc[[#This Row],[Requested]]=Proc[[#This Row],[CurrentParent]]</f>
        <v>1</v>
      </c>
      <c r="K1965" s="96" t="str">
        <f>IF(Proc[[#This Row],[Author]]="Marcela Urrego",VLOOKUP(LEFT(Proc[[#This Row],[Requested]],1),Table3[#All],2,0),VLOOKUP(Proc[[#This Row],[Author]],Table4[],2,0))</f>
        <v>HC</v>
      </c>
      <c r="L1965" s="96"/>
      <c r="M1965" s="92">
        <v>45807.678356481483</v>
      </c>
      <c r="N1965" s="93">
        <v>45810</v>
      </c>
      <c r="O1965" s="93">
        <v>45810</v>
      </c>
      <c r="P1965" s="92" t="str">
        <f ca="1">IF(Proc[[#This Row],[DaysAgeing]]&gt;5,"yep","on track")</f>
        <v>on track</v>
      </c>
      <c r="Q1965" s="3">
        <f ca="1">IF(Proc[[#This Row],[DateClosed]]="",ABS(NETWORKDAYS(Proc[[#This Row],[DateOpened]],TODAY()))-1,ABS(NETWORKDAYS(Proc[[#This Row],[DateOpened]],Proc[[#This Row],[DateClosed]]))-1)</f>
        <v>1</v>
      </c>
      <c r="R1965" s="92" t="s">
        <v>1013</v>
      </c>
      <c r="S1965" s="96"/>
    </row>
    <row r="1966" spans="1:19" hidden="1">
      <c r="A1966" s="95" t="s">
        <v>3748</v>
      </c>
      <c r="B1966" s="96" t="str">
        <f>IFERROR(VLOOKUP(Proc[[#This Row],[App]],Table2[],3,0),"open")</f>
        <v>ok</v>
      </c>
      <c r="C1966" s="95" t="s">
        <v>369</v>
      </c>
      <c r="D1966" t="s">
        <v>3802</v>
      </c>
      <c r="E1966" t="s">
        <v>4069</v>
      </c>
      <c r="F1966" s="105" t="s">
        <v>4069</v>
      </c>
      <c r="G1966" s="95" t="s">
        <v>400</v>
      </c>
      <c r="H1966" s="96" t="str">
        <f>IF(Proc[[#This Row],[type]]="LFF (MDG-F)",MID(Proc[[#This Row],[Obj]],13,10),"")</f>
        <v/>
      </c>
      <c r="J1966" s="96" t="b">
        <f>Proc[[#This Row],[Requested]]=Proc[[#This Row],[CurrentParent]]</f>
        <v>1</v>
      </c>
      <c r="K1966" s="96" t="str">
        <f>IF(Proc[[#This Row],[Author]]="Marcela Urrego",VLOOKUP(LEFT(Proc[[#This Row],[Requested]],1),Table3[#All],2,0),VLOOKUP(Proc[[#This Row],[Author]],Table4[],2,0))</f>
        <v>HC</v>
      </c>
      <c r="L1966" s="96"/>
      <c r="M1966" s="92">
        <v>45807.678356481483</v>
      </c>
      <c r="N1966" s="93">
        <v>45810</v>
      </c>
      <c r="O1966" s="93">
        <v>45810</v>
      </c>
      <c r="P1966" s="92" t="str">
        <f ca="1">IF(Proc[[#This Row],[DaysAgeing]]&gt;5,"yep","on track")</f>
        <v>on track</v>
      </c>
      <c r="Q1966" s="3">
        <f ca="1">IF(Proc[[#This Row],[DateClosed]]="",ABS(NETWORKDAYS(Proc[[#This Row],[DateOpened]],TODAY()))-1,ABS(NETWORKDAYS(Proc[[#This Row],[DateOpened]],Proc[[#This Row],[DateClosed]]))-1)</f>
        <v>1</v>
      </c>
      <c r="R1966" s="92" t="s">
        <v>1013</v>
      </c>
      <c r="S1966" s="96"/>
    </row>
    <row r="1967" spans="1:19" hidden="1">
      <c r="A1967" s="95" t="s">
        <v>3748</v>
      </c>
      <c r="B1967" s="96" t="str">
        <f>IFERROR(VLOOKUP(Proc[[#This Row],[App]],Table2[],3,0),"open")</f>
        <v>ok</v>
      </c>
      <c r="C1967" s="95" t="s">
        <v>369</v>
      </c>
      <c r="D1967" t="s">
        <v>3803</v>
      </c>
      <c r="E1967" t="s">
        <v>4069</v>
      </c>
      <c r="F1967" s="105" t="s">
        <v>4069</v>
      </c>
      <c r="G1967" s="95" t="s">
        <v>400</v>
      </c>
      <c r="H1967" s="96" t="str">
        <f>IF(Proc[[#This Row],[type]]="LFF (MDG-F)",MID(Proc[[#This Row],[Obj]],13,10),"")</f>
        <v/>
      </c>
      <c r="J1967" s="96" t="b">
        <f>Proc[[#This Row],[Requested]]=Proc[[#This Row],[CurrentParent]]</f>
        <v>1</v>
      </c>
      <c r="K1967" s="96" t="str">
        <f>IF(Proc[[#This Row],[Author]]="Marcela Urrego",VLOOKUP(LEFT(Proc[[#This Row],[Requested]],1),Table3[#All],2,0),VLOOKUP(Proc[[#This Row],[Author]],Table4[],2,0))</f>
        <v>HC</v>
      </c>
      <c r="L1967" s="96"/>
      <c r="M1967" s="92">
        <v>45807.678356481483</v>
      </c>
      <c r="N1967" s="93">
        <v>45810</v>
      </c>
      <c r="O1967" s="93">
        <v>45810</v>
      </c>
      <c r="P1967" s="92" t="str">
        <f ca="1">IF(Proc[[#This Row],[DaysAgeing]]&gt;5,"yep","on track")</f>
        <v>on track</v>
      </c>
      <c r="Q1967" s="3">
        <f ca="1">IF(Proc[[#This Row],[DateClosed]]="",ABS(NETWORKDAYS(Proc[[#This Row],[DateOpened]],TODAY()))-1,ABS(NETWORKDAYS(Proc[[#This Row],[DateOpened]],Proc[[#This Row],[DateClosed]]))-1)</f>
        <v>1</v>
      </c>
      <c r="R1967" s="92" t="s">
        <v>1013</v>
      </c>
      <c r="S1967" s="96"/>
    </row>
    <row r="1968" spans="1:19" hidden="1">
      <c r="A1968" s="95" t="s">
        <v>3748</v>
      </c>
      <c r="B1968" s="96" t="str">
        <f>IFERROR(VLOOKUP(Proc[[#This Row],[App]],Table2[],3,0),"open")</f>
        <v>ok</v>
      </c>
      <c r="C1968" s="95" t="s">
        <v>369</v>
      </c>
      <c r="D1968" t="s">
        <v>3804</v>
      </c>
      <c r="E1968" t="s">
        <v>4069</v>
      </c>
      <c r="F1968" s="105" t="s">
        <v>4069</v>
      </c>
      <c r="G1968" s="95" t="s">
        <v>400</v>
      </c>
      <c r="H1968" s="96" t="str">
        <f>IF(Proc[[#This Row],[type]]="LFF (MDG-F)",MID(Proc[[#This Row],[Obj]],13,10),"")</f>
        <v/>
      </c>
      <c r="J1968" s="96" t="b">
        <f>Proc[[#This Row],[Requested]]=Proc[[#This Row],[CurrentParent]]</f>
        <v>1</v>
      </c>
      <c r="K1968" s="96" t="str">
        <f>IF(Proc[[#This Row],[Author]]="Marcela Urrego",VLOOKUP(LEFT(Proc[[#This Row],[Requested]],1),Table3[#All],2,0),VLOOKUP(Proc[[#This Row],[Author]],Table4[],2,0))</f>
        <v>HC</v>
      </c>
      <c r="L1968" s="96"/>
      <c r="M1968" s="92">
        <v>45807.678356481483</v>
      </c>
      <c r="N1968" s="93">
        <v>45810</v>
      </c>
      <c r="O1968" s="93">
        <v>45810</v>
      </c>
      <c r="P1968" s="92" t="str">
        <f ca="1">IF(Proc[[#This Row],[DaysAgeing]]&gt;5,"yep","on track")</f>
        <v>on track</v>
      </c>
      <c r="Q1968" s="3">
        <f ca="1">IF(Proc[[#This Row],[DateClosed]]="",ABS(NETWORKDAYS(Proc[[#This Row],[DateOpened]],TODAY()))-1,ABS(NETWORKDAYS(Proc[[#This Row],[DateOpened]],Proc[[#This Row],[DateClosed]]))-1)</f>
        <v>1</v>
      </c>
      <c r="R1968" s="92" t="s">
        <v>1013</v>
      </c>
      <c r="S1968" s="96"/>
    </row>
    <row r="1969" spans="1:19" hidden="1">
      <c r="A1969" s="95" t="s">
        <v>3748</v>
      </c>
      <c r="B1969" s="96" t="str">
        <f>IFERROR(VLOOKUP(Proc[[#This Row],[App]],Table2[],3,0),"open")</f>
        <v>ok</v>
      </c>
      <c r="C1969" s="95" t="s">
        <v>369</v>
      </c>
      <c r="D1969" t="s">
        <v>3805</v>
      </c>
      <c r="E1969" t="s">
        <v>4069</v>
      </c>
      <c r="F1969" s="105" t="s">
        <v>4069</v>
      </c>
      <c r="G1969" s="95" t="s">
        <v>400</v>
      </c>
      <c r="H1969" s="96" t="str">
        <f>IF(Proc[[#This Row],[type]]="LFF (MDG-F)",MID(Proc[[#This Row],[Obj]],13,10),"")</f>
        <v/>
      </c>
      <c r="J1969" s="96" t="b">
        <f>Proc[[#This Row],[Requested]]=Proc[[#This Row],[CurrentParent]]</f>
        <v>1</v>
      </c>
      <c r="K1969" s="96" t="str">
        <f>IF(Proc[[#This Row],[Author]]="Marcela Urrego",VLOOKUP(LEFT(Proc[[#This Row],[Requested]],1),Table3[#All],2,0),VLOOKUP(Proc[[#This Row],[Author]],Table4[],2,0))</f>
        <v>HC</v>
      </c>
      <c r="L1969" s="96"/>
      <c r="M1969" s="92">
        <v>45807.678356481483</v>
      </c>
      <c r="N1969" s="93">
        <v>45810</v>
      </c>
      <c r="O1969" s="93">
        <v>45810</v>
      </c>
      <c r="P1969" s="92" t="str">
        <f ca="1">IF(Proc[[#This Row],[DaysAgeing]]&gt;5,"yep","on track")</f>
        <v>on track</v>
      </c>
      <c r="Q1969" s="3">
        <f ca="1">IF(Proc[[#This Row],[DateClosed]]="",ABS(NETWORKDAYS(Proc[[#This Row],[DateOpened]],TODAY()))-1,ABS(NETWORKDAYS(Proc[[#This Row],[DateOpened]],Proc[[#This Row],[DateClosed]]))-1)</f>
        <v>1</v>
      </c>
      <c r="R1969" s="92" t="s">
        <v>1013</v>
      </c>
      <c r="S1969" s="96"/>
    </row>
    <row r="1970" spans="1:19" hidden="1">
      <c r="A1970" s="95" t="s">
        <v>3748</v>
      </c>
      <c r="B1970" s="96" t="str">
        <f>IFERROR(VLOOKUP(Proc[[#This Row],[App]],Table2[],3,0),"open")</f>
        <v>ok</v>
      </c>
      <c r="C1970" s="95" t="s">
        <v>369</v>
      </c>
      <c r="D1970" t="s">
        <v>3806</v>
      </c>
      <c r="E1970" t="s">
        <v>4069</v>
      </c>
      <c r="F1970" s="105" t="s">
        <v>4069</v>
      </c>
      <c r="G1970" s="95" t="s">
        <v>400</v>
      </c>
      <c r="H1970" s="96" t="str">
        <f>IF(Proc[[#This Row],[type]]="LFF (MDG-F)",MID(Proc[[#This Row],[Obj]],13,10),"")</f>
        <v/>
      </c>
      <c r="J1970" s="96" t="b">
        <f>Proc[[#This Row],[Requested]]=Proc[[#This Row],[CurrentParent]]</f>
        <v>1</v>
      </c>
      <c r="K1970" s="96" t="str">
        <f>IF(Proc[[#This Row],[Author]]="Marcela Urrego",VLOOKUP(LEFT(Proc[[#This Row],[Requested]],1),Table3[#All],2,0),VLOOKUP(Proc[[#This Row],[Author]],Table4[],2,0))</f>
        <v>HC</v>
      </c>
      <c r="L1970" s="96"/>
      <c r="M1970" s="92">
        <v>45807.678356481483</v>
      </c>
      <c r="N1970" s="93">
        <v>45810</v>
      </c>
      <c r="O1970" s="93">
        <v>45810</v>
      </c>
      <c r="P1970" s="92" t="str">
        <f ca="1">IF(Proc[[#This Row],[DaysAgeing]]&gt;5,"yep","on track")</f>
        <v>on track</v>
      </c>
      <c r="Q1970" s="3">
        <f ca="1">IF(Proc[[#This Row],[DateClosed]]="",ABS(NETWORKDAYS(Proc[[#This Row],[DateOpened]],TODAY()))-1,ABS(NETWORKDAYS(Proc[[#This Row],[DateOpened]],Proc[[#This Row],[DateClosed]]))-1)</f>
        <v>1</v>
      </c>
      <c r="R1970" s="92" t="s">
        <v>1013</v>
      </c>
      <c r="S1970" s="96"/>
    </row>
    <row r="1971" spans="1:19" hidden="1">
      <c r="A1971" s="95" t="s">
        <v>3748</v>
      </c>
      <c r="B1971" s="96" t="str">
        <f>IFERROR(VLOOKUP(Proc[[#This Row],[App]],Table2[],3,0),"open")</f>
        <v>ok</v>
      </c>
      <c r="C1971" s="95" t="s">
        <v>369</v>
      </c>
      <c r="D1971" t="s">
        <v>3807</v>
      </c>
      <c r="E1971" t="s">
        <v>4069</v>
      </c>
      <c r="F1971" s="105" t="s">
        <v>4069</v>
      </c>
      <c r="G1971" s="95" t="s">
        <v>400</v>
      </c>
      <c r="H1971" s="96" t="str">
        <f>IF(Proc[[#This Row],[type]]="LFF (MDG-F)",MID(Proc[[#This Row],[Obj]],13,10),"")</f>
        <v/>
      </c>
      <c r="J1971" s="96" t="b">
        <f>Proc[[#This Row],[Requested]]=Proc[[#This Row],[CurrentParent]]</f>
        <v>1</v>
      </c>
      <c r="K1971" s="96" t="str">
        <f>IF(Proc[[#This Row],[Author]]="Marcela Urrego",VLOOKUP(LEFT(Proc[[#This Row],[Requested]],1),Table3[#All],2,0),VLOOKUP(Proc[[#This Row],[Author]],Table4[],2,0))</f>
        <v>HC</v>
      </c>
      <c r="L1971" s="96"/>
      <c r="M1971" s="92">
        <v>45807.678356481483</v>
      </c>
      <c r="N1971" s="93">
        <v>45810</v>
      </c>
      <c r="O1971" s="93">
        <v>45810</v>
      </c>
      <c r="P1971" s="92" t="str">
        <f ca="1">IF(Proc[[#This Row],[DaysAgeing]]&gt;5,"yep","on track")</f>
        <v>on track</v>
      </c>
      <c r="Q1971" s="3">
        <f ca="1">IF(Proc[[#This Row],[DateClosed]]="",ABS(NETWORKDAYS(Proc[[#This Row],[DateOpened]],TODAY()))-1,ABS(NETWORKDAYS(Proc[[#This Row],[DateOpened]],Proc[[#This Row],[DateClosed]]))-1)</f>
        <v>1</v>
      </c>
      <c r="R1971" s="92" t="s">
        <v>1013</v>
      </c>
      <c r="S1971" s="96"/>
    </row>
    <row r="1972" spans="1:19" hidden="1">
      <c r="A1972" s="95" t="s">
        <v>3748</v>
      </c>
      <c r="B1972" s="96" t="str">
        <f>IFERROR(VLOOKUP(Proc[[#This Row],[App]],Table2[],3,0),"open")</f>
        <v>ok</v>
      </c>
      <c r="C1972" s="95" t="s">
        <v>369</v>
      </c>
      <c r="D1972" t="s">
        <v>3808</v>
      </c>
      <c r="E1972" t="s">
        <v>4069</v>
      </c>
      <c r="F1972" s="105" t="s">
        <v>4069</v>
      </c>
      <c r="G1972" s="95" t="s">
        <v>400</v>
      </c>
      <c r="H1972" s="96" t="str">
        <f>IF(Proc[[#This Row],[type]]="LFF (MDG-F)",MID(Proc[[#This Row],[Obj]],13,10),"")</f>
        <v/>
      </c>
      <c r="J1972" s="96" t="b">
        <f>Proc[[#This Row],[Requested]]=Proc[[#This Row],[CurrentParent]]</f>
        <v>1</v>
      </c>
      <c r="K1972" s="96" t="str">
        <f>IF(Proc[[#This Row],[Author]]="Marcela Urrego",VLOOKUP(LEFT(Proc[[#This Row],[Requested]],1),Table3[#All],2,0),VLOOKUP(Proc[[#This Row],[Author]],Table4[],2,0))</f>
        <v>HC</v>
      </c>
      <c r="L1972" s="96"/>
      <c r="M1972" s="92">
        <v>45807.678356481483</v>
      </c>
      <c r="N1972" s="93">
        <v>45810</v>
      </c>
      <c r="O1972" s="93">
        <v>45810</v>
      </c>
      <c r="P1972" s="92" t="str">
        <f ca="1">IF(Proc[[#This Row],[DaysAgeing]]&gt;5,"yep","on track")</f>
        <v>on track</v>
      </c>
      <c r="Q1972" s="3">
        <f ca="1">IF(Proc[[#This Row],[DateClosed]]="",ABS(NETWORKDAYS(Proc[[#This Row],[DateOpened]],TODAY()))-1,ABS(NETWORKDAYS(Proc[[#This Row],[DateOpened]],Proc[[#This Row],[DateClosed]]))-1)</f>
        <v>1</v>
      </c>
      <c r="R1972" s="92" t="s">
        <v>1013</v>
      </c>
      <c r="S1972" s="96"/>
    </row>
    <row r="1973" spans="1:19" hidden="1">
      <c r="A1973" s="95" t="s">
        <v>3748</v>
      </c>
      <c r="B1973" s="96" t="str">
        <f>IFERROR(VLOOKUP(Proc[[#This Row],[App]],Table2[],3,0),"open")</f>
        <v>ok</v>
      </c>
      <c r="C1973" s="95" t="s">
        <v>369</v>
      </c>
      <c r="D1973" t="s">
        <v>3809</v>
      </c>
      <c r="E1973" t="s">
        <v>4069</v>
      </c>
      <c r="F1973" s="105" t="s">
        <v>4069</v>
      </c>
      <c r="G1973" s="95" t="s">
        <v>400</v>
      </c>
      <c r="H1973" s="96" t="str">
        <f>IF(Proc[[#This Row],[type]]="LFF (MDG-F)",MID(Proc[[#This Row],[Obj]],13,10),"")</f>
        <v/>
      </c>
      <c r="J1973" s="96" t="b">
        <f>Proc[[#This Row],[Requested]]=Proc[[#This Row],[CurrentParent]]</f>
        <v>1</v>
      </c>
      <c r="K1973" s="96" t="str">
        <f>IF(Proc[[#This Row],[Author]]="Marcela Urrego",VLOOKUP(LEFT(Proc[[#This Row],[Requested]],1),Table3[#All],2,0),VLOOKUP(Proc[[#This Row],[Author]],Table4[],2,0))</f>
        <v>HC</v>
      </c>
      <c r="L1973" s="96"/>
      <c r="M1973" s="92">
        <v>45807.678356481483</v>
      </c>
      <c r="N1973" s="93">
        <v>45810</v>
      </c>
      <c r="O1973" s="93">
        <v>45810</v>
      </c>
      <c r="P1973" s="92" t="str">
        <f ca="1">IF(Proc[[#This Row],[DaysAgeing]]&gt;5,"yep","on track")</f>
        <v>on track</v>
      </c>
      <c r="Q1973" s="3">
        <f ca="1">IF(Proc[[#This Row],[DateClosed]]="",ABS(NETWORKDAYS(Proc[[#This Row],[DateOpened]],TODAY()))-1,ABS(NETWORKDAYS(Proc[[#This Row],[DateOpened]],Proc[[#This Row],[DateClosed]]))-1)</f>
        <v>1</v>
      </c>
      <c r="R1973" s="92" t="s">
        <v>1013</v>
      </c>
      <c r="S1973" s="96"/>
    </row>
    <row r="1974" spans="1:19" hidden="1">
      <c r="A1974" s="95" t="s">
        <v>3748</v>
      </c>
      <c r="B1974" s="96" t="str">
        <f>IFERROR(VLOOKUP(Proc[[#This Row],[App]],Table2[],3,0),"open")</f>
        <v>ok</v>
      </c>
      <c r="C1974" s="95" t="s">
        <v>369</v>
      </c>
      <c r="D1974" t="s">
        <v>3810</v>
      </c>
      <c r="E1974" t="s">
        <v>4069</v>
      </c>
      <c r="F1974" s="105" t="s">
        <v>4069</v>
      </c>
      <c r="G1974" s="95" t="s">
        <v>400</v>
      </c>
      <c r="H1974" s="96" t="str">
        <f>IF(Proc[[#This Row],[type]]="LFF (MDG-F)",MID(Proc[[#This Row],[Obj]],13,10),"")</f>
        <v/>
      </c>
      <c r="J1974" s="96" t="b">
        <f>Proc[[#This Row],[Requested]]=Proc[[#This Row],[CurrentParent]]</f>
        <v>1</v>
      </c>
      <c r="K1974" s="96" t="str">
        <f>IF(Proc[[#This Row],[Author]]="Marcela Urrego",VLOOKUP(LEFT(Proc[[#This Row],[Requested]],1),Table3[#All],2,0),VLOOKUP(Proc[[#This Row],[Author]],Table4[],2,0))</f>
        <v>HC</v>
      </c>
      <c r="L1974" s="96"/>
      <c r="M1974" s="92">
        <v>45807.678356481483</v>
      </c>
      <c r="N1974" s="93">
        <v>45810</v>
      </c>
      <c r="O1974" s="93">
        <v>45810</v>
      </c>
      <c r="P1974" s="92" t="str">
        <f ca="1">IF(Proc[[#This Row],[DaysAgeing]]&gt;5,"yep","on track")</f>
        <v>on track</v>
      </c>
      <c r="Q1974" s="3">
        <f ca="1">IF(Proc[[#This Row],[DateClosed]]="",ABS(NETWORKDAYS(Proc[[#This Row],[DateOpened]],TODAY()))-1,ABS(NETWORKDAYS(Proc[[#This Row],[DateOpened]],Proc[[#This Row],[DateClosed]]))-1)</f>
        <v>1</v>
      </c>
      <c r="R1974" s="92" t="s">
        <v>1013</v>
      </c>
      <c r="S1974" s="96"/>
    </row>
    <row r="1975" spans="1:19" hidden="1">
      <c r="A1975" s="95" t="s">
        <v>3748</v>
      </c>
      <c r="B1975" s="96" t="str">
        <f>IFERROR(VLOOKUP(Proc[[#This Row],[App]],Table2[],3,0),"open")</f>
        <v>ok</v>
      </c>
      <c r="C1975" s="95" t="s">
        <v>369</v>
      </c>
      <c r="D1975" t="s">
        <v>3811</v>
      </c>
      <c r="E1975" t="s">
        <v>4069</v>
      </c>
      <c r="F1975" s="105" t="s">
        <v>4069</v>
      </c>
      <c r="G1975" s="95" t="s">
        <v>400</v>
      </c>
      <c r="H1975" s="96" t="str">
        <f>IF(Proc[[#This Row],[type]]="LFF (MDG-F)",MID(Proc[[#This Row],[Obj]],13,10),"")</f>
        <v/>
      </c>
      <c r="J1975" s="96" t="b">
        <f>Proc[[#This Row],[Requested]]=Proc[[#This Row],[CurrentParent]]</f>
        <v>1</v>
      </c>
      <c r="K1975" s="96" t="str">
        <f>IF(Proc[[#This Row],[Author]]="Marcela Urrego",VLOOKUP(LEFT(Proc[[#This Row],[Requested]],1),Table3[#All],2,0),VLOOKUP(Proc[[#This Row],[Author]],Table4[],2,0))</f>
        <v>HC</v>
      </c>
      <c r="L1975" s="96"/>
      <c r="M1975" s="92">
        <v>45807.678356481483</v>
      </c>
      <c r="N1975" s="93">
        <v>45810</v>
      </c>
      <c r="O1975" s="93">
        <v>45810</v>
      </c>
      <c r="P1975" s="92" t="str">
        <f ca="1">IF(Proc[[#This Row],[DaysAgeing]]&gt;5,"yep","on track")</f>
        <v>on track</v>
      </c>
      <c r="Q1975" s="3">
        <f ca="1">IF(Proc[[#This Row],[DateClosed]]="",ABS(NETWORKDAYS(Proc[[#This Row],[DateOpened]],TODAY()))-1,ABS(NETWORKDAYS(Proc[[#This Row],[DateOpened]],Proc[[#This Row],[DateClosed]]))-1)</f>
        <v>1</v>
      </c>
      <c r="R1975" s="92" t="s">
        <v>1013</v>
      </c>
      <c r="S1975" s="96"/>
    </row>
    <row r="1976" spans="1:19" hidden="1">
      <c r="A1976" s="95" t="s">
        <v>3748</v>
      </c>
      <c r="B1976" s="96" t="str">
        <f>IFERROR(VLOOKUP(Proc[[#This Row],[App]],Table2[],3,0),"open")</f>
        <v>ok</v>
      </c>
      <c r="C1976" s="95" t="s">
        <v>369</v>
      </c>
      <c r="D1976" t="s">
        <v>3812</v>
      </c>
      <c r="E1976" t="s">
        <v>4069</v>
      </c>
      <c r="F1976" s="105" t="s">
        <v>4069</v>
      </c>
      <c r="G1976" s="95" t="s">
        <v>400</v>
      </c>
      <c r="H1976" s="96" t="str">
        <f>IF(Proc[[#This Row],[type]]="LFF (MDG-F)",MID(Proc[[#This Row],[Obj]],13,10),"")</f>
        <v/>
      </c>
      <c r="J1976" s="96" t="b">
        <f>Proc[[#This Row],[Requested]]=Proc[[#This Row],[CurrentParent]]</f>
        <v>1</v>
      </c>
      <c r="K1976" s="96" t="str">
        <f>IF(Proc[[#This Row],[Author]]="Marcela Urrego",VLOOKUP(LEFT(Proc[[#This Row],[Requested]],1),Table3[#All],2,0),VLOOKUP(Proc[[#This Row],[Author]],Table4[],2,0))</f>
        <v>HC</v>
      </c>
      <c r="L1976" s="96"/>
      <c r="M1976" s="92">
        <v>45807.678356481483</v>
      </c>
      <c r="N1976" s="93">
        <v>45810</v>
      </c>
      <c r="O1976" s="93">
        <v>45810</v>
      </c>
      <c r="P1976" s="92" t="str">
        <f ca="1">IF(Proc[[#This Row],[DaysAgeing]]&gt;5,"yep","on track")</f>
        <v>on track</v>
      </c>
      <c r="Q1976" s="3">
        <f ca="1">IF(Proc[[#This Row],[DateClosed]]="",ABS(NETWORKDAYS(Proc[[#This Row],[DateOpened]],TODAY()))-1,ABS(NETWORKDAYS(Proc[[#This Row],[DateOpened]],Proc[[#This Row],[DateClosed]]))-1)</f>
        <v>1</v>
      </c>
      <c r="R1976" s="92" t="s">
        <v>1013</v>
      </c>
      <c r="S1976" s="96"/>
    </row>
    <row r="1977" spans="1:19" hidden="1">
      <c r="A1977" s="95" t="s">
        <v>3748</v>
      </c>
      <c r="B1977" s="96" t="str">
        <f>IFERROR(VLOOKUP(Proc[[#This Row],[App]],Table2[],3,0),"open")</f>
        <v>ok</v>
      </c>
      <c r="C1977" s="95" t="s">
        <v>369</v>
      </c>
      <c r="D1977" t="s">
        <v>3813</v>
      </c>
      <c r="E1977" t="s">
        <v>4069</v>
      </c>
      <c r="F1977" s="105" t="s">
        <v>4069</v>
      </c>
      <c r="G1977" s="95" t="s">
        <v>400</v>
      </c>
      <c r="H1977" s="96" t="str">
        <f>IF(Proc[[#This Row],[type]]="LFF (MDG-F)",MID(Proc[[#This Row],[Obj]],13,10),"")</f>
        <v/>
      </c>
      <c r="J1977" s="96" t="b">
        <f>Proc[[#This Row],[Requested]]=Proc[[#This Row],[CurrentParent]]</f>
        <v>1</v>
      </c>
      <c r="K1977" s="96" t="str">
        <f>IF(Proc[[#This Row],[Author]]="Marcela Urrego",VLOOKUP(LEFT(Proc[[#This Row],[Requested]],1),Table3[#All],2,0),VLOOKUP(Proc[[#This Row],[Author]],Table4[],2,0))</f>
        <v>HC</v>
      </c>
      <c r="L1977" s="96"/>
      <c r="M1977" s="92">
        <v>45807.678356481483</v>
      </c>
      <c r="N1977" s="93">
        <v>45810</v>
      </c>
      <c r="O1977" s="93">
        <v>45810</v>
      </c>
      <c r="P1977" s="92" t="str">
        <f ca="1">IF(Proc[[#This Row],[DaysAgeing]]&gt;5,"yep","on track")</f>
        <v>on track</v>
      </c>
      <c r="Q1977" s="3">
        <f ca="1">IF(Proc[[#This Row],[DateClosed]]="",ABS(NETWORKDAYS(Proc[[#This Row],[DateOpened]],TODAY()))-1,ABS(NETWORKDAYS(Proc[[#This Row],[DateOpened]],Proc[[#This Row],[DateClosed]]))-1)</f>
        <v>1</v>
      </c>
      <c r="R1977" s="92" t="s">
        <v>1013</v>
      </c>
      <c r="S1977" s="96"/>
    </row>
    <row r="1978" spans="1:19" hidden="1">
      <c r="A1978" s="95" t="s">
        <v>3748</v>
      </c>
      <c r="B1978" s="96" t="str">
        <f>IFERROR(VLOOKUP(Proc[[#This Row],[App]],Table2[],3,0),"open")</f>
        <v>ok</v>
      </c>
      <c r="C1978" s="95" t="s">
        <v>369</v>
      </c>
      <c r="D1978" t="s">
        <v>3814</v>
      </c>
      <c r="E1978" t="s">
        <v>4069</v>
      </c>
      <c r="F1978" s="105" t="s">
        <v>4069</v>
      </c>
      <c r="G1978" s="95" t="s">
        <v>400</v>
      </c>
      <c r="H1978" s="96" t="str">
        <f>IF(Proc[[#This Row],[type]]="LFF (MDG-F)",MID(Proc[[#This Row],[Obj]],13,10),"")</f>
        <v/>
      </c>
      <c r="J1978" s="96" t="b">
        <f>Proc[[#This Row],[Requested]]=Proc[[#This Row],[CurrentParent]]</f>
        <v>1</v>
      </c>
      <c r="K1978" s="96" t="str">
        <f>IF(Proc[[#This Row],[Author]]="Marcela Urrego",VLOOKUP(LEFT(Proc[[#This Row],[Requested]],1),Table3[#All],2,0),VLOOKUP(Proc[[#This Row],[Author]],Table4[],2,0))</f>
        <v>HC</v>
      </c>
      <c r="L1978" s="96"/>
      <c r="M1978" s="92">
        <v>45807.678356481483</v>
      </c>
      <c r="N1978" s="93">
        <v>45810</v>
      </c>
      <c r="O1978" s="93">
        <v>45810</v>
      </c>
      <c r="P1978" s="92" t="str">
        <f ca="1">IF(Proc[[#This Row],[DaysAgeing]]&gt;5,"yep","on track")</f>
        <v>on track</v>
      </c>
      <c r="Q1978" s="3">
        <f ca="1">IF(Proc[[#This Row],[DateClosed]]="",ABS(NETWORKDAYS(Proc[[#This Row],[DateOpened]],TODAY()))-1,ABS(NETWORKDAYS(Proc[[#This Row],[DateOpened]],Proc[[#This Row],[DateClosed]]))-1)</f>
        <v>1</v>
      </c>
      <c r="R1978" s="92" t="s">
        <v>1013</v>
      </c>
      <c r="S1978" s="96"/>
    </row>
    <row r="1979" spans="1:19" hidden="1">
      <c r="A1979" s="95" t="s">
        <v>3748</v>
      </c>
      <c r="B1979" s="96" t="str">
        <f>IFERROR(VLOOKUP(Proc[[#This Row],[App]],Table2[],3,0),"open")</f>
        <v>ok</v>
      </c>
      <c r="C1979" s="95" t="s">
        <v>369</v>
      </c>
      <c r="D1979" t="s">
        <v>3815</v>
      </c>
      <c r="E1979" t="s">
        <v>4069</v>
      </c>
      <c r="F1979" s="105" t="s">
        <v>4069</v>
      </c>
      <c r="G1979" s="95" t="s">
        <v>400</v>
      </c>
      <c r="H1979" s="96" t="str">
        <f>IF(Proc[[#This Row],[type]]="LFF (MDG-F)",MID(Proc[[#This Row],[Obj]],13,10),"")</f>
        <v/>
      </c>
      <c r="J1979" s="96" t="b">
        <f>Proc[[#This Row],[Requested]]=Proc[[#This Row],[CurrentParent]]</f>
        <v>1</v>
      </c>
      <c r="K1979" s="96" t="str">
        <f>IF(Proc[[#This Row],[Author]]="Marcela Urrego",VLOOKUP(LEFT(Proc[[#This Row],[Requested]],1),Table3[#All],2,0),VLOOKUP(Proc[[#This Row],[Author]],Table4[],2,0))</f>
        <v>HC</v>
      </c>
      <c r="L1979" s="96"/>
      <c r="M1979" s="92">
        <v>45807.678356481483</v>
      </c>
      <c r="N1979" s="93">
        <v>45810</v>
      </c>
      <c r="O1979" s="93">
        <v>45810</v>
      </c>
      <c r="P1979" s="92" t="str">
        <f ca="1">IF(Proc[[#This Row],[DaysAgeing]]&gt;5,"yep","on track")</f>
        <v>on track</v>
      </c>
      <c r="Q1979" s="3">
        <f ca="1">IF(Proc[[#This Row],[DateClosed]]="",ABS(NETWORKDAYS(Proc[[#This Row],[DateOpened]],TODAY()))-1,ABS(NETWORKDAYS(Proc[[#This Row],[DateOpened]],Proc[[#This Row],[DateClosed]]))-1)</f>
        <v>1</v>
      </c>
      <c r="R1979" s="92" t="s">
        <v>1013</v>
      </c>
      <c r="S1979" s="96"/>
    </row>
    <row r="1980" spans="1:19" hidden="1">
      <c r="A1980" s="95" t="s">
        <v>3748</v>
      </c>
      <c r="B1980" s="96" t="str">
        <f>IFERROR(VLOOKUP(Proc[[#This Row],[App]],Table2[],3,0),"open")</f>
        <v>ok</v>
      </c>
      <c r="C1980" s="95" t="s">
        <v>369</v>
      </c>
      <c r="D1980" t="s">
        <v>3816</v>
      </c>
      <c r="E1980" t="s">
        <v>4069</v>
      </c>
      <c r="F1980" s="105" t="s">
        <v>4069</v>
      </c>
      <c r="G1980" s="95" t="s">
        <v>400</v>
      </c>
      <c r="H1980" s="96" t="str">
        <f>IF(Proc[[#This Row],[type]]="LFF (MDG-F)",MID(Proc[[#This Row],[Obj]],13,10),"")</f>
        <v/>
      </c>
      <c r="J1980" s="96" t="b">
        <f>Proc[[#This Row],[Requested]]=Proc[[#This Row],[CurrentParent]]</f>
        <v>1</v>
      </c>
      <c r="K1980" s="96" t="str">
        <f>IF(Proc[[#This Row],[Author]]="Marcela Urrego",VLOOKUP(LEFT(Proc[[#This Row],[Requested]],1),Table3[#All],2,0),VLOOKUP(Proc[[#This Row],[Author]],Table4[],2,0))</f>
        <v>HC</v>
      </c>
      <c r="L1980" s="96"/>
      <c r="M1980" s="92">
        <v>45807.678356481483</v>
      </c>
      <c r="N1980" s="93">
        <v>45810</v>
      </c>
      <c r="O1980" s="93">
        <v>45810</v>
      </c>
      <c r="P1980" s="92" t="str">
        <f ca="1">IF(Proc[[#This Row],[DaysAgeing]]&gt;5,"yep","on track")</f>
        <v>on track</v>
      </c>
      <c r="Q1980" s="3">
        <f ca="1">IF(Proc[[#This Row],[DateClosed]]="",ABS(NETWORKDAYS(Proc[[#This Row],[DateOpened]],TODAY()))-1,ABS(NETWORKDAYS(Proc[[#This Row],[DateOpened]],Proc[[#This Row],[DateClosed]]))-1)</f>
        <v>1</v>
      </c>
      <c r="R1980" s="92" t="s">
        <v>1013</v>
      </c>
      <c r="S1980" s="96"/>
    </row>
    <row r="1981" spans="1:19" hidden="1">
      <c r="A1981" s="95" t="s">
        <v>3748</v>
      </c>
      <c r="B1981" s="96" t="str">
        <f>IFERROR(VLOOKUP(Proc[[#This Row],[App]],Table2[],3,0),"open")</f>
        <v>ok</v>
      </c>
      <c r="C1981" s="95" t="s">
        <v>369</v>
      </c>
      <c r="D1981" t="s">
        <v>3817</v>
      </c>
      <c r="E1981" t="s">
        <v>4069</v>
      </c>
      <c r="F1981" s="105" t="s">
        <v>4069</v>
      </c>
      <c r="G1981" s="95" t="s">
        <v>400</v>
      </c>
      <c r="H1981" s="96" t="str">
        <f>IF(Proc[[#This Row],[type]]="LFF (MDG-F)",MID(Proc[[#This Row],[Obj]],13,10),"")</f>
        <v/>
      </c>
      <c r="J1981" s="96" t="b">
        <f>Proc[[#This Row],[Requested]]=Proc[[#This Row],[CurrentParent]]</f>
        <v>1</v>
      </c>
      <c r="K1981" s="96" t="str">
        <f>IF(Proc[[#This Row],[Author]]="Marcela Urrego",VLOOKUP(LEFT(Proc[[#This Row],[Requested]],1),Table3[#All],2,0),VLOOKUP(Proc[[#This Row],[Author]],Table4[],2,0))</f>
        <v>HC</v>
      </c>
      <c r="L1981" s="96"/>
      <c r="M1981" s="92">
        <v>45807.678356481483</v>
      </c>
      <c r="N1981" s="93">
        <v>45810</v>
      </c>
      <c r="O1981" s="93">
        <v>45810</v>
      </c>
      <c r="P1981" s="92" t="str">
        <f ca="1">IF(Proc[[#This Row],[DaysAgeing]]&gt;5,"yep","on track")</f>
        <v>on track</v>
      </c>
      <c r="Q1981" s="3">
        <f ca="1">IF(Proc[[#This Row],[DateClosed]]="",ABS(NETWORKDAYS(Proc[[#This Row],[DateOpened]],TODAY()))-1,ABS(NETWORKDAYS(Proc[[#This Row],[DateOpened]],Proc[[#This Row],[DateClosed]]))-1)</f>
        <v>1</v>
      </c>
      <c r="R1981" s="92" t="s">
        <v>1013</v>
      </c>
      <c r="S1981" s="96"/>
    </row>
    <row r="1982" spans="1:19" hidden="1">
      <c r="A1982" s="95" t="s">
        <v>3748</v>
      </c>
      <c r="B1982" s="96" t="str">
        <f>IFERROR(VLOOKUP(Proc[[#This Row],[App]],Table2[],3,0),"open")</f>
        <v>ok</v>
      </c>
      <c r="C1982" s="95" t="s">
        <v>369</v>
      </c>
      <c r="D1982" t="s">
        <v>3818</v>
      </c>
      <c r="E1982" t="s">
        <v>4069</v>
      </c>
      <c r="F1982" s="105" t="s">
        <v>4069</v>
      </c>
      <c r="G1982" s="95" t="s">
        <v>400</v>
      </c>
      <c r="H1982" s="96" t="str">
        <f>IF(Proc[[#This Row],[type]]="LFF (MDG-F)",MID(Proc[[#This Row],[Obj]],13,10),"")</f>
        <v/>
      </c>
      <c r="J1982" s="96" t="b">
        <f>Proc[[#This Row],[Requested]]=Proc[[#This Row],[CurrentParent]]</f>
        <v>1</v>
      </c>
      <c r="K1982" s="96" t="str">
        <f>IF(Proc[[#This Row],[Author]]="Marcela Urrego",VLOOKUP(LEFT(Proc[[#This Row],[Requested]],1),Table3[#All],2,0),VLOOKUP(Proc[[#This Row],[Author]],Table4[],2,0))</f>
        <v>HC</v>
      </c>
      <c r="L1982" s="96"/>
      <c r="M1982" s="92">
        <v>45807.678356481483</v>
      </c>
      <c r="N1982" s="93">
        <v>45810</v>
      </c>
      <c r="O1982" s="93">
        <v>45810</v>
      </c>
      <c r="P1982" s="92" t="str">
        <f ca="1">IF(Proc[[#This Row],[DaysAgeing]]&gt;5,"yep","on track")</f>
        <v>on track</v>
      </c>
      <c r="Q1982" s="3">
        <f ca="1">IF(Proc[[#This Row],[DateClosed]]="",ABS(NETWORKDAYS(Proc[[#This Row],[DateOpened]],TODAY()))-1,ABS(NETWORKDAYS(Proc[[#This Row],[DateOpened]],Proc[[#This Row],[DateClosed]]))-1)</f>
        <v>1</v>
      </c>
      <c r="R1982" s="92" t="s">
        <v>1013</v>
      </c>
      <c r="S1982" s="96"/>
    </row>
    <row r="1983" spans="1:19" hidden="1">
      <c r="A1983" s="95" t="s">
        <v>3748</v>
      </c>
      <c r="B1983" s="96" t="str">
        <f>IFERROR(VLOOKUP(Proc[[#This Row],[App]],Table2[],3,0),"open")</f>
        <v>ok</v>
      </c>
      <c r="C1983" s="95" t="s">
        <v>369</v>
      </c>
      <c r="D1983" t="s">
        <v>3819</v>
      </c>
      <c r="E1983" t="s">
        <v>4069</v>
      </c>
      <c r="F1983" s="105" t="s">
        <v>4069</v>
      </c>
      <c r="G1983" s="95" t="s">
        <v>400</v>
      </c>
      <c r="H1983" s="96" t="str">
        <f>IF(Proc[[#This Row],[type]]="LFF (MDG-F)",MID(Proc[[#This Row],[Obj]],13,10),"")</f>
        <v/>
      </c>
      <c r="J1983" s="96" t="b">
        <f>Proc[[#This Row],[Requested]]=Proc[[#This Row],[CurrentParent]]</f>
        <v>1</v>
      </c>
      <c r="K1983" s="96" t="str">
        <f>IF(Proc[[#This Row],[Author]]="Marcela Urrego",VLOOKUP(LEFT(Proc[[#This Row],[Requested]],1),Table3[#All],2,0),VLOOKUP(Proc[[#This Row],[Author]],Table4[],2,0))</f>
        <v>HC</v>
      </c>
      <c r="L1983" s="96"/>
      <c r="M1983" s="92">
        <v>45807.678356481483</v>
      </c>
      <c r="N1983" s="93">
        <v>45810</v>
      </c>
      <c r="O1983" s="93">
        <v>45810</v>
      </c>
      <c r="P1983" s="92" t="str">
        <f ca="1">IF(Proc[[#This Row],[DaysAgeing]]&gt;5,"yep","on track")</f>
        <v>on track</v>
      </c>
      <c r="Q1983" s="3">
        <f ca="1">IF(Proc[[#This Row],[DateClosed]]="",ABS(NETWORKDAYS(Proc[[#This Row],[DateOpened]],TODAY()))-1,ABS(NETWORKDAYS(Proc[[#This Row],[DateOpened]],Proc[[#This Row],[DateClosed]]))-1)</f>
        <v>1</v>
      </c>
      <c r="R1983" s="92" t="s">
        <v>1013</v>
      </c>
      <c r="S1983" s="96"/>
    </row>
    <row r="1984" spans="1:19" hidden="1">
      <c r="A1984" s="95" t="s">
        <v>3748</v>
      </c>
      <c r="B1984" s="96" t="str">
        <f>IFERROR(VLOOKUP(Proc[[#This Row],[App]],Table2[],3,0),"open")</f>
        <v>ok</v>
      </c>
      <c r="C1984" s="95" t="s">
        <v>369</v>
      </c>
      <c r="D1984" t="s">
        <v>3820</v>
      </c>
      <c r="E1984" t="s">
        <v>4069</v>
      </c>
      <c r="F1984" s="105" t="s">
        <v>4069</v>
      </c>
      <c r="G1984" s="95" t="s">
        <v>400</v>
      </c>
      <c r="H1984" s="96" t="str">
        <f>IF(Proc[[#This Row],[type]]="LFF (MDG-F)",MID(Proc[[#This Row],[Obj]],13,10),"")</f>
        <v/>
      </c>
      <c r="J1984" s="96" t="b">
        <f>Proc[[#This Row],[Requested]]=Proc[[#This Row],[CurrentParent]]</f>
        <v>1</v>
      </c>
      <c r="K1984" s="96" t="str">
        <f>IF(Proc[[#This Row],[Author]]="Marcela Urrego",VLOOKUP(LEFT(Proc[[#This Row],[Requested]],1),Table3[#All],2,0),VLOOKUP(Proc[[#This Row],[Author]],Table4[],2,0))</f>
        <v>HC</v>
      </c>
      <c r="L1984" s="96"/>
      <c r="M1984" s="92">
        <v>45807.678356481483</v>
      </c>
      <c r="N1984" s="93">
        <v>45810</v>
      </c>
      <c r="O1984" s="93">
        <v>45810</v>
      </c>
      <c r="P1984" s="92" t="str">
        <f ca="1">IF(Proc[[#This Row],[DaysAgeing]]&gt;5,"yep","on track")</f>
        <v>on track</v>
      </c>
      <c r="Q1984" s="3">
        <f ca="1">IF(Proc[[#This Row],[DateClosed]]="",ABS(NETWORKDAYS(Proc[[#This Row],[DateOpened]],TODAY()))-1,ABS(NETWORKDAYS(Proc[[#This Row],[DateOpened]],Proc[[#This Row],[DateClosed]]))-1)</f>
        <v>1</v>
      </c>
      <c r="R1984" s="92" t="s">
        <v>1013</v>
      </c>
      <c r="S1984" s="96"/>
    </row>
    <row r="1985" spans="1:19" hidden="1">
      <c r="A1985" s="95" t="s">
        <v>3748</v>
      </c>
      <c r="B1985" s="96" t="str">
        <f>IFERROR(VLOOKUP(Proc[[#This Row],[App]],Table2[],3,0),"open")</f>
        <v>ok</v>
      </c>
      <c r="C1985" s="95" t="s">
        <v>369</v>
      </c>
      <c r="D1985" t="s">
        <v>3821</v>
      </c>
      <c r="E1985" t="s">
        <v>4069</v>
      </c>
      <c r="F1985" s="105" t="s">
        <v>4069</v>
      </c>
      <c r="G1985" s="95" t="s">
        <v>400</v>
      </c>
      <c r="H1985" s="96" t="str">
        <f>IF(Proc[[#This Row],[type]]="LFF (MDG-F)",MID(Proc[[#This Row],[Obj]],13,10),"")</f>
        <v/>
      </c>
      <c r="J1985" s="96" t="b">
        <f>Proc[[#This Row],[Requested]]=Proc[[#This Row],[CurrentParent]]</f>
        <v>1</v>
      </c>
      <c r="K1985" s="96" t="str">
        <f>IF(Proc[[#This Row],[Author]]="Marcela Urrego",VLOOKUP(LEFT(Proc[[#This Row],[Requested]],1),Table3[#All],2,0),VLOOKUP(Proc[[#This Row],[Author]],Table4[],2,0))</f>
        <v>HC</v>
      </c>
      <c r="L1985" s="96"/>
      <c r="M1985" s="92">
        <v>45807.678356481483</v>
      </c>
      <c r="N1985" s="93">
        <v>45810</v>
      </c>
      <c r="O1985" s="93">
        <v>45810</v>
      </c>
      <c r="P1985" s="92" t="str">
        <f ca="1">IF(Proc[[#This Row],[DaysAgeing]]&gt;5,"yep","on track")</f>
        <v>on track</v>
      </c>
      <c r="Q1985" s="3">
        <f ca="1">IF(Proc[[#This Row],[DateClosed]]="",ABS(NETWORKDAYS(Proc[[#This Row],[DateOpened]],TODAY()))-1,ABS(NETWORKDAYS(Proc[[#This Row],[DateOpened]],Proc[[#This Row],[DateClosed]]))-1)</f>
        <v>1</v>
      </c>
      <c r="R1985" s="92" t="s">
        <v>1013</v>
      </c>
      <c r="S1985" s="96"/>
    </row>
    <row r="1986" spans="1:19" hidden="1">
      <c r="A1986" s="95" t="s">
        <v>3748</v>
      </c>
      <c r="B1986" s="96" t="str">
        <f>IFERROR(VLOOKUP(Proc[[#This Row],[App]],Table2[],3,0),"open")</f>
        <v>ok</v>
      </c>
      <c r="C1986" s="95" t="s">
        <v>369</v>
      </c>
      <c r="D1986" t="s">
        <v>3822</v>
      </c>
      <c r="E1986" t="s">
        <v>4069</v>
      </c>
      <c r="F1986" s="105" t="s">
        <v>4069</v>
      </c>
      <c r="G1986" s="95" t="s">
        <v>400</v>
      </c>
      <c r="H1986" s="96" t="str">
        <f>IF(Proc[[#This Row],[type]]="LFF (MDG-F)",MID(Proc[[#This Row],[Obj]],13,10),"")</f>
        <v/>
      </c>
      <c r="J1986" s="96" t="b">
        <f>Proc[[#This Row],[Requested]]=Proc[[#This Row],[CurrentParent]]</f>
        <v>1</v>
      </c>
      <c r="K1986" s="96" t="str">
        <f>IF(Proc[[#This Row],[Author]]="Marcela Urrego",VLOOKUP(LEFT(Proc[[#This Row],[Requested]],1),Table3[#All],2,0),VLOOKUP(Proc[[#This Row],[Author]],Table4[],2,0))</f>
        <v>HC</v>
      </c>
      <c r="L1986" s="96"/>
      <c r="M1986" s="92">
        <v>45807.678356481483</v>
      </c>
      <c r="N1986" s="93">
        <v>45810</v>
      </c>
      <c r="O1986" s="93">
        <v>45810</v>
      </c>
      <c r="P1986" s="92" t="str">
        <f ca="1">IF(Proc[[#This Row],[DaysAgeing]]&gt;5,"yep","on track")</f>
        <v>on track</v>
      </c>
      <c r="Q1986" s="3">
        <f ca="1">IF(Proc[[#This Row],[DateClosed]]="",ABS(NETWORKDAYS(Proc[[#This Row],[DateOpened]],TODAY()))-1,ABS(NETWORKDAYS(Proc[[#This Row],[DateOpened]],Proc[[#This Row],[DateClosed]]))-1)</f>
        <v>1</v>
      </c>
      <c r="R1986" s="92" t="s">
        <v>1013</v>
      </c>
      <c r="S1986" s="96"/>
    </row>
    <row r="1987" spans="1:19" hidden="1">
      <c r="A1987" s="95" t="s">
        <v>3748</v>
      </c>
      <c r="B1987" s="96" t="str">
        <f>IFERROR(VLOOKUP(Proc[[#This Row],[App]],Table2[],3,0),"open")</f>
        <v>ok</v>
      </c>
      <c r="C1987" s="95" t="s">
        <v>369</v>
      </c>
      <c r="D1987" t="s">
        <v>3823</v>
      </c>
      <c r="E1987" t="s">
        <v>4069</v>
      </c>
      <c r="F1987" s="105" t="s">
        <v>4069</v>
      </c>
      <c r="G1987" s="95" t="s">
        <v>400</v>
      </c>
      <c r="H1987" s="96" t="str">
        <f>IF(Proc[[#This Row],[type]]="LFF (MDG-F)",MID(Proc[[#This Row],[Obj]],13,10),"")</f>
        <v/>
      </c>
      <c r="J1987" s="96" t="b">
        <f>Proc[[#This Row],[Requested]]=Proc[[#This Row],[CurrentParent]]</f>
        <v>1</v>
      </c>
      <c r="K1987" s="96" t="str">
        <f>IF(Proc[[#This Row],[Author]]="Marcela Urrego",VLOOKUP(LEFT(Proc[[#This Row],[Requested]],1),Table3[#All],2,0),VLOOKUP(Proc[[#This Row],[Author]],Table4[],2,0))</f>
        <v>HC</v>
      </c>
      <c r="L1987" s="96"/>
      <c r="M1987" s="92">
        <v>45807.678356481483</v>
      </c>
      <c r="N1987" s="93">
        <v>45810</v>
      </c>
      <c r="O1987" s="93">
        <v>45810</v>
      </c>
      <c r="P1987" s="92" t="str">
        <f ca="1">IF(Proc[[#This Row],[DaysAgeing]]&gt;5,"yep","on track")</f>
        <v>on track</v>
      </c>
      <c r="Q1987" s="3">
        <f ca="1">IF(Proc[[#This Row],[DateClosed]]="",ABS(NETWORKDAYS(Proc[[#This Row],[DateOpened]],TODAY()))-1,ABS(NETWORKDAYS(Proc[[#This Row],[DateOpened]],Proc[[#This Row],[DateClosed]]))-1)</f>
        <v>1</v>
      </c>
      <c r="R1987" s="92" t="s">
        <v>1013</v>
      </c>
      <c r="S1987" s="96"/>
    </row>
    <row r="1988" spans="1:19" hidden="1">
      <c r="A1988" s="95" t="s">
        <v>3748</v>
      </c>
      <c r="B1988" s="96" t="str">
        <f>IFERROR(VLOOKUP(Proc[[#This Row],[App]],Table2[],3,0),"open")</f>
        <v>ok</v>
      </c>
      <c r="C1988" s="95" t="s">
        <v>369</v>
      </c>
      <c r="D1988" t="s">
        <v>3824</v>
      </c>
      <c r="E1988" t="s">
        <v>4069</v>
      </c>
      <c r="F1988" s="105" t="s">
        <v>4069</v>
      </c>
      <c r="G1988" s="95" t="s">
        <v>400</v>
      </c>
      <c r="H1988" s="96" t="str">
        <f>IF(Proc[[#This Row],[type]]="LFF (MDG-F)",MID(Proc[[#This Row],[Obj]],13,10),"")</f>
        <v/>
      </c>
      <c r="J1988" s="96" t="b">
        <f>Proc[[#This Row],[Requested]]=Proc[[#This Row],[CurrentParent]]</f>
        <v>1</v>
      </c>
      <c r="K1988" s="96" t="str">
        <f>IF(Proc[[#This Row],[Author]]="Marcela Urrego",VLOOKUP(LEFT(Proc[[#This Row],[Requested]],1),Table3[#All],2,0),VLOOKUP(Proc[[#This Row],[Author]],Table4[],2,0))</f>
        <v>HC</v>
      </c>
      <c r="L1988" s="96"/>
      <c r="M1988" s="92">
        <v>45807.678356481483</v>
      </c>
      <c r="N1988" s="93">
        <v>45810</v>
      </c>
      <c r="O1988" s="93">
        <v>45810</v>
      </c>
      <c r="P1988" s="92" t="str">
        <f ca="1">IF(Proc[[#This Row],[DaysAgeing]]&gt;5,"yep","on track")</f>
        <v>on track</v>
      </c>
      <c r="Q1988" s="3">
        <f ca="1">IF(Proc[[#This Row],[DateClosed]]="",ABS(NETWORKDAYS(Proc[[#This Row],[DateOpened]],TODAY()))-1,ABS(NETWORKDAYS(Proc[[#This Row],[DateOpened]],Proc[[#This Row],[DateClosed]]))-1)</f>
        <v>1</v>
      </c>
      <c r="R1988" s="92" t="s">
        <v>1013</v>
      </c>
      <c r="S1988" s="96"/>
    </row>
    <row r="1989" spans="1:19" hidden="1">
      <c r="A1989" s="95" t="s">
        <v>3748</v>
      </c>
      <c r="B1989" s="96" t="str">
        <f>IFERROR(VLOOKUP(Proc[[#This Row],[App]],Table2[],3,0),"open")</f>
        <v>ok</v>
      </c>
      <c r="C1989" s="95" t="s">
        <v>369</v>
      </c>
      <c r="D1989" t="s">
        <v>3825</v>
      </c>
      <c r="E1989" t="s">
        <v>4069</v>
      </c>
      <c r="F1989" s="105" t="s">
        <v>4069</v>
      </c>
      <c r="G1989" s="95" t="s">
        <v>400</v>
      </c>
      <c r="H1989" s="96" t="str">
        <f>IF(Proc[[#This Row],[type]]="LFF (MDG-F)",MID(Proc[[#This Row],[Obj]],13,10),"")</f>
        <v/>
      </c>
      <c r="J1989" s="96" t="b">
        <f>Proc[[#This Row],[Requested]]=Proc[[#This Row],[CurrentParent]]</f>
        <v>1</v>
      </c>
      <c r="K1989" s="96" t="str">
        <f>IF(Proc[[#This Row],[Author]]="Marcela Urrego",VLOOKUP(LEFT(Proc[[#This Row],[Requested]],1),Table3[#All],2,0),VLOOKUP(Proc[[#This Row],[Author]],Table4[],2,0))</f>
        <v>HC</v>
      </c>
      <c r="L1989" s="96"/>
      <c r="M1989" s="92">
        <v>45807.678356481483</v>
      </c>
      <c r="N1989" s="93">
        <v>45810</v>
      </c>
      <c r="O1989" s="93">
        <v>45810</v>
      </c>
      <c r="P1989" s="92" t="str">
        <f ca="1">IF(Proc[[#This Row],[DaysAgeing]]&gt;5,"yep","on track")</f>
        <v>on track</v>
      </c>
      <c r="Q1989" s="3">
        <f ca="1">IF(Proc[[#This Row],[DateClosed]]="",ABS(NETWORKDAYS(Proc[[#This Row],[DateOpened]],TODAY()))-1,ABS(NETWORKDAYS(Proc[[#This Row],[DateOpened]],Proc[[#This Row],[DateClosed]]))-1)</f>
        <v>1</v>
      </c>
      <c r="R1989" s="92" t="s">
        <v>1013</v>
      </c>
      <c r="S1989" s="96"/>
    </row>
    <row r="1990" spans="1:19" hidden="1">
      <c r="A1990" s="95" t="s">
        <v>3748</v>
      </c>
      <c r="B1990" s="96" t="str">
        <f>IFERROR(VLOOKUP(Proc[[#This Row],[App]],Table2[],3,0),"open")</f>
        <v>ok</v>
      </c>
      <c r="C1990" s="95" t="s">
        <v>369</v>
      </c>
      <c r="D1990" t="s">
        <v>3826</v>
      </c>
      <c r="E1990" t="s">
        <v>4069</v>
      </c>
      <c r="F1990" s="105" t="s">
        <v>4069</v>
      </c>
      <c r="G1990" s="95" t="s">
        <v>400</v>
      </c>
      <c r="H1990" s="96" t="str">
        <f>IF(Proc[[#This Row],[type]]="LFF (MDG-F)",MID(Proc[[#This Row],[Obj]],13,10),"")</f>
        <v/>
      </c>
      <c r="J1990" s="96" t="b">
        <f>Proc[[#This Row],[Requested]]=Proc[[#This Row],[CurrentParent]]</f>
        <v>1</v>
      </c>
      <c r="K1990" s="96" t="str">
        <f>IF(Proc[[#This Row],[Author]]="Marcela Urrego",VLOOKUP(LEFT(Proc[[#This Row],[Requested]],1),Table3[#All],2,0),VLOOKUP(Proc[[#This Row],[Author]],Table4[],2,0))</f>
        <v>HC</v>
      </c>
      <c r="L1990" s="96"/>
      <c r="M1990" s="92">
        <v>45807.678356481483</v>
      </c>
      <c r="N1990" s="93">
        <v>45810</v>
      </c>
      <c r="O1990" s="93">
        <v>45810</v>
      </c>
      <c r="P1990" s="92" t="str">
        <f ca="1">IF(Proc[[#This Row],[DaysAgeing]]&gt;5,"yep","on track")</f>
        <v>on track</v>
      </c>
      <c r="Q1990" s="3">
        <f ca="1">IF(Proc[[#This Row],[DateClosed]]="",ABS(NETWORKDAYS(Proc[[#This Row],[DateOpened]],TODAY()))-1,ABS(NETWORKDAYS(Proc[[#This Row],[DateOpened]],Proc[[#This Row],[DateClosed]]))-1)</f>
        <v>1</v>
      </c>
      <c r="R1990" s="92" t="s">
        <v>1013</v>
      </c>
      <c r="S1990" s="96"/>
    </row>
    <row r="1991" spans="1:19" hidden="1">
      <c r="A1991" s="95" t="s">
        <v>3748</v>
      </c>
      <c r="B1991" s="96" t="str">
        <f>IFERROR(VLOOKUP(Proc[[#This Row],[App]],Table2[],3,0),"open")</f>
        <v>ok</v>
      </c>
      <c r="C1991" s="95" t="s">
        <v>369</v>
      </c>
      <c r="D1991" t="s">
        <v>3827</v>
      </c>
      <c r="E1991" t="s">
        <v>4069</v>
      </c>
      <c r="F1991" s="105" t="s">
        <v>4069</v>
      </c>
      <c r="G1991" s="95" t="s">
        <v>400</v>
      </c>
      <c r="H1991" s="96" t="str">
        <f>IF(Proc[[#This Row],[type]]="LFF (MDG-F)",MID(Proc[[#This Row],[Obj]],13,10),"")</f>
        <v/>
      </c>
      <c r="J1991" s="96" t="b">
        <f>Proc[[#This Row],[Requested]]=Proc[[#This Row],[CurrentParent]]</f>
        <v>1</v>
      </c>
      <c r="K1991" s="96" t="str">
        <f>IF(Proc[[#This Row],[Author]]="Marcela Urrego",VLOOKUP(LEFT(Proc[[#This Row],[Requested]],1),Table3[#All],2,0),VLOOKUP(Proc[[#This Row],[Author]],Table4[],2,0))</f>
        <v>HC</v>
      </c>
      <c r="L1991" s="96"/>
      <c r="M1991" s="92">
        <v>45807.678356481483</v>
      </c>
      <c r="N1991" s="93">
        <v>45810</v>
      </c>
      <c r="O1991" s="93">
        <v>45810</v>
      </c>
      <c r="P1991" s="92" t="str">
        <f ca="1">IF(Proc[[#This Row],[DaysAgeing]]&gt;5,"yep","on track")</f>
        <v>on track</v>
      </c>
      <c r="Q1991" s="3">
        <f ca="1">IF(Proc[[#This Row],[DateClosed]]="",ABS(NETWORKDAYS(Proc[[#This Row],[DateOpened]],TODAY()))-1,ABS(NETWORKDAYS(Proc[[#This Row],[DateOpened]],Proc[[#This Row],[DateClosed]]))-1)</f>
        <v>1</v>
      </c>
      <c r="R1991" s="92" t="s">
        <v>1013</v>
      </c>
      <c r="S1991" s="96"/>
    </row>
    <row r="1992" spans="1:19" hidden="1">
      <c r="A1992" s="95" t="s">
        <v>3748</v>
      </c>
      <c r="B1992" s="96" t="str">
        <f>IFERROR(VLOOKUP(Proc[[#This Row],[App]],Table2[],3,0),"open")</f>
        <v>ok</v>
      </c>
      <c r="C1992" s="95" t="s">
        <v>369</v>
      </c>
      <c r="D1992" t="s">
        <v>3828</v>
      </c>
      <c r="E1992" t="s">
        <v>4069</v>
      </c>
      <c r="F1992" s="105" t="s">
        <v>4069</v>
      </c>
      <c r="G1992" s="95" t="s">
        <v>400</v>
      </c>
      <c r="H1992" s="96" t="str">
        <f>IF(Proc[[#This Row],[type]]="LFF (MDG-F)",MID(Proc[[#This Row],[Obj]],13,10),"")</f>
        <v/>
      </c>
      <c r="J1992" s="96" t="b">
        <f>Proc[[#This Row],[Requested]]=Proc[[#This Row],[CurrentParent]]</f>
        <v>1</v>
      </c>
      <c r="K1992" s="96" t="str">
        <f>IF(Proc[[#This Row],[Author]]="Marcela Urrego",VLOOKUP(LEFT(Proc[[#This Row],[Requested]],1),Table3[#All],2,0),VLOOKUP(Proc[[#This Row],[Author]],Table4[],2,0))</f>
        <v>HC</v>
      </c>
      <c r="L1992" s="96"/>
      <c r="M1992" s="92">
        <v>45807.678356481483</v>
      </c>
      <c r="N1992" s="93">
        <v>45810</v>
      </c>
      <c r="O1992" s="93">
        <v>45810</v>
      </c>
      <c r="P1992" s="92" t="str">
        <f ca="1">IF(Proc[[#This Row],[DaysAgeing]]&gt;5,"yep","on track")</f>
        <v>on track</v>
      </c>
      <c r="Q1992" s="3">
        <f ca="1">IF(Proc[[#This Row],[DateClosed]]="",ABS(NETWORKDAYS(Proc[[#This Row],[DateOpened]],TODAY()))-1,ABS(NETWORKDAYS(Proc[[#This Row],[DateOpened]],Proc[[#This Row],[DateClosed]]))-1)</f>
        <v>1</v>
      </c>
      <c r="R1992" s="92" t="s">
        <v>1013</v>
      </c>
      <c r="S1992" s="96"/>
    </row>
    <row r="1993" spans="1:19" hidden="1">
      <c r="A1993" s="95" t="s">
        <v>3748</v>
      </c>
      <c r="B1993" s="96" t="str">
        <f>IFERROR(VLOOKUP(Proc[[#This Row],[App]],Table2[],3,0),"open")</f>
        <v>ok</v>
      </c>
      <c r="C1993" s="95" t="s">
        <v>369</v>
      </c>
      <c r="D1993" t="s">
        <v>3829</v>
      </c>
      <c r="E1993" t="s">
        <v>4069</v>
      </c>
      <c r="F1993" s="105" t="s">
        <v>4069</v>
      </c>
      <c r="G1993" s="95" t="s">
        <v>400</v>
      </c>
      <c r="H1993" s="96" t="str">
        <f>IF(Proc[[#This Row],[type]]="LFF (MDG-F)",MID(Proc[[#This Row],[Obj]],13,10),"")</f>
        <v/>
      </c>
      <c r="J1993" s="96" t="b">
        <f>Proc[[#This Row],[Requested]]=Proc[[#This Row],[CurrentParent]]</f>
        <v>1</v>
      </c>
      <c r="K1993" s="96" t="str">
        <f>IF(Proc[[#This Row],[Author]]="Marcela Urrego",VLOOKUP(LEFT(Proc[[#This Row],[Requested]],1),Table3[#All],2,0),VLOOKUP(Proc[[#This Row],[Author]],Table4[],2,0))</f>
        <v>HC</v>
      </c>
      <c r="L1993" s="96"/>
      <c r="M1993" s="92">
        <v>45807.678356481483</v>
      </c>
      <c r="N1993" s="93">
        <v>45810</v>
      </c>
      <c r="O1993" s="93">
        <v>45810</v>
      </c>
      <c r="P1993" s="92" t="str">
        <f ca="1">IF(Proc[[#This Row],[DaysAgeing]]&gt;5,"yep","on track")</f>
        <v>on track</v>
      </c>
      <c r="Q1993" s="3">
        <f ca="1">IF(Proc[[#This Row],[DateClosed]]="",ABS(NETWORKDAYS(Proc[[#This Row],[DateOpened]],TODAY()))-1,ABS(NETWORKDAYS(Proc[[#This Row],[DateOpened]],Proc[[#This Row],[DateClosed]]))-1)</f>
        <v>1</v>
      </c>
      <c r="R1993" s="92" t="s">
        <v>1013</v>
      </c>
      <c r="S1993" s="96"/>
    </row>
    <row r="1994" spans="1:19" hidden="1">
      <c r="A1994" s="95" t="s">
        <v>3748</v>
      </c>
      <c r="B1994" s="96" t="str">
        <f>IFERROR(VLOOKUP(Proc[[#This Row],[App]],Table2[],3,0),"open")</f>
        <v>ok</v>
      </c>
      <c r="C1994" s="95" t="s">
        <v>369</v>
      </c>
      <c r="D1994" t="s">
        <v>3830</v>
      </c>
      <c r="E1994" t="s">
        <v>4069</v>
      </c>
      <c r="F1994" s="105" t="s">
        <v>4069</v>
      </c>
      <c r="G1994" s="95" t="s">
        <v>400</v>
      </c>
      <c r="H1994" s="96" t="str">
        <f>IF(Proc[[#This Row],[type]]="LFF (MDG-F)",MID(Proc[[#This Row],[Obj]],13,10),"")</f>
        <v/>
      </c>
      <c r="J1994" s="96" t="b">
        <f>Proc[[#This Row],[Requested]]=Proc[[#This Row],[CurrentParent]]</f>
        <v>1</v>
      </c>
      <c r="K1994" s="96" t="str">
        <f>IF(Proc[[#This Row],[Author]]="Marcela Urrego",VLOOKUP(LEFT(Proc[[#This Row],[Requested]],1),Table3[#All],2,0),VLOOKUP(Proc[[#This Row],[Author]],Table4[],2,0))</f>
        <v>HC</v>
      </c>
      <c r="L1994" s="96"/>
      <c r="M1994" s="92">
        <v>45807.678356481483</v>
      </c>
      <c r="N1994" s="93">
        <v>45810</v>
      </c>
      <c r="O1994" s="93">
        <v>45810</v>
      </c>
      <c r="P1994" s="92" t="str">
        <f ca="1">IF(Proc[[#This Row],[DaysAgeing]]&gt;5,"yep","on track")</f>
        <v>on track</v>
      </c>
      <c r="Q1994" s="3">
        <f ca="1">IF(Proc[[#This Row],[DateClosed]]="",ABS(NETWORKDAYS(Proc[[#This Row],[DateOpened]],TODAY()))-1,ABS(NETWORKDAYS(Proc[[#This Row],[DateOpened]],Proc[[#This Row],[DateClosed]]))-1)</f>
        <v>1</v>
      </c>
      <c r="R1994" s="92" t="s">
        <v>1013</v>
      </c>
      <c r="S1994" s="96"/>
    </row>
    <row r="1995" spans="1:19" hidden="1">
      <c r="A1995" s="95" t="s">
        <v>3748</v>
      </c>
      <c r="B1995" s="96" t="str">
        <f>IFERROR(VLOOKUP(Proc[[#This Row],[App]],Table2[],3,0),"open")</f>
        <v>ok</v>
      </c>
      <c r="C1995" s="95" t="s">
        <v>369</v>
      </c>
      <c r="D1995" t="s">
        <v>3831</v>
      </c>
      <c r="E1995" t="s">
        <v>2274</v>
      </c>
      <c r="F1995" s="105" t="s">
        <v>2274</v>
      </c>
      <c r="G1995" s="95" t="s">
        <v>400</v>
      </c>
      <c r="H1995" s="96" t="str">
        <f>IF(Proc[[#This Row],[type]]="LFF (MDG-F)",MID(Proc[[#This Row],[Obj]],13,10),"")</f>
        <v/>
      </c>
      <c r="J1995" s="96" t="b">
        <f>Proc[[#This Row],[Requested]]=Proc[[#This Row],[CurrentParent]]</f>
        <v>1</v>
      </c>
      <c r="K1995" s="96" t="str">
        <f>IF(Proc[[#This Row],[Author]]="Marcela Urrego",VLOOKUP(LEFT(Proc[[#This Row],[Requested]],1),Table3[#All],2,0),VLOOKUP(Proc[[#This Row],[Author]],Table4[],2,0))</f>
        <v>HC</v>
      </c>
      <c r="L1995" s="96"/>
      <c r="M1995" s="92">
        <v>45807.678356481483</v>
      </c>
      <c r="N1995" s="93">
        <v>45810</v>
      </c>
      <c r="O1995" s="93">
        <v>45810</v>
      </c>
      <c r="P1995" s="92" t="str">
        <f ca="1">IF(Proc[[#This Row],[DaysAgeing]]&gt;5,"yep","on track")</f>
        <v>on track</v>
      </c>
      <c r="Q1995" s="3">
        <f ca="1">IF(Proc[[#This Row],[DateClosed]]="",ABS(NETWORKDAYS(Proc[[#This Row],[DateOpened]],TODAY()))-1,ABS(NETWORKDAYS(Proc[[#This Row],[DateOpened]],Proc[[#This Row],[DateClosed]]))-1)</f>
        <v>1</v>
      </c>
      <c r="R1995" s="92" t="s">
        <v>1013</v>
      </c>
      <c r="S1995" s="96"/>
    </row>
    <row r="1996" spans="1:19" hidden="1">
      <c r="A1996" s="95" t="s">
        <v>3748</v>
      </c>
      <c r="B1996" s="96" t="str">
        <f>IFERROR(VLOOKUP(Proc[[#This Row],[App]],Table2[],3,0),"open")</f>
        <v>ok</v>
      </c>
      <c r="C1996" s="95" t="s">
        <v>369</v>
      </c>
      <c r="D1996" t="s">
        <v>3832</v>
      </c>
      <c r="E1996" t="s">
        <v>2274</v>
      </c>
      <c r="F1996" s="105" t="s">
        <v>2274</v>
      </c>
      <c r="G1996" s="95" t="s">
        <v>400</v>
      </c>
      <c r="H1996" s="96" t="str">
        <f>IF(Proc[[#This Row],[type]]="LFF (MDG-F)",MID(Proc[[#This Row],[Obj]],13,10),"")</f>
        <v/>
      </c>
      <c r="J1996" s="96" t="b">
        <f>Proc[[#This Row],[Requested]]=Proc[[#This Row],[CurrentParent]]</f>
        <v>1</v>
      </c>
      <c r="K1996" s="96" t="str">
        <f>IF(Proc[[#This Row],[Author]]="Marcela Urrego",VLOOKUP(LEFT(Proc[[#This Row],[Requested]],1),Table3[#All],2,0),VLOOKUP(Proc[[#This Row],[Author]],Table4[],2,0))</f>
        <v>HC</v>
      </c>
      <c r="L1996" s="96"/>
      <c r="M1996" s="92">
        <v>45807.678356481483</v>
      </c>
      <c r="N1996" s="93">
        <v>45810</v>
      </c>
      <c r="O1996" s="93">
        <v>45810</v>
      </c>
      <c r="P1996" s="92" t="str">
        <f ca="1">IF(Proc[[#This Row],[DaysAgeing]]&gt;5,"yep","on track")</f>
        <v>on track</v>
      </c>
      <c r="Q1996" s="3">
        <f ca="1">IF(Proc[[#This Row],[DateClosed]]="",ABS(NETWORKDAYS(Proc[[#This Row],[DateOpened]],TODAY()))-1,ABS(NETWORKDAYS(Proc[[#This Row],[DateOpened]],Proc[[#This Row],[DateClosed]]))-1)</f>
        <v>1</v>
      </c>
      <c r="R1996" s="92" t="s">
        <v>1013</v>
      </c>
      <c r="S1996" s="96"/>
    </row>
    <row r="1997" spans="1:19" hidden="1">
      <c r="A1997" s="95" t="s">
        <v>3748</v>
      </c>
      <c r="B1997" s="96" t="str">
        <f>IFERROR(VLOOKUP(Proc[[#This Row],[App]],Table2[],3,0),"open")</f>
        <v>ok</v>
      </c>
      <c r="C1997" s="95" t="s">
        <v>369</v>
      </c>
      <c r="D1997" t="s">
        <v>3833</v>
      </c>
      <c r="E1997" t="s">
        <v>2274</v>
      </c>
      <c r="F1997" s="105" t="s">
        <v>2274</v>
      </c>
      <c r="G1997" s="95" t="s">
        <v>400</v>
      </c>
      <c r="H1997" s="96" t="str">
        <f>IF(Proc[[#This Row],[type]]="LFF (MDG-F)",MID(Proc[[#This Row],[Obj]],13,10),"")</f>
        <v/>
      </c>
      <c r="J1997" s="96" t="b">
        <f>Proc[[#This Row],[Requested]]=Proc[[#This Row],[CurrentParent]]</f>
        <v>1</v>
      </c>
      <c r="K1997" s="96" t="str">
        <f>IF(Proc[[#This Row],[Author]]="Marcela Urrego",VLOOKUP(LEFT(Proc[[#This Row],[Requested]],1),Table3[#All],2,0),VLOOKUP(Proc[[#This Row],[Author]],Table4[],2,0))</f>
        <v>HC</v>
      </c>
      <c r="L1997" s="96"/>
      <c r="M1997" s="92">
        <v>45807.678356481483</v>
      </c>
      <c r="N1997" s="93">
        <v>45810</v>
      </c>
      <c r="O1997" s="93">
        <v>45810</v>
      </c>
      <c r="P1997" s="92" t="str">
        <f ca="1">IF(Proc[[#This Row],[DaysAgeing]]&gt;5,"yep","on track")</f>
        <v>on track</v>
      </c>
      <c r="Q1997" s="3">
        <f ca="1">IF(Proc[[#This Row],[DateClosed]]="",ABS(NETWORKDAYS(Proc[[#This Row],[DateOpened]],TODAY()))-1,ABS(NETWORKDAYS(Proc[[#This Row],[DateOpened]],Proc[[#This Row],[DateClosed]]))-1)</f>
        <v>1</v>
      </c>
      <c r="R1997" s="92" t="s">
        <v>1013</v>
      </c>
      <c r="S1997" s="96"/>
    </row>
    <row r="1998" spans="1:19" hidden="1">
      <c r="A1998" s="95" t="s">
        <v>3748</v>
      </c>
      <c r="B1998" s="96" t="str">
        <f>IFERROR(VLOOKUP(Proc[[#This Row],[App]],Table2[],3,0),"open")</f>
        <v>ok</v>
      </c>
      <c r="C1998" s="95" t="s">
        <v>369</v>
      </c>
      <c r="D1998" t="s">
        <v>3834</v>
      </c>
      <c r="E1998" t="s">
        <v>4069</v>
      </c>
      <c r="F1998" s="105" t="s">
        <v>4069</v>
      </c>
      <c r="G1998" s="95" t="s">
        <v>400</v>
      </c>
      <c r="H1998" s="96" t="str">
        <f>IF(Proc[[#This Row],[type]]="LFF (MDG-F)",MID(Proc[[#This Row],[Obj]],13,10),"")</f>
        <v/>
      </c>
      <c r="J1998" s="96" t="b">
        <f>Proc[[#This Row],[Requested]]=Proc[[#This Row],[CurrentParent]]</f>
        <v>1</v>
      </c>
      <c r="K1998" s="96" t="str">
        <f>IF(Proc[[#This Row],[Author]]="Marcela Urrego",VLOOKUP(LEFT(Proc[[#This Row],[Requested]],1),Table3[#All],2,0),VLOOKUP(Proc[[#This Row],[Author]],Table4[],2,0))</f>
        <v>HC</v>
      </c>
      <c r="L1998" s="96"/>
      <c r="M1998" s="92">
        <v>45807.678356481483</v>
      </c>
      <c r="N1998" s="93">
        <v>45810</v>
      </c>
      <c r="O1998" s="93">
        <v>45810</v>
      </c>
      <c r="P1998" s="92" t="str">
        <f ca="1">IF(Proc[[#This Row],[DaysAgeing]]&gt;5,"yep","on track")</f>
        <v>on track</v>
      </c>
      <c r="Q1998" s="3">
        <f ca="1">IF(Proc[[#This Row],[DateClosed]]="",ABS(NETWORKDAYS(Proc[[#This Row],[DateOpened]],TODAY()))-1,ABS(NETWORKDAYS(Proc[[#This Row],[DateOpened]],Proc[[#This Row],[DateClosed]]))-1)</f>
        <v>1</v>
      </c>
      <c r="R1998" s="92" t="s">
        <v>1013</v>
      </c>
      <c r="S1998" s="96"/>
    </row>
    <row r="1999" spans="1:19" hidden="1">
      <c r="A1999" s="95" t="s">
        <v>3748</v>
      </c>
      <c r="B1999" s="96" t="str">
        <f>IFERROR(VLOOKUP(Proc[[#This Row],[App]],Table2[],3,0),"open")</f>
        <v>ok</v>
      </c>
      <c r="C1999" s="95" t="s">
        <v>369</v>
      </c>
      <c r="D1999" t="s">
        <v>3835</v>
      </c>
      <c r="E1999" t="s">
        <v>4069</v>
      </c>
      <c r="F1999" s="105" t="s">
        <v>4069</v>
      </c>
      <c r="G1999" s="95" t="s">
        <v>400</v>
      </c>
      <c r="H1999" s="96" t="str">
        <f>IF(Proc[[#This Row],[type]]="LFF (MDG-F)",MID(Proc[[#This Row],[Obj]],13,10),"")</f>
        <v/>
      </c>
      <c r="J1999" s="96" t="b">
        <f>Proc[[#This Row],[Requested]]=Proc[[#This Row],[CurrentParent]]</f>
        <v>1</v>
      </c>
      <c r="K1999" s="96" t="str">
        <f>IF(Proc[[#This Row],[Author]]="Marcela Urrego",VLOOKUP(LEFT(Proc[[#This Row],[Requested]],1),Table3[#All],2,0),VLOOKUP(Proc[[#This Row],[Author]],Table4[],2,0))</f>
        <v>HC</v>
      </c>
      <c r="L1999" s="96"/>
      <c r="M1999" s="92">
        <v>45807.678356481483</v>
      </c>
      <c r="N1999" s="93">
        <v>45810</v>
      </c>
      <c r="O1999" s="93">
        <v>45810</v>
      </c>
      <c r="P1999" s="92" t="str">
        <f ca="1">IF(Proc[[#This Row],[DaysAgeing]]&gt;5,"yep","on track")</f>
        <v>on track</v>
      </c>
      <c r="Q1999" s="3">
        <f ca="1">IF(Proc[[#This Row],[DateClosed]]="",ABS(NETWORKDAYS(Proc[[#This Row],[DateOpened]],TODAY()))-1,ABS(NETWORKDAYS(Proc[[#This Row],[DateOpened]],Proc[[#This Row],[DateClosed]]))-1)</f>
        <v>1</v>
      </c>
      <c r="R1999" s="92" t="s">
        <v>1013</v>
      </c>
      <c r="S1999" s="96"/>
    </row>
    <row r="2000" spans="1:19" hidden="1">
      <c r="A2000" s="95" t="s">
        <v>3748</v>
      </c>
      <c r="B2000" s="96" t="str">
        <f>IFERROR(VLOOKUP(Proc[[#This Row],[App]],Table2[],3,0),"open")</f>
        <v>ok</v>
      </c>
      <c r="C2000" s="95" t="s">
        <v>369</v>
      </c>
      <c r="D2000" t="s">
        <v>3836</v>
      </c>
      <c r="E2000" t="s">
        <v>4069</v>
      </c>
      <c r="F2000" s="105" t="s">
        <v>4069</v>
      </c>
      <c r="G2000" s="95" t="s">
        <v>400</v>
      </c>
      <c r="H2000" s="96" t="str">
        <f>IF(Proc[[#This Row],[type]]="LFF (MDG-F)",MID(Proc[[#This Row],[Obj]],13,10),"")</f>
        <v/>
      </c>
      <c r="J2000" s="96" t="b">
        <f>Proc[[#This Row],[Requested]]=Proc[[#This Row],[CurrentParent]]</f>
        <v>1</v>
      </c>
      <c r="K2000" s="96" t="str">
        <f>IF(Proc[[#This Row],[Author]]="Marcela Urrego",VLOOKUP(LEFT(Proc[[#This Row],[Requested]],1),Table3[#All],2,0),VLOOKUP(Proc[[#This Row],[Author]],Table4[],2,0))</f>
        <v>HC</v>
      </c>
      <c r="L2000" s="96"/>
      <c r="M2000" s="92">
        <v>45807.678356481483</v>
      </c>
      <c r="N2000" s="93">
        <v>45810</v>
      </c>
      <c r="O2000" s="93">
        <v>45810</v>
      </c>
      <c r="P2000" s="92" t="str">
        <f ca="1">IF(Proc[[#This Row],[DaysAgeing]]&gt;5,"yep","on track")</f>
        <v>on track</v>
      </c>
      <c r="Q2000" s="3">
        <f ca="1">IF(Proc[[#This Row],[DateClosed]]="",ABS(NETWORKDAYS(Proc[[#This Row],[DateOpened]],TODAY()))-1,ABS(NETWORKDAYS(Proc[[#This Row],[DateOpened]],Proc[[#This Row],[DateClosed]]))-1)</f>
        <v>1</v>
      </c>
      <c r="R2000" s="92" t="s">
        <v>1013</v>
      </c>
      <c r="S2000" s="96"/>
    </row>
    <row r="2001" spans="1:19" hidden="1">
      <c r="A2001" s="95" t="s">
        <v>3748</v>
      </c>
      <c r="B2001" s="96" t="str">
        <f>IFERROR(VLOOKUP(Proc[[#This Row],[App]],Table2[],3,0),"open")</f>
        <v>ok</v>
      </c>
      <c r="C2001" s="95" t="s">
        <v>369</v>
      </c>
      <c r="D2001" t="s">
        <v>3837</v>
      </c>
      <c r="E2001" t="s">
        <v>4069</v>
      </c>
      <c r="F2001" s="105" t="s">
        <v>4069</v>
      </c>
      <c r="G2001" s="95" t="s">
        <v>400</v>
      </c>
      <c r="H2001" s="96" t="str">
        <f>IF(Proc[[#This Row],[type]]="LFF (MDG-F)",MID(Proc[[#This Row],[Obj]],13,10),"")</f>
        <v/>
      </c>
      <c r="J2001" s="96" t="b">
        <f>Proc[[#This Row],[Requested]]=Proc[[#This Row],[CurrentParent]]</f>
        <v>1</v>
      </c>
      <c r="K2001" s="96" t="str">
        <f>IF(Proc[[#This Row],[Author]]="Marcela Urrego",VLOOKUP(LEFT(Proc[[#This Row],[Requested]],1),Table3[#All],2,0),VLOOKUP(Proc[[#This Row],[Author]],Table4[],2,0))</f>
        <v>HC</v>
      </c>
      <c r="L2001" s="96"/>
      <c r="M2001" s="92">
        <v>45807.678356481483</v>
      </c>
      <c r="N2001" s="93">
        <v>45810</v>
      </c>
      <c r="O2001" s="93">
        <v>45810</v>
      </c>
      <c r="P2001" s="92" t="str">
        <f ca="1">IF(Proc[[#This Row],[DaysAgeing]]&gt;5,"yep","on track")</f>
        <v>on track</v>
      </c>
      <c r="Q2001" s="3">
        <f ca="1">IF(Proc[[#This Row],[DateClosed]]="",ABS(NETWORKDAYS(Proc[[#This Row],[DateOpened]],TODAY()))-1,ABS(NETWORKDAYS(Proc[[#This Row],[DateOpened]],Proc[[#This Row],[DateClosed]]))-1)</f>
        <v>1</v>
      </c>
      <c r="R2001" s="92" t="s">
        <v>1013</v>
      </c>
      <c r="S2001" s="96"/>
    </row>
    <row r="2002" spans="1:19" hidden="1">
      <c r="A2002" s="95" t="s">
        <v>3748</v>
      </c>
      <c r="B2002" s="96" t="str">
        <f>IFERROR(VLOOKUP(Proc[[#This Row],[App]],Table2[],3,0),"open")</f>
        <v>ok</v>
      </c>
      <c r="C2002" s="95" t="s">
        <v>369</v>
      </c>
      <c r="D2002" t="s">
        <v>3838</v>
      </c>
      <c r="E2002" t="s">
        <v>4069</v>
      </c>
      <c r="F2002" s="105" t="s">
        <v>4069</v>
      </c>
      <c r="G2002" s="95" t="s">
        <v>400</v>
      </c>
      <c r="H2002" s="96" t="str">
        <f>IF(Proc[[#This Row],[type]]="LFF (MDG-F)",MID(Proc[[#This Row],[Obj]],13,10),"")</f>
        <v/>
      </c>
      <c r="J2002" s="96" t="b">
        <f>Proc[[#This Row],[Requested]]=Proc[[#This Row],[CurrentParent]]</f>
        <v>1</v>
      </c>
      <c r="K2002" s="96" t="str">
        <f>IF(Proc[[#This Row],[Author]]="Marcela Urrego",VLOOKUP(LEFT(Proc[[#This Row],[Requested]],1),Table3[#All],2,0),VLOOKUP(Proc[[#This Row],[Author]],Table4[],2,0))</f>
        <v>HC</v>
      </c>
      <c r="L2002" s="96"/>
      <c r="M2002" s="92">
        <v>45807.678356481483</v>
      </c>
      <c r="N2002" s="93">
        <v>45810</v>
      </c>
      <c r="O2002" s="93">
        <v>45810</v>
      </c>
      <c r="P2002" s="92" t="str">
        <f ca="1">IF(Proc[[#This Row],[DaysAgeing]]&gt;5,"yep","on track")</f>
        <v>on track</v>
      </c>
      <c r="Q2002" s="3">
        <f ca="1">IF(Proc[[#This Row],[DateClosed]]="",ABS(NETWORKDAYS(Proc[[#This Row],[DateOpened]],TODAY()))-1,ABS(NETWORKDAYS(Proc[[#This Row],[DateOpened]],Proc[[#This Row],[DateClosed]]))-1)</f>
        <v>1</v>
      </c>
      <c r="R2002" s="92" t="s">
        <v>1013</v>
      </c>
      <c r="S2002" s="96"/>
    </row>
    <row r="2003" spans="1:19" hidden="1">
      <c r="A2003" s="95" t="s">
        <v>3748</v>
      </c>
      <c r="B2003" s="96" t="str">
        <f>IFERROR(VLOOKUP(Proc[[#This Row],[App]],Table2[],3,0),"open")</f>
        <v>ok</v>
      </c>
      <c r="C2003" s="95" t="s">
        <v>369</v>
      </c>
      <c r="D2003" t="s">
        <v>3839</v>
      </c>
      <c r="E2003" t="s">
        <v>4069</v>
      </c>
      <c r="F2003" s="105" t="s">
        <v>4069</v>
      </c>
      <c r="G2003" s="95" t="s">
        <v>400</v>
      </c>
      <c r="H2003" s="96" t="str">
        <f>IF(Proc[[#This Row],[type]]="LFF (MDG-F)",MID(Proc[[#This Row],[Obj]],13,10),"")</f>
        <v/>
      </c>
      <c r="J2003" s="96" t="b">
        <f>Proc[[#This Row],[Requested]]=Proc[[#This Row],[CurrentParent]]</f>
        <v>1</v>
      </c>
      <c r="K2003" s="96" t="str">
        <f>IF(Proc[[#This Row],[Author]]="Marcela Urrego",VLOOKUP(LEFT(Proc[[#This Row],[Requested]],1),Table3[#All],2,0),VLOOKUP(Proc[[#This Row],[Author]],Table4[],2,0))</f>
        <v>HC</v>
      </c>
      <c r="L2003" s="96"/>
      <c r="M2003" s="92">
        <v>45807.678356481483</v>
      </c>
      <c r="N2003" s="93">
        <v>45810</v>
      </c>
      <c r="O2003" s="93">
        <v>45810</v>
      </c>
      <c r="P2003" s="92" t="str">
        <f ca="1">IF(Proc[[#This Row],[DaysAgeing]]&gt;5,"yep","on track")</f>
        <v>on track</v>
      </c>
      <c r="Q2003" s="3">
        <f ca="1">IF(Proc[[#This Row],[DateClosed]]="",ABS(NETWORKDAYS(Proc[[#This Row],[DateOpened]],TODAY()))-1,ABS(NETWORKDAYS(Proc[[#This Row],[DateOpened]],Proc[[#This Row],[DateClosed]]))-1)</f>
        <v>1</v>
      </c>
      <c r="R2003" s="92" t="s">
        <v>1013</v>
      </c>
      <c r="S2003" s="96"/>
    </row>
    <row r="2004" spans="1:19" hidden="1">
      <c r="A2004" s="95" t="s">
        <v>3748</v>
      </c>
      <c r="B2004" s="96" t="str">
        <f>IFERROR(VLOOKUP(Proc[[#This Row],[App]],Table2[],3,0),"open")</f>
        <v>ok</v>
      </c>
      <c r="C2004" s="95" t="s">
        <v>369</v>
      </c>
      <c r="D2004" t="s">
        <v>3840</v>
      </c>
      <c r="E2004" t="s">
        <v>2274</v>
      </c>
      <c r="F2004" s="105" t="s">
        <v>2274</v>
      </c>
      <c r="G2004" s="95" t="s">
        <v>400</v>
      </c>
      <c r="H2004" s="96" t="str">
        <f>IF(Proc[[#This Row],[type]]="LFF (MDG-F)",MID(Proc[[#This Row],[Obj]],13,10),"")</f>
        <v/>
      </c>
      <c r="J2004" s="96" t="b">
        <f>Proc[[#This Row],[Requested]]=Proc[[#This Row],[CurrentParent]]</f>
        <v>1</v>
      </c>
      <c r="K2004" s="96" t="str">
        <f>IF(Proc[[#This Row],[Author]]="Marcela Urrego",VLOOKUP(LEFT(Proc[[#This Row],[Requested]],1),Table3[#All],2,0),VLOOKUP(Proc[[#This Row],[Author]],Table4[],2,0))</f>
        <v>HC</v>
      </c>
      <c r="L2004" s="96"/>
      <c r="M2004" s="92">
        <v>45807.678356481483</v>
      </c>
      <c r="N2004" s="93">
        <v>45810</v>
      </c>
      <c r="O2004" s="93">
        <v>45810</v>
      </c>
      <c r="P2004" s="92" t="str">
        <f ca="1">IF(Proc[[#This Row],[DaysAgeing]]&gt;5,"yep","on track")</f>
        <v>on track</v>
      </c>
      <c r="Q2004" s="3">
        <f ca="1">IF(Proc[[#This Row],[DateClosed]]="",ABS(NETWORKDAYS(Proc[[#This Row],[DateOpened]],TODAY()))-1,ABS(NETWORKDAYS(Proc[[#This Row],[DateOpened]],Proc[[#This Row],[DateClosed]]))-1)</f>
        <v>1</v>
      </c>
      <c r="R2004" s="92" t="s">
        <v>1013</v>
      </c>
      <c r="S2004" s="96"/>
    </row>
    <row r="2005" spans="1:19" hidden="1">
      <c r="A2005" s="95" t="s">
        <v>3748</v>
      </c>
      <c r="B2005" s="96" t="str">
        <f>IFERROR(VLOOKUP(Proc[[#This Row],[App]],Table2[],3,0),"open")</f>
        <v>ok</v>
      </c>
      <c r="C2005" s="95" t="s">
        <v>369</v>
      </c>
      <c r="D2005" t="s">
        <v>3841</v>
      </c>
      <c r="E2005" t="s">
        <v>4069</v>
      </c>
      <c r="F2005" s="105" t="s">
        <v>4069</v>
      </c>
      <c r="G2005" s="95" t="s">
        <v>400</v>
      </c>
      <c r="H2005" s="96" t="str">
        <f>IF(Proc[[#This Row],[type]]="LFF (MDG-F)",MID(Proc[[#This Row],[Obj]],13,10),"")</f>
        <v/>
      </c>
      <c r="J2005" s="96" t="b">
        <f>Proc[[#This Row],[Requested]]=Proc[[#This Row],[CurrentParent]]</f>
        <v>1</v>
      </c>
      <c r="K2005" s="96" t="str">
        <f>IF(Proc[[#This Row],[Author]]="Marcela Urrego",VLOOKUP(LEFT(Proc[[#This Row],[Requested]],1),Table3[#All],2,0),VLOOKUP(Proc[[#This Row],[Author]],Table4[],2,0))</f>
        <v>HC</v>
      </c>
      <c r="L2005" s="96"/>
      <c r="M2005" s="92">
        <v>45807.678356481483</v>
      </c>
      <c r="N2005" s="93">
        <v>45810</v>
      </c>
      <c r="O2005" s="93">
        <v>45810</v>
      </c>
      <c r="P2005" s="92" t="str">
        <f ca="1">IF(Proc[[#This Row],[DaysAgeing]]&gt;5,"yep","on track")</f>
        <v>on track</v>
      </c>
      <c r="Q2005" s="3">
        <f ca="1">IF(Proc[[#This Row],[DateClosed]]="",ABS(NETWORKDAYS(Proc[[#This Row],[DateOpened]],TODAY()))-1,ABS(NETWORKDAYS(Proc[[#This Row],[DateOpened]],Proc[[#This Row],[DateClosed]]))-1)</f>
        <v>1</v>
      </c>
      <c r="R2005" s="92" t="s">
        <v>1013</v>
      </c>
      <c r="S2005" s="96"/>
    </row>
    <row r="2006" spans="1:19" hidden="1">
      <c r="A2006" s="95" t="s">
        <v>3748</v>
      </c>
      <c r="B2006" s="96" t="str">
        <f>IFERROR(VLOOKUP(Proc[[#This Row],[App]],Table2[],3,0),"open")</f>
        <v>ok</v>
      </c>
      <c r="C2006" s="95" t="s">
        <v>369</v>
      </c>
      <c r="D2006" t="s">
        <v>3842</v>
      </c>
      <c r="E2006" t="s">
        <v>4069</v>
      </c>
      <c r="F2006" s="105" t="s">
        <v>4069</v>
      </c>
      <c r="G2006" s="95" t="s">
        <v>400</v>
      </c>
      <c r="H2006" s="96" t="str">
        <f>IF(Proc[[#This Row],[type]]="LFF (MDG-F)",MID(Proc[[#This Row],[Obj]],13,10),"")</f>
        <v/>
      </c>
      <c r="J2006" s="96" t="b">
        <f>Proc[[#This Row],[Requested]]=Proc[[#This Row],[CurrentParent]]</f>
        <v>1</v>
      </c>
      <c r="K2006" s="96" t="str">
        <f>IF(Proc[[#This Row],[Author]]="Marcela Urrego",VLOOKUP(LEFT(Proc[[#This Row],[Requested]],1),Table3[#All],2,0),VLOOKUP(Proc[[#This Row],[Author]],Table4[],2,0))</f>
        <v>HC</v>
      </c>
      <c r="L2006" s="96"/>
      <c r="M2006" s="92">
        <v>45807.678356481483</v>
      </c>
      <c r="N2006" s="93">
        <v>45810</v>
      </c>
      <c r="O2006" s="93">
        <v>45810</v>
      </c>
      <c r="P2006" s="92" t="str">
        <f ca="1">IF(Proc[[#This Row],[DaysAgeing]]&gt;5,"yep","on track")</f>
        <v>on track</v>
      </c>
      <c r="Q2006" s="3">
        <f ca="1">IF(Proc[[#This Row],[DateClosed]]="",ABS(NETWORKDAYS(Proc[[#This Row],[DateOpened]],TODAY()))-1,ABS(NETWORKDAYS(Proc[[#This Row],[DateOpened]],Proc[[#This Row],[DateClosed]]))-1)</f>
        <v>1</v>
      </c>
      <c r="R2006" s="92" t="s">
        <v>1013</v>
      </c>
      <c r="S2006" s="96"/>
    </row>
    <row r="2007" spans="1:19" hidden="1">
      <c r="A2007" s="95" t="s">
        <v>3748</v>
      </c>
      <c r="B2007" s="96" t="str">
        <f>IFERROR(VLOOKUP(Proc[[#This Row],[App]],Table2[],3,0),"open")</f>
        <v>ok</v>
      </c>
      <c r="C2007" s="95" t="s">
        <v>369</v>
      </c>
      <c r="D2007" t="s">
        <v>3843</v>
      </c>
      <c r="E2007" t="s">
        <v>4069</v>
      </c>
      <c r="F2007" s="105" t="s">
        <v>4069</v>
      </c>
      <c r="G2007" s="95" t="s">
        <v>400</v>
      </c>
      <c r="H2007" s="96" t="str">
        <f>IF(Proc[[#This Row],[type]]="LFF (MDG-F)",MID(Proc[[#This Row],[Obj]],13,10),"")</f>
        <v/>
      </c>
      <c r="J2007" s="96" t="b">
        <f>Proc[[#This Row],[Requested]]=Proc[[#This Row],[CurrentParent]]</f>
        <v>1</v>
      </c>
      <c r="K2007" s="96" t="str">
        <f>IF(Proc[[#This Row],[Author]]="Marcela Urrego",VLOOKUP(LEFT(Proc[[#This Row],[Requested]],1),Table3[#All],2,0),VLOOKUP(Proc[[#This Row],[Author]],Table4[],2,0))</f>
        <v>HC</v>
      </c>
      <c r="L2007" s="96"/>
      <c r="M2007" s="92">
        <v>45807.678356481483</v>
      </c>
      <c r="N2007" s="93">
        <v>45810</v>
      </c>
      <c r="O2007" s="93">
        <v>45810</v>
      </c>
      <c r="P2007" s="92" t="str">
        <f ca="1">IF(Proc[[#This Row],[DaysAgeing]]&gt;5,"yep","on track")</f>
        <v>on track</v>
      </c>
      <c r="Q2007" s="3">
        <f ca="1">IF(Proc[[#This Row],[DateClosed]]="",ABS(NETWORKDAYS(Proc[[#This Row],[DateOpened]],TODAY()))-1,ABS(NETWORKDAYS(Proc[[#This Row],[DateOpened]],Proc[[#This Row],[DateClosed]]))-1)</f>
        <v>1</v>
      </c>
      <c r="R2007" s="92" t="s">
        <v>1013</v>
      </c>
      <c r="S2007" s="96"/>
    </row>
    <row r="2008" spans="1:19" hidden="1">
      <c r="A2008" s="95" t="s">
        <v>3748</v>
      </c>
      <c r="B2008" s="96" t="str">
        <f>IFERROR(VLOOKUP(Proc[[#This Row],[App]],Table2[],3,0),"open")</f>
        <v>ok</v>
      </c>
      <c r="C2008" s="95" t="s">
        <v>369</v>
      </c>
      <c r="D2008" t="s">
        <v>3844</v>
      </c>
      <c r="E2008" t="s">
        <v>4069</v>
      </c>
      <c r="F2008" s="105" t="s">
        <v>4069</v>
      </c>
      <c r="G2008" s="95" t="s">
        <v>400</v>
      </c>
      <c r="H2008" s="96" t="str">
        <f>IF(Proc[[#This Row],[type]]="LFF (MDG-F)",MID(Proc[[#This Row],[Obj]],13,10),"")</f>
        <v/>
      </c>
      <c r="J2008" s="96" t="b">
        <f>Proc[[#This Row],[Requested]]=Proc[[#This Row],[CurrentParent]]</f>
        <v>1</v>
      </c>
      <c r="K2008" s="96" t="str">
        <f>IF(Proc[[#This Row],[Author]]="Marcela Urrego",VLOOKUP(LEFT(Proc[[#This Row],[Requested]],1),Table3[#All],2,0),VLOOKUP(Proc[[#This Row],[Author]],Table4[],2,0))</f>
        <v>HC</v>
      </c>
      <c r="L2008" s="96"/>
      <c r="M2008" s="92">
        <v>45807.678356481483</v>
      </c>
      <c r="N2008" s="93">
        <v>45810</v>
      </c>
      <c r="O2008" s="93">
        <v>45810</v>
      </c>
      <c r="P2008" s="92" t="str">
        <f ca="1">IF(Proc[[#This Row],[DaysAgeing]]&gt;5,"yep","on track")</f>
        <v>on track</v>
      </c>
      <c r="Q2008" s="3">
        <f ca="1">IF(Proc[[#This Row],[DateClosed]]="",ABS(NETWORKDAYS(Proc[[#This Row],[DateOpened]],TODAY()))-1,ABS(NETWORKDAYS(Proc[[#This Row],[DateOpened]],Proc[[#This Row],[DateClosed]]))-1)</f>
        <v>1</v>
      </c>
      <c r="R2008" s="92" t="s">
        <v>1013</v>
      </c>
      <c r="S2008" s="96"/>
    </row>
    <row r="2009" spans="1:19" hidden="1">
      <c r="A2009" s="95" t="s">
        <v>3748</v>
      </c>
      <c r="B2009" s="96" t="str">
        <f>IFERROR(VLOOKUP(Proc[[#This Row],[App]],Table2[],3,0),"open")</f>
        <v>ok</v>
      </c>
      <c r="C2009" s="95" t="s">
        <v>369</v>
      </c>
      <c r="D2009" t="s">
        <v>3845</v>
      </c>
      <c r="E2009" t="s">
        <v>4069</v>
      </c>
      <c r="F2009" s="105" t="s">
        <v>4069</v>
      </c>
      <c r="G2009" s="95" t="s">
        <v>400</v>
      </c>
      <c r="H2009" s="96" t="str">
        <f>IF(Proc[[#This Row],[type]]="LFF (MDG-F)",MID(Proc[[#This Row],[Obj]],13,10),"")</f>
        <v/>
      </c>
      <c r="J2009" s="96" t="b">
        <f>Proc[[#This Row],[Requested]]=Proc[[#This Row],[CurrentParent]]</f>
        <v>1</v>
      </c>
      <c r="K2009" s="96" t="str">
        <f>IF(Proc[[#This Row],[Author]]="Marcela Urrego",VLOOKUP(LEFT(Proc[[#This Row],[Requested]],1),Table3[#All],2,0),VLOOKUP(Proc[[#This Row],[Author]],Table4[],2,0))</f>
        <v>HC</v>
      </c>
      <c r="L2009" s="96"/>
      <c r="M2009" s="92">
        <v>45807.678356481483</v>
      </c>
      <c r="N2009" s="93">
        <v>45810</v>
      </c>
      <c r="O2009" s="93">
        <v>45810</v>
      </c>
      <c r="P2009" s="92" t="str">
        <f ca="1">IF(Proc[[#This Row],[DaysAgeing]]&gt;5,"yep","on track")</f>
        <v>on track</v>
      </c>
      <c r="Q2009" s="3">
        <f ca="1">IF(Proc[[#This Row],[DateClosed]]="",ABS(NETWORKDAYS(Proc[[#This Row],[DateOpened]],TODAY()))-1,ABS(NETWORKDAYS(Proc[[#This Row],[DateOpened]],Proc[[#This Row],[DateClosed]]))-1)</f>
        <v>1</v>
      </c>
      <c r="R2009" s="92" t="s">
        <v>1013</v>
      </c>
      <c r="S2009" s="96"/>
    </row>
    <row r="2010" spans="1:19" hidden="1">
      <c r="A2010" s="95" t="s">
        <v>3748</v>
      </c>
      <c r="B2010" s="96" t="str">
        <f>IFERROR(VLOOKUP(Proc[[#This Row],[App]],Table2[],3,0),"open")</f>
        <v>ok</v>
      </c>
      <c r="C2010" s="95" t="s">
        <v>369</v>
      </c>
      <c r="D2010" t="s">
        <v>3846</v>
      </c>
      <c r="E2010" t="s">
        <v>4069</v>
      </c>
      <c r="F2010" s="105" t="s">
        <v>4069</v>
      </c>
      <c r="G2010" s="95" t="s">
        <v>400</v>
      </c>
      <c r="H2010" s="96" t="str">
        <f>IF(Proc[[#This Row],[type]]="LFF (MDG-F)",MID(Proc[[#This Row],[Obj]],13,10),"")</f>
        <v/>
      </c>
      <c r="J2010" s="96" t="b">
        <f>Proc[[#This Row],[Requested]]=Proc[[#This Row],[CurrentParent]]</f>
        <v>1</v>
      </c>
      <c r="K2010" s="96" t="str">
        <f>IF(Proc[[#This Row],[Author]]="Marcela Urrego",VLOOKUP(LEFT(Proc[[#This Row],[Requested]],1),Table3[#All],2,0),VLOOKUP(Proc[[#This Row],[Author]],Table4[],2,0))</f>
        <v>HC</v>
      </c>
      <c r="L2010" s="96"/>
      <c r="M2010" s="92">
        <v>45807.678356481483</v>
      </c>
      <c r="N2010" s="93">
        <v>45810</v>
      </c>
      <c r="O2010" s="93">
        <v>45810</v>
      </c>
      <c r="P2010" s="92" t="str">
        <f ca="1">IF(Proc[[#This Row],[DaysAgeing]]&gt;5,"yep","on track")</f>
        <v>on track</v>
      </c>
      <c r="Q2010" s="3">
        <f ca="1">IF(Proc[[#This Row],[DateClosed]]="",ABS(NETWORKDAYS(Proc[[#This Row],[DateOpened]],TODAY()))-1,ABS(NETWORKDAYS(Proc[[#This Row],[DateOpened]],Proc[[#This Row],[DateClosed]]))-1)</f>
        <v>1</v>
      </c>
      <c r="R2010" s="92" t="s">
        <v>1013</v>
      </c>
      <c r="S2010" s="96"/>
    </row>
    <row r="2011" spans="1:19" hidden="1">
      <c r="A2011" s="95" t="s">
        <v>3748</v>
      </c>
      <c r="B2011" s="96" t="str">
        <f>IFERROR(VLOOKUP(Proc[[#This Row],[App]],Table2[],3,0),"open")</f>
        <v>ok</v>
      </c>
      <c r="C2011" s="95" t="s">
        <v>369</v>
      </c>
      <c r="D2011" t="s">
        <v>3847</v>
      </c>
      <c r="E2011" t="s">
        <v>4069</v>
      </c>
      <c r="F2011" s="105" t="s">
        <v>4069</v>
      </c>
      <c r="G2011" s="95" t="s">
        <v>400</v>
      </c>
      <c r="H2011" s="96" t="str">
        <f>IF(Proc[[#This Row],[type]]="LFF (MDG-F)",MID(Proc[[#This Row],[Obj]],13,10),"")</f>
        <v/>
      </c>
      <c r="J2011" s="96" t="b">
        <f>Proc[[#This Row],[Requested]]=Proc[[#This Row],[CurrentParent]]</f>
        <v>1</v>
      </c>
      <c r="K2011" s="96" t="str">
        <f>IF(Proc[[#This Row],[Author]]="Marcela Urrego",VLOOKUP(LEFT(Proc[[#This Row],[Requested]],1),Table3[#All],2,0),VLOOKUP(Proc[[#This Row],[Author]],Table4[],2,0))</f>
        <v>HC</v>
      </c>
      <c r="L2011" s="96"/>
      <c r="M2011" s="92">
        <v>45807.678356481483</v>
      </c>
      <c r="N2011" s="93">
        <v>45810</v>
      </c>
      <c r="O2011" s="93">
        <v>45810</v>
      </c>
      <c r="P2011" s="92" t="str">
        <f ca="1">IF(Proc[[#This Row],[DaysAgeing]]&gt;5,"yep","on track")</f>
        <v>on track</v>
      </c>
      <c r="Q2011" s="3">
        <f ca="1">IF(Proc[[#This Row],[DateClosed]]="",ABS(NETWORKDAYS(Proc[[#This Row],[DateOpened]],TODAY()))-1,ABS(NETWORKDAYS(Proc[[#This Row],[DateOpened]],Proc[[#This Row],[DateClosed]]))-1)</f>
        <v>1</v>
      </c>
      <c r="R2011" s="92" t="s">
        <v>1013</v>
      </c>
      <c r="S2011" s="96"/>
    </row>
    <row r="2012" spans="1:19" hidden="1">
      <c r="A2012" s="95" t="s">
        <v>3748</v>
      </c>
      <c r="B2012" s="96" t="str">
        <f>IFERROR(VLOOKUP(Proc[[#This Row],[App]],Table2[],3,0),"open")</f>
        <v>ok</v>
      </c>
      <c r="C2012" s="95" t="s">
        <v>369</v>
      </c>
      <c r="D2012" t="s">
        <v>3848</v>
      </c>
      <c r="E2012" t="s">
        <v>4069</v>
      </c>
      <c r="F2012" s="105" t="s">
        <v>4069</v>
      </c>
      <c r="G2012" s="95" t="s">
        <v>400</v>
      </c>
      <c r="H2012" s="96" t="str">
        <f>IF(Proc[[#This Row],[type]]="LFF (MDG-F)",MID(Proc[[#This Row],[Obj]],13,10),"")</f>
        <v/>
      </c>
      <c r="J2012" s="96" t="b">
        <f>Proc[[#This Row],[Requested]]=Proc[[#This Row],[CurrentParent]]</f>
        <v>1</v>
      </c>
      <c r="K2012" s="96" t="str">
        <f>IF(Proc[[#This Row],[Author]]="Marcela Urrego",VLOOKUP(LEFT(Proc[[#This Row],[Requested]],1),Table3[#All],2,0),VLOOKUP(Proc[[#This Row],[Author]],Table4[],2,0))</f>
        <v>HC</v>
      </c>
      <c r="L2012" s="96"/>
      <c r="M2012" s="92">
        <v>45807.678356481483</v>
      </c>
      <c r="N2012" s="93">
        <v>45810</v>
      </c>
      <c r="O2012" s="93">
        <v>45810</v>
      </c>
      <c r="P2012" s="92" t="str">
        <f ca="1">IF(Proc[[#This Row],[DaysAgeing]]&gt;5,"yep","on track")</f>
        <v>on track</v>
      </c>
      <c r="Q2012" s="3">
        <f ca="1">IF(Proc[[#This Row],[DateClosed]]="",ABS(NETWORKDAYS(Proc[[#This Row],[DateOpened]],TODAY()))-1,ABS(NETWORKDAYS(Proc[[#This Row],[DateOpened]],Proc[[#This Row],[DateClosed]]))-1)</f>
        <v>1</v>
      </c>
      <c r="R2012" s="92" t="s">
        <v>1013</v>
      </c>
      <c r="S2012" s="96"/>
    </row>
    <row r="2013" spans="1:19" hidden="1">
      <c r="A2013" s="95" t="s">
        <v>3748</v>
      </c>
      <c r="B2013" s="96" t="str">
        <f>IFERROR(VLOOKUP(Proc[[#This Row],[App]],Table2[],3,0),"open")</f>
        <v>ok</v>
      </c>
      <c r="C2013" s="95" t="s">
        <v>369</v>
      </c>
      <c r="D2013" t="s">
        <v>3849</v>
      </c>
      <c r="E2013" t="s">
        <v>4069</v>
      </c>
      <c r="F2013" s="105" t="s">
        <v>4069</v>
      </c>
      <c r="G2013" s="95" t="s">
        <v>400</v>
      </c>
      <c r="H2013" s="96" t="str">
        <f>IF(Proc[[#This Row],[type]]="LFF (MDG-F)",MID(Proc[[#This Row],[Obj]],13,10),"")</f>
        <v/>
      </c>
      <c r="J2013" s="96" t="b">
        <f>Proc[[#This Row],[Requested]]=Proc[[#This Row],[CurrentParent]]</f>
        <v>1</v>
      </c>
      <c r="K2013" s="96" t="str">
        <f>IF(Proc[[#This Row],[Author]]="Marcela Urrego",VLOOKUP(LEFT(Proc[[#This Row],[Requested]],1),Table3[#All],2,0),VLOOKUP(Proc[[#This Row],[Author]],Table4[],2,0))</f>
        <v>HC</v>
      </c>
      <c r="L2013" s="96"/>
      <c r="M2013" s="92">
        <v>45807.678356481483</v>
      </c>
      <c r="N2013" s="93">
        <v>45810</v>
      </c>
      <c r="O2013" s="93">
        <v>45810</v>
      </c>
      <c r="P2013" s="92" t="str">
        <f ca="1">IF(Proc[[#This Row],[DaysAgeing]]&gt;5,"yep","on track")</f>
        <v>on track</v>
      </c>
      <c r="Q2013" s="3">
        <f ca="1">IF(Proc[[#This Row],[DateClosed]]="",ABS(NETWORKDAYS(Proc[[#This Row],[DateOpened]],TODAY()))-1,ABS(NETWORKDAYS(Proc[[#This Row],[DateOpened]],Proc[[#This Row],[DateClosed]]))-1)</f>
        <v>1</v>
      </c>
      <c r="R2013" s="92" t="s">
        <v>1013</v>
      </c>
      <c r="S2013" s="96"/>
    </row>
    <row r="2014" spans="1:19" hidden="1">
      <c r="A2014" s="95" t="s">
        <v>3748</v>
      </c>
      <c r="B2014" s="96" t="str">
        <f>IFERROR(VLOOKUP(Proc[[#This Row],[App]],Table2[],3,0),"open")</f>
        <v>ok</v>
      </c>
      <c r="C2014" s="95" t="s">
        <v>369</v>
      </c>
      <c r="D2014" t="s">
        <v>3850</v>
      </c>
      <c r="E2014" t="s">
        <v>4069</v>
      </c>
      <c r="F2014" s="105" t="s">
        <v>4069</v>
      </c>
      <c r="G2014" s="95" t="s">
        <v>400</v>
      </c>
      <c r="H2014" s="96" t="str">
        <f>IF(Proc[[#This Row],[type]]="LFF (MDG-F)",MID(Proc[[#This Row],[Obj]],13,10),"")</f>
        <v/>
      </c>
      <c r="J2014" s="96" t="b">
        <f>Proc[[#This Row],[Requested]]=Proc[[#This Row],[CurrentParent]]</f>
        <v>1</v>
      </c>
      <c r="K2014" s="96" t="str">
        <f>IF(Proc[[#This Row],[Author]]="Marcela Urrego",VLOOKUP(LEFT(Proc[[#This Row],[Requested]],1),Table3[#All],2,0),VLOOKUP(Proc[[#This Row],[Author]],Table4[],2,0))</f>
        <v>HC</v>
      </c>
      <c r="L2014" s="96"/>
      <c r="M2014" s="92">
        <v>45807.678356481483</v>
      </c>
      <c r="N2014" s="93">
        <v>45810</v>
      </c>
      <c r="O2014" s="93">
        <v>45810</v>
      </c>
      <c r="P2014" s="92" t="str">
        <f ca="1">IF(Proc[[#This Row],[DaysAgeing]]&gt;5,"yep","on track")</f>
        <v>on track</v>
      </c>
      <c r="Q2014" s="3">
        <f ca="1">IF(Proc[[#This Row],[DateClosed]]="",ABS(NETWORKDAYS(Proc[[#This Row],[DateOpened]],TODAY()))-1,ABS(NETWORKDAYS(Proc[[#This Row],[DateOpened]],Proc[[#This Row],[DateClosed]]))-1)</f>
        <v>1</v>
      </c>
      <c r="R2014" s="92" t="s">
        <v>1013</v>
      </c>
      <c r="S2014" s="96"/>
    </row>
    <row r="2015" spans="1:19" hidden="1">
      <c r="A2015" s="95" t="s">
        <v>3748</v>
      </c>
      <c r="B2015" s="96" t="str">
        <f>IFERROR(VLOOKUP(Proc[[#This Row],[App]],Table2[],3,0),"open")</f>
        <v>ok</v>
      </c>
      <c r="C2015" s="95" t="s">
        <v>369</v>
      </c>
      <c r="D2015" t="s">
        <v>3851</v>
      </c>
      <c r="E2015" t="s">
        <v>4069</v>
      </c>
      <c r="F2015" s="105" t="s">
        <v>4069</v>
      </c>
      <c r="G2015" s="95" t="s">
        <v>400</v>
      </c>
      <c r="H2015" s="96" t="str">
        <f>IF(Proc[[#This Row],[type]]="LFF (MDG-F)",MID(Proc[[#This Row],[Obj]],13,10),"")</f>
        <v/>
      </c>
      <c r="J2015" s="96" t="b">
        <f>Proc[[#This Row],[Requested]]=Proc[[#This Row],[CurrentParent]]</f>
        <v>1</v>
      </c>
      <c r="K2015" s="96" t="str">
        <f>IF(Proc[[#This Row],[Author]]="Marcela Urrego",VLOOKUP(LEFT(Proc[[#This Row],[Requested]],1),Table3[#All],2,0),VLOOKUP(Proc[[#This Row],[Author]],Table4[],2,0))</f>
        <v>HC</v>
      </c>
      <c r="L2015" s="96"/>
      <c r="M2015" s="92">
        <v>45807.678356481483</v>
      </c>
      <c r="N2015" s="93">
        <v>45810</v>
      </c>
      <c r="O2015" s="93">
        <v>45810</v>
      </c>
      <c r="P2015" s="92" t="str">
        <f ca="1">IF(Proc[[#This Row],[DaysAgeing]]&gt;5,"yep","on track")</f>
        <v>on track</v>
      </c>
      <c r="Q2015" s="3">
        <f ca="1">IF(Proc[[#This Row],[DateClosed]]="",ABS(NETWORKDAYS(Proc[[#This Row],[DateOpened]],TODAY()))-1,ABS(NETWORKDAYS(Proc[[#This Row],[DateOpened]],Proc[[#This Row],[DateClosed]]))-1)</f>
        <v>1</v>
      </c>
      <c r="R2015" s="92" t="s">
        <v>1013</v>
      </c>
      <c r="S2015" s="96"/>
    </row>
    <row r="2016" spans="1:19" hidden="1">
      <c r="A2016" s="95" t="s">
        <v>3748</v>
      </c>
      <c r="B2016" s="96" t="str">
        <f>IFERROR(VLOOKUP(Proc[[#This Row],[App]],Table2[],3,0),"open")</f>
        <v>ok</v>
      </c>
      <c r="C2016" s="95" t="s">
        <v>369</v>
      </c>
      <c r="D2016" t="s">
        <v>3852</v>
      </c>
      <c r="E2016" t="s">
        <v>2274</v>
      </c>
      <c r="F2016" s="105" t="s">
        <v>2274</v>
      </c>
      <c r="G2016" s="95" t="s">
        <v>400</v>
      </c>
      <c r="H2016" s="96" t="str">
        <f>IF(Proc[[#This Row],[type]]="LFF (MDG-F)",MID(Proc[[#This Row],[Obj]],13,10),"")</f>
        <v/>
      </c>
      <c r="J2016" s="96" t="b">
        <f>Proc[[#This Row],[Requested]]=Proc[[#This Row],[CurrentParent]]</f>
        <v>1</v>
      </c>
      <c r="K2016" s="96" t="str">
        <f>IF(Proc[[#This Row],[Author]]="Marcela Urrego",VLOOKUP(LEFT(Proc[[#This Row],[Requested]],1),Table3[#All],2,0),VLOOKUP(Proc[[#This Row],[Author]],Table4[],2,0))</f>
        <v>HC</v>
      </c>
      <c r="L2016" s="96"/>
      <c r="M2016" s="92">
        <v>45807.678356481483</v>
      </c>
      <c r="N2016" s="93">
        <v>45810</v>
      </c>
      <c r="O2016" s="93">
        <v>45810</v>
      </c>
      <c r="P2016" s="92" t="str">
        <f ca="1">IF(Proc[[#This Row],[DaysAgeing]]&gt;5,"yep","on track")</f>
        <v>on track</v>
      </c>
      <c r="Q2016" s="3">
        <f ca="1">IF(Proc[[#This Row],[DateClosed]]="",ABS(NETWORKDAYS(Proc[[#This Row],[DateOpened]],TODAY()))-1,ABS(NETWORKDAYS(Proc[[#This Row],[DateOpened]],Proc[[#This Row],[DateClosed]]))-1)</f>
        <v>1</v>
      </c>
      <c r="R2016" s="92" t="s">
        <v>1013</v>
      </c>
      <c r="S2016" s="96"/>
    </row>
    <row r="2017" spans="1:19" hidden="1">
      <c r="A2017" s="95" t="s">
        <v>3748</v>
      </c>
      <c r="B2017" s="96" t="str">
        <f>IFERROR(VLOOKUP(Proc[[#This Row],[App]],Table2[],3,0),"open")</f>
        <v>ok</v>
      </c>
      <c r="C2017" s="95" t="s">
        <v>369</v>
      </c>
      <c r="D2017" t="s">
        <v>3853</v>
      </c>
      <c r="E2017" t="s">
        <v>4069</v>
      </c>
      <c r="F2017" s="105" t="s">
        <v>4069</v>
      </c>
      <c r="G2017" s="95" t="s">
        <v>400</v>
      </c>
      <c r="H2017" s="96" t="str">
        <f>IF(Proc[[#This Row],[type]]="LFF (MDG-F)",MID(Proc[[#This Row],[Obj]],13,10),"")</f>
        <v/>
      </c>
      <c r="J2017" s="96" t="b">
        <f>Proc[[#This Row],[Requested]]=Proc[[#This Row],[CurrentParent]]</f>
        <v>1</v>
      </c>
      <c r="K2017" s="96" t="str">
        <f>IF(Proc[[#This Row],[Author]]="Marcela Urrego",VLOOKUP(LEFT(Proc[[#This Row],[Requested]],1),Table3[#All],2,0),VLOOKUP(Proc[[#This Row],[Author]],Table4[],2,0))</f>
        <v>HC</v>
      </c>
      <c r="L2017" s="96"/>
      <c r="M2017" s="92">
        <v>45807.678356481483</v>
      </c>
      <c r="N2017" s="93">
        <v>45810</v>
      </c>
      <c r="O2017" s="93">
        <v>45810</v>
      </c>
      <c r="P2017" s="92" t="str">
        <f ca="1">IF(Proc[[#This Row],[DaysAgeing]]&gt;5,"yep","on track")</f>
        <v>on track</v>
      </c>
      <c r="Q2017" s="3">
        <f ca="1">IF(Proc[[#This Row],[DateClosed]]="",ABS(NETWORKDAYS(Proc[[#This Row],[DateOpened]],TODAY()))-1,ABS(NETWORKDAYS(Proc[[#This Row],[DateOpened]],Proc[[#This Row],[DateClosed]]))-1)</f>
        <v>1</v>
      </c>
      <c r="R2017" s="92" t="s">
        <v>1013</v>
      </c>
      <c r="S2017" s="96"/>
    </row>
    <row r="2018" spans="1:19" hidden="1">
      <c r="A2018" s="95" t="s">
        <v>3748</v>
      </c>
      <c r="B2018" s="96" t="str">
        <f>IFERROR(VLOOKUP(Proc[[#This Row],[App]],Table2[],3,0),"open")</f>
        <v>ok</v>
      </c>
      <c r="C2018" s="95" t="s">
        <v>369</v>
      </c>
      <c r="D2018" t="s">
        <v>3854</v>
      </c>
      <c r="E2018" t="s">
        <v>2274</v>
      </c>
      <c r="F2018" s="105" t="s">
        <v>2274</v>
      </c>
      <c r="G2018" s="95" t="s">
        <v>400</v>
      </c>
      <c r="H2018" s="96" t="str">
        <f>IF(Proc[[#This Row],[type]]="LFF (MDG-F)",MID(Proc[[#This Row],[Obj]],13,10),"")</f>
        <v/>
      </c>
      <c r="J2018" s="96" t="b">
        <f>Proc[[#This Row],[Requested]]=Proc[[#This Row],[CurrentParent]]</f>
        <v>1</v>
      </c>
      <c r="K2018" s="96" t="str">
        <f>IF(Proc[[#This Row],[Author]]="Marcela Urrego",VLOOKUP(LEFT(Proc[[#This Row],[Requested]],1),Table3[#All],2,0),VLOOKUP(Proc[[#This Row],[Author]],Table4[],2,0))</f>
        <v>HC</v>
      </c>
      <c r="L2018" s="96"/>
      <c r="M2018" s="92">
        <v>45807.678356481483</v>
      </c>
      <c r="N2018" s="93">
        <v>45810</v>
      </c>
      <c r="O2018" s="93">
        <v>45810</v>
      </c>
      <c r="P2018" s="92" t="str">
        <f ca="1">IF(Proc[[#This Row],[DaysAgeing]]&gt;5,"yep","on track")</f>
        <v>on track</v>
      </c>
      <c r="Q2018" s="3">
        <f ca="1">IF(Proc[[#This Row],[DateClosed]]="",ABS(NETWORKDAYS(Proc[[#This Row],[DateOpened]],TODAY()))-1,ABS(NETWORKDAYS(Proc[[#This Row],[DateOpened]],Proc[[#This Row],[DateClosed]]))-1)</f>
        <v>1</v>
      </c>
      <c r="R2018" s="92" t="s">
        <v>1013</v>
      </c>
      <c r="S2018" s="96"/>
    </row>
    <row r="2019" spans="1:19" hidden="1">
      <c r="A2019" s="95" t="s">
        <v>3748</v>
      </c>
      <c r="B2019" s="96" t="str">
        <f>IFERROR(VLOOKUP(Proc[[#This Row],[App]],Table2[],3,0),"open")</f>
        <v>ok</v>
      </c>
      <c r="C2019" s="95" t="s">
        <v>369</v>
      </c>
      <c r="D2019" t="s">
        <v>3855</v>
      </c>
      <c r="E2019" t="s">
        <v>4069</v>
      </c>
      <c r="F2019" s="105" t="s">
        <v>4069</v>
      </c>
      <c r="G2019" s="95" t="s">
        <v>400</v>
      </c>
      <c r="H2019" s="96" t="str">
        <f>IF(Proc[[#This Row],[type]]="LFF (MDG-F)",MID(Proc[[#This Row],[Obj]],13,10),"")</f>
        <v/>
      </c>
      <c r="J2019" s="96" t="b">
        <f>Proc[[#This Row],[Requested]]=Proc[[#This Row],[CurrentParent]]</f>
        <v>1</v>
      </c>
      <c r="K2019" s="96" t="str">
        <f>IF(Proc[[#This Row],[Author]]="Marcela Urrego",VLOOKUP(LEFT(Proc[[#This Row],[Requested]],1),Table3[#All],2,0),VLOOKUP(Proc[[#This Row],[Author]],Table4[],2,0))</f>
        <v>HC</v>
      </c>
      <c r="L2019" s="96"/>
      <c r="M2019" s="92">
        <v>45807.678356481483</v>
      </c>
      <c r="N2019" s="93">
        <v>45810</v>
      </c>
      <c r="O2019" s="93">
        <v>45810</v>
      </c>
      <c r="P2019" s="92" t="str">
        <f ca="1">IF(Proc[[#This Row],[DaysAgeing]]&gt;5,"yep","on track")</f>
        <v>on track</v>
      </c>
      <c r="Q2019" s="3">
        <f ca="1">IF(Proc[[#This Row],[DateClosed]]="",ABS(NETWORKDAYS(Proc[[#This Row],[DateOpened]],TODAY()))-1,ABS(NETWORKDAYS(Proc[[#This Row],[DateOpened]],Proc[[#This Row],[DateClosed]]))-1)</f>
        <v>1</v>
      </c>
      <c r="R2019" s="92" t="s">
        <v>1013</v>
      </c>
      <c r="S2019" s="96"/>
    </row>
    <row r="2020" spans="1:19" hidden="1">
      <c r="A2020" s="95" t="s">
        <v>3748</v>
      </c>
      <c r="B2020" s="96" t="str">
        <f>IFERROR(VLOOKUP(Proc[[#This Row],[App]],Table2[],3,0),"open")</f>
        <v>ok</v>
      </c>
      <c r="C2020" s="95" t="s">
        <v>369</v>
      </c>
      <c r="D2020" t="s">
        <v>3856</v>
      </c>
      <c r="E2020" t="s">
        <v>4069</v>
      </c>
      <c r="F2020" s="105" t="s">
        <v>4069</v>
      </c>
      <c r="G2020" s="95" t="s">
        <v>400</v>
      </c>
      <c r="H2020" s="96" t="str">
        <f>IF(Proc[[#This Row],[type]]="LFF (MDG-F)",MID(Proc[[#This Row],[Obj]],13,10),"")</f>
        <v/>
      </c>
      <c r="J2020" s="96" t="b">
        <f>Proc[[#This Row],[Requested]]=Proc[[#This Row],[CurrentParent]]</f>
        <v>1</v>
      </c>
      <c r="K2020" s="96" t="str">
        <f>IF(Proc[[#This Row],[Author]]="Marcela Urrego",VLOOKUP(LEFT(Proc[[#This Row],[Requested]],1),Table3[#All],2,0),VLOOKUP(Proc[[#This Row],[Author]],Table4[],2,0))</f>
        <v>HC</v>
      </c>
      <c r="L2020" s="96"/>
      <c r="M2020" s="92">
        <v>45807.678356481483</v>
      </c>
      <c r="N2020" s="93">
        <v>45810</v>
      </c>
      <c r="O2020" s="93">
        <v>45810</v>
      </c>
      <c r="P2020" s="92" t="str">
        <f ca="1">IF(Proc[[#This Row],[DaysAgeing]]&gt;5,"yep","on track")</f>
        <v>on track</v>
      </c>
      <c r="Q2020" s="3">
        <f ca="1">IF(Proc[[#This Row],[DateClosed]]="",ABS(NETWORKDAYS(Proc[[#This Row],[DateOpened]],TODAY()))-1,ABS(NETWORKDAYS(Proc[[#This Row],[DateOpened]],Proc[[#This Row],[DateClosed]]))-1)</f>
        <v>1</v>
      </c>
      <c r="R2020" s="92" t="s">
        <v>1013</v>
      </c>
      <c r="S2020" s="96"/>
    </row>
    <row r="2021" spans="1:19" hidden="1">
      <c r="A2021" s="95" t="s">
        <v>3748</v>
      </c>
      <c r="B2021" s="96" t="str">
        <f>IFERROR(VLOOKUP(Proc[[#This Row],[App]],Table2[],3,0),"open")</f>
        <v>ok</v>
      </c>
      <c r="C2021" s="95" t="s">
        <v>369</v>
      </c>
      <c r="D2021" t="s">
        <v>3857</v>
      </c>
      <c r="E2021" t="s">
        <v>4069</v>
      </c>
      <c r="F2021" s="105" t="s">
        <v>4069</v>
      </c>
      <c r="G2021" s="95" t="s">
        <v>400</v>
      </c>
      <c r="H2021" s="96" t="str">
        <f>IF(Proc[[#This Row],[type]]="LFF (MDG-F)",MID(Proc[[#This Row],[Obj]],13,10),"")</f>
        <v/>
      </c>
      <c r="J2021" s="96" t="b">
        <f>Proc[[#This Row],[Requested]]=Proc[[#This Row],[CurrentParent]]</f>
        <v>1</v>
      </c>
      <c r="K2021" s="96" t="str">
        <f>IF(Proc[[#This Row],[Author]]="Marcela Urrego",VLOOKUP(LEFT(Proc[[#This Row],[Requested]],1),Table3[#All],2,0),VLOOKUP(Proc[[#This Row],[Author]],Table4[],2,0))</f>
        <v>HC</v>
      </c>
      <c r="L2021" s="96"/>
      <c r="M2021" s="92">
        <v>45807.678356481483</v>
      </c>
      <c r="N2021" s="93">
        <v>45810</v>
      </c>
      <c r="O2021" s="93">
        <v>45810</v>
      </c>
      <c r="P2021" s="92" t="str">
        <f ca="1">IF(Proc[[#This Row],[DaysAgeing]]&gt;5,"yep","on track")</f>
        <v>on track</v>
      </c>
      <c r="Q2021" s="3">
        <f ca="1">IF(Proc[[#This Row],[DateClosed]]="",ABS(NETWORKDAYS(Proc[[#This Row],[DateOpened]],TODAY()))-1,ABS(NETWORKDAYS(Proc[[#This Row],[DateOpened]],Proc[[#This Row],[DateClosed]]))-1)</f>
        <v>1</v>
      </c>
      <c r="R2021" s="92" t="s">
        <v>1013</v>
      </c>
      <c r="S2021" s="96"/>
    </row>
    <row r="2022" spans="1:19" hidden="1">
      <c r="A2022" s="95" t="s">
        <v>3748</v>
      </c>
      <c r="B2022" s="96" t="str">
        <f>IFERROR(VLOOKUP(Proc[[#This Row],[App]],Table2[],3,0),"open")</f>
        <v>ok</v>
      </c>
      <c r="C2022" s="95" t="s">
        <v>369</v>
      </c>
      <c r="D2022" t="s">
        <v>3858</v>
      </c>
      <c r="E2022" t="s">
        <v>4069</v>
      </c>
      <c r="F2022" s="105" t="s">
        <v>4069</v>
      </c>
      <c r="G2022" s="95" t="s">
        <v>400</v>
      </c>
      <c r="H2022" s="96" t="str">
        <f>IF(Proc[[#This Row],[type]]="LFF (MDG-F)",MID(Proc[[#This Row],[Obj]],13,10),"")</f>
        <v/>
      </c>
      <c r="J2022" s="96" t="b">
        <f>Proc[[#This Row],[Requested]]=Proc[[#This Row],[CurrentParent]]</f>
        <v>1</v>
      </c>
      <c r="K2022" s="96" t="str">
        <f>IF(Proc[[#This Row],[Author]]="Marcela Urrego",VLOOKUP(LEFT(Proc[[#This Row],[Requested]],1),Table3[#All],2,0),VLOOKUP(Proc[[#This Row],[Author]],Table4[],2,0))</f>
        <v>HC</v>
      </c>
      <c r="L2022" s="96"/>
      <c r="M2022" s="92">
        <v>45807.678356481483</v>
      </c>
      <c r="N2022" s="93">
        <v>45810</v>
      </c>
      <c r="O2022" s="93">
        <v>45810</v>
      </c>
      <c r="P2022" s="92" t="str">
        <f ca="1">IF(Proc[[#This Row],[DaysAgeing]]&gt;5,"yep","on track")</f>
        <v>on track</v>
      </c>
      <c r="Q2022" s="3">
        <f ca="1">IF(Proc[[#This Row],[DateClosed]]="",ABS(NETWORKDAYS(Proc[[#This Row],[DateOpened]],TODAY()))-1,ABS(NETWORKDAYS(Proc[[#This Row],[DateOpened]],Proc[[#This Row],[DateClosed]]))-1)</f>
        <v>1</v>
      </c>
      <c r="R2022" s="92" t="s">
        <v>1013</v>
      </c>
      <c r="S2022" s="96"/>
    </row>
    <row r="2023" spans="1:19" hidden="1">
      <c r="A2023" s="95" t="s">
        <v>3748</v>
      </c>
      <c r="B2023" s="96" t="str">
        <f>IFERROR(VLOOKUP(Proc[[#This Row],[App]],Table2[],3,0),"open")</f>
        <v>ok</v>
      </c>
      <c r="C2023" s="95" t="s">
        <v>369</v>
      </c>
      <c r="D2023" t="s">
        <v>3859</v>
      </c>
      <c r="E2023" t="s">
        <v>4069</v>
      </c>
      <c r="F2023" s="105" t="s">
        <v>4069</v>
      </c>
      <c r="G2023" s="95" t="s">
        <v>400</v>
      </c>
      <c r="H2023" s="96" t="str">
        <f>IF(Proc[[#This Row],[type]]="LFF (MDG-F)",MID(Proc[[#This Row],[Obj]],13,10),"")</f>
        <v/>
      </c>
      <c r="J2023" s="96" t="b">
        <f>Proc[[#This Row],[Requested]]=Proc[[#This Row],[CurrentParent]]</f>
        <v>1</v>
      </c>
      <c r="K2023" s="96" t="str">
        <f>IF(Proc[[#This Row],[Author]]="Marcela Urrego",VLOOKUP(LEFT(Proc[[#This Row],[Requested]],1),Table3[#All],2,0),VLOOKUP(Proc[[#This Row],[Author]],Table4[],2,0))</f>
        <v>HC</v>
      </c>
      <c r="L2023" s="96"/>
      <c r="M2023" s="92">
        <v>45807.678356481483</v>
      </c>
      <c r="N2023" s="93">
        <v>45810</v>
      </c>
      <c r="O2023" s="93">
        <v>45810</v>
      </c>
      <c r="P2023" s="92" t="str">
        <f ca="1">IF(Proc[[#This Row],[DaysAgeing]]&gt;5,"yep","on track")</f>
        <v>on track</v>
      </c>
      <c r="Q2023" s="3">
        <f ca="1">IF(Proc[[#This Row],[DateClosed]]="",ABS(NETWORKDAYS(Proc[[#This Row],[DateOpened]],TODAY()))-1,ABS(NETWORKDAYS(Proc[[#This Row],[DateOpened]],Proc[[#This Row],[DateClosed]]))-1)</f>
        <v>1</v>
      </c>
      <c r="R2023" s="92" t="s">
        <v>1013</v>
      </c>
      <c r="S2023" s="96"/>
    </row>
    <row r="2024" spans="1:19" hidden="1">
      <c r="A2024" s="95" t="s">
        <v>3748</v>
      </c>
      <c r="B2024" s="96" t="str">
        <f>IFERROR(VLOOKUP(Proc[[#This Row],[App]],Table2[],3,0),"open")</f>
        <v>ok</v>
      </c>
      <c r="C2024" s="95" t="s">
        <v>369</v>
      </c>
      <c r="D2024" t="s">
        <v>3860</v>
      </c>
      <c r="E2024" t="s">
        <v>4069</v>
      </c>
      <c r="F2024" s="105" t="s">
        <v>4069</v>
      </c>
      <c r="G2024" s="95" t="s">
        <v>400</v>
      </c>
      <c r="H2024" s="96" t="str">
        <f>IF(Proc[[#This Row],[type]]="LFF (MDG-F)",MID(Proc[[#This Row],[Obj]],13,10),"")</f>
        <v/>
      </c>
      <c r="J2024" s="96" t="b">
        <f>Proc[[#This Row],[Requested]]=Proc[[#This Row],[CurrentParent]]</f>
        <v>1</v>
      </c>
      <c r="K2024" s="96" t="str">
        <f>IF(Proc[[#This Row],[Author]]="Marcela Urrego",VLOOKUP(LEFT(Proc[[#This Row],[Requested]],1),Table3[#All],2,0),VLOOKUP(Proc[[#This Row],[Author]],Table4[],2,0))</f>
        <v>HC</v>
      </c>
      <c r="L2024" s="96"/>
      <c r="M2024" s="92">
        <v>45807.678356481483</v>
      </c>
      <c r="N2024" s="93">
        <v>45810</v>
      </c>
      <c r="O2024" s="93">
        <v>45810</v>
      </c>
      <c r="P2024" s="92" t="str">
        <f ca="1">IF(Proc[[#This Row],[DaysAgeing]]&gt;5,"yep","on track")</f>
        <v>on track</v>
      </c>
      <c r="Q2024" s="3">
        <f ca="1">IF(Proc[[#This Row],[DateClosed]]="",ABS(NETWORKDAYS(Proc[[#This Row],[DateOpened]],TODAY()))-1,ABS(NETWORKDAYS(Proc[[#This Row],[DateOpened]],Proc[[#This Row],[DateClosed]]))-1)</f>
        <v>1</v>
      </c>
      <c r="R2024" s="92" t="s">
        <v>1013</v>
      </c>
      <c r="S2024" s="96"/>
    </row>
    <row r="2025" spans="1:19" hidden="1">
      <c r="A2025" s="95" t="s">
        <v>3748</v>
      </c>
      <c r="B2025" s="96" t="str">
        <f>IFERROR(VLOOKUP(Proc[[#This Row],[App]],Table2[],3,0),"open")</f>
        <v>ok</v>
      </c>
      <c r="C2025" s="95" t="s">
        <v>369</v>
      </c>
      <c r="D2025" t="s">
        <v>3861</v>
      </c>
      <c r="E2025" t="s">
        <v>4069</v>
      </c>
      <c r="F2025" s="105" t="s">
        <v>4069</v>
      </c>
      <c r="G2025" s="95" t="s">
        <v>400</v>
      </c>
      <c r="H2025" s="96" t="str">
        <f>IF(Proc[[#This Row],[type]]="LFF (MDG-F)",MID(Proc[[#This Row],[Obj]],13,10),"")</f>
        <v/>
      </c>
      <c r="J2025" s="96" t="b">
        <f>Proc[[#This Row],[Requested]]=Proc[[#This Row],[CurrentParent]]</f>
        <v>1</v>
      </c>
      <c r="K2025" s="96" t="str">
        <f>IF(Proc[[#This Row],[Author]]="Marcela Urrego",VLOOKUP(LEFT(Proc[[#This Row],[Requested]],1),Table3[#All],2,0),VLOOKUP(Proc[[#This Row],[Author]],Table4[],2,0))</f>
        <v>HC</v>
      </c>
      <c r="L2025" s="96"/>
      <c r="M2025" s="92">
        <v>45807.678356481483</v>
      </c>
      <c r="N2025" s="93">
        <v>45810</v>
      </c>
      <c r="O2025" s="93">
        <v>45810</v>
      </c>
      <c r="P2025" s="92" t="str">
        <f ca="1">IF(Proc[[#This Row],[DaysAgeing]]&gt;5,"yep","on track")</f>
        <v>on track</v>
      </c>
      <c r="Q2025" s="3">
        <f ca="1">IF(Proc[[#This Row],[DateClosed]]="",ABS(NETWORKDAYS(Proc[[#This Row],[DateOpened]],TODAY()))-1,ABS(NETWORKDAYS(Proc[[#This Row],[DateOpened]],Proc[[#This Row],[DateClosed]]))-1)</f>
        <v>1</v>
      </c>
      <c r="R2025" s="92" t="s">
        <v>1013</v>
      </c>
      <c r="S2025" s="96"/>
    </row>
    <row r="2026" spans="1:19" hidden="1">
      <c r="A2026" s="95" t="s">
        <v>3748</v>
      </c>
      <c r="B2026" s="96" t="str">
        <f>IFERROR(VLOOKUP(Proc[[#This Row],[App]],Table2[],3,0),"open")</f>
        <v>ok</v>
      </c>
      <c r="C2026" s="95" t="s">
        <v>369</v>
      </c>
      <c r="D2026" t="s">
        <v>3862</v>
      </c>
      <c r="E2026" t="s">
        <v>4069</v>
      </c>
      <c r="F2026" s="105" t="s">
        <v>4069</v>
      </c>
      <c r="G2026" s="95" t="s">
        <v>400</v>
      </c>
      <c r="H2026" s="96" t="str">
        <f>IF(Proc[[#This Row],[type]]="LFF (MDG-F)",MID(Proc[[#This Row],[Obj]],13,10),"")</f>
        <v/>
      </c>
      <c r="J2026" s="96" t="b">
        <f>Proc[[#This Row],[Requested]]=Proc[[#This Row],[CurrentParent]]</f>
        <v>1</v>
      </c>
      <c r="K2026" s="96" t="str">
        <f>IF(Proc[[#This Row],[Author]]="Marcela Urrego",VLOOKUP(LEFT(Proc[[#This Row],[Requested]],1),Table3[#All],2,0),VLOOKUP(Proc[[#This Row],[Author]],Table4[],2,0))</f>
        <v>HC</v>
      </c>
      <c r="L2026" s="96"/>
      <c r="M2026" s="92">
        <v>45807.678356481483</v>
      </c>
      <c r="N2026" s="93">
        <v>45810</v>
      </c>
      <c r="O2026" s="93">
        <v>45810</v>
      </c>
      <c r="P2026" s="92" t="str">
        <f ca="1">IF(Proc[[#This Row],[DaysAgeing]]&gt;5,"yep","on track")</f>
        <v>on track</v>
      </c>
      <c r="Q2026" s="3">
        <f ca="1">IF(Proc[[#This Row],[DateClosed]]="",ABS(NETWORKDAYS(Proc[[#This Row],[DateOpened]],TODAY()))-1,ABS(NETWORKDAYS(Proc[[#This Row],[DateOpened]],Proc[[#This Row],[DateClosed]]))-1)</f>
        <v>1</v>
      </c>
      <c r="R2026" s="92" t="s">
        <v>1013</v>
      </c>
      <c r="S2026" s="96"/>
    </row>
    <row r="2027" spans="1:19" hidden="1">
      <c r="A2027" s="95" t="s">
        <v>3748</v>
      </c>
      <c r="B2027" s="96" t="str">
        <f>IFERROR(VLOOKUP(Proc[[#This Row],[App]],Table2[],3,0),"open")</f>
        <v>ok</v>
      </c>
      <c r="C2027" s="95" t="s">
        <v>369</v>
      </c>
      <c r="D2027" t="s">
        <v>3863</v>
      </c>
      <c r="E2027" t="s">
        <v>4069</v>
      </c>
      <c r="F2027" s="105" t="s">
        <v>4069</v>
      </c>
      <c r="G2027" s="95" t="s">
        <v>400</v>
      </c>
      <c r="H2027" s="96" t="str">
        <f>IF(Proc[[#This Row],[type]]="LFF (MDG-F)",MID(Proc[[#This Row],[Obj]],13,10),"")</f>
        <v/>
      </c>
      <c r="J2027" s="96" t="b">
        <f>Proc[[#This Row],[Requested]]=Proc[[#This Row],[CurrentParent]]</f>
        <v>1</v>
      </c>
      <c r="K2027" s="96" t="str">
        <f>IF(Proc[[#This Row],[Author]]="Marcela Urrego",VLOOKUP(LEFT(Proc[[#This Row],[Requested]],1),Table3[#All],2,0),VLOOKUP(Proc[[#This Row],[Author]],Table4[],2,0))</f>
        <v>HC</v>
      </c>
      <c r="L2027" s="96"/>
      <c r="M2027" s="92">
        <v>45807.678356481483</v>
      </c>
      <c r="N2027" s="93">
        <v>45810</v>
      </c>
      <c r="O2027" s="93">
        <v>45810</v>
      </c>
      <c r="P2027" s="92" t="str">
        <f ca="1">IF(Proc[[#This Row],[DaysAgeing]]&gt;5,"yep","on track")</f>
        <v>on track</v>
      </c>
      <c r="Q2027" s="3">
        <f ca="1">IF(Proc[[#This Row],[DateClosed]]="",ABS(NETWORKDAYS(Proc[[#This Row],[DateOpened]],TODAY()))-1,ABS(NETWORKDAYS(Proc[[#This Row],[DateOpened]],Proc[[#This Row],[DateClosed]]))-1)</f>
        <v>1</v>
      </c>
      <c r="R2027" s="92" t="s">
        <v>1013</v>
      </c>
      <c r="S2027" s="96"/>
    </row>
    <row r="2028" spans="1:19" hidden="1">
      <c r="A2028" s="95" t="s">
        <v>3748</v>
      </c>
      <c r="B2028" s="96" t="str">
        <f>IFERROR(VLOOKUP(Proc[[#This Row],[App]],Table2[],3,0),"open")</f>
        <v>ok</v>
      </c>
      <c r="C2028" s="95" t="s">
        <v>369</v>
      </c>
      <c r="D2028" t="s">
        <v>3864</v>
      </c>
      <c r="E2028" t="s">
        <v>4069</v>
      </c>
      <c r="F2028" s="105" t="s">
        <v>4069</v>
      </c>
      <c r="G2028" s="95" t="s">
        <v>400</v>
      </c>
      <c r="H2028" s="96" t="str">
        <f>IF(Proc[[#This Row],[type]]="LFF (MDG-F)",MID(Proc[[#This Row],[Obj]],13,10),"")</f>
        <v/>
      </c>
      <c r="J2028" s="96" t="b">
        <f>Proc[[#This Row],[Requested]]=Proc[[#This Row],[CurrentParent]]</f>
        <v>1</v>
      </c>
      <c r="K2028" s="96" t="str">
        <f>IF(Proc[[#This Row],[Author]]="Marcela Urrego",VLOOKUP(LEFT(Proc[[#This Row],[Requested]],1),Table3[#All],2,0),VLOOKUP(Proc[[#This Row],[Author]],Table4[],2,0))</f>
        <v>HC</v>
      </c>
      <c r="L2028" s="96"/>
      <c r="M2028" s="92">
        <v>45807.678356481483</v>
      </c>
      <c r="N2028" s="93">
        <v>45810</v>
      </c>
      <c r="O2028" s="93">
        <v>45810</v>
      </c>
      <c r="P2028" s="92" t="str">
        <f ca="1">IF(Proc[[#This Row],[DaysAgeing]]&gt;5,"yep","on track")</f>
        <v>on track</v>
      </c>
      <c r="Q2028" s="3">
        <f ca="1">IF(Proc[[#This Row],[DateClosed]]="",ABS(NETWORKDAYS(Proc[[#This Row],[DateOpened]],TODAY()))-1,ABS(NETWORKDAYS(Proc[[#This Row],[DateOpened]],Proc[[#This Row],[DateClosed]]))-1)</f>
        <v>1</v>
      </c>
      <c r="R2028" s="92" t="s">
        <v>1013</v>
      </c>
      <c r="S2028" s="96"/>
    </row>
    <row r="2029" spans="1:19" hidden="1">
      <c r="A2029" s="95" t="s">
        <v>3748</v>
      </c>
      <c r="B2029" s="96" t="str">
        <f>IFERROR(VLOOKUP(Proc[[#This Row],[App]],Table2[],3,0),"open")</f>
        <v>ok</v>
      </c>
      <c r="C2029" s="95" t="s">
        <v>369</v>
      </c>
      <c r="D2029" t="s">
        <v>3865</v>
      </c>
      <c r="E2029" t="s">
        <v>4069</v>
      </c>
      <c r="F2029" s="105" t="s">
        <v>4069</v>
      </c>
      <c r="G2029" s="95" t="s">
        <v>400</v>
      </c>
      <c r="H2029" s="96" t="str">
        <f>IF(Proc[[#This Row],[type]]="LFF (MDG-F)",MID(Proc[[#This Row],[Obj]],13,10),"")</f>
        <v/>
      </c>
      <c r="J2029" s="96" t="b">
        <f>Proc[[#This Row],[Requested]]=Proc[[#This Row],[CurrentParent]]</f>
        <v>1</v>
      </c>
      <c r="K2029" s="96" t="str">
        <f>IF(Proc[[#This Row],[Author]]="Marcela Urrego",VLOOKUP(LEFT(Proc[[#This Row],[Requested]],1),Table3[#All],2,0),VLOOKUP(Proc[[#This Row],[Author]],Table4[],2,0))</f>
        <v>HC</v>
      </c>
      <c r="L2029" s="96"/>
      <c r="M2029" s="92">
        <v>45807.678356481483</v>
      </c>
      <c r="N2029" s="93">
        <v>45810</v>
      </c>
      <c r="O2029" s="93">
        <v>45810</v>
      </c>
      <c r="P2029" s="92" t="str">
        <f ca="1">IF(Proc[[#This Row],[DaysAgeing]]&gt;5,"yep","on track")</f>
        <v>on track</v>
      </c>
      <c r="Q2029" s="3">
        <f ca="1">IF(Proc[[#This Row],[DateClosed]]="",ABS(NETWORKDAYS(Proc[[#This Row],[DateOpened]],TODAY()))-1,ABS(NETWORKDAYS(Proc[[#This Row],[DateOpened]],Proc[[#This Row],[DateClosed]]))-1)</f>
        <v>1</v>
      </c>
      <c r="R2029" s="92" t="s">
        <v>1013</v>
      </c>
      <c r="S2029" s="96"/>
    </row>
    <row r="2030" spans="1:19" hidden="1">
      <c r="A2030" s="95" t="s">
        <v>3748</v>
      </c>
      <c r="B2030" s="96" t="str">
        <f>IFERROR(VLOOKUP(Proc[[#This Row],[App]],Table2[],3,0),"open")</f>
        <v>ok</v>
      </c>
      <c r="C2030" s="95" t="s">
        <v>369</v>
      </c>
      <c r="D2030" t="s">
        <v>3866</v>
      </c>
      <c r="E2030" t="s">
        <v>4069</v>
      </c>
      <c r="F2030" s="105" t="s">
        <v>4069</v>
      </c>
      <c r="G2030" s="95" t="s">
        <v>400</v>
      </c>
      <c r="H2030" s="96" t="str">
        <f>IF(Proc[[#This Row],[type]]="LFF (MDG-F)",MID(Proc[[#This Row],[Obj]],13,10),"")</f>
        <v/>
      </c>
      <c r="J2030" s="96" t="b">
        <f>Proc[[#This Row],[Requested]]=Proc[[#This Row],[CurrentParent]]</f>
        <v>1</v>
      </c>
      <c r="K2030" s="96" t="str">
        <f>IF(Proc[[#This Row],[Author]]="Marcela Urrego",VLOOKUP(LEFT(Proc[[#This Row],[Requested]],1),Table3[#All],2,0),VLOOKUP(Proc[[#This Row],[Author]],Table4[],2,0))</f>
        <v>HC</v>
      </c>
      <c r="L2030" s="96"/>
      <c r="M2030" s="92">
        <v>45807.678356481483</v>
      </c>
      <c r="N2030" s="93">
        <v>45810</v>
      </c>
      <c r="O2030" s="93">
        <v>45810</v>
      </c>
      <c r="P2030" s="92" t="str">
        <f ca="1">IF(Proc[[#This Row],[DaysAgeing]]&gt;5,"yep","on track")</f>
        <v>on track</v>
      </c>
      <c r="Q2030" s="3">
        <f ca="1">IF(Proc[[#This Row],[DateClosed]]="",ABS(NETWORKDAYS(Proc[[#This Row],[DateOpened]],TODAY()))-1,ABS(NETWORKDAYS(Proc[[#This Row],[DateOpened]],Proc[[#This Row],[DateClosed]]))-1)</f>
        <v>1</v>
      </c>
      <c r="R2030" s="92" t="s">
        <v>1013</v>
      </c>
      <c r="S2030" s="96"/>
    </row>
    <row r="2031" spans="1:19" hidden="1">
      <c r="A2031" s="95" t="s">
        <v>3748</v>
      </c>
      <c r="B2031" s="96" t="str">
        <f>IFERROR(VLOOKUP(Proc[[#This Row],[App]],Table2[],3,0),"open")</f>
        <v>ok</v>
      </c>
      <c r="C2031" s="95" t="s">
        <v>369</v>
      </c>
      <c r="D2031" t="s">
        <v>3867</v>
      </c>
      <c r="E2031" t="s">
        <v>4069</v>
      </c>
      <c r="F2031" s="105" t="s">
        <v>4069</v>
      </c>
      <c r="G2031" s="95" t="s">
        <v>400</v>
      </c>
      <c r="H2031" s="96" t="str">
        <f>IF(Proc[[#This Row],[type]]="LFF (MDG-F)",MID(Proc[[#This Row],[Obj]],13,10),"")</f>
        <v/>
      </c>
      <c r="J2031" s="96" t="b">
        <f>Proc[[#This Row],[Requested]]=Proc[[#This Row],[CurrentParent]]</f>
        <v>1</v>
      </c>
      <c r="K2031" s="96" t="str">
        <f>IF(Proc[[#This Row],[Author]]="Marcela Urrego",VLOOKUP(LEFT(Proc[[#This Row],[Requested]],1),Table3[#All],2,0),VLOOKUP(Proc[[#This Row],[Author]],Table4[],2,0))</f>
        <v>HC</v>
      </c>
      <c r="L2031" s="96"/>
      <c r="M2031" s="92">
        <v>45807.678356481483</v>
      </c>
      <c r="N2031" s="93">
        <v>45810</v>
      </c>
      <c r="O2031" s="93">
        <v>45810</v>
      </c>
      <c r="P2031" s="92" t="str">
        <f ca="1">IF(Proc[[#This Row],[DaysAgeing]]&gt;5,"yep","on track")</f>
        <v>on track</v>
      </c>
      <c r="Q2031" s="3">
        <f ca="1">IF(Proc[[#This Row],[DateClosed]]="",ABS(NETWORKDAYS(Proc[[#This Row],[DateOpened]],TODAY()))-1,ABS(NETWORKDAYS(Proc[[#This Row],[DateOpened]],Proc[[#This Row],[DateClosed]]))-1)</f>
        <v>1</v>
      </c>
      <c r="R2031" s="92" t="s">
        <v>1013</v>
      </c>
      <c r="S2031" s="96"/>
    </row>
    <row r="2032" spans="1:19" hidden="1">
      <c r="A2032" s="95" t="s">
        <v>3748</v>
      </c>
      <c r="B2032" s="96" t="str">
        <f>IFERROR(VLOOKUP(Proc[[#This Row],[App]],Table2[],3,0),"open")</f>
        <v>ok</v>
      </c>
      <c r="C2032" s="95" t="s">
        <v>369</v>
      </c>
      <c r="D2032" t="s">
        <v>3868</v>
      </c>
      <c r="E2032" t="s">
        <v>4069</v>
      </c>
      <c r="F2032" s="105" t="s">
        <v>4069</v>
      </c>
      <c r="G2032" s="95" t="s">
        <v>400</v>
      </c>
      <c r="H2032" s="96" t="str">
        <f>IF(Proc[[#This Row],[type]]="LFF (MDG-F)",MID(Proc[[#This Row],[Obj]],13,10),"")</f>
        <v/>
      </c>
      <c r="J2032" s="96" t="b">
        <f>Proc[[#This Row],[Requested]]=Proc[[#This Row],[CurrentParent]]</f>
        <v>1</v>
      </c>
      <c r="K2032" s="96" t="str">
        <f>IF(Proc[[#This Row],[Author]]="Marcela Urrego",VLOOKUP(LEFT(Proc[[#This Row],[Requested]],1),Table3[#All],2,0),VLOOKUP(Proc[[#This Row],[Author]],Table4[],2,0))</f>
        <v>HC</v>
      </c>
      <c r="L2032" s="96"/>
      <c r="M2032" s="92">
        <v>45807.678356481483</v>
      </c>
      <c r="N2032" s="93">
        <v>45810</v>
      </c>
      <c r="O2032" s="93">
        <v>45810</v>
      </c>
      <c r="P2032" s="92" t="str">
        <f ca="1">IF(Proc[[#This Row],[DaysAgeing]]&gt;5,"yep","on track")</f>
        <v>on track</v>
      </c>
      <c r="Q2032" s="3">
        <f ca="1">IF(Proc[[#This Row],[DateClosed]]="",ABS(NETWORKDAYS(Proc[[#This Row],[DateOpened]],TODAY()))-1,ABS(NETWORKDAYS(Proc[[#This Row],[DateOpened]],Proc[[#This Row],[DateClosed]]))-1)</f>
        <v>1</v>
      </c>
      <c r="R2032" s="92" t="s">
        <v>1013</v>
      </c>
      <c r="S2032" s="96"/>
    </row>
    <row r="2033" spans="1:19" hidden="1">
      <c r="A2033" s="95" t="s">
        <v>3748</v>
      </c>
      <c r="B2033" s="96" t="str">
        <f>IFERROR(VLOOKUP(Proc[[#This Row],[App]],Table2[],3,0),"open")</f>
        <v>ok</v>
      </c>
      <c r="C2033" s="95" t="s">
        <v>369</v>
      </c>
      <c r="D2033" t="s">
        <v>3869</v>
      </c>
      <c r="E2033" t="s">
        <v>4069</v>
      </c>
      <c r="F2033" s="105" t="s">
        <v>4069</v>
      </c>
      <c r="G2033" s="95" t="s">
        <v>400</v>
      </c>
      <c r="H2033" s="96" t="str">
        <f>IF(Proc[[#This Row],[type]]="LFF (MDG-F)",MID(Proc[[#This Row],[Obj]],13,10),"")</f>
        <v/>
      </c>
      <c r="J2033" s="96" t="b">
        <f>Proc[[#This Row],[Requested]]=Proc[[#This Row],[CurrentParent]]</f>
        <v>1</v>
      </c>
      <c r="K2033" s="96" t="str">
        <f>IF(Proc[[#This Row],[Author]]="Marcela Urrego",VLOOKUP(LEFT(Proc[[#This Row],[Requested]],1),Table3[#All],2,0),VLOOKUP(Proc[[#This Row],[Author]],Table4[],2,0))</f>
        <v>HC</v>
      </c>
      <c r="L2033" s="96"/>
      <c r="M2033" s="92">
        <v>45807.678356481483</v>
      </c>
      <c r="N2033" s="93">
        <v>45810</v>
      </c>
      <c r="O2033" s="93">
        <v>45810</v>
      </c>
      <c r="P2033" s="92" t="str">
        <f ca="1">IF(Proc[[#This Row],[DaysAgeing]]&gt;5,"yep","on track")</f>
        <v>on track</v>
      </c>
      <c r="Q2033" s="3">
        <f ca="1">IF(Proc[[#This Row],[DateClosed]]="",ABS(NETWORKDAYS(Proc[[#This Row],[DateOpened]],TODAY()))-1,ABS(NETWORKDAYS(Proc[[#This Row],[DateOpened]],Proc[[#This Row],[DateClosed]]))-1)</f>
        <v>1</v>
      </c>
      <c r="R2033" s="92" t="s">
        <v>1013</v>
      </c>
      <c r="S2033" s="96"/>
    </row>
    <row r="2034" spans="1:19" hidden="1">
      <c r="A2034" s="95" t="s">
        <v>3748</v>
      </c>
      <c r="B2034" s="96" t="str">
        <f>IFERROR(VLOOKUP(Proc[[#This Row],[App]],Table2[],3,0),"open")</f>
        <v>ok</v>
      </c>
      <c r="C2034" s="95" t="s">
        <v>369</v>
      </c>
      <c r="D2034" t="s">
        <v>3870</v>
      </c>
      <c r="E2034" t="s">
        <v>4069</v>
      </c>
      <c r="F2034" s="105" t="s">
        <v>4069</v>
      </c>
      <c r="G2034" s="95" t="s">
        <v>400</v>
      </c>
      <c r="H2034" s="96" t="str">
        <f>IF(Proc[[#This Row],[type]]="LFF (MDG-F)",MID(Proc[[#This Row],[Obj]],13,10),"")</f>
        <v/>
      </c>
      <c r="J2034" s="96" t="b">
        <f>Proc[[#This Row],[Requested]]=Proc[[#This Row],[CurrentParent]]</f>
        <v>1</v>
      </c>
      <c r="K2034" s="96" t="str">
        <f>IF(Proc[[#This Row],[Author]]="Marcela Urrego",VLOOKUP(LEFT(Proc[[#This Row],[Requested]],1),Table3[#All],2,0),VLOOKUP(Proc[[#This Row],[Author]],Table4[],2,0))</f>
        <v>HC</v>
      </c>
      <c r="L2034" s="96"/>
      <c r="M2034" s="92">
        <v>45807.678356481483</v>
      </c>
      <c r="N2034" s="93">
        <v>45810</v>
      </c>
      <c r="O2034" s="93">
        <v>45810</v>
      </c>
      <c r="P2034" s="92" t="str">
        <f ca="1">IF(Proc[[#This Row],[DaysAgeing]]&gt;5,"yep","on track")</f>
        <v>on track</v>
      </c>
      <c r="Q2034" s="3">
        <f ca="1">IF(Proc[[#This Row],[DateClosed]]="",ABS(NETWORKDAYS(Proc[[#This Row],[DateOpened]],TODAY()))-1,ABS(NETWORKDAYS(Proc[[#This Row],[DateOpened]],Proc[[#This Row],[DateClosed]]))-1)</f>
        <v>1</v>
      </c>
      <c r="R2034" s="92" t="s">
        <v>1013</v>
      </c>
      <c r="S2034" s="96"/>
    </row>
    <row r="2035" spans="1:19" hidden="1">
      <c r="A2035" s="95" t="s">
        <v>3748</v>
      </c>
      <c r="B2035" s="96" t="str">
        <f>IFERROR(VLOOKUP(Proc[[#This Row],[App]],Table2[],3,0),"open")</f>
        <v>ok</v>
      </c>
      <c r="C2035" s="95" t="s">
        <v>369</v>
      </c>
      <c r="D2035" t="s">
        <v>3871</v>
      </c>
      <c r="E2035" t="s">
        <v>4069</v>
      </c>
      <c r="F2035" s="105" t="s">
        <v>4069</v>
      </c>
      <c r="G2035" s="95" t="s">
        <v>400</v>
      </c>
      <c r="H2035" s="96" t="str">
        <f>IF(Proc[[#This Row],[type]]="LFF (MDG-F)",MID(Proc[[#This Row],[Obj]],13,10),"")</f>
        <v/>
      </c>
      <c r="J2035" s="96" t="b">
        <f>Proc[[#This Row],[Requested]]=Proc[[#This Row],[CurrentParent]]</f>
        <v>1</v>
      </c>
      <c r="K2035" s="96" t="str">
        <f>IF(Proc[[#This Row],[Author]]="Marcela Urrego",VLOOKUP(LEFT(Proc[[#This Row],[Requested]],1),Table3[#All],2,0),VLOOKUP(Proc[[#This Row],[Author]],Table4[],2,0))</f>
        <v>HC</v>
      </c>
      <c r="L2035" s="96"/>
      <c r="M2035" s="92">
        <v>45807.678356481483</v>
      </c>
      <c r="N2035" s="93">
        <v>45810</v>
      </c>
      <c r="O2035" s="93">
        <v>45810</v>
      </c>
      <c r="P2035" s="92" t="str">
        <f ca="1">IF(Proc[[#This Row],[DaysAgeing]]&gt;5,"yep","on track")</f>
        <v>on track</v>
      </c>
      <c r="Q2035" s="3">
        <f ca="1">IF(Proc[[#This Row],[DateClosed]]="",ABS(NETWORKDAYS(Proc[[#This Row],[DateOpened]],TODAY()))-1,ABS(NETWORKDAYS(Proc[[#This Row],[DateOpened]],Proc[[#This Row],[DateClosed]]))-1)</f>
        <v>1</v>
      </c>
      <c r="R2035" s="92" t="s">
        <v>1013</v>
      </c>
      <c r="S2035" s="96"/>
    </row>
    <row r="2036" spans="1:19" hidden="1">
      <c r="A2036" s="95" t="s">
        <v>3748</v>
      </c>
      <c r="B2036" s="96" t="str">
        <f>IFERROR(VLOOKUP(Proc[[#This Row],[App]],Table2[],3,0),"open")</f>
        <v>ok</v>
      </c>
      <c r="C2036" s="95" t="s">
        <v>369</v>
      </c>
      <c r="D2036" t="s">
        <v>3872</v>
      </c>
      <c r="E2036" t="s">
        <v>4069</v>
      </c>
      <c r="F2036" s="105" t="s">
        <v>4069</v>
      </c>
      <c r="G2036" s="95" t="s">
        <v>400</v>
      </c>
      <c r="H2036" s="96" t="str">
        <f>IF(Proc[[#This Row],[type]]="LFF (MDG-F)",MID(Proc[[#This Row],[Obj]],13,10),"")</f>
        <v/>
      </c>
      <c r="J2036" s="96" t="b">
        <f>Proc[[#This Row],[Requested]]=Proc[[#This Row],[CurrentParent]]</f>
        <v>1</v>
      </c>
      <c r="K2036" s="96" t="str">
        <f>IF(Proc[[#This Row],[Author]]="Marcela Urrego",VLOOKUP(LEFT(Proc[[#This Row],[Requested]],1),Table3[#All],2,0),VLOOKUP(Proc[[#This Row],[Author]],Table4[],2,0))</f>
        <v>HC</v>
      </c>
      <c r="L2036" s="96"/>
      <c r="M2036" s="92">
        <v>45807.678356481483</v>
      </c>
      <c r="N2036" s="93">
        <v>45810</v>
      </c>
      <c r="O2036" s="93">
        <v>45810</v>
      </c>
      <c r="P2036" s="92" t="str">
        <f ca="1">IF(Proc[[#This Row],[DaysAgeing]]&gt;5,"yep","on track")</f>
        <v>on track</v>
      </c>
      <c r="Q2036" s="3">
        <f ca="1">IF(Proc[[#This Row],[DateClosed]]="",ABS(NETWORKDAYS(Proc[[#This Row],[DateOpened]],TODAY()))-1,ABS(NETWORKDAYS(Proc[[#This Row],[DateOpened]],Proc[[#This Row],[DateClosed]]))-1)</f>
        <v>1</v>
      </c>
      <c r="R2036" s="92" t="s">
        <v>1013</v>
      </c>
      <c r="S2036" s="96"/>
    </row>
    <row r="2037" spans="1:19" hidden="1">
      <c r="A2037" s="95" t="s">
        <v>3748</v>
      </c>
      <c r="B2037" s="96" t="str">
        <f>IFERROR(VLOOKUP(Proc[[#This Row],[App]],Table2[],3,0),"open")</f>
        <v>ok</v>
      </c>
      <c r="C2037" s="95" t="s">
        <v>369</v>
      </c>
      <c r="D2037" t="s">
        <v>3873</v>
      </c>
      <c r="E2037" t="s">
        <v>4069</v>
      </c>
      <c r="F2037" s="105" t="s">
        <v>4069</v>
      </c>
      <c r="G2037" s="95" t="s">
        <v>400</v>
      </c>
      <c r="H2037" s="96" t="str">
        <f>IF(Proc[[#This Row],[type]]="LFF (MDG-F)",MID(Proc[[#This Row],[Obj]],13,10),"")</f>
        <v/>
      </c>
      <c r="J2037" s="96" t="b">
        <f>Proc[[#This Row],[Requested]]=Proc[[#This Row],[CurrentParent]]</f>
        <v>1</v>
      </c>
      <c r="K2037" s="96" t="str">
        <f>IF(Proc[[#This Row],[Author]]="Marcela Urrego",VLOOKUP(LEFT(Proc[[#This Row],[Requested]],1),Table3[#All],2,0),VLOOKUP(Proc[[#This Row],[Author]],Table4[],2,0))</f>
        <v>HC</v>
      </c>
      <c r="L2037" s="96"/>
      <c r="M2037" s="92">
        <v>45807.678356481483</v>
      </c>
      <c r="N2037" s="93">
        <v>45810</v>
      </c>
      <c r="O2037" s="93">
        <v>45810</v>
      </c>
      <c r="P2037" s="92" t="str">
        <f ca="1">IF(Proc[[#This Row],[DaysAgeing]]&gt;5,"yep","on track")</f>
        <v>on track</v>
      </c>
      <c r="Q2037" s="3">
        <f ca="1">IF(Proc[[#This Row],[DateClosed]]="",ABS(NETWORKDAYS(Proc[[#This Row],[DateOpened]],TODAY()))-1,ABS(NETWORKDAYS(Proc[[#This Row],[DateOpened]],Proc[[#This Row],[DateClosed]]))-1)</f>
        <v>1</v>
      </c>
      <c r="R2037" s="92" t="s">
        <v>1013</v>
      </c>
      <c r="S2037" s="96"/>
    </row>
    <row r="2038" spans="1:19" hidden="1">
      <c r="A2038" s="95" t="s">
        <v>3748</v>
      </c>
      <c r="B2038" s="96" t="str">
        <f>IFERROR(VLOOKUP(Proc[[#This Row],[App]],Table2[],3,0),"open")</f>
        <v>ok</v>
      </c>
      <c r="C2038" s="95" t="s">
        <v>369</v>
      </c>
      <c r="D2038" t="s">
        <v>3874</v>
      </c>
      <c r="E2038" t="s">
        <v>4069</v>
      </c>
      <c r="F2038" s="105" t="s">
        <v>4069</v>
      </c>
      <c r="G2038" s="95" t="s">
        <v>400</v>
      </c>
      <c r="H2038" s="96" t="str">
        <f>IF(Proc[[#This Row],[type]]="LFF (MDG-F)",MID(Proc[[#This Row],[Obj]],13,10),"")</f>
        <v/>
      </c>
      <c r="J2038" s="96" t="b">
        <f>Proc[[#This Row],[Requested]]=Proc[[#This Row],[CurrentParent]]</f>
        <v>1</v>
      </c>
      <c r="K2038" s="96" t="str">
        <f>IF(Proc[[#This Row],[Author]]="Marcela Urrego",VLOOKUP(LEFT(Proc[[#This Row],[Requested]],1),Table3[#All],2,0),VLOOKUP(Proc[[#This Row],[Author]],Table4[],2,0))</f>
        <v>HC</v>
      </c>
      <c r="L2038" s="96"/>
      <c r="M2038" s="92">
        <v>45807.678356481483</v>
      </c>
      <c r="N2038" s="93">
        <v>45810</v>
      </c>
      <c r="O2038" s="93">
        <v>45810</v>
      </c>
      <c r="P2038" s="92" t="str">
        <f ca="1">IF(Proc[[#This Row],[DaysAgeing]]&gt;5,"yep","on track")</f>
        <v>on track</v>
      </c>
      <c r="Q2038" s="3">
        <f ca="1">IF(Proc[[#This Row],[DateClosed]]="",ABS(NETWORKDAYS(Proc[[#This Row],[DateOpened]],TODAY()))-1,ABS(NETWORKDAYS(Proc[[#This Row],[DateOpened]],Proc[[#This Row],[DateClosed]]))-1)</f>
        <v>1</v>
      </c>
      <c r="R2038" s="92" t="s">
        <v>1013</v>
      </c>
      <c r="S2038" s="96"/>
    </row>
    <row r="2039" spans="1:19" hidden="1">
      <c r="A2039" s="95" t="s">
        <v>3748</v>
      </c>
      <c r="B2039" s="96" t="str">
        <f>IFERROR(VLOOKUP(Proc[[#This Row],[App]],Table2[],3,0),"open")</f>
        <v>ok</v>
      </c>
      <c r="C2039" s="95" t="s">
        <v>369</v>
      </c>
      <c r="D2039" t="s">
        <v>3875</v>
      </c>
      <c r="E2039" t="s">
        <v>4069</v>
      </c>
      <c r="F2039" s="105" t="s">
        <v>4069</v>
      </c>
      <c r="G2039" s="95" t="s">
        <v>400</v>
      </c>
      <c r="H2039" s="96" t="str">
        <f>IF(Proc[[#This Row],[type]]="LFF (MDG-F)",MID(Proc[[#This Row],[Obj]],13,10),"")</f>
        <v/>
      </c>
      <c r="J2039" s="96" t="b">
        <f>Proc[[#This Row],[Requested]]=Proc[[#This Row],[CurrentParent]]</f>
        <v>1</v>
      </c>
      <c r="K2039" s="96" t="str">
        <f>IF(Proc[[#This Row],[Author]]="Marcela Urrego",VLOOKUP(LEFT(Proc[[#This Row],[Requested]],1),Table3[#All],2,0),VLOOKUP(Proc[[#This Row],[Author]],Table4[],2,0))</f>
        <v>HC</v>
      </c>
      <c r="L2039" s="96"/>
      <c r="M2039" s="92">
        <v>45807.678356481483</v>
      </c>
      <c r="N2039" s="93">
        <v>45810</v>
      </c>
      <c r="O2039" s="93">
        <v>45810</v>
      </c>
      <c r="P2039" s="92" t="str">
        <f ca="1">IF(Proc[[#This Row],[DaysAgeing]]&gt;5,"yep","on track")</f>
        <v>on track</v>
      </c>
      <c r="Q2039" s="3">
        <f ca="1">IF(Proc[[#This Row],[DateClosed]]="",ABS(NETWORKDAYS(Proc[[#This Row],[DateOpened]],TODAY()))-1,ABS(NETWORKDAYS(Proc[[#This Row],[DateOpened]],Proc[[#This Row],[DateClosed]]))-1)</f>
        <v>1</v>
      </c>
      <c r="R2039" s="92" t="s">
        <v>1013</v>
      </c>
      <c r="S2039" s="96"/>
    </row>
    <row r="2040" spans="1:19" hidden="1">
      <c r="A2040" s="95" t="s">
        <v>3748</v>
      </c>
      <c r="B2040" s="96" t="str">
        <f>IFERROR(VLOOKUP(Proc[[#This Row],[App]],Table2[],3,0),"open")</f>
        <v>ok</v>
      </c>
      <c r="C2040" s="95" t="s">
        <v>369</v>
      </c>
      <c r="D2040" t="s">
        <v>3876</v>
      </c>
      <c r="E2040" t="s">
        <v>4069</v>
      </c>
      <c r="F2040" s="105" t="s">
        <v>4069</v>
      </c>
      <c r="G2040" s="95" t="s">
        <v>400</v>
      </c>
      <c r="H2040" s="96" t="str">
        <f>IF(Proc[[#This Row],[type]]="LFF (MDG-F)",MID(Proc[[#This Row],[Obj]],13,10),"")</f>
        <v/>
      </c>
      <c r="J2040" s="96" t="b">
        <f>Proc[[#This Row],[Requested]]=Proc[[#This Row],[CurrentParent]]</f>
        <v>1</v>
      </c>
      <c r="K2040" s="96" t="str">
        <f>IF(Proc[[#This Row],[Author]]="Marcela Urrego",VLOOKUP(LEFT(Proc[[#This Row],[Requested]],1),Table3[#All],2,0),VLOOKUP(Proc[[#This Row],[Author]],Table4[],2,0))</f>
        <v>HC</v>
      </c>
      <c r="L2040" s="96"/>
      <c r="M2040" s="92">
        <v>45807.678356481483</v>
      </c>
      <c r="N2040" s="93">
        <v>45810</v>
      </c>
      <c r="O2040" s="93">
        <v>45810</v>
      </c>
      <c r="P2040" s="92" t="str">
        <f ca="1">IF(Proc[[#This Row],[DaysAgeing]]&gt;5,"yep","on track")</f>
        <v>on track</v>
      </c>
      <c r="Q2040" s="3">
        <f ca="1">IF(Proc[[#This Row],[DateClosed]]="",ABS(NETWORKDAYS(Proc[[#This Row],[DateOpened]],TODAY()))-1,ABS(NETWORKDAYS(Proc[[#This Row],[DateOpened]],Proc[[#This Row],[DateClosed]]))-1)</f>
        <v>1</v>
      </c>
      <c r="R2040" s="92" t="s">
        <v>1013</v>
      </c>
      <c r="S2040" s="96"/>
    </row>
    <row r="2041" spans="1:19" hidden="1">
      <c r="A2041" s="95" t="s">
        <v>3748</v>
      </c>
      <c r="B2041" s="96" t="str">
        <f>IFERROR(VLOOKUP(Proc[[#This Row],[App]],Table2[],3,0),"open")</f>
        <v>ok</v>
      </c>
      <c r="C2041" s="95" t="s">
        <v>369</v>
      </c>
      <c r="D2041" t="s">
        <v>3877</v>
      </c>
      <c r="E2041" t="s">
        <v>4069</v>
      </c>
      <c r="F2041" s="105" t="s">
        <v>4069</v>
      </c>
      <c r="G2041" s="95" t="s">
        <v>400</v>
      </c>
      <c r="H2041" s="96" t="str">
        <f>IF(Proc[[#This Row],[type]]="LFF (MDG-F)",MID(Proc[[#This Row],[Obj]],13,10),"")</f>
        <v/>
      </c>
      <c r="J2041" s="96" t="b">
        <f>Proc[[#This Row],[Requested]]=Proc[[#This Row],[CurrentParent]]</f>
        <v>1</v>
      </c>
      <c r="K2041" s="96" t="str">
        <f>IF(Proc[[#This Row],[Author]]="Marcela Urrego",VLOOKUP(LEFT(Proc[[#This Row],[Requested]],1),Table3[#All],2,0),VLOOKUP(Proc[[#This Row],[Author]],Table4[],2,0))</f>
        <v>HC</v>
      </c>
      <c r="L2041" s="96"/>
      <c r="M2041" s="92">
        <v>45807.678356481483</v>
      </c>
      <c r="N2041" s="93">
        <v>45810</v>
      </c>
      <c r="O2041" s="93">
        <v>45810</v>
      </c>
      <c r="P2041" s="92" t="str">
        <f ca="1">IF(Proc[[#This Row],[DaysAgeing]]&gt;5,"yep","on track")</f>
        <v>on track</v>
      </c>
      <c r="Q2041" s="3">
        <f ca="1">IF(Proc[[#This Row],[DateClosed]]="",ABS(NETWORKDAYS(Proc[[#This Row],[DateOpened]],TODAY()))-1,ABS(NETWORKDAYS(Proc[[#This Row],[DateOpened]],Proc[[#This Row],[DateClosed]]))-1)</f>
        <v>1</v>
      </c>
      <c r="R2041" s="92" t="s">
        <v>1013</v>
      </c>
      <c r="S2041" s="96"/>
    </row>
    <row r="2042" spans="1:19" hidden="1">
      <c r="A2042" s="95" t="s">
        <v>3748</v>
      </c>
      <c r="B2042" s="96" t="str">
        <f>IFERROR(VLOOKUP(Proc[[#This Row],[App]],Table2[],3,0),"open")</f>
        <v>ok</v>
      </c>
      <c r="C2042" s="95" t="s">
        <v>369</v>
      </c>
      <c r="D2042" t="s">
        <v>3878</v>
      </c>
      <c r="E2042" t="s">
        <v>4069</v>
      </c>
      <c r="F2042" s="105" t="s">
        <v>4069</v>
      </c>
      <c r="G2042" s="95" t="s">
        <v>400</v>
      </c>
      <c r="H2042" s="96" t="str">
        <f>IF(Proc[[#This Row],[type]]="LFF (MDG-F)",MID(Proc[[#This Row],[Obj]],13,10),"")</f>
        <v/>
      </c>
      <c r="J2042" s="96" t="b">
        <f>Proc[[#This Row],[Requested]]=Proc[[#This Row],[CurrentParent]]</f>
        <v>1</v>
      </c>
      <c r="K2042" s="96" t="str">
        <f>IF(Proc[[#This Row],[Author]]="Marcela Urrego",VLOOKUP(LEFT(Proc[[#This Row],[Requested]],1),Table3[#All],2,0),VLOOKUP(Proc[[#This Row],[Author]],Table4[],2,0))</f>
        <v>HC</v>
      </c>
      <c r="L2042" s="96"/>
      <c r="M2042" s="92">
        <v>45807.678356481483</v>
      </c>
      <c r="N2042" s="93">
        <v>45810</v>
      </c>
      <c r="O2042" s="93">
        <v>45810</v>
      </c>
      <c r="P2042" s="92" t="str">
        <f ca="1">IF(Proc[[#This Row],[DaysAgeing]]&gt;5,"yep","on track")</f>
        <v>on track</v>
      </c>
      <c r="Q2042" s="3">
        <f ca="1">IF(Proc[[#This Row],[DateClosed]]="",ABS(NETWORKDAYS(Proc[[#This Row],[DateOpened]],TODAY()))-1,ABS(NETWORKDAYS(Proc[[#This Row],[DateOpened]],Proc[[#This Row],[DateClosed]]))-1)</f>
        <v>1</v>
      </c>
      <c r="R2042" s="92" t="s">
        <v>1013</v>
      </c>
      <c r="S2042" s="96"/>
    </row>
    <row r="2043" spans="1:19" hidden="1">
      <c r="A2043" s="95" t="s">
        <v>3748</v>
      </c>
      <c r="B2043" s="96" t="str">
        <f>IFERROR(VLOOKUP(Proc[[#This Row],[App]],Table2[],3,0),"open")</f>
        <v>ok</v>
      </c>
      <c r="C2043" s="95" t="s">
        <v>369</v>
      </c>
      <c r="D2043" t="s">
        <v>3879</v>
      </c>
      <c r="E2043" t="s">
        <v>4069</v>
      </c>
      <c r="F2043" s="105" t="s">
        <v>4069</v>
      </c>
      <c r="G2043" s="95" t="s">
        <v>400</v>
      </c>
      <c r="H2043" s="96" t="str">
        <f>IF(Proc[[#This Row],[type]]="LFF (MDG-F)",MID(Proc[[#This Row],[Obj]],13,10),"")</f>
        <v/>
      </c>
      <c r="J2043" s="96" t="b">
        <f>Proc[[#This Row],[Requested]]=Proc[[#This Row],[CurrentParent]]</f>
        <v>1</v>
      </c>
      <c r="K2043" s="96" t="str">
        <f>IF(Proc[[#This Row],[Author]]="Marcela Urrego",VLOOKUP(LEFT(Proc[[#This Row],[Requested]],1),Table3[#All],2,0),VLOOKUP(Proc[[#This Row],[Author]],Table4[],2,0))</f>
        <v>HC</v>
      </c>
      <c r="L2043" s="96"/>
      <c r="M2043" s="92">
        <v>45807.678356481483</v>
      </c>
      <c r="N2043" s="93">
        <v>45810</v>
      </c>
      <c r="O2043" s="93">
        <v>45810</v>
      </c>
      <c r="P2043" s="92" t="str">
        <f ca="1">IF(Proc[[#This Row],[DaysAgeing]]&gt;5,"yep","on track")</f>
        <v>on track</v>
      </c>
      <c r="Q2043" s="3">
        <f ca="1">IF(Proc[[#This Row],[DateClosed]]="",ABS(NETWORKDAYS(Proc[[#This Row],[DateOpened]],TODAY()))-1,ABS(NETWORKDAYS(Proc[[#This Row],[DateOpened]],Proc[[#This Row],[DateClosed]]))-1)</f>
        <v>1</v>
      </c>
      <c r="R2043" s="92" t="s">
        <v>1013</v>
      </c>
      <c r="S2043" s="96"/>
    </row>
    <row r="2044" spans="1:19" hidden="1">
      <c r="A2044" s="95" t="s">
        <v>3748</v>
      </c>
      <c r="B2044" s="96" t="str">
        <f>IFERROR(VLOOKUP(Proc[[#This Row],[App]],Table2[],3,0),"open")</f>
        <v>ok</v>
      </c>
      <c r="C2044" s="95" t="s">
        <v>369</v>
      </c>
      <c r="D2044" t="s">
        <v>3880</v>
      </c>
      <c r="E2044" t="s">
        <v>4069</v>
      </c>
      <c r="F2044" s="105" t="s">
        <v>4069</v>
      </c>
      <c r="G2044" s="95" t="s">
        <v>400</v>
      </c>
      <c r="H2044" s="96" t="str">
        <f>IF(Proc[[#This Row],[type]]="LFF (MDG-F)",MID(Proc[[#This Row],[Obj]],13,10),"")</f>
        <v/>
      </c>
      <c r="J2044" s="96" t="b">
        <f>Proc[[#This Row],[Requested]]=Proc[[#This Row],[CurrentParent]]</f>
        <v>1</v>
      </c>
      <c r="K2044" s="96" t="str">
        <f>IF(Proc[[#This Row],[Author]]="Marcela Urrego",VLOOKUP(LEFT(Proc[[#This Row],[Requested]],1),Table3[#All],2,0),VLOOKUP(Proc[[#This Row],[Author]],Table4[],2,0))</f>
        <v>HC</v>
      </c>
      <c r="L2044" s="96"/>
      <c r="M2044" s="92">
        <v>45807.678356481483</v>
      </c>
      <c r="N2044" s="93">
        <v>45810</v>
      </c>
      <c r="O2044" s="93">
        <v>45810</v>
      </c>
      <c r="P2044" s="92" t="str">
        <f ca="1">IF(Proc[[#This Row],[DaysAgeing]]&gt;5,"yep","on track")</f>
        <v>on track</v>
      </c>
      <c r="Q2044" s="3">
        <f ca="1">IF(Proc[[#This Row],[DateClosed]]="",ABS(NETWORKDAYS(Proc[[#This Row],[DateOpened]],TODAY()))-1,ABS(NETWORKDAYS(Proc[[#This Row],[DateOpened]],Proc[[#This Row],[DateClosed]]))-1)</f>
        <v>1</v>
      </c>
      <c r="R2044" s="92" t="s">
        <v>1013</v>
      </c>
      <c r="S2044" s="96"/>
    </row>
    <row r="2045" spans="1:19" hidden="1">
      <c r="A2045" s="95" t="s">
        <v>3748</v>
      </c>
      <c r="B2045" s="96" t="str">
        <f>IFERROR(VLOOKUP(Proc[[#This Row],[App]],Table2[],3,0),"open")</f>
        <v>ok</v>
      </c>
      <c r="C2045" s="95" t="s">
        <v>369</v>
      </c>
      <c r="D2045" t="s">
        <v>3881</v>
      </c>
      <c r="E2045" t="s">
        <v>4069</v>
      </c>
      <c r="F2045" s="105" t="s">
        <v>4069</v>
      </c>
      <c r="G2045" s="95" t="s">
        <v>400</v>
      </c>
      <c r="H2045" s="96" t="str">
        <f>IF(Proc[[#This Row],[type]]="LFF (MDG-F)",MID(Proc[[#This Row],[Obj]],13,10),"")</f>
        <v/>
      </c>
      <c r="J2045" s="96" t="b">
        <f>Proc[[#This Row],[Requested]]=Proc[[#This Row],[CurrentParent]]</f>
        <v>1</v>
      </c>
      <c r="K2045" s="96" t="str">
        <f>IF(Proc[[#This Row],[Author]]="Marcela Urrego",VLOOKUP(LEFT(Proc[[#This Row],[Requested]],1),Table3[#All],2,0),VLOOKUP(Proc[[#This Row],[Author]],Table4[],2,0))</f>
        <v>HC</v>
      </c>
      <c r="L2045" s="96"/>
      <c r="M2045" s="92">
        <v>45807.678356481483</v>
      </c>
      <c r="N2045" s="93">
        <v>45810</v>
      </c>
      <c r="O2045" s="93">
        <v>45810</v>
      </c>
      <c r="P2045" s="92" t="str">
        <f ca="1">IF(Proc[[#This Row],[DaysAgeing]]&gt;5,"yep","on track")</f>
        <v>on track</v>
      </c>
      <c r="Q2045" s="3">
        <f ca="1">IF(Proc[[#This Row],[DateClosed]]="",ABS(NETWORKDAYS(Proc[[#This Row],[DateOpened]],TODAY()))-1,ABS(NETWORKDAYS(Proc[[#This Row],[DateOpened]],Proc[[#This Row],[DateClosed]]))-1)</f>
        <v>1</v>
      </c>
      <c r="R2045" s="92" t="s">
        <v>1013</v>
      </c>
      <c r="S2045" s="96"/>
    </row>
    <row r="2046" spans="1:19" hidden="1">
      <c r="A2046" s="95" t="s">
        <v>3748</v>
      </c>
      <c r="B2046" s="96" t="str">
        <f>IFERROR(VLOOKUP(Proc[[#This Row],[App]],Table2[],3,0),"open")</f>
        <v>ok</v>
      </c>
      <c r="C2046" s="95" t="s">
        <v>369</v>
      </c>
      <c r="D2046" t="s">
        <v>3882</v>
      </c>
      <c r="E2046" t="s">
        <v>2274</v>
      </c>
      <c r="F2046" s="105" t="s">
        <v>2274</v>
      </c>
      <c r="G2046" s="95" t="s">
        <v>400</v>
      </c>
      <c r="H2046" s="96" t="str">
        <f>IF(Proc[[#This Row],[type]]="LFF (MDG-F)",MID(Proc[[#This Row],[Obj]],13,10),"")</f>
        <v/>
      </c>
      <c r="J2046" s="96" t="b">
        <f>Proc[[#This Row],[Requested]]=Proc[[#This Row],[CurrentParent]]</f>
        <v>1</v>
      </c>
      <c r="K2046" s="96" t="str">
        <f>IF(Proc[[#This Row],[Author]]="Marcela Urrego",VLOOKUP(LEFT(Proc[[#This Row],[Requested]],1),Table3[#All],2,0),VLOOKUP(Proc[[#This Row],[Author]],Table4[],2,0))</f>
        <v>HC</v>
      </c>
      <c r="L2046" s="96"/>
      <c r="M2046" s="92">
        <v>45807.678356481483</v>
      </c>
      <c r="N2046" s="93">
        <v>45810</v>
      </c>
      <c r="O2046" s="93">
        <v>45810</v>
      </c>
      <c r="P2046" s="92" t="str">
        <f ca="1">IF(Proc[[#This Row],[DaysAgeing]]&gt;5,"yep","on track")</f>
        <v>on track</v>
      </c>
      <c r="Q2046" s="3">
        <f ca="1">IF(Proc[[#This Row],[DateClosed]]="",ABS(NETWORKDAYS(Proc[[#This Row],[DateOpened]],TODAY()))-1,ABS(NETWORKDAYS(Proc[[#This Row],[DateOpened]],Proc[[#This Row],[DateClosed]]))-1)</f>
        <v>1</v>
      </c>
      <c r="R2046" s="92" t="s">
        <v>1013</v>
      </c>
      <c r="S2046" s="96"/>
    </row>
    <row r="2047" spans="1:19" hidden="1">
      <c r="A2047" s="95" t="s">
        <v>3748</v>
      </c>
      <c r="B2047" s="96" t="str">
        <f>IFERROR(VLOOKUP(Proc[[#This Row],[App]],Table2[],3,0),"open")</f>
        <v>ok</v>
      </c>
      <c r="C2047" s="95" t="s">
        <v>369</v>
      </c>
      <c r="D2047" t="s">
        <v>3883</v>
      </c>
      <c r="E2047" t="s">
        <v>2274</v>
      </c>
      <c r="F2047" s="105" t="s">
        <v>2274</v>
      </c>
      <c r="G2047" s="95" t="s">
        <v>400</v>
      </c>
      <c r="H2047" s="96" t="str">
        <f>IF(Proc[[#This Row],[type]]="LFF (MDG-F)",MID(Proc[[#This Row],[Obj]],13,10),"")</f>
        <v/>
      </c>
      <c r="J2047" s="96" t="b">
        <f>Proc[[#This Row],[Requested]]=Proc[[#This Row],[CurrentParent]]</f>
        <v>1</v>
      </c>
      <c r="K2047" s="96" t="str">
        <f>IF(Proc[[#This Row],[Author]]="Marcela Urrego",VLOOKUP(LEFT(Proc[[#This Row],[Requested]],1),Table3[#All],2,0),VLOOKUP(Proc[[#This Row],[Author]],Table4[],2,0))</f>
        <v>HC</v>
      </c>
      <c r="L2047" s="96"/>
      <c r="M2047" s="92">
        <v>45807.678356481483</v>
      </c>
      <c r="N2047" s="93">
        <v>45810</v>
      </c>
      <c r="O2047" s="93">
        <v>45810</v>
      </c>
      <c r="P2047" s="92" t="str">
        <f ca="1">IF(Proc[[#This Row],[DaysAgeing]]&gt;5,"yep","on track")</f>
        <v>on track</v>
      </c>
      <c r="Q2047" s="3">
        <f ca="1">IF(Proc[[#This Row],[DateClosed]]="",ABS(NETWORKDAYS(Proc[[#This Row],[DateOpened]],TODAY()))-1,ABS(NETWORKDAYS(Proc[[#This Row],[DateOpened]],Proc[[#This Row],[DateClosed]]))-1)</f>
        <v>1</v>
      </c>
      <c r="R2047" s="92" t="s">
        <v>1013</v>
      </c>
      <c r="S2047" s="96"/>
    </row>
    <row r="2048" spans="1:19" hidden="1">
      <c r="A2048" s="95" t="s">
        <v>3748</v>
      </c>
      <c r="B2048" s="96" t="str">
        <f>IFERROR(VLOOKUP(Proc[[#This Row],[App]],Table2[],3,0),"open")</f>
        <v>ok</v>
      </c>
      <c r="C2048" s="95" t="s">
        <v>369</v>
      </c>
      <c r="D2048" t="s">
        <v>3884</v>
      </c>
      <c r="E2048" t="s">
        <v>4069</v>
      </c>
      <c r="F2048" s="105" t="s">
        <v>4069</v>
      </c>
      <c r="G2048" s="95" t="s">
        <v>400</v>
      </c>
      <c r="H2048" s="96" t="str">
        <f>IF(Proc[[#This Row],[type]]="LFF (MDG-F)",MID(Proc[[#This Row],[Obj]],13,10),"")</f>
        <v/>
      </c>
      <c r="J2048" s="96" t="b">
        <f>Proc[[#This Row],[Requested]]=Proc[[#This Row],[CurrentParent]]</f>
        <v>1</v>
      </c>
      <c r="K2048" s="96" t="str">
        <f>IF(Proc[[#This Row],[Author]]="Marcela Urrego",VLOOKUP(LEFT(Proc[[#This Row],[Requested]],1),Table3[#All],2,0),VLOOKUP(Proc[[#This Row],[Author]],Table4[],2,0))</f>
        <v>HC</v>
      </c>
      <c r="L2048" s="96"/>
      <c r="M2048" s="92">
        <v>45807.678356481483</v>
      </c>
      <c r="N2048" s="93">
        <v>45810</v>
      </c>
      <c r="O2048" s="93">
        <v>45810</v>
      </c>
      <c r="P2048" s="92" t="str">
        <f ca="1">IF(Proc[[#This Row],[DaysAgeing]]&gt;5,"yep","on track")</f>
        <v>on track</v>
      </c>
      <c r="Q2048" s="3">
        <f ca="1">IF(Proc[[#This Row],[DateClosed]]="",ABS(NETWORKDAYS(Proc[[#This Row],[DateOpened]],TODAY()))-1,ABS(NETWORKDAYS(Proc[[#This Row],[DateOpened]],Proc[[#This Row],[DateClosed]]))-1)</f>
        <v>1</v>
      </c>
      <c r="R2048" s="92" t="s">
        <v>1013</v>
      </c>
      <c r="S2048" s="96"/>
    </row>
    <row r="2049" spans="1:19" hidden="1">
      <c r="A2049" s="95" t="s">
        <v>3748</v>
      </c>
      <c r="B2049" s="96" t="str">
        <f>IFERROR(VLOOKUP(Proc[[#This Row],[App]],Table2[],3,0),"open")</f>
        <v>ok</v>
      </c>
      <c r="C2049" s="95" t="s">
        <v>369</v>
      </c>
      <c r="D2049" t="s">
        <v>3885</v>
      </c>
      <c r="E2049" t="s">
        <v>4069</v>
      </c>
      <c r="F2049" s="105" t="s">
        <v>4069</v>
      </c>
      <c r="G2049" s="95" t="s">
        <v>400</v>
      </c>
      <c r="H2049" s="96" t="str">
        <f>IF(Proc[[#This Row],[type]]="LFF (MDG-F)",MID(Proc[[#This Row],[Obj]],13,10),"")</f>
        <v/>
      </c>
      <c r="J2049" s="96" t="b">
        <f>Proc[[#This Row],[Requested]]=Proc[[#This Row],[CurrentParent]]</f>
        <v>1</v>
      </c>
      <c r="K2049" s="96" t="str">
        <f>IF(Proc[[#This Row],[Author]]="Marcela Urrego",VLOOKUP(LEFT(Proc[[#This Row],[Requested]],1),Table3[#All],2,0),VLOOKUP(Proc[[#This Row],[Author]],Table4[],2,0))</f>
        <v>HC</v>
      </c>
      <c r="L2049" s="96"/>
      <c r="M2049" s="92">
        <v>45807.678356481483</v>
      </c>
      <c r="N2049" s="93">
        <v>45810</v>
      </c>
      <c r="O2049" s="93">
        <v>45810</v>
      </c>
      <c r="P2049" s="92" t="str">
        <f ca="1">IF(Proc[[#This Row],[DaysAgeing]]&gt;5,"yep","on track")</f>
        <v>on track</v>
      </c>
      <c r="Q2049" s="3">
        <f ca="1">IF(Proc[[#This Row],[DateClosed]]="",ABS(NETWORKDAYS(Proc[[#This Row],[DateOpened]],TODAY()))-1,ABS(NETWORKDAYS(Proc[[#This Row],[DateOpened]],Proc[[#This Row],[DateClosed]]))-1)</f>
        <v>1</v>
      </c>
      <c r="R2049" s="92" t="s">
        <v>1013</v>
      </c>
      <c r="S2049" s="96"/>
    </row>
    <row r="2050" spans="1:19" hidden="1">
      <c r="A2050" s="95" t="s">
        <v>3748</v>
      </c>
      <c r="B2050" s="96" t="str">
        <f>IFERROR(VLOOKUP(Proc[[#This Row],[App]],Table2[],3,0),"open")</f>
        <v>ok</v>
      </c>
      <c r="C2050" s="95" t="s">
        <v>369</v>
      </c>
      <c r="D2050" t="s">
        <v>3886</v>
      </c>
      <c r="E2050" t="s">
        <v>4069</v>
      </c>
      <c r="F2050" s="105" t="s">
        <v>4069</v>
      </c>
      <c r="G2050" s="95" t="s">
        <v>400</v>
      </c>
      <c r="H2050" s="96" t="str">
        <f>IF(Proc[[#This Row],[type]]="LFF (MDG-F)",MID(Proc[[#This Row],[Obj]],13,10),"")</f>
        <v/>
      </c>
      <c r="J2050" s="96" t="b">
        <f>Proc[[#This Row],[Requested]]=Proc[[#This Row],[CurrentParent]]</f>
        <v>1</v>
      </c>
      <c r="K2050" s="96" t="str">
        <f>IF(Proc[[#This Row],[Author]]="Marcela Urrego",VLOOKUP(LEFT(Proc[[#This Row],[Requested]],1),Table3[#All],2,0),VLOOKUP(Proc[[#This Row],[Author]],Table4[],2,0))</f>
        <v>HC</v>
      </c>
      <c r="L2050" s="96"/>
      <c r="M2050" s="92">
        <v>45807.678356481483</v>
      </c>
      <c r="N2050" s="93">
        <v>45810</v>
      </c>
      <c r="O2050" s="93">
        <v>45810</v>
      </c>
      <c r="P2050" s="92" t="str">
        <f ca="1">IF(Proc[[#This Row],[DaysAgeing]]&gt;5,"yep","on track")</f>
        <v>on track</v>
      </c>
      <c r="Q2050" s="3">
        <f ca="1">IF(Proc[[#This Row],[DateClosed]]="",ABS(NETWORKDAYS(Proc[[#This Row],[DateOpened]],TODAY()))-1,ABS(NETWORKDAYS(Proc[[#This Row],[DateOpened]],Proc[[#This Row],[DateClosed]]))-1)</f>
        <v>1</v>
      </c>
      <c r="R2050" s="92" t="s">
        <v>1013</v>
      </c>
      <c r="S2050" s="96"/>
    </row>
    <row r="2051" spans="1:19" hidden="1">
      <c r="A2051" s="95" t="s">
        <v>3748</v>
      </c>
      <c r="B2051" s="96" t="str">
        <f>IFERROR(VLOOKUP(Proc[[#This Row],[App]],Table2[],3,0),"open")</f>
        <v>ok</v>
      </c>
      <c r="C2051" s="95" t="s">
        <v>369</v>
      </c>
      <c r="D2051" t="s">
        <v>3887</v>
      </c>
      <c r="E2051" t="s">
        <v>4069</v>
      </c>
      <c r="F2051" s="105" t="s">
        <v>4069</v>
      </c>
      <c r="G2051" s="95" t="s">
        <v>400</v>
      </c>
      <c r="H2051" s="96" t="str">
        <f>IF(Proc[[#This Row],[type]]="LFF (MDG-F)",MID(Proc[[#This Row],[Obj]],13,10),"")</f>
        <v/>
      </c>
      <c r="J2051" s="96" t="b">
        <f>Proc[[#This Row],[Requested]]=Proc[[#This Row],[CurrentParent]]</f>
        <v>1</v>
      </c>
      <c r="K2051" s="96" t="str">
        <f>IF(Proc[[#This Row],[Author]]="Marcela Urrego",VLOOKUP(LEFT(Proc[[#This Row],[Requested]],1),Table3[#All],2,0),VLOOKUP(Proc[[#This Row],[Author]],Table4[],2,0))</f>
        <v>HC</v>
      </c>
      <c r="L2051" s="96"/>
      <c r="M2051" s="92">
        <v>45807.678356481483</v>
      </c>
      <c r="N2051" s="93">
        <v>45810</v>
      </c>
      <c r="O2051" s="93">
        <v>45810</v>
      </c>
      <c r="P2051" s="92" t="str">
        <f ca="1">IF(Proc[[#This Row],[DaysAgeing]]&gt;5,"yep","on track")</f>
        <v>on track</v>
      </c>
      <c r="Q2051" s="3">
        <f ca="1">IF(Proc[[#This Row],[DateClosed]]="",ABS(NETWORKDAYS(Proc[[#This Row],[DateOpened]],TODAY()))-1,ABS(NETWORKDAYS(Proc[[#This Row],[DateOpened]],Proc[[#This Row],[DateClosed]]))-1)</f>
        <v>1</v>
      </c>
      <c r="R2051" s="92" t="s">
        <v>1013</v>
      </c>
      <c r="S2051" s="96"/>
    </row>
    <row r="2052" spans="1:19" hidden="1">
      <c r="A2052" s="95" t="s">
        <v>3748</v>
      </c>
      <c r="B2052" s="96" t="str">
        <f>IFERROR(VLOOKUP(Proc[[#This Row],[App]],Table2[],3,0),"open")</f>
        <v>ok</v>
      </c>
      <c r="C2052" s="95" t="s">
        <v>369</v>
      </c>
      <c r="D2052" t="s">
        <v>3888</v>
      </c>
      <c r="E2052" t="s">
        <v>4069</v>
      </c>
      <c r="F2052" s="105" t="s">
        <v>4069</v>
      </c>
      <c r="G2052" s="95" t="s">
        <v>400</v>
      </c>
      <c r="H2052" s="96" t="str">
        <f>IF(Proc[[#This Row],[type]]="LFF (MDG-F)",MID(Proc[[#This Row],[Obj]],13,10),"")</f>
        <v/>
      </c>
      <c r="J2052" s="96" t="b">
        <f>Proc[[#This Row],[Requested]]=Proc[[#This Row],[CurrentParent]]</f>
        <v>1</v>
      </c>
      <c r="K2052" s="96" t="str">
        <f>IF(Proc[[#This Row],[Author]]="Marcela Urrego",VLOOKUP(LEFT(Proc[[#This Row],[Requested]],1),Table3[#All],2,0),VLOOKUP(Proc[[#This Row],[Author]],Table4[],2,0))</f>
        <v>HC</v>
      </c>
      <c r="L2052" s="96"/>
      <c r="M2052" s="92">
        <v>45807.678356481483</v>
      </c>
      <c r="N2052" s="93">
        <v>45810</v>
      </c>
      <c r="O2052" s="93">
        <v>45810</v>
      </c>
      <c r="P2052" s="92" t="str">
        <f ca="1">IF(Proc[[#This Row],[DaysAgeing]]&gt;5,"yep","on track")</f>
        <v>on track</v>
      </c>
      <c r="Q2052" s="3">
        <f ca="1">IF(Proc[[#This Row],[DateClosed]]="",ABS(NETWORKDAYS(Proc[[#This Row],[DateOpened]],TODAY()))-1,ABS(NETWORKDAYS(Proc[[#This Row],[DateOpened]],Proc[[#This Row],[DateClosed]]))-1)</f>
        <v>1</v>
      </c>
      <c r="R2052" s="92" t="s">
        <v>1013</v>
      </c>
      <c r="S2052" s="96"/>
    </row>
    <row r="2053" spans="1:19" hidden="1">
      <c r="A2053" s="95" t="s">
        <v>3748</v>
      </c>
      <c r="B2053" s="96" t="str">
        <f>IFERROR(VLOOKUP(Proc[[#This Row],[App]],Table2[],3,0),"open")</f>
        <v>ok</v>
      </c>
      <c r="C2053" s="95" t="s">
        <v>369</v>
      </c>
      <c r="D2053" t="s">
        <v>3889</v>
      </c>
      <c r="E2053" t="s">
        <v>4069</v>
      </c>
      <c r="F2053" s="105" t="s">
        <v>4069</v>
      </c>
      <c r="G2053" s="95" t="s">
        <v>400</v>
      </c>
      <c r="H2053" s="96" t="str">
        <f>IF(Proc[[#This Row],[type]]="LFF (MDG-F)",MID(Proc[[#This Row],[Obj]],13,10),"")</f>
        <v/>
      </c>
      <c r="J2053" s="96" t="b">
        <f>Proc[[#This Row],[Requested]]=Proc[[#This Row],[CurrentParent]]</f>
        <v>1</v>
      </c>
      <c r="K2053" s="96" t="str">
        <f>IF(Proc[[#This Row],[Author]]="Marcela Urrego",VLOOKUP(LEFT(Proc[[#This Row],[Requested]],1),Table3[#All],2,0),VLOOKUP(Proc[[#This Row],[Author]],Table4[],2,0))</f>
        <v>HC</v>
      </c>
      <c r="L2053" s="96"/>
      <c r="M2053" s="92">
        <v>45807.678356481483</v>
      </c>
      <c r="N2053" s="93">
        <v>45810</v>
      </c>
      <c r="O2053" s="93">
        <v>45810</v>
      </c>
      <c r="P2053" s="92" t="str">
        <f ca="1">IF(Proc[[#This Row],[DaysAgeing]]&gt;5,"yep","on track")</f>
        <v>on track</v>
      </c>
      <c r="Q2053" s="3">
        <f ca="1">IF(Proc[[#This Row],[DateClosed]]="",ABS(NETWORKDAYS(Proc[[#This Row],[DateOpened]],TODAY()))-1,ABS(NETWORKDAYS(Proc[[#This Row],[DateOpened]],Proc[[#This Row],[DateClosed]]))-1)</f>
        <v>1</v>
      </c>
      <c r="R2053" s="92" t="s">
        <v>1013</v>
      </c>
      <c r="S2053" s="96"/>
    </row>
    <row r="2054" spans="1:19" hidden="1">
      <c r="A2054" s="95" t="s">
        <v>3748</v>
      </c>
      <c r="B2054" s="96" t="str">
        <f>IFERROR(VLOOKUP(Proc[[#This Row],[App]],Table2[],3,0),"open")</f>
        <v>ok</v>
      </c>
      <c r="C2054" s="95" t="s">
        <v>369</v>
      </c>
      <c r="D2054" t="s">
        <v>3890</v>
      </c>
      <c r="E2054" t="s">
        <v>4069</v>
      </c>
      <c r="F2054" s="105" t="s">
        <v>4069</v>
      </c>
      <c r="G2054" s="95" t="s">
        <v>400</v>
      </c>
      <c r="H2054" s="96" t="str">
        <f>IF(Proc[[#This Row],[type]]="LFF (MDG-F)",MID(Proc[[#This Row],[Obj]],13,10),"")</f>
        <v/>
      </c>
      <c r="J2054" s="96" t="b">
        <f>Proc[[#This Row],[Requested]]=Proc[[#This Row],[CurrentParent]]</f>
        <v>1</v>
      </c>
      <c r="K2054" s="96" t="str">
        <f>IF(Proc[[#This Row],[Author]]="Marcela Urrego",VLOOKUP(LEFT(Proc[[#This Row],[Requested]],1),Table3[#All],2,0),VLOOKUP(Proc[[#This Row],[Author]],Table4[],2,0))</f>
        <v>HC</v>
      </c>
      <c r="L2054" s="96"/>
      <c r="M2054" s="92">
        <v>45807.678356481483</v>
      </c>
      <c r="N2054" s="93">
        <v>45810</v>
      </c>
      <c r="O2054" s="93">
        <v>45810</v>
      </c>
      <c r="P2054" s="92" t="str">
        <f ca="1">IF(Proc[[#This Row],[DaysAgeing]]&gt;5,"yep","on track")</f>
        <v>on track</v>
      </c>
      <c r="Q2054" s="3">
        <f ca="1">IF(Proc[[#This Row],[DateClosed]]="",ABS(NETWORKDAYS(Proc[[#This Row],[DateOpened]],TODAY()))-1,ABS(NETWORKDAYS(Proc[[#This Row],[DateOpened]],Proc[[#This Row],[DateClosed]]))-1)</f>
        <v>1</v>
      </c>
      <c r="R2054" s="92" t="s">
        <v>1013</v>
      </c>
      <c r="S2054" s="96"/>
    </row>
    <row r="2055" spans="1:19" hidden="1">
      <c r="A2055" s="95" t="s">
        <v>3748</v>
      </c>
      <c r="B2055" s="96" t="str">
        <f>IFERROR(VLOOKUP(Proc[[#This Row],[App]],Table2[],3,0),"open")</f>
        <v>ok</v>
      </c>
      <c r="C2055" s="95" t="s">
        <v>369</v>
      </c>
      <c r="D2055" t="s">
        <v>3891</v>
      </c>
      <c r="E2055" t="s">
        <v>4069</v>
      </c>
      <c r="F2055" s="105" t="s">
        <v>4069</v>
      </c>
      <c r="G2055" s="95" t="s">
        <v>400</v>
      </c>
      <c r="H2055" s="96" t="str">
        <f>IF(Proc[[#This Row],[type]]="LFF (MDG-F)",MID(Proc[[#This Row],[Obj]],13,10),"")</f>
        <v/>
      </c>
      <c r="J2055" s="96" t="b">
        <f>Proc[[#This Row],[Requested]]=Proc[[#This Row],[CurrentParent]]</f>
        <v>1</v>
      </c>
      <c r="K2055" s="96" t="str">
        <f>IF(Proc[[#This Row],[Author]]="Marcela Urrego",VLOOKUP(LEFT(Proc[[#This Row],[Requested]],1),Table3[#All],2,0),VLOOKUP(Proc[[#This Row],[Author]],Table4[],2,0))</f>
        <v>HC</v>
      </c>
      <c r="L2055" s="96"/>
      <c r="M2055" s="92">
        <v>45807.678356481483</v>
      </c>
      <c r="N2055" s="93">
        <v>45810</v>
      </c>
      <c r="O2055" s="93">
        <v>45810</v>
      </c>
      <c r="P2055" s="92" t="str">
        <f ca="1">IF(Proc[[#This Row],[DaysAgeing]]&gt;5,"yep","on track")</f>
        <v>on track</v>
      </c>
      <c r="Q2055" s="3">
        <f ca="1">IF(Proc[[#This Row],[DateClosed]]="",ABS(NETWORKDAYS(Proc[[#This Row],[DateOpened]],TODAY()))-1,ABS(NETWORKDAYS(Proc[[#This Row],[DateOpened]],Proc[[#This Row],[DateClosed]]))-1)</f>
        <v>1</v>
      </c>
      <c r="R2055" s="92" t="s">
        <v>1013</v>
      </c>
      <c r="S2055" s="96"/>
    </row>
    <row r="2056" spans="1:19" hidden="1">
      <c r="A2056" s="95" t="s">
        <v>3748</v>
      </c>
      <c r="B2056" s="96" t="str">
        <f>IFERROR(VLOOKUP(Proc[[#This Row],[App]],Table2[],3,0),"open")</f>
        <v>ok</v>
      </c>
      <c r="C2056" s="95" t="s">
        <v>369</v>
      </c>
      <c r="D2056" t="s">
        <v>3892</v>
      </c>
      <c r="E2056" t="s">
        <v>4069</v>
      </c>
      <c r="F2056" s="105" t="s">
        <v>4069</v>
      </c>
      <c r="G2056" s="95" t="s">
        <v>400</v>
      </c>
      <c r="H2056" s="96" t="str">
        <f>IF(Proc[[#This Row],[type]]="LFF (MDG-F)",MID(Proc[[#This Row],[Obj]],13,10),"")</f>
        <v/>
      </c>
      <c r="J2056" s="96" t="b">
        <f>Proc[[#This Row],[Requested]]=Proc[[#This Row],[CurrentParent]]</f>
        <v>1</v>
      </c>
      <c r="K2056" s="96" t="str">
        <f>IF(Proc[[#This Row],[Author]]="Marcela Urrego",VLOOKUP(LEFT(Proc[[#This Row],[Requested]],1),Table3[#All],2,0),VLOOKUP(Proc[[#This Row],[Author]],Table4[],2,0))</f>
        <v>HC</v>
      </c>
      <c r="L2056" s="96"/>
      <c r="M2056" s="92">
        <v>45807.678356481483</v>
      </c>
      <c r="N2056" s="93">
        <v>45810</v>
      </c>
      <c r="O2056" s="93">
        <v>45810</v>
      </c>
      <c r="P2056" s="92" t="str">
        <f ca="1">IF(Proc[[#This Row],[DaysAgeing]]&gt;5,"yep","on track")</f>
        <v>on track</v>
      </c>
      <c r="Q2056" s="3">
        <f ca="1">IF(Proc[[#This Row],[DateClosed]]="",ABS(NETWORKDAYS(Proc[[#This Row],[DateOpened]],TODAY()))-1,ABS(NETWORKDAYS(Proc[[#This Row],[DateOpened]],Proc[[#This Row],[DateClosed]]))-1)</f>
        <v>1</v>
      </c>
      <c r="R2056" s="92" t="s">
        <v>1013</v>
      </c>
      <c r="S2056" s="96"/>
    </row>
    <row r="2057" spans="1:19" hidden="1">
      <c r="A2057" s="95" t="s">
        <v>3748</v>
      </c>
      <c r="B2057" s="96" t="str">
        <f>IFERROR(VLOOKUP(Proc[[#This Row],[App]],Table2[],3,0),"open")</f>
        <v>ok</v>
      </c>
      <c r="C2057" s="95" t="s">
        <v>369</v>
      </c>
      <c r="D2057" t="s">
        <v>3893</v>
      </c>
      <c r="E2057" t="s">
        <v>4069</v>
      </c>
      <c r="F2057" s="105" t="s">
        <v>4069</v>
      </c>
      <c r="G2057" s="95" t="s">
        <v>400</v>
      </c>
      <c r="H2057" s="96" t="str">
        <f>IF(Proc[[#This Row],[type]]="LFF (MDG-F)",MID(Proc[[#This Row],[Obj]],13,10),"")</f>
        <v/>
      </c>
      <c r="J2057" s="96" t="b">
        <f>Proc[[#This Row],[Requested]]=Proc[[#This Row],[CurrentParent]]</f>
        <v>1</v>
      </c>
      <c r="K2057" s="96" t="str">
        <f>IF(Proc[[#This Row],[Author]]="Marcela Urrego",VLOOKUP(LEFT(Proc[[#This Row],[Requested]],1),Table3[#All],2,0),VLOOKUP(Proc[[#This Row],[Author]],Table4[],2,0))</f>
        <v>HC</v>
      </c>
      <c r="L2057" s="96"/>
      <c r="M2057" s="92">
        <v>45807.678356481483</v>
      </c>
      <c r="N2057" s="93">
        <v>45810</v>
      </c>
      <c r="O2057" s="93">
        <v>45810</v>
      </c>
      <c r="P2057" s="92" t="str">
        <f ca="1">IF(Proc[[#This Row],[DaysAgeing]]&gt;5,"yep","on track")</f>
        <v>on track</v>
      </c>
      <c r="Q2057" s="3">
        <f ca="1">IF(Proc[[#This Row],[DateClosed]]="",ABS(NETWORKDAYS(Proc[[#This Row],[DateOpened]],TODAY()))-1,ABS(NETWORKDAYS(Proc[[#This Row],[DateOpened]],Proc[[#This Row],[DateClosed]]))-1)</f>
        <v>1</v>
      </c>
      <c r="R2057" s="92" t="s">
        <v>1013</v>
      </c>
      <c r="S2057" s="96"/>
    </row>
    <row r="2058" spans="1:19" hidden="1">
      <c r="A2058" s="95" t="s">
        <v>3748</v>
      </c>
      <c r="B2058" s="96" t="str">
        <f>IFERROR(VLOOKUP(Proc[[#This Row],[App]],Table2[],3,0),"open")</f>
        <v>ok</v>
      </c>
      <c r="C2058" s="95" t="s">
        <v>369</v>
      </c>
      <c r="D2058" t="s">
        <v>3894</v>
      </c>
      <c r="E2058" t="s">
        <v>4069</v>
      </c>
      <c r="F2058" s="105" t="s">
        <v>4069</v>
      </c>
      <c r="G2058" s="95" t="s">
        <v>400</v>
      </c>
      <c r="H2058" s="96" t="str">
        <f>IF(Proc[[#This Row],[type]]="LFF (MDG-F)",MID(Proc[[#This Row],[Obj]],13,10),"")</f>
        <v/>
      </c>
      <c r="J2058" s="96" t="b">
        <f>Proc[[#This Row],[Requested]]=Proc[[#This Row],[CurrentParent]]</f>
        <v>1</v>
      </c>
      <c r="K2058" s="96" t="str">
        <f>IF(Proc[[#This Row],[Author]]="Marcela Urrego",VLOOKUP(LEFT(Proc[[#This Row],[Requested]],1),Table3[#All],2,0),VLOOKUP(Proc[[#This Row],[Author]],Table4[],2,0))</f>
        <v>HC</v>
      </c>
      <c r="L2058" s="96"/>
      <c r="M2058" s="92">
        <v>45807.678356481483</v>
      </c>
      <c r="N2058" s="93">
        <v>45810</v>
      </c>
      <c r="O2058" s="93">
        <v>45810</v>
      </c>
      <c r="P2058" s="92" t="str">
        <f ca="1">IF(Proc[[#This Row],[DaysAgeing]]&gt;5,"yep","on track")</f>
        <v>on track</v>
      </c>
      <c r="Q2058" s="3">
        <f ca="1">IF(Proc[[#This Row],[DateClosed]]="",ABS(NETWORKDAYS(Proc[[#This Row],[DateOpened]],TODAY()))-1,ABS(NETWORKDAYS(Proc[[#This Row],[DateOpened]],Proc[[#This Row],[DateClosed]]))-1)</f>
        <v>1</v>
      </c>
      <c r="R2058" s="92" t="s">
        <v>1013</v>
      </c>
      <c r="S2058" s="96"/>
    </row>
    <row r="2059" spans="1:19" hidden="1">
      <c r="A2059" s="95" t="s">
        <v>3748</v>
      </c>
      <c r="B2059" s="96" t="str">
        <f>IFERROR(VLOOKUP(Proc[[#This Row],[App]],Table2[],3,0),"open")</f>
        <v>ok</v>
      </c>
      <c r="C2059" s="95" t="s">
        <v>369</v>
      </c>
      <c r="D2059" t="s">
        <v>3895</v>
      </c>
      <c r="E2059" t="s">
        <v>4069</v>
      </c>
      <c r="F2059" s="105" t="s">
        <v>4069</v>
      </c>
      <c r="G2059" s="95" t="s">
        <v>400</v>
      </c>
      <c r="H2059" s="96" t="str">
        <f>IF(Proc[[#This Row],[type]]="LFF (MDG-F)",MID(Proc[[#This Row],[Obj]],13,10),"")</f>
        <v/>
      </c>
      <c r="J2059" s="96" t="b">
        <f>Proc[[#This Row],[Requested]]=Proc[[#This Row],[CurrentParent]]</f>
        <v>1</v>
      </c>
      <c r="K2059" s="96" t="str">
        <f>IF(Proc[[#This Row],[Author]]="Marcela Urrego",VLOOKUP(LEFT(Proc[[#This Row],[Requested]],1),Table3[#All],2,0),VLOOKUP(Proc[[#This Row],[Author]],Table4[],2,0))</f>
        <v>HC</v>
      </c>
      <c r="L2059" s="96"/>
      <c r="M2059" s="92">
        <v>45807.678356481483</v>
      </c>
      <c r="N2059" s="93">
        <v>45810</v>
      </c>
      <c r="O2059" s="93">
        <v>45810</v>
      </c>
      <c r="P2059" s="92" t="str">
        <f ca="1">IF(Proc[[#This Row],[DaysAgeing]]&gt;5,"yep","on track")</f>
        <v>on track</v>
      </c>
      <c r="Q2059" s="3">
        <f ca="1">IF(Proc[[#This Row],[DateClosed]]="",ABS(NETWORKDAYS(Proc[[#This Row],[DateOpened]],TODAY()))-1,ABS(NETWORKDAYS(Proc[[#This Row],[DateOpened]],Proc[[#This Row],[DateClosed]]))-1)</f>
        <v>1</v>
      </c>
      <c r="R2059" s="92" t="s">
        <v>1013</v>
      </c>
      <c r="S2059" s="96"/>
    </row>
    <row r="2060" spans="1:19" hidden="1">
      <c r="A2060" s="95" t="s">
        <v>3748</v>
      </c>
      <c r="B2060" s="96" t="str">
        <f>IFERROR(VLOOKUP(Proc[[#This Row],[App]],Table2[],3,0),"open")</f>
        <v>ok</v>
      </c>
      <c r="C2060" s="95" t="s">
        <v>369</v>
      </c>
      <c r="D2060" t="s">
        <v>3896</v>
      </c>
      <c r="E2060" t="s">
        <v>4069</v>
      </c>
      <c r="F2060" s="105" t="s">
        <v>4069</v>
      </c>
      <c r="G2060" s="95" t="s">
        <v>400</v>
      </c>
      <c r="H2060" s="96" t="str">
        <f>IF(Proc[[#This Row],[type]]="LFF (MDG-F)",MID(Proc[[#This Row],[Obj]],13,10),"")</f>
        <v/>
      </c>
      <c r="J2060" s="96" t="b">
        <f>Proc[[#This Row],[Requested]]=Proc[[#This Row],[CurrentParent]]</f>
        <v>1</v>
      </c>
      <c r="K2060" s="96" t="str">
        <f>IF(Proc[[#This Row],[Author]]="Marcela Urrego",VLOOKUP(LEFT(Proc[[#This Row],[Requested]],1),Table3[#All],2,0),VLOOKUP(Proc[[#This Row],[Author]],Table4[],2,0))</f>
        <v>HC</v>
      </c>
      <c r="L2060" s="96"/>
      <c r="M2060" s="92">
        <v>45807.678356481483</v>
      </c>
      <c r="N2060" s="93">
        <v>45810</v>
      </c>
      <c r="O2060" s="93">
        <v>45810</v>
      </c>
      <c r="P2060" s="92" t="str">
        <f ca="1">IF(Proc[[#This Row],[DaysAgeing]]&gt;5,"yep","on track")</f>
        <v>on track</v>
      </c>
      <c r="Q2060" s="3">
        <f ca="1">IF(Proc[[#This Row],[DateClosed]]="",ABS(NETWORKDAYS(Proc[[#This Row],[DateOpened]],TODAY()))-1,ABS(NETWORKDAYS(Proc[[#This Row],[DateOpened]],Proc[[#This Row],[DateClosed]]))-1)</f>
        <v>1</v>
      </c>
      <c r="R2060" s="92" t="s">
        <v>1013</v>
      </c>
      <c r="S2060" s="96"/>
    </row>
    <row r="2061" spans="1:19" hidden="1">
      <c r="A2061" s="95" t="s">
        <v>3748</v>
      </c>
      <c r="B2061" s="96" t="str">
        <f>IFERROR(VLOOKUP(Proc[[#This Row],[App]],Table2[],3,0),"open")</f>
        <v>ok</v>
      </c>
      <c r="C2061" s="95" t="s">
        <v>369</v>
      </c>
      <c r="D2061" t="s">
        <v>3897</v>
      </c>
      <c r="E2061" t="s">
        <v>4069</v>
      </c>
      <c r="F2061" s="105" t="s">
        <v>4069</v>
      </c>
      <c r="G2061" s="95" t="s">
        <v>400</v>
      </c>
      <c r="H2061" s="96" t="str">
        <f>IF(Proc[[#This Row],[type]]="LFF (MDG-F)",MID(Proc[[#This Row],[Obj]],13,10),"")</f>
        <v/>
      </c>
      <c r="J2061" s="96" t="b">
        <f>Proc[[#This Row],[Requested]]=Proc[[#This Row],[CurrentParent]]</f>
        <v>1</v>
      </c>
      <c r="K2061" s="96" t="str">
        <f>IF(Proc[[#This Row],[Author]]="Marcela Urrego",VLOOKUP(LEFT(Proc[[#This Row],[Requested]],1),Table3[#All],2,0),VLOOKUP(Proc[[#This Row],[Author]],Table4[],2,0))</f>
        <v>HC</v>
      </c>
      <c r="L2061" s="96"/>
      <c r="M2061" s="92">
        <v>45807.678356481483</v>
      </c>
      <c r="N2061" s="93">
        <v>45810</v>
      </c>
      <c r="O2061" s="93">
        <v>45810</v>
      </c>
      <c r="P2061" s="92" t="str">
        <f ca="1">IF(Proc[[#This Row],[DaysAgeing]]&gt;5,"yep","on track")</f>
        <v>on track</v>
      </c>
      <c r="Q2061" s="3">
        <f ca="1">IF(Proc[[#This Row],[DateClosed]]="",ABS(NETWORKDAYS(Proc[[#This Row],[DateOpened]],TODAY()))-1,ABS(NETWORKDAYS(Proc[[#This Row],[DateOpened]],Proc[[#This Row],[DateClosed]]))-1)</f>
        <v>1</v>
      </c>
      <c r="R2061" s="92" t="s">
        <v>1013</v>
      </c>
      <c r="S2061" s="96"/>
    </row>
    <row r="2062" spans="1:19" hidden="1">
      <c r="A2062" s="95" t="s">
        <v>3748</v>
      </c>
      <c r="B2062" s="96" t="str">
        <f>IFERROR(VLOOKUP(Proc[[#This Row],[App]],Table2[],3,0),"open")</f>
        <v>ok</v>
      </c>
      <c r="C2062" s="95" t="s">
        <v>369</v>
      </c>
      <c r="D2062" t="s">
        <v>3898</v>
      </c>
      <c r="E2062" t="s">
        <v>4069</v>
      </c>
      <c r="F2062" s="105" t="s">
        <v>4069</v>
      </c>
      <c r="G2062" s="95" t="s">
        <v>400</v>
      </c>
      <c r="H2062" s="96" t="str">
        <f>IF(Proc[[#This Row],[type]]="LFF (MDG-F)",MID(Proc[[#This Row],[Obj]],13,10),"")</f>
        <v/>
      </c>
      <c r="J2062" s="96" t="b">
        <f>Proc[[#This Row],[Requested]]=Proc[[#This Row],[CurrentParent]]</f>
        <v>1</v>
      </c>
      <c r="K2062" s="96" t="str">
        <f>IF(Proc[[#This Row],[Author]]="Marcela Urrego",VLOOKUP(LEFT(Proc[[#This Row],[Requested]],1),Table3[#All],2,0),VLOOKUP(Proc[[#This Row],[Author]],Table4[],2,0))</f>
        <v>HC</v>
      </c>
      <c r="L2062" s="96"/>
      <c r="M2062" s="92">
        <v>45807.678356481483</v>
      </c>
      <c r="N2062" s="93">
        <v>45810</v>
      </c>
      <c r="O2062" s="93">
        <v>45810</v>
      </c>
      <c r="P2062" s="92" t="str">
        <f ca="1">IF(Proc[[#This Row],[DaysAgeing]]&gt;5,"yep","on track")</f>
        <v>on track</v>
      </c>
      <c r="Q2062" s="3">
        <f ca="1">IF(Proc[[#This Row],[DateClosed]]="",ABS(NETWORKDAYS(Proc[[#This Row],[DateOpened]],TODAY()))-1,ABS(NETWORKDAYS(Proc[[#This Row],[DateOpened]],Proc[[#This Row],[DateClosed]]))-1)</f>
        <v>1</v>
      </c>
      <c r="R2062" s="92" t="s">
        <v>1013</v>
      </c>
      <c r="S2062" s="96"/>
    </row>
    <row r="2063" spans="1:19" hidden="1">
      <c r="A2063" s="95" t="s">
        <v>3748</v>
      </c>
      <c r="B2063" s="96" t="str">
        <f>IFERROR(VLOOKUP(Proc[[#This Row],[App]],Table2[],3,0),"open")</f>
        <v>ok</v>
      </c>
      <c r="C2063" s="95" t="s">
        <v>369</v>
      </c>
      <c r="D2063" t="s">
        <v>3899</v>
      </c>
      <c r="E2063" t="s">
        <v>4069</v>
      </c>
      <c r="F2063" s="105" t="s">
        <v>4069</v>
      </c>
      <c r="G2063" s="95" t="s">
        <v>400</v>
      </c>
      <c r="H2063" s="96" t="str">
        <f>IF(Proc[[#This Row],[type]]="LFF (MDG-F)",MID(Proc[[#This Row],[Obj]],13,10),"")</f>
        <v/>
      </c>
      <c r="J2063" s="96" t="b">
        <f>Proc[[#This Row],[Requested]]=Proc[[#This Row],[CurrentParent]]</f>
        <v>1</v>
      </c>
      <c r="K2063" s="96" t="str">
        <f>IF(Proc[[#This Row],[Author]]="Marcela Urrego",VLOOKUP(LEFT(Proc[[#This Row],[Requested]],1),Table3[#All],2,0),VLOOKUP(Proc[[#This Row],[Author]],Table4[],2,0))</f>
        <v>HC</v>
      </c>
      <c r="L2063" s="96"/>
      <c r="M2063" s="92">
        <v>45807.678356481483</v>
      </c>
      <c r="N2063" s="93">
        <v>45810</v>
      </c>
      <c r="O2063" s="93">
        <v>45810</v>
      </c>
      <c r="P2063" s="92" t="str">
        <f ca="1">IF(Proc[[#This Row],[DaysAgeing]]&gt;5,"yep","on track")</f>
        <v>on track</v>
      </c>
      <c r="Q2063" s="3">
        <f ca="1">IF(Proc[[#This Row],[DateClosed]]="",ABS(NETWORKDAYS(Proc[[#This Row],[DateOpened]],TODAY()))-1,ABS(NETWORKDAYS(Proc[[#This Row],[DateOpened]],Proc[[#This Row],[DateClosed]]))-1)</f>
        <v>1</v>
      </c>
      <c r="R2063" s="92" t="s">
        <v>1013</v>
      </c>
      <c r="S2063" s="96"/>
    </row>
    <row r="2064" spans="1:19" hidden="1">
      <c r="A2064" s="95" t="s">
        <v>3748</v>
      </c>
      <c r="B2064" s="96" t="str">
        <f>IFERROR(VLOOKUP(Proc[[#This Row],[App]],Table2[],3,0),"open")</f>
        <v>ok</v>
      </c>
      <c r="C2064" s="95" t="s">
        <v>369</v>
      </c>
      <c r="D2064" t="s">
        <v>3900</v>
      </c>
      <c r="E2064" t="s">
        <v>4069</v>
      </c>
      <c r="F2064" s="105" t="s">
        <v>4069</v>
      </c>
      <c r="G2064" s="95" t="s">
        <v>400</v>
      </c>
      <c r="H2064" s="96" t="str">
        <f>IF(Proc[[#This Row],[type]]="LFF (MDG-F)",MID(Proc[[#This Row],[Obj]],13,10),"")</f>
        <v/>
      </c>
      <c r="J2064" s="96" t="b">
        <f>Proc[[#This Row],[Requested]]=Proc[[#This Row],[CurrentParent]]</f>
        <v>1</v>
      </c>
      <c r="K2064" s="96" t="str">
        <f>IF(Proc[[#This Row],[Author]]="Marcela Urrego",VLOOKUP(LEFT(Proc[[#This Row],[Requested]],1),Table3[#All],2,0),VLOOKUP(Proc[[#This Row],[Author]],Table4[],2,0))</f>
        <v>HC</v>
      </c>
      <c r="L2064" s="96"/>
      <c r="M2064" s="92">
        <v>45807.678356481483</v>
      </c>
      <c r="N2064" s="93">
        <v>45810</v>
      </c>
      <c r="O2064" s="93">
        <v>45810</v>
      </c>
      <c r="P2064" s="92" t="str">
        <f ca="1">IF(Proc[[#This Row],[DaysAgeing]]&gt;5,"yep","on track")</f>
        <v>on track</v>
      </c>
      <c r="Q2064" s="3">
        <f ca="1">IF(Proc[[#This Row],[DateClosed]]="",ABS(NETWORKDAYS(Proc[[#This Row],[DateOpened]],TODAY()))-1,ABS(NETWORKDAYS(Proc[[#This Row],[DateOpened]],Proc[[#This Row],[DateClosed]]))-1)</f>
        <v>1</v>
      </c>
      <c r="R2064" s="92" t="s">
        <v>1013</v>
      </c>
      <c r="S2064" s="96"/>
    </row>
    <row r="2065" spans="1:19" hidden="1">
      <c r="A2065" s="95" t="s">
        <v>3748</v>
      </c>
      <c r="B2065" s="96" t="str">
        <f>IFERROR(VLOOKUP(Proc[[#This Row],[App]],Table2[],3,0),"open")</f>
        <v>ok</v>
      </c>
      <c r="C2065" s="95" t="s">
        <v>369</v>
      </c>
      <c r="D2065" t="s">
        <v>3901</v>
      </c>
      <c r="E2065" t="s">
        <v>4069</v>
      </c>
      <c r="F2065" s="105" t="s">
        <v>4069</v>
      </c>
      <c r="G2065" s="95" t="s">
        <v>400</v>
      </c>
      <c r="H2065" s="96" t="str">
        <f>IF(Proc[[#This Row],[type]]="LFF (MDG-F)",MID(Proc[[#This Row],[Obj]],13,10),"")</f>
        <v/>
      </c>
      <c r="J2065" s="96" t="b">
        <f>Proc[[#This Row],[Requested]]=Proc[[#This Row],[CurrentParent]]</f>
        <v>1</v>
      </c>
      <c r="K2065" s="96" t="str">
        <f>IF(Proc[[#This Row],[Author]]="Marcela Urrego",VLOOKUP(LEFT(Proc[[#This Row],[Requested]],1),Table3[#All],2,0),VLOOKUP(Proc[[#This Row],[Author]],Table4[],2,0))</f>
        <v>HC</v>
      </c>
      <c r="L2065" s="96"/>
      <c r="M2065" s="92">
        <v>45807.678356481483</v>
      </c>
      <c r="N2065" s="93">
        <v>45810</v>
      </c>
      <c r="O2065" s="93">
        <v>45810</v>
      </c>
      <c r="P2065" s="92" t="str">
        <f ca="1">IF(Proc[[#This Row],[DaysAgeing]]&gt;5,"yep","on track")</f>
        <v>on track</v>
      </c>
      <c r="Q2065" s="3">
        <f ca="1">IF(Proc[[#This Row],[DateClosed]]="",ABS(NETWORKDAYS(Proc[[#This Row],[DateOpened]],TODAY()))-1,ABS(NETWORKDAYS(Proc[[#This Row],[DateOpened]],Proc[[#This Row],[DateClosed]]))-1)</f>
        <v>1</v>
      </c>
      <c r="R2065" s="92" t="s">
        <v>1013</v>
      </c>
      <c r="S2065" s="96"/>
    </row>
    <row r="2066" spans="1:19" hidden="1">
      <c r="A2066" s="95" t="s">
        <v>3748</v>
      </c>
      <c r="B2066" s="96" t="str">
        <f>IFERROR(VLOOKUP(Proc[[#This Row],[App]],Table2[],3,0),"open")</f>
        <v>ok</v>
      </c>
      <c r="C2066" s="95" t="s">
        <v>369</v>
      </c>
      <c r="D2066" t="s">
        <v>3902</v>
      </c>
      <c r="E2066" t="s">
        <v>4069</v>
      </c>
      <c r="F2066" s="105" t="s">
        <v>4069</v>
      </c>
      <c r="G2066" s="95" t="s">
        <v>400</v>
      </c>
      <c r="H2066" s="96" t="str">
        <f>IF(Proc[[#This Row],[type]]="LFF (MDG-F)",MID(Proc[[#This Row],[Obj]],13,10),"")</f>
        <v/>
      </c>
      <c r="J2066" s="96" t="b">
        <f>Proc[[#This Row],[Requested]]=Proc[[#This Row],[CurrentParent]]</f>
        <v>1</v>
      </c>
      <c r="K2066" s="96" t="str">
        <f>IF(Proc[[#This Row],[Author]]="Marcela Urrego",VLOOKUP(LEFT(Proc[[#This Row],[Requested]],1),Table3[#All],2,0),VLOOKUP(Proc[[#This Row],[Author]],Table4[],2,0))</f>
        <v>HC</v>
      </c>
      <c r="L2066" s="96"/>
      <c r="M2066" s="92">
        <v>45807.678356481483</v>
      </c>
      <c r="N2066" s="93">
        <v>45810</v>
      </c>
      <c r="O2066" s="93">
        <v>45810</v>
      </c>
      <c r="P2066" s="92" t="str">
        <f ca="1">IF(Proc[[#This Row],[DaysAgeing]]&gt;5,"yep","on track")</f>
        <v>on track</v>
      </c>
      <c r="Q2066" s="3">
        <f ca="1">IF(Proc[[#This Row],[DateClosed]]="",ABS(NETWORKDAYS(Proc[[#This Row],[DateOpened]],TODAY()))-1,ABS(NETWORKDAYS(Proc[[#This Row],[DateOpened]],Proc[[#This Row],[DateClosed]]))-1)</f>
        <v>1</v>
      </c>
      <c r="R2066" s="92" t="s">
        <v>1013</v>
      </c>
      <c r="S2066" s="96"/>
    </row>
    <row r="2067" spans="1:19" hidden="1">
      <c r="A2067" s="95" t="s">
        <v>3748</v>
      </c>
      <c r="B2067" s="96" t="str">
        <f>IFERROR(VLOOKUP(Proc[[#This Row],[App]],Table2[],3,0),"open")</f>
        <v>ok</v>
      </c>
      <c r="C2067" s="95" t="s">
        <v>369</v>
      </c>
      <c r="D2067" t="s">
        <v>3903</v>
      </c>
      <c r="E2067" t="s">
        <v>4069</v>
      </c>
      <c r="F2067" s="105" t="s">
        <v>4069</v>
      </c>
      <c r="G2067" s="95" t="s">
        <v>400</v>
      </c>
      <c r="H2067" s="96" t="str">
        <f>IF(Proc[[#This Row],[type]]="LFF (MDG-F)",MID(Proc[[#This Row],[Obj]],13,10),"")</f>
        <v/>
      </c>
      <c r="J2067" s="96" t="b">
        <f>Proc[[#This Row],[Requested]]=Proc[[#This Row],[CurrentParent]]</f>
        <v>1</v>
      </c>
      <c r="K2067" s="96" t="str">
        <f>IF(Proc[[#This Row],[Author]]="Marcela Urrego",VLOOKUP(LEFT(Proc[[#This Row],[Requested]],1),Table3[#All],2,0),VLOOKUP(Proc[[#This Row],[Author]],Table4[],2,0))</f>
        <v>HC</v>
      </c>
      <c r="L2067" s="96"/>
      <c r="M2067" s="92">
        <v>45807.678356481483</v>
      </c>
      <c r="N2067" s="93">
        <v>45810</v>
      </c>
      <c r="O2067" s="93">
        <v>45810</v>
      </c>
      <c r="P2067" s="92" t="str">
        <f ca="1">IF(Proc[[#This Row],[DaysAgeing]]&gt;5,"yep","on track")</f>
        <v>on track</v>
      </c>
      <c r="Q2067" s="3">
        <f ca="1">IF(Proc[[#This Row],[DateClosed]]="",ABS(NETWORKDAYS(Proc[[#This Row],[DateOpened]],TODAY()))-1,ABS(NETWORKDAYS(Proc[[#This Row],[DateOpened]],Proc[[#This Row],[DateClosed]]))-1)</f>
        <v>1</v>
      </c>
      <c r="R2067" s="92" t="s">
        <v>1013</v>
      </c>
      <c r="S2067" s="96"/>
    </row>
    <row r="2068" spans="1:19" hidden="1">
      <c r="A2068" s="95" t="s">
        <v>3748</v>
      </c>
      <c r="B2068" s="96" t="str">
        <f>IFERROR(VLOOKUP(Proc[[#This Row],[App]],Table2[],3,0),"open")</f>
        <v>ok</v>
      </c>
      <c r="C2068" s="95" t="s">
        <v>369</v>
      </c>
      <c r="D2068" t="s">
        <v>3904</v>
      </c>
      <c r="E2068" t="s">
        <v>4069</v>
      </c>
      <c r="F2068" s="105" t="s">
        <v>4069</v>
      </c>
      <c r="G2068" s="95" t="s">
        <v>400</v>
      </c>
      <c r="H2068" s="96" t="str">
        <f>IF(Proc[[#This Row],[type]]="LFF (MDG-F)",MID(Proc[[#This Row],[Obj]],13,10),"")</f>
        <v/>
      </c>
      <c r="J2068" s="96" t="b">
        <f>Proc[[#This Row],[Requested]]=Proc[[#This Row],[CurrentParent]]</f>
        <v>1</v>
      </c>
      <c r="K2068" s="96" t="str">
        <f>IF(Proc[[#This Row],[Author]]="Marcela Urrego",VLOOKUP(LEFT(Proc[[#This Row],[Requested]],1),Table3[#All],2,0),VLOOKUP(Proc[[#This Row],[Author]],Table4[],2,0))</f>
        <v>HC</v>
      </c>
      <c r="L2068" s="96"/>
      <c r="M2068" s="92">
        <v>45807.678356481483</v>
      </c>
      <c r="N2068" s="93">
        <v>45810</v>
      </c>
      <c r="O2068" s="93">
        <v>45810</v>
      </c>
      <c r="P2068" s="92" t="str">
        <f ca="1">IF(Proc[[#This Row],[DaysAgeing]]&gt;5,"yep","on track")</f>
        <v>on track</v>
      </c>
      <c r="Q2068" s="3">
        <f ca="1">IF(Proc[[#This Row],[DateClosed]]="",ABS(NETWORKDAYS(Proc[[#This Row],[DateOpened]],TODAY()))-1,ABS(NETWORKDAYS(Proc[[#This Row],[DateOpened]],Proc[[#This Row],[DateClosed]]))-1)</f>
        <v>1</v>
      </c>
      <c r="R2068" s="92" t="s">
        <v>1013</v>
      </c>
      <c r="S2068" s="96"/>
    </row>
    <row r="2069" spans="1:19" hidden="1">
      <c r="A2069" s="95" t="s">
        <v>3748</v>
      </c>
      <c r="B2069" s="96" t="str">
        <f>IFERROR(VLOOKUP(Proc[[#This Row],[App]],Table2[],3,0),"open")</f>
        <v>ok</v>
      </c>
      <c r="C2069" s="95" t="s">
        <v>369</v>
      </c>
      <c r="D2069" t="s">
        <v>3905</v>
      </c>
      <c r="E2069" t="s">
        <v>4069</v>
      </c>
      <c r="F2069" s="105" t="s">
        <v>4069</v>
      </c>
      <c r="G2069" s="95" t="s">
        <v>400</v>
      </c>
      <c r="H2069" s="96" t="str">
        <f>IF(Proc[[#This Row],[type]]="LFF (MDG-F)",MID(Proc[[#This Row],[Obj]],13,10),"")</f>
        <v/>
      </c>
      <c r="J2069" s="96" t="b">
        <f>Proc[[#This Row],[Requested]]=Proc[[#This Row],[CurrentParent]]</f>
        <v>1</v>
      </c>
      <c r="K2069" s="96" t="str">
        <f>IF(Proc[[#This Row],[Author]]="Marcela Urrego",VLOOKUP(LEFT(Proc[[#This Row],[Requested]],1),Table3[#All],2,0),VLOOKUP(Proc[[#This Row],[Author]],Table4[],2,0))</f>
        <v>HC</v>
      </c>
      <c r="L2069" s="96"/>
      <c r="M2069" s="92">
        <v>45807.678356481483</v>
      </c>
      <c r="N2069" s="93">
        <v>45810</v>
      </c>
      <c r="O2069" s="93">
        <v>45810</v>
      </c>
      <c r="P2069" s="92" t="str">
        <f ca="1">IF(Proc[[#This Row],[DaysAgeing]]&gt;5,"yep","on track")</f>
        <v>on track</v>
      </c>
      <c r="Q2069" s="3">
        <f ca="1">IF(Proc[[#This Row],[DateClosed]]="",ABS(NETWORKDAYS(Proc[[#This Row],[DateOpened]],TODAY()))-1,ABS(NETWORKDAYS(Proc[[#This Row],[DateOpened]],Proc[[#This Row],[DateClosed]]))-1)</f>
        <v>1</v>
      </c>
      <c r="R2069" s="92" t="s">
        <v>1013</v>
      </c>
      <c r="S2069" s="96"/>
    </row>
    <row r="2070" spans="1:19" hidden="1">
      <c r="A2070" s="95" t="s">
        <v>3748</v>
      </c>
      <c r="B2070" s="96" t="str">
        <f>IFERROR(VLOOKUP(Proc[[#This Row],[App]],Table2[],3,0),"open")</f>
        <v>ok</v>
      </c>
      <c r="C2070" s="95" t="s">
        <v>369</v>
      </c>
      <c r="D2070" t="s">
        <v>3906</v>
      </c>
      <c r="E2070" t="s">
        <v>4069</v>
      </c>
      <c r="F2070" s="105" t="s">
        <v>4069</v>
      </c>
      <c r="G2070" s="95" t="s">
        <v>400</v>
      </c>
      <c r="H2070" s="96" t="str">
        <f>IF(Proc[[#This Row],[type]]="LFF (MDG-F)",MID(Proc[[#This Row],[Obj]],13,10),"")</f>
        <v/>
      </c>
      <c r="J2070" s="96" t="b">
        <f>Proc[[#This Row],[Requested]]=Proc[[#This Row],[CurrentParent]]</f>
        <v>1</v>
      </c>
      <c r="K2070" s="96" t="str">
        <f>IF(Proc[[#This Row],[Author]]="Marcela Urrego",VLOOKUP(LEFT(Proc[[#This Row],[Requested]],1),Table3[#All],2,0),VLOOKUP(Proc[[#This Row],[Author]],Table4[],2,0))</f>
        <v>HC</v>
      </c>
      <c r="L2070" s="96"/>
      <c r="M2070" s="92">
        <v>45807.678356481483</v>
      </c>
      <c r="N2070" s="93">
        <v>45810</v>
      </c>
      <c r="O2070" s="93">
        <v>45810</v>
      </c>
      <c r="P2070" s="92" t="str">
        <f ca="1">IF(Proc[[#This Row],[DaysAgeing]]&gt;5,"yep","on track")</f>
        <v>on track</v>
      </c>
      <c r="Q2070" s="3">
        <f ca="1">IF(Proc[[#This Row],[DateClosed]]="",ABS(NETWORKDAYS(Proc[[#This Row],[DateOpened]],TODAY()))-1,ABS(NETWORKDAYS(Proc[[#This Row],[DateOpened]],Proc[[#This Row],[DateClosed]]))-1)</f>
        <v>1</v>
      </c>
      <c r="R2070" s="92" t="s">
        <v>1013</v>
      </c>
      <c r="S2070" s="96"/>
    </row>
    <row r="2071" spans="1:19" hidden="1">
      <c r="A2071" s="95" t="s">
        <v>3748</v>
      </c>
      <c r="B2071" s="96" t="str">
        <f>IFERROR(VLOOKUP(Proc[[#This Row],[App]],Table2[],3,0),"open")</f>
        <v>ok</v>
      </c>
      <c r="C2071" s="95" t="s">
        <v>369</v>
      </c>
      <c r="D2071" t="s">
        <v>3907</v>
      </c>
      <c r="E2071" t="s">
        <v>4069</v>
      </c>
      <c r="F2071" s="105" t="s">
        <v>4069</v>
      </c>
      <c r="G2071" s="95" t="s">
        <v>400</v>
      </c>
      <c r="H2071" s="96" t="str">
        <f>IF(Proc[[#This Row],[type]]="LFF (MDG-F)",MID(Proc[[#This Row],[Obj]],13,10),"")</f>
        <v/>
      </c>
      <c r="J2071" s="96" t="b">
        <f>Proc[[#This Row],[Requested]]=Proc[[#This Row],[CurrentParent]]</f>
        <v>1</v>
      </c>
      <c r="K2071" s="96" t="str">
        <f>IF(Proc[[#This Row],[Author]]="Marcela Urrego",VLOOKUP(LEFT(Proc[[#This Row],[Requested]],1),Table3[#All],2,0),VLOOKUP(Proc[[#This Row],[Author]],Table4[],2,0))</f>
        <v>HC</v>
      </c>
      <c r="L2071" s="96"/>
      <c r="M2071" s="92">
        <v>45807.678356481483</v>
      </c>
      <c r="N2071" s="93">
        <v>45810</v>
      </c>
      <c r="O2071" s="93">
        <v>45810</v>
      </c>
      <c r="P2071" s="92" t="str">
        <f ca="1">IF(Proc[[#This Row],[DaysAgeing]]&gt;5,"yep","on track")</f>
        <v>on track</v>
      </c>
      <c r="Q2071" s="3">
        <f ca="1">IF(Proc[[#This Row],[DateClosed]]="",ABS(NETWORKDAYS(Proc[[#This Row],[DateOpened]],TODAY()))-1,ABS(NETWORKDAYS(Proc[[#This Row],[DateOpened]],Proc[[#This Row],[DateClosed]]))-1)</f>
        <v>1</v>
      </c>
      <c r="R2071" s="92" t="s">
        <v>1013</v>
      </c>
      <c r="S2071" s="96"/>
    </row>
    <row r="2072" spans="1:19" hidden="1">
      <c r="A2072" s="95" t="s">
        <v>3748</v>
      </c>
      <c r="B2072" s="96" t="str">
        <f>IFERROR(VLOOKUP(Proc[[#This Row],[App]],Table2[],3,0),"open")</f>
        <v>ok</v>
      </c>
      <c r="C2072" s="95" t="s">
        <v>369</v>
      </c>
      <c r="D2072" t="s">
        <v>3908</v>
      </c>
      <c r="E2072" t="s">
        <v>4069</v>
      </c>
      <c r="F2072" s="105" t="s">
        <v>4069</v>
      </c>
      <c r="G2072" s="95" t="s">
        <v>400</v>
      </c>
      <c r="H2072" s="96" t="str">
        <f>IF(Proc[[#This Row],[type]]="LFF (MDG-F)",MID(Proc[[#This Row],[Obj]],13,10),"")</f>
        <v/>
      </c>
      <c r="J2072" s="96" t="b">
        <f>Proc[[#This Row],[Requested]]=Proc[[#This Row],[CurrentParent]]</f>
        <v>1</v>
      </c>
      <c r="K2072" s="96" t="str">
        <f>IF(Proc[[#This Row],[Author]]="Marcela Urrego",VLOOKUP(LEFT(Proc[[#This Row],[Requested]],1),Table3[#All],2,0),VLOOKUP(Proc[[#This Row],[Author]],Table4[],2,0))</f>
        <v>HC</v>
      </c>
      <c r="L2072" s="96"/>
      <c r="M2072" s="92">
        <v>45807.678356481483</v>
      </c>
      <c r="N2072" s="93">
        <v>45810</v>
      </c>
      <c r="O2072" s="93">
        <v>45810</v>
      </c>
      <c r="P2072" s="92" t="str">
        <f ca="1">IF(Proc[[#This Row],[DaysAgeing]]&gt;5,"yep","on track")</f>
        <v>on track</v>
      </c>
      <c r="Q2072" s="3">
        <f ca="1">IF(Proc[[#This Row],[DateClosed]]="",ABS(NETWORKDAYS(Proc[[#This Row],[DateOpened]],TODAY()))-1,ABS(NETWORKDAYS(Proc[[#This Row],[DateOpened]],Proc[[#This Row],[DateClosed]]))-1)</f>
        <v>1</v>
      </c>
      <c r="R2072" s="92" t="s">
        <v>1013</v>
      </c>
      <c r="S2072" s="96"/>
    </row>
    <row r="2073" spans="1:19" hidden="1">
      <c r="A2073" s="95" t="s">
        <v>3748</v>
      </c>
      <c r="B2073" s="96" t="str">
        <f>IFERROR(VLOOKUP(Proc[[#This Row],[App]],Table2[],3,0),"open")</f>
        <v>ok</v>
      </c>
      <c r="C2073" s="95" t="s">
        <v>369</v>
      </c>
      <c r="D2073" t="s">
        <v>3909</v>
      </c>
      <c r="E2073" t="s">
        <v>4069</v>
      </c>
      <c r="F2073" s="105" t="s">
        <v>4069</v>
      </c>
      <c r="G2073" s="95" t="s">
        <v>400</v>
      </c>
      <c r="H2073" s="96" t="str">
        <f>IF(Proc[[#This Row],[type]]="LFF (MDG-F)",MID(Proc[[#This Row],[Obj]],13,10),"")</f>
        <v/>
      </c>
      <c r="J2073" s="96" t="b">
        <f>Proc[[#This Row],[Requested]]=Proc[[#This Row],[CurrentParent]]</f>
        <v>1</v>
      </c>
      <c r="K2073" s="96" t="str">
        <f>IF(Proc[[#This Row],[Author]]="Marcela Urrego",VLOOKUP(LEFT(Proc[[#This Row],[Requested]],1),Table3[#All],2,0),VLOOKUP(Proc[[#This Row],[Author]],Table4[],2,0))</f>
        <v>HC</v>
      </c>
      <c r="L2073" s="96"/>
      <c r="M2073" s="92">
        <v>45807.678356481483</v>
      </c>
      <c r="N2073" s="93">
        <v>45810</v>
      </c>
      <c r="O2073" s="93">
        <v>45810</v>
      </c>
      <c r="P2073" s="92" t="str">
        <f ca="1">IF(Proc[[#This Row],[DaysAgeing]]&gt;5,"yep","on track")</f>
        <v>on track</v>
      </c>
      <c r="Q2073" s="3">
        <f ca="1">IF(Proc[[#This Row],[DateClosed]]="",ABS(NETWORKDAYS(Proc[[#This Row],[DateOpened]],TODAY()))-1,ABS(NETWORKDAYS(Proc[[#This Row],[DateOpened]],Proc[[#This Row],[DateClosed]]))-1)</f>
        <v>1</v>
      </c>
      <c r="R2073" s="92" t="s">
        <v>1013</v>
      </c>
      <c r="S2073" s="96"/>
    </row>
    <row r="2074" spans="1:19" hidden="1">
      <c r="A2074" s="95" t="s">
        <v>3748</v>
      </c>
      <c r="B2074" s="96" t="str">
        <f>IFERROR(VLOOKUP(Proc[[#This Row],[App]],Table2[],3,0),"open")</f>
        <v>ok</v>
      </c>
      <c r="C2074" s="95" t="s">
        <v>369</v>
      </c>
      <c r="D2074" t="s">
        <v>3910</v>
      </c>
      <c r="E2074" t="s">
        <v>4069</v>
      </c>
      <c r="F2074" s="105" t="s">
        <v>4069</v>
      </c>
      <c r="G2074" s="95" t="s">
        <v>400</v>
      </c>
      <c r="H2074" s="96" t="str">
        <f>IF(Proc[[#This Row],[type]]="LFF (MDG-F)",MID(Proc[[#This Row],[Obj]],13,10),"")</f>
        <v/>
      </c>
      <c r="J2074" s="96" t="b">
        <f>Proc[[#This Row],[Requested]]=Proc[[#This Row],[CurrentParent]]</f>
        <v>1</v>
      </c>
      <c r="K2074" s="96" t="str">
        <f>IF(Proc[[#This Row],[Author]]="Marcela Urrego",VLOOKUP(LEFT(Proc[[#This Row],[Requested]],1),Table3[#All],2,0),VLOOKUP(Proc[[#This Row],[Author]],Table4[],2,0))</f>
        <v>HC</v>
      </c>
      <c r="L2074" s="96"/>
      <c r="M2074" s="92">
        <v>45807.678356481483</v>
      </c>
      <c r="N2074" s="93">
        <v>45810</v>
      </c>
      <c r="O2074" s="93">
        <v>45810</v>
      </c>
      <c r="P2074" s="92" t="str">
        <f ca="1">IF(Proc[[#This Row],[DaysAgeing]]&gt;5,"yep","on track")</f>
        <v>on track</v>
      </c>
      <c r="Q2074" s="3">
        <f ca="1">IF(Proc[[#This Row],[DateClosed]]="",ABS(NETWORKDAYS(Proc[[#This Row],[DateOpened]],TODAY()))-1,ABS(NETWORKDAYS(Proc[[#This Row],[DateOpened]],Proc[[#This Row],[DateClosed]]))-1)</f>
        <v>1</v>
      </c>
      <c r="R2074" s="92" t="s">
        <v>1013</v>
      </c>
      <c r="S2074" s="96"/>
    </row>
    <row r="2075" spans="1:19" hidden="1">
      <c r="A2075" s="95" t="s">
        <v>3748</v>
      </c>
      <c r="B2075" s="96" t="str">
        <f>IFERROR(VLOOKUP(Proc[[#This Row],[App]],Table2[],3,0),"open")</f>
        <v>ok</v>
      </c>
      <c r="C2075" s="95" t="s">
        <v>369</v>
      </c>
      <c r="D2075" t="s">
        <v>3911</v>
      </c>
      <c r="E2075" t="s">
        <v>4069</v>
      </c>
      <c r="F2075" s="105" t="s">
        <v>4069</v>
      </c>
      <c r="G2075" s="95" t="s">
        <v>400</v>
      </c>
      <c r="H2075" s="96" t="str">
        <f>IF(Proc[[#This Row],[type]]="LFF (MDG-F)",MID(Proc[[#This Row],[Obj]],13,10),"")</f>
        <v/>
      </c>
      <c r="J2075" s="96" t="b">
        <f>Proc[[#This Row],[Requested]]=Proc[[#This Row],[CurrentParent]]</f>
        <v>1</v>
      </c>
      <c r="K2075" s="96" t="str">
        <f>IF(Proc[[#This Row],[Author]]="Marcela Urrego",VLOOKUP(LEFT(Proc[[#This Row],[Requested]],1),Table3[#All],2,0),VLOOKUP(Proc[[#This Row],[Author]],Table4[],2,0))</f>
        <v>HC</v>
      </c>
      <c r="L2075" s="96"/>
      <c r="M2075" s="92">
        <v>45807.678356481483</v>
      </c>
      <c r="N2075" s="93">
        <v>45810</v>
      </c>
      <c r="O2075" s="93">
        <v>45810</v>
      </c>
      <c r="P2075" s="92" t="str">
        <f ca="1">IF(Proc[[#This Row],[DaysAgeing]]&gt;5,"yep","on track")</f>
        <v>on track</v>
      </c>
      <c r="Q2075" s="3">
        <f ca="1">IF(Proc[[#This Row],[DateClosed]]="",ABS(NETWORKDAYS(Proc[[#This Row],[DateOpened]],TODAY()))-1,ABS(NETWORKDAYS(Proc[[#This Row],[DateOpened]],Proc[[#This Row],[DateClosed]]))-1)</f>
        <v>1</v>
      </c>
      <c r="R2075" s="92" t="s">
        <v>1013</v>
      </c>
      <c r="S2075" s="96"/>
    </row>
    <row r="2076" spans="1:19" hidden="1">
      <c r="A2076" s="95" t="s">
        <v>3748</v>
      </c>
      <c r="B2076" s="96" t="str">
        <f>IFERROR(VLOOKUP(Proc[[#This Row],[App]],Table2[],3,0),"open")</f>
        <v>ok</v>
      </c>
      <c r="C2076" s="95" t="s">
        <v>369</v>
      </c>
      <c r="D2076" t="s">
        <v>3912</v>
      </c>
      <c r="E2076" t="s">
        <v>4069</v>
      </c>
      <c r="F2076" s="105" t="s">
        <v>4069</v>
      </c>
      <c r="G2076" s="95" t="s">
        <v>400</v>
      </c>
      <c r="H2076" s="96" t="str">
        <f>IF(Proc[[#This Row],[type]]="LFF (MDG-F)",MID(Proc[[#This Row],[Obj]],13,10),"")</f>
        <v/>
      </c>
      <c r="J2076" s="96" t="b">
        <f>Proc[[#This Row],[Requested]]=Proc[[#This Row],[CurrentParent]]</f>
        <v>1</v>
      </c>
      <c r="K2076" s="96" t="str">
        <f>IF(Proc[[#This Row],[Author]]="Marcela Urrego",VLOOKUP(LEFT(Proc[[#This Row],[Requested]],1),Table3[#All],2,0),VLOOKUP(Proc[[#This Row],[Author]],Table4[],2,0))</f>
        <v>HC</v>
      </c>
      <c r="L2076" s="96"/>
      <c r="M2076" s="92">
        <v>45807.678356481483</v>
      </c>
      <c r="N2076" s="93">
        <v>45810</v>
      </c>
      <c r="O2076" s="93">
        <v>45810</v>
      </c>
      <c r="P2076" s="92" t="str">
        <f ca="1">IF(Proc[[#This Row],[DaysAgeing]]&gt;5,"yep","on track")</f>
        <v>on track</v>
      </c>
      <c r="Q2076" s="3">
        <f ca="1">IF(Proc[[#This Row],[DateClosed]]="",ABS(NETWORKDAYS(Proc[[#This Row],[DateOpened]],TODAY()))-1,ABS(NETWORKDAYS(Proc[[#This Row],[DateOpened]],Proc[[#This Row],[DateClosed]]))-1)</f>
        <v>1</v>
      </c>
      <c r="R2076" s="92" t="s">
        <v>1013</v>
      </c>
      <c r="S2076" s="96"/>
    </row>
    <row r="2077" spans="1:19" hidden="1">
      <c r="A2077" s="95" t="s">
        <v>3748</v>
      </c>
      <c r="B2077" s="96" t="str">
        <f>IFERROR(VLOOKUP(Proc[[#This Row],[App]],Table2[],3,0),"open")</f>
        <v>ok</v>
      </c>
      <c r="C2077" s="95" t="s">
        <v>369</v>
      </c>
      <c r="D2077" t="s">
        <v>3913</v>
      </c>
      <c r="E2077" t="s">
        <v>4069</v>
      </c>
      <c r="F2077" s="105" t="s">
        <v>4069</v>
      </c>
      <c r="G2077" s="95" t="s">
        <v>400</v>
      </c>
      <c r="H2077" s="96" t="str">
        <f>IF(Proc[[#This Row],[type]]="LFF (MDG-F)",MID(Proc[[#This Row],[Obj]],13,10),"")</f>
        <v/>
      </c>
      <c r="J2077" s="96" t="b">
        <f>Proc[[#This Row],[Requested]]=Proc[[#This Row],[CurrentParent]]</f>
        <v>1</v>
      </c>
      <c r="K2077" s="96" t="str">
        <f>IF(Proc[[#This Row],[Author]]="Marcela Urrego",VLOOKUP(LEFT(Proc[[#This Row],[Requested]],1),Table3[#All],2,0),VLOOKUP(Proc[[#This Row],[Author]],Table4[],2,0))</f>
        <v>HC</v>
      </c>
      <c r="L2077" s="96"/>
      <c r="M2077" s="92">
        <v>45807.678356481483</v>
      </c>
      <c r="N2077" s="93">
        <v>45810</v>
      </c>
      <c r="O2077" s="93">
        <v>45810</v>
      </c>
      <c r="P2077" s="92" t="str">
        <f ca="1">IF(Proc[[#This Row],[DaysAgeing]]&gt;5,"yep","on track")</f>
        <v>on track</v>
      </c>
      <c r="Q2077" s="3">
        <f ca="1">IF(Proc[[#This Row],[DateClosed]]="",ABS(NETWORKDAYS(Proc[[#This Row],[DateOpened]],TODAY()))-1,ABS(NETWORKDAYS(Proc[[#This Row],[DateOpened]],Proc[[#This Row],[DateClosed]]))-1)</f>
        <v>1</v>
      </c>
      <c r="R2077" s="92" t="s">
        <v>1013</v>
      </c>
      <c r="S2077" s="96"/>
    </row>
    <row r="2078" spans="1:19" hidden="1">
      <c r="A2078" s="95" t="s">
        <v>3748</v>
      </c>
      <c r="B2078" s="96" t="str">
        <f>IFERROR(VLOOKUP(Proc[[#This Row],[App]],Table2[],3,0),"open")</f>
        <v>ok</v>
      </c>
      <c r="C2078" s="95" t="s">
        <v>369</v>
      </c>
      <c r="D2078" t="s">
        <v>3914</v>
      </c>
      <c r="E2078" t="s">
        <v>4069</v>
      </c>
      <c r="F2078" s="105" t="s">
        <v>4069</v>
      </c>
      <c r="G2078" s="95" t="s">
        <v>400</v>
      </c>
      <c r="H2078" s="96" t="str">
        <f>IF(Proc[[#This Row],[type]]="LFF (MDG-F)",MID(Proc[[#This Row],[Obj]],13,10),"")</f>
        <v/>
      </c>
      <c r="J2078" s="96" t="b">
        <f>Proc[[#This Row],[Requested]]=Proc[[#This Row],[CurrentParent]]</f>
        <v>1</v>
      </c>
      <c r="K2078" s="96" t="str">
        <f>IF(Proc[[#This Row],[Author]]="Marcela Urrego",VLOOKUP(LEFT(Proc[[#This Row],[Requested]],1),Table3[#All],2,0),VLOOKUP(Proc[[#This Row],[Author]],Table4[],2,0))</f>
        <v>HC</v>
      </c>
      <c r="L2078" s="96"/>
      <c r="M2078" s="92">
        <v>45807.678356481483</v>
      </c>
      <c r="N2078" s="93">
        <v>45810</v>
      </c>
      <c r="O2078" s="93">
        <v>45810</v>
      </c>
      <c r="P2078" s="92" t="str">
        <f ca="1">IF(Proc[[#This Row],[DaysAgeing]]&gt;5,"yep","on track")</f>
        <v>on track</v>
      </c>
      <c r="Q2078" s="3">
        <f ca="1">IF(Proc[[#This Row],[DateClosed]]="",ABS(NETWORKDAYS(Proc[[#This Row],[DateOpened]],TODAY()))-1,ABS(NETWORKDAYS(Proc[[#This Row],[DateOpened]],Proc[[#This Row],[DateClosed]]))-1)</f>
        <v>1</v>
      </c>
      <c r="R2078" s="92" t="s">
        <v>1013</v>
      </c>
      <c r="S2078" s="96"/>
    </row>
    <row r="2079" spans="1:19" hidden="1">
      <c r="A2079" s="95" t="s">
        <v>3748</v>
      </c>
      <c r="B2079" s="96" t="str">
        <f>IFERROR(VLOOKUP(Proc[[#This Row],[App]],Table2[],3,0),"open")</f>
        <v>ok</v>
      </c>
      <c r="C2079" s="95" t="s">
        <v>369</v>
      </c>
      <c r="D2079" t="s">
        <v>3915</v>
      </c>
      <c r="E2079" t="s">
        <v>4069</v>
      </c>
      <c r="F2079" s="105" t="s">
        <v>4069</v>
      </c>
      <c r="G2079" s="95" t="s">
        <v>400</v>
      </c>
      <c r="H2079" s="96" t="str">
        <f>IF(Proc[[#This Row],[type]]="LFF (MDG-F)",MID(Proc[[#This Row],[Obj]],13,10),"")</f>
        <v/>
      </c>
      <c r="J2079" s="96" t="b">
        <f>Proc[[#This Row],[Requested]]=Proc[[#This Row],[CurrentParent]]</f>
        <v>1</v>
      </c>
      <c r="K2079" s="96" t="str">
        <f>IF(Proc[[#This Row],[Author]]="Marcela Urrego",VLOOKUP(LEFT(Proc[[#This Row],[Requested]],1),Table3[#All],2,0),VLOOKUP(Proc[[#This Row],[Author]],Table4[],2,0))</f>
        <v>HC</v>
      </c>
      <c r="L2079" s="96"/>
      <c r="M2079" s="92">
        <v>45807.678356481483</v>
      </c>
      <c r="N2079" s="93">
        <v>45810</v>
      </c>
      <c r="O2079" s="93">
        <v>45810</v>
      </c>
      <c r="P2079" s="92" t="str">
        <f ca="1">IF(Proc[[#This Row],[DaysAgeing]]&gt;5,"yep","on track")</f>
        <v>on track</v>
      </c>
      <c r="Q2079" s="3">
        <f ca="1">IF(Proc[[#This Row],[DateClosed]]="",ABS(NETWORKDAYS(Proc[[#This Row],[DateOpened]],TODAY()))-1,ABS(NETWORKDAYS(Proc[[#This Row],[DateOpened]],Proc[[#This Row],[DateClosed]]))-1)</f>
        <v>1</v>
      </c>
      <c r="R2079" s="92" t="s">
        <v>1013</v>
      </c>
      <c r="S2079" s="96"/>
    </row>
    <row r="2080" spans="1:19" hidden="1">
      <c r="A2080" s="95" t="s">
        <v>3748</v>
      </c>
      <c r="B2080" s="96" t="str">
        <f>IFERROR(VLOOKUP(Proc[[#This Row],[App]],Table2[],3,0),"open")</f>
        <v>ok</v>
      </c>
      <c r="C2080" s="95" t="s">
        <v>369</v>
      </c>
      <c r="D2080" t="s">
        <v>3916</v>
      </c>
      <c r="E2080" t="s">
        <v>4069</v>
      </c>
      <c r="F2080" s="105" t="s">
        <v>4069</v>
      </c>
      <c r="G2080" s="95" t="s">
        <v>400</v>
      </c>
      <c r="H2080" s="96" t="str">
        <f>IF(Proc[[#This Row],[type]]="LFF (MDG-F)",MID(Proc[[#This Row],[Obj]],13,10),"")</f>
        <v/>
      </c>
      <c r="J2080" s="96" t="b">
        <f>Proc[[#This Row],[Requested]]=Proc[[#This Row],[CurrentParent]]</f>
        <v>1</v>
      </c>
      <c r="K2080" s="96" t="str">
        <f>IF(Proc[[#This Row],[Author]]="Marcela Urrego",VLOOKUP(LEFT(Proc[[#This Row],[Requested]],1),Table3[#All],2,0),VLOOKUP(Proc[[#This Row],[Author]],Table4[],2,0))</f>
        <v>HC</v>
      </c>
      <c r="L2080" s="96"/>
      <c r="M2080" s="92">
        <v>45807.678356481483</v>
      </c>
      <c r="N2080" s="93">
        <v>45810</v>
      </c>
      <c r="O2080" s="93">
        <v>45810</v>
      </c>
      <c r="P2080" s="92" t="str">
        <f ca="1">IF(Proc[[#This Row],[DaysAgeing]]&gt;5,"yep","on track")</f>
        <v>on track</v>
      </c>
      <c r="Q2080" s="3">
        <f ca="1">IF(Proc[[#This Row],[DateClosed]]="",ABS(NETWORKDAYS(Proc[[#This Row],[DateOpened]],TODAY()))-1,ABS(NETWORKDAYS(Proc[[#This Row],[DateOpened]],Proc[[#This Row],[DateClosed]]))-1)</f>
        <v>1</v>
      </c>
      <c r="R2080" s="92" t="s">
        <v>1013</v>
      </c>
      <c r="S2080" s="96"/>
    </row>
    <row r="2081" spans="1:19" hidden="1">
      <c r="A2081" s="95" t="s">
        <v>3748</v>
      </c>
      <c r="B2081" s="96" t="str">
        <f>IFERROR(VLOOKUP(Proc[[#This Row],[App]],Table2[],3,0),"open")</f>
        <v>ok</v>
      </c>
      <c r="C2081" s="95" t="s">
        <v>369</v>
      </c>
      <c r="D2081" t="s">
        <v>3917</v>
      </c>
      <c r="E2081" t="s">
        <v>4069</v>
      </c>
      <c r="F2081" s="105" t="s">
        <v>4069</v>
      </c>
      <c r="G2081" s="95" t="s">
        <v>400</v>
      </c>
      <c r="H2081" s="96" t="str">
        <f>IF(Proc[[#This Row],[type]]="LFF (MDG-F)",MID(Proc[[#This Row],[Obj]],13,10),"")</f>
        <v/>
      </c>
      <c r="J2081" s="96" t="b">
        <f>Proc[[#This Row],[Requested]]=Proc[[#This Row],[CurrentParent]]</f>
        <v>1</v>
      </c>
      <c r="K2081" s="96" t="str">
        <f>IF(Proc[[#This Row],[Author]]="Marcela Urrego",VLOOKUP(LEFT(Proc[[#This Row],[Requested]],1),Table3[#All],2,0),VLOOKUP(Proc[[#This Row],[Author]],Table4[],2,0))</f>
        <v>HC</v>
      </c>
      <c r="L2081" s="96"/>
      <c r="M2081" s="92">
        <v>45807.678356481483</v>
      </c>
      <c r="N2081" s="93">
        <v>45810</v>
      </c>
      <c r="O2081" s="93">
        <v>45810</v>
      </c>
      <c r="P2081" s="92" t="str">
        <f ca="1">IF(Proc[[#This Row],[DaysAgeing]]&gt;5,"yep","on track")</f>
        <v>on track</v>
      </c>
      <c r="Q2081" s="3">
        <f ca="1">IF(Proc[[#This Row],[DateClosed]]="",ABS(NETWORKDAYS(Proc[[#This Row],[DateOpened]],TODAY()))-1,ABS(NETWORKDAYS(Proc[[#This Row],[DateOpened]],Proc[[#This Row],[DateClosed]]))-1)</f>
        <v>1</v>
      </c>
      <c r="R2081" s="92" t="s">
        <v>1013</v>
      </c>
      <c r="S2081" s="96"/>
    </row>
    <row r="2082" spans="1:19" hidden="1">
      <c r="A2082" s="95" t="s">
        <v>3748</v>
      </c>
      <c r="B2082" s="96" t="str">
        <f>IFERROR(VLOOKUP(Proc[[#This Row],[App]],Table2[],3,0),"open")</f>
        <v>ok</v>
      </c>
      <c r="C2082" s="95" t="s">
        <v>369</v>
      </c>
      <c r="D2082" t="s">
        <v>3918</v>
      </c>
      <c r="E2082" t="s">
        <v>4069</v>
      </c>
      <c r="F2082" s="105" t="s">
        <v>4069</v>
      </c>
      <c r="G2082" s="95" t="s">
        <v>400</v>
      </c>
      <c r="H2082" s="96" t="str">
        <f>IF(Proc[[#This Row],[type]]="LFF (MDG-F)",MID(Proc[[#This Row],[Obj]],13,10),"")</f>
        <v/>
      </c>
      <c r="J2082" s="96" t="b">
        <f>Proc[[#This Row],[Requested]]=Proc[[#This Row],[CurrentParent]]</f>
        <v>1</v>
      </c>
      <c r="K2082" s="96" t="str">
        <f>IF(Proc[[#This Row],[Author]]="Marcela Urrego",VLOOKUP(LEFT(Proc[[#This Row],[Requested]],1),Table3[#All],2,0),VLOOKUP(Proc[[#This Row],[Author]],Table4[],2,0))</f>
        <v>HC</v>
      </c>
      <c r="L2082" s="96"/>
      <c r="M2082" s="92">
        <v>45807.678356481483</v>
      </c>
      <c r="N2082" s="93">
        <v>45810</v>
      </c>
      <c r="O2082" s="93">
        <v>45810</v>
      </c>
      <c r="P2082" s="92" t="str">
        <f ca="1">IF(Proc[[#This Row],[DaysAgeing]]&gt;5,"yep","on track")</f>
        <v>on track</v>
      </c>
      <c r="Q2082" s="3">
        <f ca="1">IF(Proc[[#This Row],[DateClosed]]="",ABS(NETWORKDAYS(Proc[[#This Row],[DateOpened]],TODAY()))-1,ABS(NETWORKDAYS(Proc[[#This Row],[DateOpened]],Proc[[#This Row],[DateClosed]]))-1)</f>
        <v>1</v>
      </c>
      <c r="R2082" s="92" t="s">
        <v>1013</v>
      </c>
      <c r="S2082" s="96"/>
    </row>
    <row r="2083" spans="1:19" hidden="1">
      <c r="A2083" s="95" t="s">
        <v>3748</v>
      </c>
      <c r="B2083" s="96" t="str">
        <f>IFERROR(VLOOKUP(Proc[[#This Row],[App]],Table2[],3,0),"open")</f>
        <v>ok</v>
      </c>
      <c r="C2083" s="95" t="s">
        <v>369</v>
      </c>
      <c r="D2083" t="s">
        <v>3919</v>
      </c>
      <c r="E2083" t="s">
        <v>4069</v>
      </c>
      <c r="F2083" s="105" t="s">
        <v>4069</v>
      </c>
      <c r="G2083" s="95" t="s">
        <v>400</v>
      </c>
      <c r="H2083" s="96" t="str">
        <f>IF(Proc[[#This Row],[type]]="LFF (MDG-F)",MID(Proc[[#This Row],[Obj]],13,10),"")</f>
        <v/>
      </c>
      <c r="J2083" s="96" t="b">
        <f>Proc[[#This Row],[Requested]]=Proc[[#This Row],[CurrentParent]]</f>
        <v>1</v>
      </c>
      <c r="K2083" s="96" t="str">
        <f>IF(Proc[[#This Row],[Author]]="Marcela Urrego",VLOOKUP(LEFT(Proc[[#This Row],[Requested]],1),Table3[#All],2,0),VLOOKUP(Proc[[#This Row],[Author]],Table4[],2,0))</f>
        <v>HC</v>
      </c>
      <c r="L2083" s="96"/>
      <c r="M2083" s="92">
        <v>45807.678356481483</v>
      </c>
      <c r="N2083" s="93">
        <v>45810</v>
      </c>
      <c r="O2083" s="93">
        <v>45810</v>
      </c>
      <c r="P2083" s="92" t="str">
        <f ca="1">IF(Proc[[#This Row],[DaysAgeing]]&gt;5,"yep","on track")</f>
        <v>on track</v>
      </c>
      <c r="Q2083" s="3">
        <f ca="1">IF(Proc[[#This Row],[DateClosed]]="",ABS(NETWORKDAYS(Proc[[#This Row],[DateOpened]],TODAY()))-1,ABS(NETWORKDAYS(Proc[[#This Row],[DateOpened]],Proc[[#This Row],[DateClosed]]))-1)</f>
        <v>1</v>
      </c>
      <c r="R2083" s="92" t="s">
        <v>1013</v>
      </c>
      <c r="S2083" s="96"/>
    </row>
    <row r="2084" spans="1:19" hidden="1">
      <c r="A2084" s="95" t="s">
        <v>3748</v>
      </c>
      <c r="B2084" s="96" t="str">
        <f>IFERROR(VLOOKUP(Proc[[#This Row],[App]],Table2[],3,0),"open")</f>
        <v>ok</v>
      </c>
      <c r="C2084" s="95" t="s">
        <v>369</v>
      </c>
      <c r="D2084" t="s">
        <v>3920</v>
      </c>
      <c r="E2084" t="s">
        <v>4069</v>
      </c>
      <c r="F2084" s="105" t="s">
        <v>4069</v>
      </c>
      <c r="G2084" s="95" t="s">
        <v>400</v>
      </c>
      <c r="H2084" s="96" t="str">
        <f>IF(Proc[[#This Row],[type]]="LFF (MDG-F)",MID(Proc[[#This Row],[Obj]],13,10),"")</f>
        <v/>
      </c>
      <c r="J2084" s="96" t="b">
        <f>Proc[[#This Row],[Requested]]=Proc[[#This Row],[CurrentParent]]</f>
        <v>1</v>
      </c>
      <c r="K2084" s="96" t="str">
        <f>IF(Proc[[#This Row],[Author]]="Marcela Urrego",VLOOKUP(LEFT(Proc[[#This Row],[Requested]],1),Table3[#All],2,0),VLOOKUP(Proc[[#This Row],[Author]],Table4[],2,0))</f>
        <v>HC</v>
      </c>
      <c r="L2084" s="96"/>
      <c r="M2084" s="92">
        <v>45807.678356481483</v>
      </c>
      <c r="N2084" s="93">
        <v>45810</v>
      </c>
      <c r="O2084" s="93">
        <v>45810</v>
      </c>
      <c r="P2084" s="92" t="str">
        <f ca="1">IF(Proc[[#This Row],[DaysAgeing]]&gt;5,"yep","on track")</f>
        <v>on track</v>
      </c>
      <c r="Q2084" s="3">
        <f ca="1">IF(Proc[[#This Row],[DateClosed]]="",ABS(NETWORKDAYS(Proc[[#This Row],[DateOpened]],TODAY()))-1,ABS(NETWORKDAYS(Proc[[#This Row],[DateOpened]],Proc[[#This Row],[DateClosed]]))-1)</f>
        <v>1</v>
      </c>
      <c r="R2084" s="92" t="s">
        <v>1013</v>
      </c>
      <c r="S2084" s="96"/>
    </row>
    <row r="2085" spans="1:19" hidden="1">
      <c r="A2085" s="95" t="s">
        <v>3748</v>
      </c>
      <c r="B2085" s="96" t="str">
        <f>IFERROR(VLOOKUP(Proc[[#This Row],[App]],Table2[],3,0),"open")</f>
        <v>ok</v>
      </c>
      <c r="C2085" s="95" t="s">
        <v>369</v>
      </c>
      <c r="D2085" t="s">
        <v>3921</v>
      </c>
      <c r="E2085" t="s">
        <v>4069</v>
      </c>
      <c r="F2085" s="105" t="s">
        <v>4069</v>
      </c>
      <c r="G2085" s="95" t="s">
        <v>400</v>
      </c>
      <c r="H2085" s="96" t="str">
        <f>IF(Proc[[#This Row],[type]]="LFF (MDG-F)",MID(Proc[[#This Row],[Obj]],13,10),"")</f>
        <v/>
      </c>
      <c r="J2085" s="96" t="b">
        <f>Proc[[#This Row],[Requested]]=Proc[[#This Row],[CurrentParent]]</f>
        <v>1</v>
      </c>
      <c r="K2085" s="96" t="str">
        <f>IF(Proc[[#This Row],[Author]]="Marcela Urrego",VLOOKUP(LEFT(Proc[[#This Row],[Requested]],1),Table3[#All],2,0),VLOOKUP(Proc[[#This Row],[Author]],Table4[],2,0))</f>
        <v>HC</v>
      </c>
      <c r="L2085" s="96"/>
      <c r="M2085" s="92">
        <v>45807.678356481483</v>
      </c>
      <c r="N2085" s="93">
        <v>45810</v>
      </c>
      <c r="O2085" s="93">
        <v>45810</v>
      </c>
      <c r="P2085" s="92" t="str">
        <f ca="1">IF(Proc[[#This Row],[DaysAgeing]]&gt;5,"yep","on track")</f>
        <v>on track</v>
      </c>
      <c r="Q2085" s="3">
        <f ca="1">IF(Proc[[#This Row],[DateClosed]]="",ABS(NETWORKDAYS(Proc[[#This Row],[DateOpened]],TODAY()))-1,ABS(NETWORKDAYS(Proc[[#This Row],[DateOpened]],Proc[[#This Row],[DateClosed]]))-1)</f>
        <v>1</v>
      </c>
      <c r="R2085" s="92" t="s">
        <v>1013</v>
      </c>
      <c r="S2085" s="96"/>
    </row>
    <row r="2086" spans="1:19" hidden="1">
      <c r="A2086" s="95" t="s">
        <v>3748</v>
      </c>
      <c r="B2086" s="96" t="str">
        <f>IFERROR(VLOOKUP(Proc[[#This Row],[App]],Table2[],3,0),"open")</f>
        <v>ok</v>
      </c>
      <c r="C2086" s="95" t="s">
        <v>369</v>
      </c>
      <c r="D2086" t="s">
        <v>3922</v>
      </c>
      <c r="E2086" t="s">
        <v>4069</v>
      </c>
      <c r="F2086" s="105" t="s">
        <v>4069</v>
      </c>
      <c r="G2086" s="95" t="s">
        <v>400</v>
      </c>
      <c r="H2086" s="96" t="str">
        <f>IF(Proc[[#This Row],[type]]="LFF (MDG-F)",MID(Proc[[#This Row],[Obj]],13,10),"")</f>
        <v/>
      </c>
      <c r="J2086" s="96" t="b">
        <f>Proc[[#This Row],[Requested]]=Proc[[#This Row],[CurrentParent]]</f>
        <v>1</v>
      </c>
      <c r="K2086" s="96" t="str">
        <f>IF(Proc[[#This Row],[Author]]="Marcela Urrego",VLOOKUP(LEFT(Proc[[#This Row],[Requested]],1),Table3[#All],2,0),VLOOKUP(Proc[[#This Row],[Author]],Table4[],2,0))</f>
        <v>HC</v>
      </c>
      <c r="L2086" s="96"/>
      <c r="M2086" s="92">
        <v>45807.678356481483</v>
      </c>
      <c r="N2086" s="93">
        <v>45810</v>
      </c>
      <c r="O2086" s="93">
        <v>45810</v>
      </c>
      <c r="P2086" s="92" t="str">
        <f ca="1">IF(Proc[[#This Row],[DaysAgeing]]&gt;5,"yep","on track")</f>
        <v>on track</v>
      </c>
      <c r="Q2086" s="3">
        <f ca="1">IF(Proc[[#This Row],[DateClosed]]="",ABS(NETWORKDAYS(Proc[[#This Row],[DateOpened]],TODAY()))-1,ABS(NETWORKDAYS(Proc[[#This Row],[DateOpened]],Proc[[#This Row],[DateClosed]]))-1)</f>
        <v>1</v>
      </c>
      <c r="R2086" s="92" t="s">
        <v>1013</v>
      </c>
      <c r="S2086" s="96"/>
    </row>
    <row r="2087" spans="1:19" hidden="1">
      <c r="A2087" s="95" t="s">
        <v>3748</v>
      </c>
      <c r="B2087" s="96" t="str">
        <f>IFERROR(VLOOKUP(Proc[[#This Row],[App]],Table2[],3,0),"open")</f>
        <v>ok</v>
      </c>
      <c r="C2087" s="95" t="s">
        <v>369</v>
      </c>
      <c r="D2087" t="s">
        <v>3923</v>
      </c>
      <c r="E2087" t="s">
        <v>4069</v>
      </c>
      <c r="F2087" s="105" t="s">
        <v>4069</v>
      </c>
      <c r="G2087" s="95" t="s">
        <v>400</v>
      </c>
      <c r="H2087" s="96" t="str">
        <f>IF(Proc[[#This Row],[type]]="LFF (MDG-F)",MID(Proc[[#This Row],[Obj]],13,10),"")</f>
        <v/>
      </c>
      <c r="J2087" s="96" t="b">
        <f>Proc[[#This Row],[Requested]]=Proc[[#This Row],[CurrentParent]]</f>
        <v>1</v>
      </c>
      <c r="K2087" s="96" t="str">
        <f>IF(Proc[[#This Row],[Author]]="Marcela Urrego",VLOOKUP(LEFT(Proc[[#This Row],[Requested]],1),Table3[#All],2,0),VLOOKUP(Proc[[#This Row],[Author]],Table4[],2,0))</f>
        <v>HC</v>
      </c>
      <c r="L2087" s="96"/>
      <c r="M2087" s="92">
        <v>45807.678356481483</v>
      </c>
      <c r="N2087" s="93">
        <v>45810</v>
      </c>
      <c r="O2087" s="93">
        <v>45810</v>
      </c>
      <c r="P2087" s="92" t="str">
        <f ca="1">IF(Proc[[#This Row],[DaysAgeing]]&gt;5,"yep","on track")</f>
        <v>on track</v>
      </c>
      <c r="Q2087" s="3">
        <f ca="1">IF(Proc[[#This Row],[DateClosed]]="",ABS(NETWORKDAYS(Proc[[#This Row],[DateOpened]],TODAY()))-1,ABS(NETWORKDAYS(Proc[[#This Row],[DateOpened]],Proc[[#This Row],[DateClosed]]))-1)</f>
        <v>1</v>
      </c>
      <c r="R2087" s="92" t="s">
        <v>1013</v>
      </c>
      <c r="S2087" s="96"/>
    </row>
    <row r="2088" spans="1:19" hidden="1">
      <c r="A2088" s="95" t="s">
        <v>3748</v>
      </c>
      <c r="B2088" s="96" t="str">
        <f>IFERROR(VLOOKUP(Proc[[#This Row],[App]],Table2[],3,0),"open")</f>
        <v>ok</v>
      </c>
      <c r="C2088" s="95" t="s">
        <v>369</v>
      </c>
      <c r="D2088" t="s">
        <v>3924</v>
      </c>
      <c r="E2088" t="s">
        <v>4069</v>
      </c>
      <c r="F2088" s="105" t="s">
        <v>4069</v>
      </c>
      <c r="G2088" s="95" t="s">
        <v>400</v>
      </c>
      <c r="H2088" s="96" t="str">
        <f>IF(Proc[[#This Row],[type]]="LFF (MDG-F)",MID(Proc[[#This Row],[Obj]],13,10),"")</f>
        <v/>
      </c>
      <c r="J2088" s="96" t="b">
        <f>Proc[[#This Row],[Requested]]=Proc[[#This Row],[CurrentParent]]</f>
        <v>1</v>
      </c>
      <c r="K2088" s="96" t="str">
        <f>IF(Proc[[#This Row],[Author]]="Marcela Urrego",VLOOKUP(LEFT(Proc[[#This Row],[Requested]],1),Table3[#All],2,0),VLOOKUP(Proc[[#This Row],[Author]],Table4[],2,0))</f>
        <v>HC</v>
      </c>
      <c r="L2088" s="96"/>
      <c r="M2088" s="92">
        <v>45807.678356481483</v>
      </c>
      <c r="N2088" s="93">
        <v>45810</v>
      </c>
      <c r="O2088" s="93">
        <v>45810</v>
      </c>
      <c r="P2088" s="92" t="str">
        <f ca="1">IF(Proc[[#This Row],[DaysAgeing]]&gt;5,"yep","on track")</f>
        <v>on track</v>
      </c>
      <c r="Q2088" s="3">
        <f ca="1">IF(Proc[[#This Row],[DateClosed]]="",ABS(NETWORKDAYS(Proc[[#This Row],[DateOpened]],TODAY()))-1,ABS(NETWORKDAYS(Proc[[#This Row],[DateOpened]],Proc[[#This Row],[DateClosed]]))-1)</f>
        <v>1</v>
      </c>
      <c r="R2088" s="92" t="s">
        <v>1013</v>
      </c>
      <c r="S2088" s="96"/>
    </row>
    <row r="2089" spans="1:19" hidden="1">
      <c r="A2089" s="95" t="s">
        <v>3748</v>
      </c>
      <c r="B2089" s="96" t="str">
        <f>IFERROR(VLOOKUP(Proc[[#This Row],[App]],Table2[],3,0),"open")</f>
        <v>ok</v>
      </c>
      <c r="C2089" s="95" t="s">
        <v>369</v>
      </c>
      <c r="D2089" t="s">
        <v>3925</v>
      </c>
      <c r="E2089" t="s">
        <v>4069</v>
      </c>
      <c r="F2089" s="105" t="s">
        <v>4069</v>
      </c>
      <c r="G2089" s="95" t="s">
        <v>400</v>
      </c>
      <c r="H2089" s="96" t="str">
        <f>IF(Proc[[#This Row],[type]]="LFF (MDG-F)",MID(Proc[[#This Row],[Obj]],13,10),"")</f>
        <v/>
      </c>
      <c r="J2089" s="96" t="b">
        <f>Proc[[#This Row],[Requested]]=Proc[[#This Row],[CurrentParent]]</f>
        <v>1</v>
      </c>
      <c r="K2089" s="96" t="str">
        <f>IF(Proc[[#This Row],[Author]]="Marcela Urrego",VLOOKUP(LEFT(Proc[[#This Row],[Requested]],1),Table3[#All],2,0),VLOOKUP(Proc[[#This Row],[Author]],Table4[],2,0))</f>
        <v>HC</v>
      </c>
      <c r="L2089" s="96"/>
      <c r="M2089" s="92">
        <v>45807.678356481483</v>
      </c>
      <c r="N2089" s="93">
        <v>45810</v>
      </c>
      <c r="O2089" s="93">
        <v>45810</v>
      </c>
      <c r="P2089" s="92" t="str">
        <f ca="1">IF(Proc[[#This Row],[DaysAgeing]]&gt;5,"yep","on track")</f>
        <v>on track</v>
      </c>
      <c r="Q2089" s="3">
        <f ca="1">IF(Proc[[#This Row],[DateClosed]]="",ABS(NETWORKDAYS(Proc[[#This Row],[DateOpened]],TODAY()))-1,ABS(NETWORKDAYS(Proc[[#This Row],[DateOpened]],Proc[[#This Row],[DateClosed]]))-1)</f>
        <v>1</v>
      </c>
      <c r="R2089" s="92" t="s">
        <v>1013</v>
      </c>
      <c r="S2089" s="96"/>
    </row>
    <row r="2090" spans="1:19" hidden="1">
      <c r="A2090" s="95" t="s">
        <v>3748</v>
      </c>
      <c r="B2090" s="96" t="str">
        <f>IFERROR(VLOOKUP(Proc[[#This Row],[App]],Table2[],3,0),"open")</f>
        <v>ok</v>
      </c>
      <c r="C2090" s="95" t="s">
        <v>369</v>
      </c>
      <c r="D2090" t="s">
        <v>3926</v>
      </c>
      <c r="E2090" t="s">
        <v>4069</v>
      </c>
      <c r="F2090" s="105" t="s">
        <v>4069</v>
      </c>
      <c r="G2090" s="95" t="s">
        <v>400</v>
      </c>
      <c r="H2090" s="96" t="str">
        <f>IF(Proc[[#This Row],[type]]="LFF (MDG-F)",MID(Proc[[#This Row],[Obj]],13,10),"")</f>
        <v/>
      </c>
      <c r="J2090" s="96" t="b">
        <f>Proc[[#This Row],[Requested]]=Proc[[#This Row],[CurrentParent]]</f>
        <v>1</v>
      </c>
      <c r="K2090" s="96" t="str">
        <f>IF(Proc[[#This Row],[Author]]="Marcela Urrego",VLOOKUP(LEFT(Proc[[#This Row],[Requested]],1),Table3[#All],2,0),VLOOKUP(Proc[[#This Row],[Author]],Table4[],2,0))</f>
        <v>HC</v>
      </c>
      <c r="L2090" s="96"/>
      <c r="M2090" s="92">
        <v>45807.678356481483</v>
      </c>
      <c r="N2090" s="93">
        <v>45810</v>
      </c>
      <c r="O2090" s="93">
        <v>45810</v>
      </c>
      <c r="P2090" s="92" t="str">
        <f ca="1">IF(Proc[[#This Row],[DaysAgeing]]&gt;5,"yep","on track")</f>
        <v>on track</v>
      </c>
      <c r="Q2090" s="3">
        <f ca="1">IF(Proc[[#This Row],[DateClosed]]="",ABS(NETWORKDAYS(Proc[[#This Row],[DateOpened]],TODAY()))-1,ABS(NETWORKDAYS(Proc[[#This Row],[DateOpened]],Proc[[#This Row],[DateClosed]]))-1)</f>
        <v>1</v>
      </c>
      <c r="R2090" s="92" t="s">
        <v>1013</v>
      </c>
      <c r="S2090" s="96"/>
    </row>
    <row r="2091" spans="1:19" hidden="1">
      <c r="A2091" s="95" t="s">
        <v>3748</v>
      </c>
      <c r="B2091" s="96" t="str">
        <f>IFERROR(VLOOKUP(Proc[[#This Row],[App]],Table2[],3,0),"open")</f>
        <v>ok</v>
      </c>
      <c r="C2091" s="95" t="s">
        <v>369</v>
      </c>
      <c r="D2091" t="s">
        <v>3927</v>
      </c>
      <c r="E2091" t="s">
        <v>4069</v>
      </c>
      <c r="F2091" s="105" t="s">
        <v>4069</v>
      </c>
      <c r="G2091" s="95" t="s">
        <v>400</v>
      </c>
      <c r="H2091" s="96" t="str">
        <f>IF(Proc[[#This Row],[type]]="LFF (MDG-F)",MID(Proc[[#This Row],[Obj]],13,10),"")</f>
        <v/>
      </c>
      <c r="J2091" s="96" t="b">
        <f>Proc[[#This Row],[Requested]]=Proc[[#This Row],[CurrentParent]]</f>
        <v>1</v>
      </c>
      <c r="K2091" s="96" t="str">
        <f>IF(Proc[[#This Row],[Author]]="Marcela Urrego",VLOOKUP(LEFT(Proc[[#This Row],[Requested]],1),Table3[#All],2,0),VLOOKUP(Proc[[#This Row],[Author]],Table4[],2,0))</f>
        <v>HC</v>
      </c>
      <c r="L2091" s="96"/>
      <c r="M2091" s="92">
        <v>45807.678356481483</v>
      </c>
      <c r="N2091" s="93">
        <v>45810</v>
      </c>
      <c r="O2091" s="93">
        <v>45810</v>
      </c>
      <c r="P2091" s="92" t="str">
        <f ca="1">IF(Proc[[#This Row],[DaysAgeing]]&gt;5,"yep","on track")</f>
        <v>on track</v>
      </c>
      <c r="Q2091" s="3">
        <f ca="1">IF(Proc[[#This Row],[DateClosed]]="",ABS(NETWORKDAYS(Proc[[#This Row],[DateOpened]],TODAY()))-1,ABS(NETWORKDAYS(Proc[[#This Row],[DateOpened]],Proc[[#This Row],[DateClosed]]))-1)</f>
        <v>1</v>
      </c>
      <c r="R2091" s="92" t="s">
        <v>1013</v>
      </c>
      <c r="S2091" s="96"/>
    </row>
    <row r="2092" spans="1:19" hidden="1">
      <c r="A2092" s="95" t="s">
        <v>3748</v>
      </c>
      <c r="B2092" s="96" t="str">
        <f>IFERROR(VLOOKUP(Proc[[#This Row],[App]],Table2[],3,0),"open")</f>
        <v>ok</v>
      </c>
      <c r="C2092" s="95" t="s">
        <v>369</v>
      </c>
      <c r="D2092" t="s">
        <v>3928</v>
      </c>
      <c r="E2092" t="s">
        <v>4069</v>
      </c>
      <c r="F2092" s="105" t="s">
        <v>4069</v>
      </c>
      <c r="G2092" s="95" t="s">
        <v>400</v>
      </c>
      <c r="H2092" s="96" t="str">
        <f>IF(Proc[[#This Row],[type]]="LFF (MDG-F)",MID(Proc[[#This Row],[Obj]],13,10),"")</f>
        <v/>
      </c>
      <c r="J2092" s="96" t="b">
        <f>Proc[[#This Row],[Requested]]=Proc[[#This Row],[CurrentParent]]</f>
        <v>1</v>
      </c>
      <c r="K2092" s="96" t="str">
        <f>IF(Proc[[#This Row],[Author]]="Marcela Urrego",VLOOKUP(LEFT(Proc[[#This Row],[Requested]],1),Table3[#All],2,0),VLOOKUP(Proc[[#This Row],[Author]],Table4[],2,0))</f>
        <v>HC</v>
      </c>
      <c r="L2092" s="96"/>
      <c r="M2092" s="92">
        <v>45807.678356481483</v>
      </c>
      <c r="N2092" s="93">
        <v>45810</v>
      </c>
      <c r="O2092" s="93">
        <v>45810</v>
      </c>
      <c r="P2092" s="92" t="str">
        <f ca="1">IF(Proc[[#This Row],[DaysAgeing]]&gt;5,"yep","on track")</f>
        <v>on track</v>
      </c>
      <c r="Q2092" s="3">
        <f ca="1">IF(Proc[[#This Row],[DateClosed]]="",ABS(NETWORKDAYS(Proc[[#This Row],[DateOpened]],TODAY()))-1,ABS(NETWORKDAYS(Proc[[#This Row],[DateOpened]],Proc[[#This Row],[DateClosed]]))-1)</f>
        <v>1</v>
      </c>
      <c r="R2092" s="92" t="s">
        <v>1013</v>
      </c>
      <c r="S2092" s="96"/>
    </row>
    <row r="2093" spans="1:19" hidden="1">
      <c r="A2093" s="95" t="s">
        <v>3748</v>
      </c>
      <c r="B2093" s="96" t="str">
        <f>IFERROR(VLOOKUP(Proc[[#This Row],[App]],Table2[],3,0),"open")</f>
        <v>ok</v>
      </c>
      <c r="C2093" s="95" t="s">
        <v>369</v>
      </c>
      <c r="D2093" t="s">
        <v>3929</v>
      </c>
      <c r="E2093" t="s">
        <v>4069</v>
      </c>
      <c r="F2093" s="105" t="s">
        <v>4069</v>
      </c>
      <c r="G2093" s="95" t="s">
        <v>400</v>
      </c>
      <c r="H2093" s="96" t="str">
        <f>IF(Proc[[#This Row],[type]]="LFF (MDG-F)",MID(Proc[[#This Row],[Obj]],13,10),"")</f>
        <v/>
      </c>
      <c r="J2093" s="96" t="b">
        <f>Proc[[#This Row],[Requested]]=Proc[[#This Row],[CurrentParent]]</f>
        <v>1</v>
      </c>
      <c r="K2093" s="96" t="str">
        <f>IF(Proc[[#This Row],[Author]]="Marcela Urrego",VLOOKUP(LEFT(Proc[[#This Row],[Requested]],1),Table3[#All],2,0),VLOOKUP(Proc[[#This Row],[Author]],Table4[],2,0))</f>
        <v>HC</v>
      </c>
      <c r="L2093" s="96"/>
      <c r="M2093" s="92">
        <v>45807.678356481483</v>
      </c>
      <c r="N2093" s="93">
        <v>45810</v>
      </c>
      <c r="O2093" s="93">
        <v>45810</v>
      </c>
      <c r="P2093" s="92" t="str">
        <f ca="1">IF(Proc[[#This Row],[DaysAgeing]]&gt;5,"yep","on track")</f>
        <v>on track</v>
      </c>
      <c r="Q2093" s="3">
        <f ca="1">IF(Proc[[#This Row],[DateClosed]]="",ABS(NETWORKDAYS(Proc[[#This Row],[DateOpened]],TODAY()))-1,ABS(NETWORKDAYS(Proc[[#This Row],[DateOpened]],Proc[[#This Row],[DateClosed]]))-1)</f>
        <v>1</v>
      </c>
      <c r="R2093" s="92" t="s">
        <v>1013</v>
      </c>
      <c r="S2093" s="96"/>
    </row>
    <row r="2094" spans="1:19" hidden="1">
      <c r="A2094" s="95" t="s">
        <v>3748</v>
      </c>
      <c r="B2094" s="96" t="str">
        <f>IFERROR(VLOOKUP(Proc[[#This Row],[App]],Table2[],3,0),"open")</f>
        <v>ok</v>
      </c>
      <c r="C2094" s="95" t="s">
        <v>369</v>
      </c>
      <c r="D2094" t="s">
        <v>3930</v>
      </c>
      <c r="E2094" t="s">
        <v>4069</v>
      </c>
      <c r="F2094" s="105" t="s">
        <v>4069</v>
      </c>
      <c r="G2094" s="95" t="s">
        <v>400</v>
      </c>
      <c r="H2094" s="96" t="str">
        <f>IF(Proc[[#This Row],[type]]="LFF (MDG-F)",MID(Proc[[#This Row],[Obj]],13,10),"")</f>
        <v/>
      </c>
      <c r="J2094" s="96" t="b">
        <f>Proc[[#This Row],[Requested]]=Proc[[#This Row],[CurrentParent]]</f>
        <v>1</v>
      </c>
      <c r="K2094" s="96" t="str">
        <f>IF(Proc[[#This Row],[Author]]="Marcela Urrego",VLOOKUP(LEFT(Proc[[#This Row],[Requested]],1),Table3[#All],2,0),VLOOKUP(Proc[[#This Row],[Author]],Table4[],2,0))</f>
        <v>HC</v>
      </c>
      <c r="L2094" s="96"/>
      <c r="M2094" s="92">
        <v>45807.678356481483</v>
      </c>
      <c r="N2094" s="93">
        <v>45810</v>
      </c>
      <c r="O2094" s="93">
        <v>45810</v>
      </c>
      <c r="P2094" s="92" t="str">
        <f ca="1">IF(Proc[[#This Row],[DaysAgeing]]&gt;5,"yep","on track")</f>
        <v>on track</v>
      </c>
      <c r="Q2094" s="3">
        <f ca="1">IF(Proc[[#This Row],[DateClosed]]="",ABS(NETWORKDAYS(Proc[[#This Row],[DateOpened]],TODAY()))-1,ABS(NETWORKDAYS(Proc[[#This Row],[DateOpened]],Proc[[#This Row],[DateClosed]]))-1)</f>
        <v>1</v>
      </c>
      <c r="R2094" s="92" t="s">
        <v>1013</v>
      </c>
      <c r="S2094" s="96"/>
    </row>
    <row r="2095" spans="1:19" hidden="1">
      <c r="A2095" s="95" t="s">
        <v>3748</v>
      </c>
      <c r="B2095" s="96" t="str">
        <f>IFERROR(VLOOKUP(Proc[[#This Row],[App]],Table2[],3,0),"open")</f>
        <v>ok</v>
      </c>
      <c r="C2095" s="95" t="s">
        <v>369</v>
      </c>
      <c r="D2095" t="s">
        <v>3931</v>
      </c>
      <c r="E2095" t="s">
        <v>4069</v>
      </c>
      <c r="F2095" s="105" t="s">
        <v>4069</v>
      </c>
      <c r="G2095" s="95" t="s">
        <v>400</v>
      </c>
      <c r="H2095" s="96" t="str">
        <f>IF(Proc[[#This Row],[type]]="LFF (MDG-F)",MID(Proc[[#This Row],[Obj]],13,10),"")</f>
        <v/>
      </c>
      <c r="J2095" s="96" t="b">
        <f>Proc[[#This Row],[Requested]]=Proc[[#This Row],[CurrentParent]]</f>
        <v>1</v>
      </c>
      <c r="K2095" s="96" t="str">
        <f>IF(Proc[[#This Row],[Author]]="Marcela Urrego",VLOOKUP(LEFT(Proc[[#This Row],[Requested]],1),Table3[#All],2,0),VLOOKUP(Proc[[#This Row],[Author]],Table4[],2,0))</f>
        <v>HC</v>
      </c>
      <c r="L2095" s="96"/>
      <c r="M2095" s="92">
        <v>45807.678356481483</v>
      </c>
      <c r="N2095" s="93">
        <v>45810</v>
      </c>
      <c r="O2095" s="93">
        <v>45810</v>
      </c>
      <c r="P2095" s="92" t="str">
        <f ca="1">IF(Proc[[#This Row],[DaysAgeing]]&gt;5,"yep","on track")</f>
        <v>on track</v>
      </c>
      <c r="Q2095" s="3">
        <f ca="1">IF(Proc[[#This Row],[DateClosed]]="",ABS(NETWORKDAYS(Proc[[#This Row],[DateOpened]],TODAY()))-1,ABS(NETWORKDAYS(Proc[[#This Row],[DateOpened]],Proc[[#This Row],[DateClosed]]))-1)</f>
        <v>1</v>
      </c>
      <c r="R2095" s="92" t="s">
        <v>1013</v>
      </c>
      <c r="S2095" s="96"/>
    </row>
    <row r="2096" spans="1:19" hidden="1">
      <c r="A2096" s="95" t="s">
        <v>3748</v>
      </c>
      <c r="B2096" s="96" t="str">
        <f>IFERROR(VLOOKUP(Proc[[#This Row],[App]],Table2[],3,0),"open")</f>
        <v>ok</v>
      </c>
      <c r="C2096" s="95" t="s">
        <v>369</v>
      </c>
      <c r="D2096" t="s">
        <v>3932</v>
      </c>
      <c r="E2096" t="s">
        <v>4069</v>
      </c>
      <c r="F2096" s="105" t="s">
        <v>4069</v>
      </c>
      <c r="G2096" s="95" t="s">
        <v>400</v>
      </c>
      <c r="H2096" s="96" t="str">
        <f>IF(Proc[[#This Row],[type]]="LFF (MDG-F)",MID(Proc[[#This Row],[Obj]],13,10),"")</f>
        <v/>
      </c>
      <c r="J2096" s="96" t="b">
        <f>Proc[[#This Row],[Requested]]=Proc[[#This Row],[CurrentParent]]</f>
        <v>1</v>
      </c>
      <c r="K2096" s="96" t="str">
        <f>IF(Proc[[#This Row],[Author]]="Marcela Urrego",VLOOKUP(LEFT(Proc[[#This Row],[Requested]],1),Table3[#All],2,0),VLOOKUP(Proc[[#This Row],[Author]],Table4[],2,0))</f>
        <v>HC</v>
      </c>
      <c r="L2096" s="96"/>
      <c r="M2096" s="92">
        <v>45807.678356481483</v>
      </c>
      <c r="N2096" s="93">
        <v>45810</v>
      </c>
      <c r="O2096" s="93">
        <v>45810</v>
      </c>
      <c r="P2096" s="92" t="str">
        <f ca="1">IF(Proc[[#This Row],[DaysAgeing]]&gt;5,"yep","on track")</f>
        <v>on track</v>
      </c>
      <c r="Q2096" s="3">
        <f ca="1">IF(Proc[[#This Row],[DateClosed]]="",ABS(NETWORKDAYS(Proc[[#This Row],[DateOpened]],TODAY()))-1,ABS(NETWORKDAYS(Proc[[#This Row],[DateOpened]],Proc[[#This Row],[DateClosed]]))-1)</f>
        <v>1</v>
      </c>
      <c r="R2096" s="92" t="s">
        <v>1013</v>
      </c>
      <c r="S2096" s="96"/>
    </row>
    <row r="2097" spans="1:19" hidden="1">
      <c r="A2097" s="95" t="s">
        <v>3748</v>
      </c>
      <c r="B2097" s="96" t="str">
        <f>IFERROR(VLOOKUP(Proc[[#This Row],[App]],Table2[],3,0),"open")</f>
        <v>ok</v>
      </c>
      <c r="C2097" s="95" t="s">
        <v>369</v>
      </c>
      <c r="D2097" t="s">
        <v>3933</v>
      </c>
      <c r="E2097" t="s">
        <v>4069</v>
      </c>
      <c r="F2097" s="105" t="s">
        <v>4069</v>
      </c>
      <c r="G2097" s="95" t="s">
        <v>400</v>
      </c>
      <c r="H2097" s="96" t="str">
        <f>IF(Proc[[#This Row],[type]]="LFF (MDG-F)",MID(Proc[[#This Row],[Obj]],13,10),"")</f>
        <v/>
      </c>
      <c r="J2097" s="96" t="b">
        <f>Proc[[#This Row],[Requested]]=Proc[[#This Row],[CurrentParent]]</f>
        <v>1</v>
      </c>
      <c r="K2097" s="96" t="str">
        <f>IF(Proc[[#This Row],[Author]]="Marcela Urrego",VLOOKUP(LEFT(Proc[[#This Row],[Requested]],1),Table3[#All],2,0),VLOOKUP(Proc[[#This Row],[Author]],Table4[],2,0))</f>
        <v>HC</v>
      </c>
      <c r="L2097" s="96"/>
      <c r="M2097" s="92">
        <v>45807.678356481483</v>
      </c>
      <c r="N2097" s="93">
        <v>45810</v>
      </c>
      <c r="O2097" s="93">
        <v>45810</v>
      </c>
      <c r="P2097" s="92" t="str">
        <f ca="1">IF(Proc[[#This Row],[DaysAgeing]]&gt;5,"yep","on track")</f>
        <v>on track</v>
      </c>
      <c r="Q2097" s="3">
        <f ca="1">IF(Proc[[#This Row],[DateClosed]]="",ABS(NETWORKDAYS(Proc[[#This Row],[DateOpened]],TODAY()))-1,ABS(NETWORKDAYS(Proc[[#This Row],[DateOpened]],Proc[[#This Row],[DateClosed]]))-1)</f>
        <v>1</v>
      </c>
      <c r="R2097" s="92" t="s">
        <v>1013</v>
      </c>
      <c r="S2097" s="96"/>
    </row>
    <row r="2098" spans="1:19" hidden="1">
      <c r="A2098" s="95" t="s">
        <v>3748</v>
      </c>
      <c r="B2098" s="96" t="str">
        <f>IFERROR(VLOOKUP(Proc[[#This Row],[App]],Table2[],3,0),"open")</f>
        <v>ok</v>
      </c>
      <c r="C2098" s="95" t="s">
        <v>369</v>
      </c>
      <c r="D2098" t="s">
        <v>3934</v>
      </c>
      <c r="E2098" t="s">
        <v>4069</v>
      </c>
      <c r="F2098" s="105" t="s">
        <v>4069</v>
      </c>
      <c r="G2098" s="95" t="s">
        <v>400</v>
      </c>
      <c r="H2098" s="96" t="str">
        <f>IF(Proc[[#This Row],[type]]="LFF (MDG-F)",MID(Proc[[#This Row],[Obj]],13,10),"")</f>
        <v/>
      </c>
      <c r="J2098" s="96" t="b">
        <f>Proc[[#This Row],[Requested]]=Proc[[#This Row],[CurrentParent]]</f>
        <v>1</v>
      </c>
      <c r="K2098" s="96" t="str">
        <f>IF(Proc[[#This Row],[Author]]="Marcela Urrego",VLOOKUP(LEFT(Proc[[#This Row],[Requested]],1),Table3[#All],2,0),VLOOKUP(Proc[[#This Row],[Author]],Table4[],2,0))</f>
        <v>HC</v>
      </c>
      <c r="L2098" s="96"/>
      <c r="M2098" s="92">
        <v>45807.678356481483</v>
      </c>
      <c r="N2098" s="93">
        <v>45810</v>
      </c>
      <c r="O2098" s="93">
        <v>45810</v>
      </c>
      <c r="P2098" s="92" t="str">
        <f ca="1">IF(Proc[[#This Row],[DaysAgeing]]&gt;5,"yep","on track")</f>
        <v>on track</v>
      </c>
      <c r="Q2098" s="3">
        <f ca="1">IF(Proc[[#This Row],[DateClosed]]="",ABS(NETWORKDAYS(Proc[[#This Row],[DateOpened]],TODAY()))-1,ABS(NETWORKDAYS(Proc[[#This Row],[DateOpened]],Proc[[#This Row],[DateClosed]]))-1)</f>
        <v>1</v>
      </c>
      <c r="R2098" s="92" t="s">
        <v>1013</v>
      </c>
      <c r="S2098" s="96"/>
    </row>
    <row r="2099" spans="1:19" hidden="1">
      <c r="A2099" s="95" t="s">
        <v>3748</v>
      </c>
      <c r="B2099" s="96" t="str">
        <f>IFERROR(VLOOKUP(Proc[[#This Row],[App]],Table2[],3,0),"open")</f>
        <v>ok</v>
      </c>
      <c r="C2099" s="95" t="s">
        <v>369</v>
      </c>
      <c r="D2099" t="s">
        <v>3935</v>
      </c>
      <c r="E2099" t="s">
        <v>4069</v>
      </c>
      <c r="F2099" s="105" t="s">
        <v>4069</v>
      </c>
      <c r="G2099" s="95" t="s">
        <v>400</v>
      </c>
      <c r="H2099" s="96" t="str">
        <f>IF(Proc[[#This Row],[type]]="LFF (MDG-F)",MID(Proc[[#This Row],[Obj]],13,10),"")</f>
        <v/>
      </c>
      <c r="J2099" s="96" t="b">
        <f>Proc[[#This Row],[Requested]]=Proc[[#This Row],[CurrentParent]]</f>
        <v>1</v>
      </c>
      <c r="K2099" s="96" t="str">
        <f>IF(Proc[[#This Row],[Author]]="Marcela Urrego",VLOOKUP(LEFT(Proc[[#This Row],[Requested]],1),Table3[#All],2,0),VLOOKUP(Proc[[#This Row],[Author]],Table4[],2,0))</f>
        <v>HC</v>
      </c>
      <c r="L2099" s="96"/>
      <c r="M2099" s="92">
        <v>45807.678356481483</v>
      </c>
      <c r="N2099" s="93">
        <v>45810</v>
      </c>
      <c r="O2099" s="93">
        <v>45810</v>
      </c>
      <c r="P2099" s="92" t="str">
        <f ca="1">IF(Proc[[#This Row],[DaysAgeing]]&gt;5,"yep","on track")</f>
        <v>on track</v>
      </c>
      <c r="Q2099" s="3">
        <f ca="1">IF(Proc[[#This Row],[DateClosed]]="",ABS(NETWORKDAYS(Proc[[#This Row],[DateOpened]],TODAY()))-1,ABS(NETWORKDAYS(Proc[[#This Row],[DateOpened]],Proc[[#This Row],[DateClosed]]))-1)</f>
        <v>1</v>
      </c>
      <c r="R2099" s="92" t="s">
        <v>1013</v>
      </c>
      <c r="S2099" s="96"/>
    </row>
    <row r="2100" spans="1:19" hidden="1">
      <c r="A2100" s="95" t="s">
        <v>3748</v>
      </c>
      <c r="B2100" s="96" t="str">
        <f>IFERROR(VLOOKUP(Proc[[#This Row],[App]],Table2[],3,0),"open")</f>
        <v>ok</v>
      </c>
      <c r="C2100" s="95" t="s">
        <v>369</v>
      </c>
      <c r="D2100" t="s">
        <v>3936</v>
      </c>
      <c r="E2100" t="s">
        <v>4069</v>
      </c>
      <c r="F2100" s="105" t="s">
        <v>4069</v>
      </c>
      <c r="G2100" s="95" t="s">
        <v>400</v>
      </c>
      <c r="H2100" s="96" t="str">
        <f>IF(Proc[[#This Row],[type]]="LFF (MDG-F)",MID(Proc[[#This Row],[Obj]],13,10),"")</f>
        <v/>
      </c>
      <c r="J2100" s="96" t="b">
        <f>Proc[[#This Row],[Requested]]=Proc[[#This Row],[CurrentParent]]</f>
        <v>1</v>
      </c>
      <c r="K2100" s="96" t="str">
        <f>IF(Proc[[#This Row],[Author]]="Marcela Urrego",VLOOKUP(LEFT(Proc[[#This Row],[Requested]],1),Table3[#All],2,0),VLOOKUP(Proc[[#This Row],[Author]],Table4[],2,0))</f>
        <v>HC</v>
      </c>
      <c r="L2100" s="96"/>
      <c r="M2100" s="92">
        <v>45807.678356481483</v>
      </c>
      <c r="N2100" s="93">
        <v>45810</v>
      </c>
      <c r="O2100" s="93">
        <v>45810</v>
      </c>
      <c r="P2100" s="92" t="str">
        <f ca="1">IF(Proc[[#This Row],[DaysAgeing]]&gt;5,"yep","on track")</f>
        <v>on track</v>
      </c>
      <c r="Q2100" s="3">
        <f ca="1">IF(Proc[[#This Row],[DateClosed]]="",ABS(NETWORKDAYS(Proc[[#This Row],[DateOpened]],TODAY()))-1,ABS(NETWORKDAYS(Proc[[#This Row],[DateOpened]],Proc[[#This Row],[DateClosed]]))-1)</f>
        <v>1</v>
      </c>
      <c r="R2100" s="92" t="s">
        <v>1013</v>
      </c>
      <c r="S2100" s="96"/>
    </row>
    <row r="2101" spans="1:19" hidden="1">
      <c r="A2101" s="95" t="s">
        <v>3748</v>
      </c>
      <c r="B2101" s="96" t="str">
        <f>IFERROR(VLOOKUP(Proc[[#This Row],[App]],Table2[],3,0),"open")</f>
        <v>ok</v>
      </c>
      <c r="C2101" s="95" t="s">
        <v>369</v>
      </c>
      <c r="D2101" t="s">
        <v>3937</v>
      </c>
      <c r="E2101" t="s">
        <v>4069</v>
      </c>
      <c r="F2101" s="105" t="s">
        <v>4069</v>
      </c>
      <c r="G2101" s="95" t="s">
        <v>400</v>
      </c>
      <c r="H2101" s="96" t="str">
        <f>IF(Proc[[#This Row],[type]]="LFF (MDG-F)",MID(Proc[[#This Row],[Obj]],13,10),"")</f>
        <v/>
      </c>
      <c r="J2101" s="96" t="b">
        <f>Proc[[#This Row],[Requested]]=Proc[[#This Row],[CurrentParent]]</f>
        <v>1</v>
      </c>
      <c r="K2101" s="96" t="str">
        <f>IF(Proc[[#This Row],[Author]]="Marcela Urrego",VLOOKUP(LEFT(Proc[[#This Row],[Requested]],1),Table3[#All],2,0),VLOOKUP(Proc[[#This Row],[Author]],Table4[],2,0))</f>
        <v>HC</v>
      </c>
      <c r="L2101" s="96"/>
      <c r="M2101" s="92">
        <v>45807.678356481483</v>
      </c>
      <c r="N2101" s="93">
        <v>45810</v>
      </c>
      <c r="O2101" s="93">
        <v>45810</v>
      </c>
      <c r="P2101" s="92" t="str">
        <f ca="1">IF(Proc[[#This Row],[DaysAgeing]]&gt;5,"yep","on track")</f>
        <v>on track</v>
      </c>
      <c r="Q2101" s="3">
        <f ca="1">IF(Proc[[#This Row],[DateClosed]]="",ABS(NETWORKDAYS(Proc[[#This Row],[DateOpened]],TODAY()))-1,ABS(NETWORKDAYS(Proc[[#This Row],[DateOpened]],Proc[[#This Row],[DateClosed]]))-1)</f>
        <v>1</v>
      </c>
      <c r="R2101" s="92" t="s">
        <v>1013</v>
      </c>
      <c r="S2101" s="96"/>
    </row>
    <row r="2102" spans="1:19" hidden="1">
      <c r="A2102" s="95" t="s">
        <v>3748</v>
      </c>
      <c r="B2102" s="96" t="str">
        <f>IFERROR(VLOOKUP(Proc[[#This Row],[App]],Table2[],3,0),"open")</f>
        <v>ok</v>
      </c>
      <c r="C2102" s="95" t="s">
        <v>369</v>
      </c>
      <c r="D2102" t="s">
        <v>3938</v>
      </c>
      <c r="E2102" t="s">
        <v>4069</v>
      </c>
      <c r="F2102" s="105" t="s">
        <v>4069</v>
      </c>
      <c r="G2102" s="95" t="s">
        <v>400</v>
      </c>
      <c r="H2102" s="96" t="str">
        <f>IF(Proc[[#This Row],[type]]="LFF (MDG-F)",MID(Proc[[#This Row],[Obj]],13,10),"")</f>
        <v/>
      </c>
      <c r="J2102" s="96" t="b">
        <f>Proc[[#This Row],[Requested]]=Proc[[#This Row],[CurrentParent]]</f>
        <v>1</v>
      </c>
      <c r="K2102" s="96" t="str">
        <f>IF(Proc[[#This Row],[Author]]="Marcela Urrego",VLOOKUP(LEFT(Proc[[#This Row],[Requested]],1),Table3[#All],2,0),VLOOKUP(Proc[[#This Row],[Author]],Table4[],2,0))</f>
        <v>HC</v>
      </c>
      <c r="L2102" s="96"/>
      <c r="M2102" s="92">
        <v>45807.678356481483</v>
      </c>
      <c r="N2102" s="93">
        <v>45810</v>
      </c>
      <c r="O2102" s="93">
        <v>45810</v>
      </c>
      <c r="P2102" s="92" t="str">
        <f ca="1">IF(Proc[[#This Row],[DaysAgeing]]&gt;5,"yep","on track")</f>
        <v>on track</v>
      </c>
      <c r="Q2102" s="3">
        <f ca="1">IF(Proc[[#This Row],[DateClosed]]="",ABS(NETWORKDAYS(Proc[[#This Row],[DateOpened]],TODAY()))-1,ABS(NETWORKDAYS(Proc[[#This Row],[DateOpened]],Proc[[#This Row],[DateClosed]]))-1)</f>
        <v>1</v>
      </c>
      <c r="R2102" s="92" t="s">
        <v>1013</v>
      </c>
      <c r="S2102" s="96"/>
    </row>
    <row r="2103" spans="1:19" hidden="1">
      <c r="A2103" s="95" t="s">
        <v>3748</v>
      </c>
      <c r="B2103" s="96" t="str">
        <f>IFERROR(VLOOKUP(Proc[[#This Row],[App]],Table2[],3,0),"open")</f>
        <v>ok</v>
      </c>
      <c r="C2103" s="95" t="s">
        <v>369</v>
      </c>
      <c r="D2103" t="s">
        <v>3939</v>
      </c>
      <c r="E2103" t="s">
        <v>4069</v>
      </c>
      <c r="F2103" s="105" t="s">
        <v>4069</v>
      </c>
      <c r="G2103" s="95" t="s">
        <v>400</v>
      </c>
      <c r="H2103" s="96" t="str">
        <f>IF(Proc[[#This Row],[type]]="LFF (MDG-F)",MID(Proc[[#This Row],[Obj]],13,10),"")</f>
        <v/>
      </c>
      <c r="J2103" s="96" t="b">
        <f>Proc[[#This Row],[Requested]]=Proc[[#This Row],[CurrentParent]]</f>
        <v>1</v>
      </c>
      <c r="K2103" s="96" t="str">
        <f>IF(Proc[[#This Row],[Author]]="Marcela Urrego",VLOOKUP(LEFT(Proc[[#This Row],[Requested]],1),Table3[#All],2,0),VLOOKUP(Proc[[#This Row],[Author]],Table4[],2,0))</f>
        <v>HC</v>
      </c>
      <c r="L2103" s="96"/>
      <c r="M2103" s="92">
        <v>45807.678356481483</v>
      </c>
      <c r="N2103" s="93">
        <v>45810</v>
      </c>
      <c r="O2103" s="93">
        <v>45810</v>
      </c>
      <c r="P2103" s="92" t="str">
        <f ca="1">IF(Proc[[#This Row],[DaysAgeing]]&gt;5,"yep","on track")</f>
        <v>on track</v>
      </c>
      <c r="Q2103" s="3">
        <f ca="1">IF(Proc[[#This Row],[DateClosed]]="",ABS(NETWORKDAYS(Proc[[#This Row],[DateOpened]],TODAY()))-1,ABS(NETWORKDAYS(Proc[[#This Row],[DateOpened]],Proc[[#This Row],[DateClosed]]))-1)</f>
        <v>1</v>
      </c>
      <c r="R2103" s="92" t="s">
        <v>1013</v>
      </c>
      <c r="S2103" s="96"/>
    </row>
    <row r="2104" spans="1:19" hidden="1">
      <c r="A2104" s="95" t="s">
        <v>3748</v>
      </c>
      <c r="B2104" s="96" t="str">
        <f>IFERROR(VLOOKUP(Proc[[#This Row],[App]],Table2[],3,0),"open")</f>
        <v>ok</v>
      </c>
      <c r="C2104" s="95" t="s">
        <v>369</v>
      </c>
      <c r="D2104" t="s">
        <v>3940</v>
      </c>
      <c r="E2104" t="s">
        <v>4069</v>
      </c>
      <c r="F2104" s="105" t="s">
        <v>4069</v>
      </c>
      <c r="G2104" s="95" t="s">
        <v>400</v>
      </c>
      <c r="H2104" s="96" t="str">
        <f>IF(Proc[[#This Row],[type]]="LFF (MDG-F)",MID(Proc[[#This Row],[Obj]],13,10),"")</f>
        <v/>
      </c>
      <c r="J2104" s="96" t="b">
        <f>Proc[[#This Row],[Requested]]=Proc[[#This Row],[CurrentParent]]</f>
        <v>1</v>
      </c>
      <c r="K2104" s="96" t="str">
        <f>IF(Proc[[#This Row],[Author]]="Marcela Urrego",VLOOKUP(LEFT(Proc[[#This Row],[Requested]],1),Table3[#All],2,0),VLOOKUP(Proc[[#This Row],[Author]],Table4[],2,0))</f>
        <v>HC</v>
      </c>
      <c r="L2104" s="96"/>
      <c r="M2104" s="92">
        <v>45807.678356481483</v>
      </c>
      <c r="N2104" s="93">
        <v>45810</v>
      </c>
      <c r="O2104" s="93">
        <v>45810</v>
      </c>
      <c r="P2104" s="92" t="str">
        <f ca="1">IF(Proc[[#This Row],[DaysAgeing]]&gt;5,"yep","on track")</f>
        <v>on track</v>
      </c>
      <c r="Q2104" s="3">
        <f ca="1">IF(Proc[[#This Row],[DateClosed]]="",ABS(NETWORKDAYS(Proc[[#This Row],[DateOpened]],TODAY()))-1,ABS(NETWORKDAYS(Proc[[#This Row],[DateOpened]],Proc[[#This Row],[DateClosed]]))-1)</f>
        <v>1</v>
      </c>
      <c r="R2104" s="92" t="s">
        <v>1013</v>
      </c>
      <c r="S2104" s="96"/>
    </row>
    <row r="2105" spans="1:19" hidden="1">
      <c r="A2105" s="95" t="s">
        <v>3748</v>
      </c>
      <c r="B2105" s="96" t="str">
        <f>IFERROR(VLOOKUP(Proc[[#This Row],[App]],Table2[],3,0),"open")</f>
        <v>ok</v>
      </c>
      <c r="C2105" s="95" t="s">
        <v>369</v>
      </c>
      <c r="D2105" t="s">
        <v>3941</v>
      </c>
      <c r="E2105" t="s">
        <v>4069</v>
      </c>
      <c r="F2105" s="105" t="s">
        <v>4069</v>
      </c>
      <c r="G2105" s="95" t="s">
        <v>400</v>
      </c>
      <c r="H2105" s="96" t="str">
        <f>IF(Proc[[#This Row],[type]]="LFF (MDG-F)",MID(Proc[[#This Row],[Obj]],13,10),"")</f>
        <v/>
      </c>
      <c r="J2105" s="96" t="b">
        <f>Proc[[#This Row],[Requested]]=Proc[[#This Row],[CurrentParent]]</f>
        <v>1</v>
      </c>
      <c r="K2105" s="96" t="str">
        <f>IF(Proc[[#This Row],[Author]]="Marcela Urrego",VLOOKUP(LEFT(Proc[[#This Row],[Requested]],1),Table3[#All],2,0),VLOOKUP(Proc[[#This Row],[Author]],Table4[],2,0))</f>
        <v>HC</v>
      </c>
      <c r="L2105" s="96"/>
      <c r="M2105" s="92">
        <v>45807.678356481483</v>
      </c>
      <c r="N2105" s="93">
        <v>45810</v>
      </c>
      <c r="O2105" s="93">
        <v>45810</v>
      </c>
      <c r="P2105" s="92" t="str">
        <f ca="1">IF(Proc[[#This Row],[DaysAgeing]]&gt;5,"yep","on track")</f>
        <v>on track</v>
      </c>
      <c r="Q2105" s="3">
        <f ca="1">IF(Proc[[#This Row],[DateClosed]]="",ABS(NETWORKDAYS(Proc[[#This Row],[DateOpened]],TODAY()))-1,ABS(NETWORKDAYS(Proc[[#This Row],[DateOpened]],Proc[[#This Row],[DateClosed]]))-1)</f>
        <v>1</v>
      </c>
      <c r="R2105" s="92" t="s">
        <v>1013</v>
      </c>
      <c r="S2105" s="96"/>
    </row>
    <row r="2106" spans="1:19" hidden="1">
      <c r="A2106" s="95" t="s">
        <v>3748</v>
      </c>
      <c r="B2106" s="96" t="str">
        <f>IFERROR(VLOOKUP(Proc[[#This Row],[App]],Table2[],3,0),"open")</f>
        <v>ok</v>
      </c>
      <c r="C2106" s="95" t="s">
        <v>369</v>
      </c>
      <c r="D2106" t="s">
        <v>3942</v>
      </c>
      <c r="E2106" t="s">
        <v>4069</v>
      </c>
      <c r="F2106" s="105" t="s">
        <v>4069</v>
      </c>
      <c r="G2106" s="95" t="s">
        <v>400</v>
      </c>
      <c r="H2106" s="96" t="str">
        <f>IF(Proc[[#This Row],[type]]="LFF (MDG-F)",MID(Proc[[#This Row],[Obj]],13,10),"")</f>
        <v/>
      </c>
      <c r="J2106" s="96" t="b">
        <f>Proc[[#This Row],[Requested]]=Proc[[#This Row],[CurrentParent]]</f>
        <v>1</v>
      </c>
      <c r="K2106" s="96" t="str">
        <f>IF(Proc[[#This Row],[Author]]="Marcela Urrego",VLOOKUP(LEFT(Proc[[#This Row],[Requested]],1),Table3[#All],2,0),VLOOKUP(Proc[[#This Row],[Author]],Table4[],2,0))</f>
        <v>HC</v>
      </c>
      <c r="L2106" s="96"/>
      <c r="M2106" s="92">
        <v>45807.678356481483</v>
      </c>
      <c r="N2106" s="93">
        <v>45810</v>
      </c>
      <c r="O2106" s="93">
        <v>45810</v>
      </c>
      <c r="P2106" s="92" t="str">
        <f ca="1">IF(Proc[[#This Row],[DaysAgeing]]&gt;5,"yep","on track")</f>
        <v>on track</v>
      </c>
      <c r="Q2106" s="3">
        <f ca="1">IF(Proc[[#This Row],[DateClosed]]="",ABS(NETWORKDAYS(Proc[[#This Row],[DateOpened]],TODAY()))-1,ABS(NETWORKDAYS(Proc[[#This Row],[DateOpened]],Proc[[#This Row],[DateClosed]]))-1)</f>
        <v>1</v>
      </c>
      <c r="R2106" s="92" t="s">
        <v>1013</v>
      </c>
      <c r="S2106" s="96"/>
    </row>
    <row r="2107" spans="1:19" hidden="1">
      <c r="A2107" s="95" t="s">
        <v>3748</v>
      </c>
      <c r="B2107" s="96" t="str">
        <f>IFERROR(VLOOKUP(Proc[[#This Row],[App]],Table2[],3,0),"open")</f>
        <v>ok</v>
      </c>
      <c r="C2107" s="95" t="s">
        <v>369</v>
      </c>
      <c r="D2107" t="s">
        <v>3943</v>
      </c>
      <c r="E2107" t="s">
        <v>4069</v>
      </c>
      <c r="F2107" s="105" t="s">
        <v>4069</v>
      </c>
      <c r="G2107" s="95" t="s">
        <v>400</v>
      </c>
      <c r="H2107" s="96" t="str">
        <f>IF(Proc[[#This Row],[type]]="LFF (MDG-F)",MID(Proc[[#This Row],[Obj]],13,10),"")</f>
        <v/>
      </c>
      <c r="J2107" s="96" t="b">
        <f>Proc[[#This Row],[Requested]]=Proc[[#This Row],[CurrentParent]]</f>
        <v>1</v>
      </c>
      <c r="K2107" s="96" t="str">
        <f>IF(Proc[[#This Row],[Author]]="Marcela Urrego",VLOOKUP(LEFT(Proc[[#This Row],[Requested]],1),Table3[#All],2,0),VLOOKUP(Proc[[#This Row],[Author]],Table4[],2,0))</f>
        <v>HC</v>
      </c>
      <c r="L2107" s="96"/>
      <c r="M2107" s="92">
        <v>45807.678356481483</v>
      </c>
      <c r="N2107" s="93">
        <v>45810</v>
      </c>
      <c r="O2107" s="93">
        <v>45810</v>
      </c>
      <c r="P2107" s="92" t="str">
        <f ca="1">IF(Proc[[#This Row],[DaysAgeing]]&gt;5,"yep","on track")</f>
        <v>on track</v>
      </c>
      <c r="Q2107" s="3">
        <f ca="1">IF(Proc[[#This Row],[DateClosed]]="",ABS(NETWORKDAYS(Proc[[#This Row],[DateOpened]],TODAY()))-1,ABS(NETWORKDAYS(Proc[[#This Row],[DateOpened]],Proc[[#This Row],[DateClosed]]))-1)</f>
        <v>1</v>
      </c>
      <c r="R2107" s="92" t="s">
        <v>1013</v>
      </c>
      <c r="S2107" s="96"/>
    </row>
    <row r="2108" spans="1:19" hidden="1">
      <c r="A2108" s="95" t="s">
        <v>3748</v>
      </c>
      <c r="B2108" s="96" t="str">
        <f>IFERROR(VLOOKUP(Proc[[#This Row],[App]],Table2[],3,0),"open")</f>
        <v>ok</v>
      </c>
      <c r="C2108" s="95" t="s">
        <v>369</v>
      </c>
      <c r="D2108" t="s">
        <v>3944</v>
      </c>
      <c r="E2108" t="s">
        <v>4069</v>
      </c>
      <c r="F2108" s="105" t="s">
        <v>4069</v>
      </c>
      <c r="G2108" s="95" t="s">
        <v>400</v>
      </c>
      <c r="H2108" s="96" t="str">
        <f>IF(Proc[[#This Row],[type]]="LFF (MDG-F)",MID(Proc[[#This Row],[Obj]],13,10),"")</f>
        <v/>
      </c>
      <c r="J2108" s="96" t="b">
        <f>Proc[[#This Row],[Requested]]=Proc[[#This Row],[CurrentParent]]</f>
        <v>1</v>
      </c>
      <c r="K2108" s="96" t="str">
        <f>IF(Proc[[#This Row],[Author]]="Marcela Urrego",VLOOKUP(LEFT(Proc[[#This Row],[Requested]],1),Table3[#All],2,0),VLOOKUP(Proc[[#This Row],[Author]],Table4[],2,0))</f>
        <v>HC</v>
      </c>
      <c r="L2108" s="96"/>
      <c r="M2108" s="92">
        <v>45807.678356481483</v>
      </c>
      <c r="N2108" s="93">
        <v>45810</v>
      </c>
      <c r="O2108" s="93">
        <v>45810</v>
      </c>
      <c r="P2108" s="92" t="str">
        <f ca="1">IF(Proc[[#This Row],[DaysAgeing]]&gt;5,"yep","on track")</f>
        <v>on track</v>
      </c>
      <c r="Q2108" s="3">
        <f ca="1">IF(Proc[[#This Row],[DateClosed]]="",ABS(NETWORKDAYS(Proc[[#This Row],[DateOpened]],TODAY()))-1,ABS(NETWORKDAYS(Proc[[#This Row],[DateOpened]],Proc[[#This Row],[DateClosed]]))-1)</f>
        <v>1</v>
      </c>
      <c r="R2108" s="92" t="s">
        <v>1013</v>
      </c>
      <c r="S2108" s="96"/>
    </row>
    <row r="2109" spans="1:19" hidden="1">
      <c r="A2109" s="95" t="s">
        <v>3748</v>
      </c>
      <c r="B2109" s="96" t="str">
        <f>IFERROR(VLOOKUP(Proc[[#This Row],[App]],Table2[],3,0),"open")</f>
        <v>ok</v>
      </c>
      <c r="C2109" s="95" t="s">
        <v>369</v>
      </c>
      <c r="D2109" t="s">
        <v>3945</v>
      </c>
      <c r="E2109" t="s">
        <v>4069</v>
      </c>
      <c r="F2109" s="105" t="s">
        <v>4069</v>
      </c>
      <c r="G2109" s="95" t="s">
        <v>400</v>
      </c>
      <c r="H2109" s="96" t="str">
        <f>IF(Proc[[#This Row],[type]]="LFF (MDG-F)",MID(Proc[[#This Row],[Obj]],13,10),"")</f>
        <v/>
      </c>
      <c r="J2109" s="96" t="b">
        <f>Proc[[#This Row],[Requested]]=Proc[[#This Row],[CurrentParent]]</f>
        <v>1</v>
      </c>
      <c r="K2109" s="96" t="str">
        <f>IF(Proc[[#This Row],[Author]]="Marcela Urrego",VLOOKUP(LEFT(Proc[[#This Row],[Requested]],1),Table3[#All],2,0),VLOOKUP(Proc[[#This Row],[Author]],Table4[],2,0))</f>
        <v>HC</v>
      </c>
      <c r="L2109" s="96"/>
      <c r="M2109" s="92">
        <v>45807.678356481483</v>
      </c>
      <c r="N2109" s="93">
        <v>45810</v>
      </c>
      <c r="O2109" s="93">
        <v>45810</v>
      </c>
      <c r="P2109" s="92" t="str">
        <f ca="1">IF(Proc[[#This Row],[DaysAgeing]]&gt;5,"yep","on track")</f>
        <v>on track</v>
      </c>
      <c r="Q2109" s="3">
        <f ca="1">IF(Proc[[#This Row],[DateClosed]]="",ABS(NETWORKDAYS(Proc[[#This Row],[DateOpened]],TODAY()))-1,ABS(NETWORKDAYS(Proc[[#This Row],[DateOpened]],Proc[[#This Row],[DateClosed]]))-1)</f>
        <v>1</v>
      </c>
      <c r="R2109" s="92" t="s">
        <v>1013</v>
      </c>
      <c r="S2109" s="96"/>
    </row>
    <row r="2110" spans="1:19" hidden="1">
      <c r="A2110" s="95" t="s">
        <v>3748</v>
      </c>
      <c r="B2110" s="96" t="str">
        <f>IFERROR(VLOOKUP(Proc[[#This Row],[App]],Table2[],3,0),"open")</f>
        <v>ok</v>
      </c>
      <c r="C2110" s="95" t="s">
        <v>369</v>
      </c>
      <c r="D2110" t="s">
        <v>3946</v>
      </c>
      <c r="E2110" t="s">
        <v>4069</v>
      </c>
      <c r="F2110" s="105" t="s">
        <v>4069</v>
      </c>
      <c r="G2110" s="95" t="s">
        <v>400</v>
      </c>
      <c r="H2110" s="96" t="str">
        <f>IF(Proc[[#This Row],[type]]="LFF (MDG-F)",MID(Proc[[#This Row],[Obj]],13,10),"")</f>
        <v/>
      </c>
      <c r="J2110" s="96" t="b">
        <f>Proc[[#This Row],[Requested]]=Proc[[#This Row],[CurrentParent]]</f>
        <v>1</v>
      </c>
      <c r="K2110" s="96" t="str">
        <f>IF(Proc[[#This Row],[Author]]="Marcela Urrego",VLOOKUP(LEFT(Proc[[#This Row],[Requested]],1),Table3[#All],2,0),VLOOKUP(Proc[[#This Row],[Author]],Table4[],2,0))</f>
        <v>HC</v>
      </c>
      <c r="L2110" s="96"/>
      <c r="M2110" s="92">
        <v>45807.678356481483</v>
      </c>
      <c r="N2110" s="93">
        <v>45810</v>
      </c>
      <c r="O2110" s="93">
        <v>45810</v>
      </c>
      <c r="P2110" s="92" t="str">
        <f ca="1">IF(Proc[[#This Row],[DaysAgeing]]&gt;5,"yep","on track")</f>
        <v>on track</v>
      </c>
      <c r="Q2110" s="3">
        <f ca="1">IF(Proc[[#This Row],[DateClosed]]="",ABS(NETWORKDAYS(Proc[[#This Row],[DateOpened]],TODAY()))-1,ABS(NETWORKDAYS(Proc[[#This Row],[DateOpened]],Proc[[#This Row],[DateClosed]]))-1)</f>
        <v>1</v>
      </c>
      <c r="R2110" s="92" t="s">
        <v>1013</v>
      </c>
      <c r="S2110" s="96"/>
    </row>
    <row r="2111" spans="1:19" hidden="1">
      <c r="A2111" s="95" t="s">
        <v>3748</v>
      </c>
      <c r="B2111" s="96" t="str">
        <f>IFERROR(VLOOKUP(Proc[[#This Row],[App]],Table2[],3,0),"open")</f>
        <v>ok</v>
      </c>
      <c r="C2111" s="95" t="s">
        <v>369</v>
      </c>
      <c r="D2111" t="s">
        <v>3947</v>
      </c>
      <c r="E2111" t="s">
        <v>4069</v>
      </c>
      <c r="F2111" s="105" t="s">
        <v>4069</v>
      </c>
      <c r="G2111" s="95" t="s">
        <v>400</v>
      </c>
      <c r="H2111" s="96" t="str">
        <f>IF(Proc[[#This Row],[type]]="LFF (MDG-F)",MID(Proc[[#This Row],[Obj]],13,10),"")</f>
        <v/>
      </c>
      <c r="J2111" s="96" t="b">
        <f>Proc[[#This Row],[Requested]]=Proc[[#This Row],[CurrentParent]]</f>
        <v>1</v>
      </c>
      <c r="K2111" s="96" t="str">
        <f>IF(Proc[[#This Row],[Author]]="Marcela Urrego",VLOOKUP(LEFT(Proc[[#This Row],[Requested]],1),Table3[#All],2,0),VLOOKUP(Proc[[#This Row],[Author]],Table4[],2,0))</f>
        <v>HC</v>
      </c>
      <c r="L2111" s="96"/>
      <c r="M2111" s="92">
        <v>45807.678356481483</v>
      </c>
      <c r="N2111" s="93">
        <v>45810</v>
      </c>
      <c r="O2111" s="93">
        <v>45810</v>
      </c>
      <c r="P2111" s="92" t="str">
        <f ca="1">IF(Proc[[#This Row],[DaysAgeing]]&gt;5,"yep","on track")</f>
        <v>on track</v>
      </c>
      <c r="Q2111" s="3">
        <f ca="1">IF(Proc[[#This Row],[DateClosed]]="",ABS(NETWORKDAYS(Proc[[#This Row],[DateOpened]],TODAY()))-1,ABS(NETWORKDAYS(Proc[[#This Row],[DateOpened]],Proc[[#This Row],[DateClosed]]))-1)</f>
        <v>1</v>
      </c>
      <c r="R2111" s="92" t="s">
        <v>1013</v>
      </c>
      <c r="S2111" s="96"/>
    </row>
    <row r="2112" spans="1:19" hidden="1">
      <c r="A2112" s="95" t="s">
        <v>3748</v>
      </c>
      <c r="B2112" s="96" t="str">
        <f>IFERROR(VLOOKUP(Proc[[#This Row],[App]],Table2[],3,0),"open")</f>
        <v>ok</v>
      </c>
      <c r="C2112" s="95" t="s">
        <v>369</v>
      </c>
      <c r="D2112" t="s">
        <v>3948</v>
      </c>
      <c r="E2112" t="s">
        <v>2274</v>
      </c>
      <c r="F2112" s="105" t="s">
        <v>2274</v>
      </c>
      <c r="G2112" s="95" t="s">
        <v>400</v>
      </c>
      <c r="H2112" s="96" t="str">
        <f>IF(Proc[[#This Row],[type]]="LFF (MDG-F)",MID(Proc[[#This Row],[Obj]],13,10),"")</f>
        <v/>
      </c>
      <c r="J2112" s="96" t="b">
        <f>Proc[[#This Row],[Requested]]=Proc[[#This Row],[CurrentParent]]</f>
        <v>1</v>
      </c>
      <c r="K2112" s="96" t="str">
        <f>IF(Proc[[#This Row],[Author]]="Marcela Urrego",VLOOKUP(LEFT(Proc[[#This Row],[Requested]],1),Table3[#All],2,0),VLOOKUP(Proc[[#This Row],[Author]],Table4[],2,0))</f>
        <v>HC</v>
      </c>
      <c r="L2112" s="96"/>
      <c r="M2112" s="92">
        <v>45807.678356481483</v>
      </c>
      <c r="N2112" s="93">
        <v>45810</v>
      </c>
      <c r="O2112" s="93">
        <v>45810</v>
      </c>
      <c r="P2112" s="92" t="str">
        <f ca="1">IF(Proc[[#This Row],[DaysAgeing]]&gt;5,"yep","on track")</f>
        <v>on track</v>
      </c>
      <c r="Q2112" s="3">
        <f ca="1">IF(Proc[[#This Row],[DateClosed]]="",ABS(NETWORKDAYS(Proc[[#This Row],[DateOpened]],TODAY()))-1,ABS(NETWORKDAYS(Proc[[#This Row],[DateOpened]],Proc[[#This Row],[DateClosed]]))-1)</f>
        <v>1</v>
      </c>
      <c r="R2112" s="92" t="s">
        <v>1013</v>
      </c>
      <c r="S2112" s="96"/>
    </row>
    <row r="2113" spans="1:19" hidden="1">
      <c r="A2113" s="95" t="s">
        <v>3748</v>
      </c>
      <c r="B2113" s="96" t="str">
        <f>IFERROR(VLOOKUP(Proc[[#This Row],[App]],Table2[],3,0),"open")</f>
        <v>ok</v>
      </c>
      <c r="C2113" s="95" t="s">
        <v>369</v>
      </c>
      <c r="D2113" t="s">
        <v>3949</v>
      </c>
      <c r="E2113" t="s">
        <v>4069</v>
      </c>
      <c r="F2113" s="105" t="s">
        <v>4069</v>
      </c>
      <c r="G2113" s="95" t="s">
        <v>400</v>
      </c>
      <c r="H2113" s="96" t="str">
        <f>IF(Proc[[#This Row],[type]]="LFF (MDG-F)",MID(Proc[[#This Row],[Obj]],13,10),"")</f>
        <v/>
      </c>
      <c r="J2113" s="96" t="b">
        <f>Proc[[#This Row],[Requested]]=Proc[[#This Row],[CurrentParent]]</f>
        <v>1</v>
      </c>
      <c r="K2113" s="96" t="str">
        <f>IF(Proc[[#This Row],[Author]]="Marcela Urrego",VLOOKUP(LEFT(Proc[[#This Row],[Requested]],1),Table3[#All],2,0),VLOOKUP(Proc[[#This Row],[Author]],Table4[],2,0))</f>
        <v>HC</v>
      </c>
      <c r="L2113" s="96"/>
      <c r="M2113" s="92">
        <v>45807.678356481483</v>
      </c>
      <c r="N2113" s="93">
        <v>45810</v>
      </c>
      <c r="O2113" s="93">
        <v>45810</v>
      </c>
      <c r="P2113" s="92" t="str">
        <f ca="1">IF(Proc[[#This Row],[DaysAgeing]]&gt;5,"yep","on track")</f>
        <v>on track</v>
      </c>
      <c r="Q2113" s="3">
        <f ca="1">IF(Proc[[#This Row],[DateClosed]]="",ABS(NETWORKDAYS(Proc[[#This Row],[DateOpened]],TODAY()))-1,ABS(NETWORKDAYS(Proc[[#This Row],[DateOpened]],Proc[[#This Row],[DateClosed]]))-1)</f>
        <v>1</v>
      </c>
      <c r="R2113" s="92" t="s">
        <v>1013</v>
      </c>
      <c r="S2113" s="96"/>
    </row>
    <row r="2114" spans="1:19" hidden="1">
      <c r="A2114" s="95" t="s">
        <v>3748</v>
      </c>
      <c r="B2114" s="96" t="str">
        <f>IFERROR(VLOOKUP(Proc[[#This Row],[App]],Table2[],3,0),"open")</f>
        <v>ok</v>
      </c>
      <c r="C2114" s="95" t="s">
        <v>369</v>
      </c>
      <c r="D2114" t="s">
        <v>3950</v>
      </c>
      <c r="E2114" t="s">
        <v>4069</v>
      </c>
      <c r="F2114" s="105" t="s">
        <v>4069</v>
      </c>
      <c r="G2114" s="95" t="s">
        <v>400</v>
      </c>
      <c r="H2114" s="96" t="str">
        <f>IF(Proc[[#This Row],[type]]="LFF (MDG-F)",MID(Proc[[#This Row],[Obj]],13,10),"")</f>
        <v/>
      </c>
      <c r="J2114" s="96" t="b">
        <f>Proc[[#This Row],[Requested]]=Proc[[#This Row],[CurrentParent]]</f>
        <v>1</v>
      </c>
      <c r="K2114" s="96" t="str">
        <f>IF(Proc[[#This Row],[Author]]="Marcela Urrego",VLOOKUP(LEFT(Proc[[#This Row],[Requested]],1),Table3[#All],2,0),VLOOKUP(Proc[[#This Row],[Author]],Table4[],2,0))</f>
        <v>HC</v>
      </c>
      <c r="L2114" s="96"/>
      <c r="M2114" s="92">
        <v>45807.678356481483</v>
      </c>
      <c r="N2114" s="93">
        <v>45810</v>
      </c>
      <c r="O2114" s="93">
        <v>45810</v>
      </c>
      <c r="P2114" s="92" t="str">
        <f ca="1">IF(Proc[[#This Row],[DaysAgeing]]&gt;5,"yep","on track")</f>
        <v>on track</v>
      </c>
      <c r="Q2114" s="3">
        <f ca="1">IF(Proc[[#This Row],[DateClosed]]="",ABS(NETWORKDAYS(Proc[[#This Row],[DateOpened]],TODAY()))-1,ABS(NETWORKDAYS(Proc[[#This Row],[DateOpened]],Proc[[#This Row],[DateClosed]]))-1)</f>
        <v>1</v>
      </c>
      <c r="R2114" s="92" t="s">
        <v>1013</v>
      </c>
      <c r="S2114" s="96"/>
    </row>
    <row r="2115" spans="1:19" hidden="1">
      <c r="A2115" s="95" t="s">
        <v>3748</v>
      </c>
      <c r="B2115" s="96" t="str">
        <f>IFERROR(VLOOKUP(Proc[[#This Row],[App]],Table2[],3,0),"open")</f>
        <v>ok</v>
      </c>
      <c r="C2115" s="95" t="s">
        <v>369</v>
      </c>
      <c r="D2115" t="s">
        <v>3951</v>
      </c>
      <c r="E2115" t="s">
        <v>4069</v>
      </c>
      <c r="F2115" s="105" t="s">
        <v>4069</v>
      </c>
      <c r="G2115" s="95" t="s">
        <v>400</v>
      </c>
      <c r="H2115" s="96" t="str">
        <f>IF(Proc[[#This Row],[type]]="LFF (MDG-F)",MID(Proc[[#This Row],[Obj]],13,10),"")</f>
        <v/>
      </c>
      <c r="J2115" s="96" t="b">
        <f>Proc[[#This Row],[Requested]]=Proc[[#This Row],[CurrentParent]]</f>
        <v>1</v>
      </c>
      <c r="K2115" s="96" t="str">
        <f>IF(Proc[[#This Row],[Author]]="Marcela Urrego",VLOOKUP(LEFT(Proc[[#This Row],[Requested]],1),Table3[#All],2,0),VLOOKUP(Proc[[#This Row],[Author]],Table4[],2,0))</f>
        <v>HC</v>
      </c>
      <c r="L2115" s="96"/>
      <c r="M2115" s="92">
        <v>45807.678356481483</v>
      </c>
      <c r="N2115" s="93">
        <v>45810</v>
      </c>
      <c r="O2115" s="93">
        <v>45810</v>
      </c>
      <c r="P2115" s="92" t="str">
        <f ca="1">IF(Proc[[#This Row],[DaysAgeing]]&gt;5,"yep","on track")</f>
        <v>on track</v>
      </c>
      <c r="Q2115" s="3">
        <f ca="1">IF(Proc[[#This Row],[DateClosed]]="",ABS(NETWORKDAYS(Proc[[#This Row],[DateOpened]],TODAY()))-1,ABS(NETWORKDAYS(Proc[[#This Row],[DateOpened]],Proc[[#This Row],[DateClosed]]))-1)</f>
        <v>1</v>
      </c>
      <c r="R2115" s="92" t="s">
        <v>1013</v>
      </c>
      <c r="S2115" s="96"/>
    </row>
    <row r="2116" spans="1:19" hidden="1">
      <c r="A2116" s="95" t="s">
        <v>3748</v>
      </c>
      <c r="B2116" s="96" t="str">
        <f>IFERROR(VLOOKUP(Proc[[#This Row],[App]],Table2[],3,0),"open")</f>
        <v>ok</v>
      </c>
      <c r="C2116" s="95" t="s">
        <v>369</v>
      </c>
      <c r="D2116" t="s">
        <v>3952</v>
      </c>
      <c r="E2116" t="s">
        <v>4069</v>
      </c>
      <c r="F2116" s="105" t="s">
        <v>4069</v>
      </c>
      <c r="G2116" s="95" t="s">
        <v>400</v>
      </c>
      <c r="H2116" s="96" t="str">
        <f>IF(Proc[[#This Row],[type]]="LFF (MDG-F)",MID(Proc[[#This Row],[Obj]],13,10),"")</f>
        <v/>
      </c>
      <c r="J2116" s="96" t="b">
        <f>Proc[[#This Row],[Requested]]=Proc[[#This Row],[CurrentParent]]</f>
        <v>1</v>
      </c>
      <c r="K2116" s="96" t="str">
        <f>IF(Proc[[#This Row],[Author]]="Marcela Urrego",VLOOKUP(LEFT(Proc[[#This Row],[Requested]],1),Table3[#All],2,0),VLOOKUP(Proc[[#This Row],[Author]],Table4[],2,0))</f>
        <v>HC</v>
      </c>
      <c r="L2116" s="96"/>
      <c r="M2116" s="92">
        <v>45807.678356481483</v>
      </c>
      <c r="N2116" s="93">
        <v>45810</v>
      </c>
      <c r="O2116" s="93">
        <v>45810</v>
      </c>
      <c r="P2116" s="92" t="str">
        <f ca="1">IF(Proc[[#This Row],[DaysAgeing]]&gt;5,"yep","on track")</f>
        <v>on track</v>
      </c>
      <c r="Q2116" s="3">
        <f ca="1">IF(Proc[[#This Row],[DateClosed]]="",ABS(NETWORKDAYS(Proc[[#This Row],[DateOpened]],TODAY()))-1,ABS(NETWORKDAYS(Proc[[#This Row],[DateOpened]],Proc[[#This Row],[DateClosed]]))-1)</f>
        <v>1</v>
      </c>
      <c r="R2116" s="92" t="s">
        <v>1013</v>
      </c>
      <c r="S2116" s="96"/>
    </row>
    <row r="2117" spans="1:19" hidden="1">
      <c r="A2117" s="95" t="s">
        <v>3748</v>
      </c>
      <c r="B2117" s="96" t="str">
        <f>IFERROR(VLOOKUP(Proc[[#This Row],[App]],Table2[],3,0),"open")</f>
        <v>ok</v>
      </c>
      <c r="C2117" s="95" t="s">
        <v>369</v>
      </c>
      <c r="D2117" t="s">
        <v>3953</v>
      </c>
      <c r="E2117" t="s">
        <v>4069</v>
      </c>
      <c r="F2117" s="105" t="s">
        <v>4069</v>
      </c>
      <c r="G2117" s="95" t="s">
        <v>400</v>
      </c>
      <c r="H2117" s="96" t="str">
        <f>IF(Proc[[#This Row],[type]]="LFF (MDG-F)",MID(Proc[[#This Row],[Obj]],13,10),"")</f>
        <v/>
      </c>
      <c r="J2117" s="96" t="b">
        <f>Proc[[#This Row],[Requested]]=Proc[[#This Row],[CurrentParent]]</f>
        <v>1</v>
      </c>
      <c r="K2117" s="96" t="str">
        <f>IF(Proc[[#This Row],[Author]]="Marcela Urrego",VLOOKUP(LEFT(Proc[[#This Row],[Requested]],1),Table3[#All],2,0),VLOOKUP(Proc[[#This Row],[Author]],Table4[],2,0))</f>
        <v>HC</v>
      </c>
      <c r="L2117" s="96"/>
      <c r="M2117" s="92">
        <v>45807.678356481483</v>
      </c>
      <c r="N2117" s="93">
        <v>45810</v>
      </c>
      <c r="O2117" s="93">
        <v>45810</v>
      </c>
      <c r="P2117" s="92" t="str">
        <f ca="1">IF(Proc[[#This Row],[DaysAgeing]]&gt;5,"yep","on track")</f>
        <v>on track</v>
      </c>
      <c r="Q2117" s="3">
        <f ca="1">IF(Proc[[#This Row],[DateClosed]]="",ABS(NETWORKDAYS(Proc[[#This Row],[DateOpened]],TODAY()))-1,ABS(NETWORKDAYS(Proc[[#This Row],[DateOpened]],Proc[[#This Row],[DateClosed]]))-1)</f>
        <v>1</v>
      </c>
      <c r="R2117" s="92" t="s">
        <v>1013</v>
      </c>
      <c r="S2117" s="96"/>
    </row>
    <row r="2118" spans="1:19" hidden="1">
      <c r="A2118" s="95" t="s">
        <v>3748</v>
      </c>
      <c r="B2118" s="96" t="str">
        <f>IFERROR(VLOOKUP(Proc[[#This Row],[App]],Table2[],3,0),"open")</f>
        <v>ok</v>
      </c>
      <c r="C2118" s="95" t="s">
        <v>369</v>
      </c>
      <c r="D2118" t="s">
        <v>3954</v>
      </c>
      <c r="E2118" t="s">
        <v>2274</v>
      </c>
      <c r="F2118" s="105" t="s">
        <v>2274</v>
      </c>
      <c r="G2118" s="95" t="s">
        <v>400</v>
      </c>
      <c r="H2118" s="96" t="str">
        <f>IF(Proc[[#This Row],[type]]="LFF (MDG-F)",MID(Proc[[#This Row],[Obj]],13,10),"")</f>
        <v/>
      </c>
      <c r="J2118" s="96" t="b">
        <f>Proc[[#This Row],[Requested]]=Proc[[#This Row],[CurrentParent]]</f>
        <v>1</v>
      </c>
      <c r="K2118" s="96" t="str">
        <f>IF(Proc[[#This Row],[Author]]="Marcela Urrego",VLOOKUP(LEFT(Proc[[#This Row],[Requested]],1),Table3[#All],2,0),VLOOKUP(Proc[[#This Row],[Author]],Table4[],2,0))</f>
        <v>HC</v>
      </c>
      <c r="L2118" s="96"/>
      <c r="M2118" s="92">
        <v>45807.678356481483</v>
      </c>
      <c r="N2118" s="93">
        <v>45810</v>
      </c>
      <c r="O2118" s="93">
        <v>45810</v>
      </c>
      <c r="P2118" s="92" t="str">
        <f ca="1">IF(Proc[[#This Row],[DaysAgeing]]&gt;5,"yep","on track")</f>
        <v>on track</v>
      </c>
      <c r="Q2118" s="3">
        <f ca="1">IF(Proc[[#This Row],[DateClosed]]="",ABS(NETWORKDAYS(Proc[[#This Row],[DateOpened]],TODAY()))-1,ABS(NETWORKDAYS(Proc[[#This Row],[DateOpened]],Proc[[#This Row],[DateClosed]]))-1)</f>
        <v>1</v>
      </c>
      <c r="R2118" s="92" t="s">
        <v>1013</v>
      </c>
      <c r="S2118" s="96"/>
    </row>
    <row r="2119" spans="1:19" hidden="1">
      <c r="A2119" s="95" t="s">
        <v>3748</v>
      </c>
      <c r="B2119" s="96" t="str">
        <f>IFERROR(VLOOKUP(Proc[[#This Row],[App]],Table2[],3,0),"open")</f>
        <v>ok</v>
      </c>
      <c r="C2119" s="95" t="s">
        <v>369</v>
      </c>
      <c r="D2119" t="s">
        <v>3955</v>
      </c>
      <c r="E2119" t="s">
        <v>2274</v>
      </c>
      <c r="F2119" s="105" t="s">
        <v>2274</v>
      </c>
      <c r="G2119" s="95" t="s">
        <v>400</v>
      </c>
      <c r="H2119" s="96" t="str">
        <f>IF(Proc[[#This Row],[type]]="LFF (MDG-F)",MID(Proc[[#This Row],[Obj]],13,10),"")</f>
        <v/>
      </c>
      <c r="J2119" s="96" t="b">
        <f>Proc[[#This Row],[Requested]]=Proc[[#This Row],[CurrentParent]]</f>
        <v>1</v>
      </c>
      <c r="K2119" s="96" t="str">
        <f>IF(Proc[[#This Row],[Author]]="Marcela Urrego",VLOOKUP(LEFT(Proc[[#This Row],[Requested]],1),Table3[#All],2,0),VLOOKUP(Proc[[#This Row],[Author]],Table4[],2,0))</f>
        <v>HC</v>
      </c>
      <c r="L2119" s="96"/>
      <c r="M2119" s="92">
        <v>45807.678356481483</v>
      </c>
      <c r="N2119" s="93">
        <v>45810</v>
      </c>
      <c r="O2119" s="93">
        <v>45810</v>
      </c>
      <c r="P2119" s="92" t="str">
        <f ca="1">IF(Proc[[#This Row],[DaysAgeing]]&gt;5,"yep","on track")</f>
        <v>on track</v>
      </c>
      <c r="Q2119" s="3">
        <f ca="1">IF(Proc[[#This Row],[DateClosed]]="",ABS(NETWORKDAYS(Proc[[#This Row],[DateOpened]],TODAY()))-1,ABS(NETWORKDAYS(Proc[[#This Row],[DateOpened]],Proc[[#This Row],[DateClosed]]))-1)</f>
        <v>1</v>
      </c>
      <c r="R2119" s="92" t="s">
        <v>1013</v>
      </c>
      <c r="S2119" s="96"/>
    </row>
    <row r="2120" spans="1:19" hidden="1">
      <c r="A2120" s="95" t="s">
        <v>3748</v>
      </c>
      <c r="B2120" s="96" t="str">
        <f>IFERROR(VLOOKUP(Proc[[#This Row],[App]],Table2[],3,0),"open")</f>
        <v>ok</v>
      </c>
      <c r="C2120" s="95" t="s">
        <v>369</v>
      </c>
      <c r="D2120" t="s">
        <v>3956</v>
      </c>
      <c r="E2120" t="s">
        <v>2274</v>
      </c>
      <c r="F2120" s="105" t="s">
        <v>2274</v>
      </c>
      <c r="G2120" s="95" t="s">
        <v>400</v>
      </c>
      <c r="H2120" s="96" t="str">
        <f>IF(Proc[[#This Row],[type]]="LFF (MDG-F)",MID(Proc[[#This Row],[Obj]],13,10),"")</f>
        <v/>
      </c>
      <c r="J2120" s="96" t="b">
        <f>Proc[[#This Row],[Requested]]=Proc[[#This Row],[CurrentParent]]</f>
        <v>1</v>
      </c>
      <c r="K2120" s="96" t="str">
        <f>IF(Proc[[#This Row],[Author]]="Marcela Urrego",VLOOKUP(LEFT(Proc[[#This Row],[Requested]],1),Table3[#All],2,0),VLOOKUP(Proc[[#This Row],[Author]],Table4[],2,0))</f>
        <v>HC</v>
      </c>
      <c r="L2120" s="96"/>
      <c r="M2120" s="92">
        <v>45807.678356481483</v>
      </c>
      <c r="N2120" s="93">
        <v>45810</v>
      </c>
      <c r="O2120" s="93">
        <v>45810</v>
      </c>
      <c r="P2120" s="92" t="str">
        <f ca="1">IF(Proc[[#This Row],[DaysAgeing]]&gt;5,"yep","on track")</f>
        <v>on track</v>
      </c>
      <c r="Q2120" s="3">
        <f ca="1">IF(Proc[[#This Row],[DateClosed]]="",ABS(NETWORKDAYS(Proc[[#This Row],[DateOpened]],TODAY()))-1,ABS(NETWORKDAYS(Proc[[#This Row],[DateOpened]],Proc[[#This Row],[DateClosed]]))-1)</f>
        <v>1</v>
      </c>
      <c r="R2120" s="92" t="s">
        <v>1013</v>
      </c>
      <c r="S2120" s="96"/>
    </row>
    <row r="2121" spans="1:19" hidden="1">
      <c r="A2121" s="95" t="s">
        <v>3748</v>
      </c>
      <c r="B2121" s="96" t="str">
        <f>IFERROR(VLOOKUP(Proc[[#This Row],[App]],Table2[],3,0),"open")</f>
        <v>ok</v>
      </c>
      <c r="C2121" s="95" t="s">
        <v>369</v>
      </c>
      <c r="D2121" t="s">
        <v>3957</v>
      </c>
      <c r="E2121" t="s">
        <v>4070</v>
      </c>
      <c r="F2121" s="105" t="s">
        <v>4070</v>
      </c>
      <c r="G2121" s="95" t="s">
        <v>400</v>
      </c>
      <c r="H2121" s="96" t="str">
        <f>IF(Proc[[#This Row],[type]]="LFF (MDG-F)",MID(Proc[[#This Row],[Obj]],13,10),"")</f>
        <v/>
      </c>
      <c r="J2121" s="96" t="b">
        <f>Proc[[#This Row],[Requested]]=Proc[[#This Row],[CurrentParent]]</f>
        <v>1</v>
      </c>
      <c r="K2121" s="96" t="str">
        <f>IF(Proc[[#This Row],[Author]]="Marcela Urrego",VLOOKUP(LEFT(Proc[[#This Row],[Requested]],1),Table3[#All],2,0),VLOOKUP(Proc[[#This Row],[Author]],Table4[],2,0))</f>
        <v>HC</v>
      </c>
      <c r="L2121" s="96"/>
      <c r="M2121" s="92">
        <v>45807.678356481483</v>
      </c>
      <c r="N2121" s="93">
        <v>45810</v>
      </c>
      <c r="O2121" s="93">
        <v>45810</v>
      </c>
      <c r="P2121" s="92" t="str">
        <f ca="1">IF(Proc[[#This Row],[DaysAgeing]]&gt;5,"yep","on track")</f>
        <v>on track</v>
      </c>
      <c r="Q2121" s="3">
        <f ca="1">IF(Proc[[#This Row],[DateClosed]]="",ABS(NETWORKDAYS(Proc[[#This Row],[DateOpened]],TODAY()))-1,ABS(NETWORKDAYS(Proc[[#This Row],[DateOpened]],Proc[[#This Row],[DateClosed]]))-1)</f>
        <v>1</v>
      </c>
      <c r="R2121" s="92" t="s">
        <v>1013</v>
      </c>
      <c r="S2121" s="96"/>
    </row>
    <row r="2122" spans="1:19" hidden="1">
      <c r="A2122" s="95" t="s">
        <v>3748</v>
      </c>
      <c r="B2122" s="96" t="str">
        <f>IFERROR(VLOOKUP(Proc[[#This Row],[App]],Table2[],3,0),"open")</f>
        <v>ok</v>
      </c>
      <c r="C2122" s="95" t="s">
        <v>369</v>
      </c>
      <c r="D2122" t="s">
        <v>3958</v>
      </c>
      <c r="E2122" t="s">
        <v>4069</v>
      </c>
      <c r="F2122" s="105" t="s">
        <v>4069</v>
      </c>
      <c r="G2122" s="95" t="s">
        <v>400</v>
      </c>
      <c r="H2122" s="96" t="str">
        <f>IF(Proc[[#This Row],[type]]="LFF (MDG-F)",MID(Proc[[#This Row],[Obj]],13,10),"")</f>
        <v/>
      </c>
      <c r="J2122" s="96" t="b">
        <f>Proc[[#This Row],[Requested]]=Proc[[#This Row],[CurrentParent]]</f>
        <v>1</v>
      </c>
      <c r="K2122" s="96" t="str">
        <f>IF(Proc[[#This Row],[Author]]="Marcela Urrego",VLOOKUP(LEFT(Proc[[#This Row],[Requested]],1),Table3[#All],2,0),VLOOKUP(Proc[[#This Row],[Author]],Table4[],2,0))</f>
        <v>HC</v>
      </c>
      <c r="L2122" s="96"/>
      <c r="M2122" s="92">
        <v>45807.678356481483</v>
      </c>
      <c r="N2122" s="93">
        <v>45810</v>
      </c>
      <c r="O2122" s="93">
        <v>45810</v>
      </c>
      <c r="P2122" s="92" t="str">
        <f ca="1">IF(Proc[[#This Row],[DaysAgeing]]&gt;5,"yep","on track")</f>
        <v>on track</v>
      </c>
      <c r="Q2122" s="3">
        <f ca="1">IF(Proc[[#This Row],[DateClosed]]="",ABS(NETWORKDAYS(Proc[[#This Row],[DateOpened]],TODAY()))-1,ABS(NETWORKDAYS(Proc[[#This Row],[DateOpened]],Proc[[#This Row],[DateClosed]]))-1)</f>
        <v>1</v>
      </c>
      <c r="R2122" s="92" t="s">
        <v>1013</v>
      </c>
      <c r="S2122" s="96"/>
    </row>
    <row r="2123" spans="1:19" hidden="1">
      <c r="A2123" s="95" t="s">
        <v>3748</v>
      </c>
      <c r="B2123" s="96" t="str">
        <f>IFERROR(VLOOKUP(Proc[[#This Row],[App]],Table2[],3,0),"open")</f>
        <v>ok</v>
      </c>
      <c r="C2123" s="95" t="s">
        <v>369</v>
      </c>
      <c r="D2123" t="s">
        <v>3959</v>
      </c>
      <c r="E2123" t="s">
        <v>4069</v>
      </c>
      <c r="F2123" s="105" t="s">
        <v>4069</v>
      </c>
      <c r="G2123" s="95" t="s">
        <v>400</v>
      </c>
      <c r="H2123" s="96" t="str">
        <f>IF(Proc[[#This Row],[type]]="LFF (MDG-F)",MID(Proc[[#This Row],[Obj]],13,10),"")</f>
        <v/>
      </c>
      <c r="J2123" s="96" t="b">
        <f>Proc[[#This Row],[Requested]]=Proc[[#This Row],[CurrentParent]]</f>
        <v>1</v>
      </c>
      <c r="K2123" s="96" t="str">
        <f>IF(Proc[[#This Row],[Author]]="Marcela Urrego",VLOOKUP(LEFT(Proc[[#This Row],[Requested]],1),Table3[#All],2,0),VLOOKUP(Proc[[#This Row],[Author]],Table4[],2,0))</f>
        <v>HC</v>
      </c>
      <c r="L2123" s="96"/>
      <c r="M2123" s="92">
        <v>45807.678356481483</v>
      </c>
      <c r="N2123" s="93">
        <v>45810</v>
      </c>
      <c r="O2123" s="93">
        <v>45810</v>
      </c>
      <c r="P2123" s="92" t="str">
        <f ca="1">IF(Proc[[#This Row],[DaysAgeing]]&gt;5,"yep","on track")</f>
        <v>on track</v>
      </c>
      <c r="Q2123" s="3">
        <f ca="1">IF(Proc[[#This Row],[DateClosed]]="",ABS(NETWORKDAYS(Proc[[#This Row],[DateOpened]],TODAY()))-1,ABS(NETWORKDAYS(Proc[[#This Row],[DateOpened]],Proc[[#This Row],[DateClosed]]))-1)</f>
        <v>1</v>
      </c>
      <c r="R2123" s="92" t="s">
        <v>1013</v>
      </c>
      <c r="S2123" s="96"/>
    </row>
    <row r="2124" spans="1:19" hidden="1">
      <c r="A2124" s="95" t="s">
        <v>3748</v>
      </c>
      <c r="B2124" s="96" t="str">
        <f>IFERROR(VLOOKUP(Proc[[#This Row],[App]],Table2[],3,0),"open")</f>
        <v>ok</v>
      </c>
      <c r="C2124" s="95" t="s">
        <v>369</v>
      </c>
      <c r="D2124" t="s">
        <v>3960</v>
      </c>
      <c r="E2124" t="s">
        <v>4069</v>
      </c>
      <c r="F2124" s="105" t="s">
        <v>4069</v>
      </c>
      <c r="G2124" s="95" t="s">
        <v>400</v>
      </c>
      <c r="H2124" s="96" t="str">
        <f>IF(Proc[[#This Row],[type]]="LFF (MDG-F)",MID(Proc[[#This Row],[Obj]],13,10),"")</f>
        <v/>
      </c>
      <c r="J2124" s="96" t="b">
        <f>Proc[[#This Row],[Requested]]=Proc[[#This Row],[CurrentParent]]</f>
        <v>1</v>
      </c>
      <c r="K2124" s="96" t="str">
        <f>IF(Proc[[#This Row],[Author]]="Marcela Urrego",VLOOKUP(LEFT(Proc[[#This Row],[Requested]],1),Table3[#All],2,0),VLOOKUP(Proc[[#This Row],[Author]],Table4[],2,0))</f>
        <v>HC</v>
      </c>
      <c r="L2124" s="96"/>
      <c r="M2124" s="92">
        <v>45807.678356481483</v>
      </c>
      <c r="N2124" s="93">
        <v>45810</v>
      </c>
      <c r="O2124" s="93">
        <v>45810</v>
      </c>
      <c r="P2124" s="92" t="str">
        <f ca="1">IF(Proc[[#This Row],[DaysAgeing]]&gt;5,"yep","on track")</f>
        <v>on track</v>
      </c>
      <c r="Q2124" s="3">
        <f ca="1">IF(Proc[[#This Row],[DateClosed]]="",ABS(NETWORKDAYS(Proc[[#This Row],[DateOpened]],TODAY()))-1,ABS(NETWORKDAYS(Proc[[#This Row],[DateOpened]],Proc[[#This Row],[DateClosed]]))-1)</f>
        <v>1</v>
      </c>
      <c r="R2124" s="92" t="s">
        <v>1013</v>
      </c>
      <c r="S2124" s="96"/>
    </row>
    <row r="2125" spans="1:19" hidden="1">
      <c r="A2125" s="95" t="s">
        <v>3748</v>
      </c>
      <c r="B2125" s="96" t="str">
        <f>IFERROR(VLOOKUP(Proc[[#This Row],[App]],Table2[],3,0),"open")</f>
        <v>ok</v>
      </c>
      <c r="C2125" s="95" t="s">
        <v>369</v>
      </c>
      <c r="D2125" t="s">
        <v>3961</v>
      </c>
      <c r="E2125" t="s">
        <v>4069</v>
      </c>
      <c r="F2125" s="105" t="s">
        <v>4069</v>
      </c>
      <c r="G2125" s="95" t="s">
        <v>400</v>
      </c>
      <c r="H2125" s="96" t="str">
        <f>IF(Proc[[#This Row],[type]]="LFF (MDG-F)",MID(Proc[[#This Row],[Obj]],13,10),"")</f>
        <v/>
      </c>
      <c r="J2125" s="96" t="b">
        <f>Proc[[#This Row],[Requested]]=Proc[[#This Row],[CurrentParent]]</f>
        <v>1</v>
      </c>
      <c r="K2125" s="96" t="str">
        <f>IF(Proc[[#This Row],[Author]]="Marcela Urrego",VLOOKUP(LEFT(Proc[[#This Row],[Requested]],1),Table3[#All],2,0),VLOOKUP(Proc[[#This Row],[Author]],Table4[],2,0))</f>
        <v>HC</v>
      </c>
      <c r="L2125" s="96"/>
      <c r="M2125" s="92">
        <v>45807.678356481483</v>
      </c>
      <c r="N2125" s="93">
        <v>45810</v>
      </c>
      <c r="O2125" s="93">
        <v>45810</v>
      </c>
      <c r="P2125" s="92" t="str">
        <f ca="1">IF(Proc[[#This Row],[DaysAgeing]]&gt;5,"yep","on track")</f>
        <v>on track</v>
      </c>
      <c r="Q2125" s="3">
        <f ca="1">IF(Proc[[#This Row],[DateClosed]]="",ABS(NETWORKDAYS(Proc[[#This Row],[DateOpened]],TODAY()))-1,ABS(NETWORKDAYS(Proc[[#This Row],[DateOpened]],Proc[[#This Row],[DateClosed]]))-1)</f>
        <v>1</v>
      </c>
      <c r="R2125" s="92" t="s">
        <v>1013</v>
      </c>
      <c r="S2125" s="96"/>
    </row>
    <row r="2126" spans="1:19" hidden="1">
      <c r="A2126" s="95" t="s">
        <v>3748</v>
      </c>
      <c r="B2126" s="96" t="str">
        <f>IFERROR(VLOOKUP(Proc[[#This Row],[App]],Table2[],3,0),"open")</f>
        <v>ok</v>
      </c>
      <c r="C2126" s="95" t="s">
        <v>369</v>
      </c>
      <c r="D2126" t="s">
        <v>3962</v>
      </c>
      <c r="E2126" t="s">
        <v>4069</v>
      </c>
      <c r="F2126" s="105" t="s">
        <v>4069</v>
      </c>
      <c r="G2126" s="95" t="s">
        <v>400</v>
      </c>
      <c r="H2126" s="96" t="str">
        <f>IF(Proc[[#This Row],[type]]="LFF (MDG-F)",MID(Proc[[#This Row],[Obj]],13,10),"")</f>
        <v/>
      </c>
      <c r="J2126" s="96" t="b">
        <f>Proc[[#This Row],[Requested]]=Proc[[#This Row],[CurrentParent]]</f>
        <v>1</v>
      </c>
      <c r="K2126" s="96" t="str">
        <f>IF(Proc[[#This Row],[Author]]="Marcela Urrego",VLOOKUP(LEFT(Proc[[#This Row],[Requested]],1),Table3[#All],2,0),VLOOKUP(Proc[[#This Row],[Author]],Table4[],2,0))</f>
        <v>HC</v>
      </c>
      <c r="L2126" s="96"/>
      <c r="M2126" s="92">
        <v>45807.678356481483</v>
      </c>
      <c r="N2126" s="93">
        <v>45810</v>
      </c>
      <c r="O2126" s="93">
        <v>45810</v>
      </c>
      <c r="P2126" s="92" t="str">
        <f ca="1">IF(Proc[[#This Row],[DaysAgeing]]&gt;5,"yep","on track")</f>
        <v>on track</v>
      </c>
      <c r="Q2126" s="3">
        <f ca="1">IF(Proc[[#This Row],[DateClosed]]="",ABS(NETWORKDAYS(Proc[[#This Row],[DateOpened]],TODAY()))-1,ABS(NETWORKDAYS(Proc[[#This Row],[DateOpened]],Proc[[#This Row],[DateClosed]]))-1)</f>
        <v>1</v>
      </c>
      <c r="R2126" s="92" t="s">
        <v>1013</v>
      </c>
      <c r="S2126" s="96"/>
    </row>
    <row r="2127" spans="1:19" hidden="1">
      <c r="A2127" s="95" t="s">
        <v>3748</v>
      </c>
      <c r="B2127" s="96" t="str">
        <f>IFERROR(VLOOKUP(Proc[[#This Row],[App]],Table2[],3,0),"open")</f>
        <v>ok</v>
      </c>
      <c r="C2127" s="95" t="s">
        <v>369</v>
      </c>
      <c r="D2127" t="s">
        <v>3963</v>
      </c>
      <c r="E2127" t="s">
        <v>4069</v>
      </c>
      <c r="F2127" s="105" t="s">
        <v>4069</v>
      </c>
      <c r="G2127" s="95" t="s">
        <v>400</v>
      </c>
      <c r="H2127" s="96" t="str">
        <f>IF(Proc[[#This Row],[type]]="LFF (MDG-F)",MID(Proc[[#This Row],[Obj]],13,10),"")</f>
        <v/>
      </c>
      <c r="J2127" s="96" t="b">
        <f>Proc[[#This Row],[Requested]]=Proc[[#This Row],[CurrentParent]]</f>
        <v>1</v>
      </c>
      <c r="K2127" s="96" t="str">
        <f>IF(Proc[[#This Row],[Author]]="Marcela Urrego",VLOOKUP(LEFT(Proc[[#This Row],[Requested]],1),Table3[#All],2,0),VLOOKUP(Proc[[#This Row],[Author]],Table4[],2,0))</f>
        <v>HC</v>
      </c>
      <c r="L2127" s="96"/>
      <c r="M2127" s="92">
        <v>45807.678356481483</v>
      </c>
      <c r="N2127" s="93">
        <v>45810</v>
      </c>
      <c r="O2127" s="93">
        <v>45810</v>
      </c>
      <c r="P2127" s="92" t="str">
        <f ca="1">IF(Proc[[#This Row],[DaysAgeing]]&gt;5,"yep","on track")</f>
        <v>on track</v>
      </c>
      <c r="Q2127" s="3">
        <f ca="1">IF(Proc[[#This Row],[DateClosed]]="",ABS(NETWORKDAYS(Proc[[#This Row],[DateOpened]],TODAY()))-1,ABS(NETWORKDAYS(Proc[[#This Row],[DateOpened]],Proc[[#This Row],[DateClosed]]))-1)</f>
        <v>1</v>
      </c>
      <c r="R2127" s="92" t="s">
        <v>1013</v>
      </c>
      <c r="S2127" s="96"/>
    </row>
    <row r="2128" spans="1:19" hidden="1">
      <c r="A2128" s="95" t="s">
        <v>3748</v>
      </c>
      <c r="B2128" s="96" t="str">
        <f>IFERROR(VLOOKUP(Proc[[#This Row],[App]],Table2[],3,0),"open")</f>
        <v>ok</v>
      </c>
      <c r="C2128" s="95" t="s">
        <v>369</v>
      </c>
      <c r="D2128" t="s">
        <v>3964</v>
      </c>
      <c r="E2128" t="s">
        <v>4069</v>
      </c>
      <c r="F2128" s="105" t="s">
        <v>4069</v>
      </c>
      <c r="G2128" s="95" t="s">
        <v>400</v>
      </c>
      <c r="H2128" s="96" t="str">
        <f>IF(Proc[[#This Row],[type]]="LFF (MDG-F)",MID(Proc[[#This Row],[Obj]],13,10),"")</f>
        <v/>
      </c>
      <c r="J2128" s="96" t="b">
        <f>Proc[[#This Row],[Requested]]=Proc[[#This Row],[CurrentParent]]</f>
        <v>1</v>
      </c>
      <c r="K2128" s="96" t="str">
        <f>IF(Proc[[#This Row],[Author]]="Marcela Urrego",VLOOKUP(LEFT(Proc[[#This Row],[Requested]],1),Table3[#All],2,0),VLOOKUP(Proc[[#This Row],[Author]],Table4[],2,0))</f>
        <v>HC</v>
      </c>
      <c r="L2128" s="96"/>
      <c r="M2128" s="92">
        <v>45807.678356481483</v>
      </c>
      <c r="N2128" s="93">
        <v>45810</v>
      </c>
      <c r="O2128" s="93">
        <v>45810</v>
      </c>
      <c r="P2128" s="92" t="str">
        <f ca="1">IF(Proc[[#This Row],[DaysAgeing]]&gt;5,"yep","on track")</f>
        <v>on track</v>
      </c>
      <c r="Q2128" s="3">
        <f ca="1">IF(Proc[[#This Row],[DateClosed]]="",ABS(NETWORKDAYS(Proc[[#This Row],[DateOpened]],TODAY()))-1,ABS(NETWORKDAYS(Proc[[#This Row],[DateOpened]],Proc[[#This Row],[DateClosed]]))-1)</f>
        <v>1</v>
      </c>
      <c r="R2128" s="92" t="s">
        <v>1013</v>
      </c>
      <c r="S2128" s="96"/>
    </row>
    <row r="2129" spans="1:19" hidden="1">
      <c r="A2129" s="95" t="s">
        <v>3748</v>
      </c>
      <c r="B2129" s="96" t="str">
        <f>IFERROR(VLOOKUP(Proc[[#This Row],[App]],Table2[],3,0),"open")</f>
        <v>ok</v>
      </c>
      <c r="C2129" s="95" t="s">
        <v>369</v>
      </c>
      <c r="D2129" t="s">
        <v>3965</v>
      </c>
      <c r="E2129" t="s">
        <v>4069</v>
      </c>
      <c r="F2129" s="105" t="s">
        <v>4069</v>
      </c>
      <c r="G2129" s="95" t="s">
        <v>400</v>
      </c>
      <c r="H2129" s="96" t="str">
        <f>IF(Proc[[#This Row],[type]]="LFF (MDG-F)",MID(Proc[[#This Row],[Obj]],13,10),"")</f>
        <v/>
      </c>
      <c r="J2129" s="96" t="b">
        <f>Proc[[#This Row],[Requested]]=Proc[[#This Row],[CurrentParent]]</f>
        <v>1</v>
      </c>
      <c r="K2129" s="96" t="str">
        <f>IF(Proc[[#This Row],[Author]]="Marcela Urrego",VLOOKUP(LEFT(Proc[[#This Row],[Requested]],1),Table3[#All],2,0),VLOOKUP(Proc[[#This Row],[Author]],Table4[],2,0))</f>
        <v>HC</v>
      </c>
      <c r="L2129" s="96"/>
      <c r="M2129" s="92">
        <v>45807.678356481483</v>
      </c>
      <c r="N2129" s="93">
        <v>45810</v>
      </c>
      <c r="O2129" s="93">
        <v>45810</v>
      </c>
      <c r="P2129" s="92" t="str">
        <f ca="1">IF(Proc[[#This Row],[DaysAgeing]]&gt;5,"yep","on track")</f>
        <v>on track</v>
      </c>
      <c r="Q2129" s="3">
        <f ca="1">IF(Proc[[#This Row],[DateClosed]]="",ABS(NETWORKDAYS(Proc[[#This Row],[DateOpened]],TODAY()))-1,ABS(NETWORKDAYS(Proc[[#This Row],[DateOpened]],Proc[[#This Row],[DateClosed]]))-1)</f>
        <v>1</v>
      </c>
      <c r="R2129" s="92" t="s">
        <v>1013</v>
      </c>
      <c r="S2129" s="96"/>
    </row>
    <row r="2130" spans="1:19" hidden="1">
      <c r="A2130" s="95" t="s">
        <v>3748</v>
      </c>
      <c r="B2130" s="96" t="str">
        <f>IFERROR(VLOOKUP(Proc[[#This Row],[App]],Table2[],3,0),"open")</f>
        <v>ok</v>
      </c>
      <c r="C2130" s="95" t="s">
        <v>369</v>
      </c>
      <c r="D2130" t="s">
        <v>3966</v>
      </c>
      <c r="E2130" t="s">
        <v>4069</v>
      </c>
      <c r="F2130" s="105" t="s">
        <v>4069</v>
      </c>
      <c r="G2130" s="95" t="s">
        <v>400</v>
      </c>
      <c r="H2130" s="96" t="str">
        <f>IF(Proc[[#This Row],[type]]="LFF (MDG-F)",MID(Proc[[#This Row],[Obj]],13,10),"")</f>
        <v/>
      </c>
      <c r="J2130" s="96" t="b">
        <f>Proc[[#This Row],[Requested]]=Proc[[#This Row],[CurrentParent]]</f>
        <v>1</v>
      </c>
      <c r="K2130" s="96" t="str">
        <f>IF(Proc[[#This Row],[Author]]="Marcela Urrego",VLOOKUP(LEFT(Proc[[#This Row],[Requested]],1),Table3[#All],2,0),VLOOKUP(Proc[[#This Row],[Author]],Table4[],2,0))</f>
        <v>HC</v>
      </c>
      <c r="L2130" s="96"/>
      <c r="M2130" s="92">
        <v>45807.678356481483</v>
      </c>
      <c r="N2130" s="93">
        <v>45810</v>
      </c>
      <c r="O2130" s="93">
        <v>45810</v>
      </c>
      <c r="P2130" s="92" t="str">
        <f ca="1">IF(Proc[[#This Row],[DaysAgeing]]&gt;5,"yep","on track")</f>
        <v>on track</v>
      </c>
      <c r="Q2130" s="3">
        <f ca="1">IF(Proc[[#This Row],[DateClosed]]="",ABS(NETWORKDAYS(Proc[[#This Row],[DateOpened]],TODAY()))-1,ABS(NETWORKDAYS(Proc[[#This Row],[DateOpened]],Proc[[#This Row],[DateClosed]]))-1)</f>
        <v>1</v>
      </c>
      <c r="R2130" s="92" t="s">
        <v>1013</v>
      </c>
      <c r="S2130" s="96"/>
    </row>
    <row r="2131" spans="1:19" hidden="1">
      <c r="A2131" s="95" t="s">
        <v>3748</v>
      </c>
      <c r="B2131" s="96" t="str">
        <f>IFERROR(VLOOKUP(Proc[[#This Row],[App]],Table2[],3,0),"open")</f>
        <v>ok</v>
      </c>
      <c r="C2131" s="95" t="s">
        <v>369</v>
      </c>
      <c r="D2131" t="s">
        <v>3967</v>
      </c>
      <c r="E2131" t="s">
        <v>4069</v>
      </c>
      <c r="F2131" s="105" t="s">
        <v>4069</v>
      </c>
      <c r="G2131" s="95" t="s">
        <v>400</v>
      </c>
      <c r="H2131" s="96" t="str">
        <f>IF(Proc[[#This Row],[type]]="LFF (MDG-F)",MID(Proc[[#This Row],[Obj]],13,10),"")</f>
        <v/>
      </c>
      <c r="J2131" s="96" t="b">
        <f>Proc[[#This Row],[Requested]]=Proc[[#This Row],[CurrentParent]]</f>
        <v>1</v>
      </c>
      <c r="K2131" s="96" t="str">
        <f>IF(Proc[[#This Row],[Author]]="Marcela Urrego",VLOOKUP(LEFT(Proc[[#This Row],[Requested]],1),Table3[#All],2,0),VLOOKUP(Proc[[#This Row],[Author]],Table4[],2,0))</f>
        <v>HC</v>
      </c>
      <c r="L2131" s="96"/>
      <c r="M2131" s="92">
        <v>45807.678356481483</v>
      </c>
      <c r="N2131" s="93">
        <v>45810</v>
      </c>
      <c r="O2131" s="93">
        <v>45810</v>
      </c>
      <c r="P2131" s="92" t="str">
        <f ca="1">IF(Proc[[#This Row],[DaysAgeing]]&gt;5,"yep","on track")</f>
        <v>on track</v>
      </c>
      <c r="Q2131" s="3">
        <f ca="1">IF(Proc[[#This Row],[DateClosed]]="",ABS(NETWORKDAYS(Proc[[#This Row],[DateOpened]],TODAY()))-1,ABS(NETWORKDAYS(Proc[[#This Row],[DateOpened]],Proc[[#This Row],[DateClosed]]))-1)</f>
        <v>1</v>
      </c>
      <c r="R2131" s="92" t="s">
        <v>1013</v>
      </c>
      <c r="S2131" s="96"/>
    </row>
    <row r="2132" spans="1:19" hidden="1">
      <c r="A2132" s="95" t="s">
        <v>3748</v>
      </c>
      <c r="B2132" s="96" t="str">
        <f>IFERROR(VLOOKUP(Proc[[#This Row],[App]],Table2[],3,0),"open")</f>
        <v>ok</v>
      </c>
      <c r="C2132" s="95" t="s">
        <v>369</v>
      </c>
      <c r="D2132" t="s">
        <v>3968</v>
      </c>
      <c r="E2132" t="s">
        <v>4069</v>
      </c>
      <c r="F2132" s="105" t="s">
        <v>4069</v>
      </c>
      <c r="G2132" s="95" t="s">
        <v>400</v>
      </c>
      <c r="H2132" s="96" t="str">
        <f>IF(Proc[[#This Row],[type]]="LFF (MDG-F)",MID(Proc[[#This Row],[Obj]],13,10),"")</f>
        <v/>
      </c>
      <c r="J2132" s="96" t="b">
        <f>Proc[[#This Row],[Requested]]=Proc[[#This Row],[CurrentParent]]</f>
        <v>1</v>
      </c>
      <c r="K2132" s="96" t="str">
        <f>IF(Proc[[#This Row],[Author]]="Marcela Urrego",VLOOKUP(LEFT(Proc[[#This Row],[Requested]],1),Table3[#All],2,0),VLOOKUP(Proc[[#This Row],[Author]],Table4[],2,0))</f>
        <v>HC</v>
      </c>
      <c r="L2132" s="96"/>
      <c r="M2132" s="92">
        <v>45807.678356481483</v>
      </c>
      <c r="N2132" s="93">
        <v>45810</v>
      </c>
      <c r="O2132" s="93">
        <v>45810</v>
      </c>
      <c r="P2132" s="92" t="str">
        <f ca="1">IF(Proc[[#This Row],[DaysAgeing]]&gt;5,"yep","on track")</f>
        <v>on track</v>
      </c>
      <c r="Q2132" s="3">
        <f ca="1">IF(Proc[[#This Row],[DateClosed]]="",ABS(NETWORKDAYS(Proc[[#This Row],[DateOpened]],TODAY()))-1,ABS(NETWORKDAYS(Proc[[#This Row],[DateOpened]],Proc[[#This Row],[DateClosed]]))-1)</f>
        <v>1</v>
      </c>
      <c r="R2132" s="92" t="s">
        <v>1013</v>
      </c>
      <c r="S2132" s="96"/>
    </row>
    <row r="2133" spans="1:19" hidden="1">
      <c r="A2133" s="95" t="s">
        <v>3748</v>
      </c>
      <c r="B2133" s="96" t="str">
        <f>IFERROR(VLOOKUP(Proc[[#This Row],[App]],Table2[],3,0),"open")</f>
        <v>ok</v>
      </c>
      <c r="C2133" s="95" t="s">
        <v>369</v>
      </c>
      <c r="D2133" t="s">
        <v>3969</v>
      </c>
      <c r="E2133" t="s">
        <v>4069</v>
      </c>
      <c r="F2133" s="105" t="s">
        <v>4069</v>
      </c>
      <c r="G2133" s="95" t="s">
        <v>400</v>
      </c>
      <c r="H2133" s="96" t="str">
        <f>IF(Proc[[#This Row],[type]]="LFF (MDG-F)",MID(Proc[[#This Row],[Obj]],13,10),"")</f>
        <v/>
      </c>
      <c r="J2133" s="96" t="b">
        <f>Proc[[#This Row],[Requested]]=Proc[[#This Row],[CurrentParent]]</f>
        <v>1</v>
      </c>
      <c r="K2133" s="96" t="str">
        <f>IF(Proc[[#This Row],[Author]]="Marcela Urrego",VLOOKUP(LEFT(Proc[[#This Row],[Requested]],1),Table3[#All],2,0),VLOOKUP(Proc[[#This Row],[Author]],Table4[],2,0))</f>
        <v>HC</v>
      </c>
      <c r="L2133" s="96"/>
      <c r="M2133" s="92">
        <v>45807.678356481483</v>
      </c>
      <c r="N2133" s="93">
        <v>45810</v>
      </c>
      <c r="O2133" s="93">
        <v>45810</v>
      </c>
      <c r="P2133" s="92" t="str">
        <f ca="1">IF(Proc[[#This Row],[DaysAgeing]]&gt;5,"yep","on track")</f>
        <v>on track</v>
      </c>
      <c r="Q2133" s="3">
        <f ca="1">IF(Proc[[#This Row],[DateClosed]]="",ABS(NETWORKDAYS(Proc[[#This Row],[DateOpened]],TODAY()))-1,ABS(NETWORKDAYS(Proc[[#This Row],[DateOpened]],Proc[[#This Row],[DateClosed]]))-1)</f>
        <v>1</v>
      </c>
      <c r="R2133" s="92" t="s">
        <v>1013</v>
      </c>
      <c r="S2133" s="96"/>
    </row>
    <row r="2134" spans="1:19" hidden="1">
      <c r="A2134" s="95" t="s">
        <v>3748</v>
      </c>
      <c r="B2134" s="96" t="str">
        <f>IFERROR(VLOOKUP(Proc[[#This Row],[App]],Table2[],3,0),"open")</f>
        <v>ok</v>
      </c>
      <c r="C2134" s="95" t="s">
        <v>369</v>
      </c>
      <c r="D2134" t="s">
        <v>3970</v>
      </c>
      <c r="E2134" t="s">
        <v>4069</v>
      </c>
      <c r="F2134" s="105" t="s">
        <v>4069</v>
      </c>
      <c r="G2134" s="95" t="s">
        <v>400</v>
      </c>
      <c r="H2134" s="96" t="str">
        <f>IF(Proc[[#This Row],[type]]="LFF (MDG-F)",MID(Proc[[#This Row],[Obj]],13,10),"")</f>
        <v/>
      </c>
      <c r="J2134" s="96" t="b">
        <f>Proc[[#This Row],[Requested]]=Proc[[#This Row],[CurrentParent]]</f>
        <v>1</v>
      </c>
      <c r="K2134" s="96" t="str">
        <f>IF(Proc[[#This Row],[Author]]="Marcela Urrego",VLOOKUP(LEFT(Proc[[#This Row],[Requested]],1),Table3[#All],2,0),VLOOKUP(Proc[[#This Row],[Author]],Table4[],2,0))</f>
        <v>HC</v>
      </c>
      <c r="L2134" s="96"/>
      <c r="M2134" s="92">
        <v>45807.678356481483</v>
      </c>
      <c r="N2134" s="93">
        <v>45810</v>
      </c>
      <c r="O2134" s="93">
        <v>45810</v>
      </c>
      <c r="P2134" s="92" t="str">
        <f ca="1">IF(Proc[[#This Row],[DaysAgeing]]&gt;5,"yep","on track")</f>
        <v>on track</v>
      </c>
      <c r="Q2134" s="3">
        <f ca="1">IF(Proc[[#This Row],[DateClosed]]="",ABS(NETWORKDAYS(Proc[[#This Row],[DateOpened]],TODAY()))-1,ABS(NETWORKDAYS(Proc[[#This Row],[DateOpened]],Proc[[#This Row],[DateClosed]]))-1)</f>
        <v>1</v>
      </c>
      <c r="R2134" s="92" t="s">
        <v>1013</v>
      </c>
      <c r="S2134" s="96"/>
    </row>
    <row r="2135" spans="1:19" hidden="1">
      <c r="A2135" s="95" t="s">
        <v>3748</v>
      </c>
      <c r="B2135" s="96" t="str">
        <f>IFERROR(VLOOKUP(Proc[[#This Row],[App]],Table2[],3,0),"open")</f>
        <v>ok</v>
      </c>
      <c r="C2135" s="95" t="s">
        <v>369</v>
      </c>
      <c r="D2135" t="s">
        <v>3971</v>
      </c>
      <c r="E2135" t="s">
        <v>4069</v>
      </c>
      <c r="F2135" s="105" t="s">
        <v>4069</v>
      </c>
      <c r="G2135" s="95" t="s">
        <v>400</v>
      </c>
      <c r="H2135" s="96" t="str">
        <f>IF(Proc[[#This Row],[type]]="LFF (MDG-F)",MID(Proc[[#This Row],[Obj]],13,10),"")</f>
        <v/>
      </c>
      <c r="J2135" s="96" t="b">
        <f>Proc[[#This Row],[Requested]]=Proc[[#This Row],[CurrentParent]]</f>
        <v>1</v>
      </c>
      <c r="K2135" s="96" t="str">
        <f>IF(Proc[[#This Row],[Author]]="Marcela Urrego",VLOOKUP(LEFT(Proc[[#This Row],[Requested]],1),Table3[#All],2,0),VLOOKUP(Proc[[#This Row],[Author]],Table4[],2,0))</f>
        <v>HC</v>
      </c>
      <c r="L2135" s="96"/>
      <c r="M2135" s="92">
        <v>45807.678356481483</v>
      </c>
      <c r="N2135" s="93">
        <v>45810</v>
      </c>
      <c r="O2135" s="93">
        <v>45810</v>
      </c>
      <c r="P2135" s="92" t="str">
        <f ca="1">IF(Proc[[#This Row],[DaysAgeing]]&gt;5,"yep","on track")</f>
        <v>on track</v>
      </c>
      <c r="Q2135" s="3">
        <f ca="1">IF(Proc[[#This Row],[DateClosed]]="",ABS(NETWORKDAYS(Proc[[#This Row],[DateOpened]],TODAY()))-1,ABS(NETWORKDAYS(Proc[[#This Row],[DateOpened]],Proc[[#This Row],[DateClosed]]))-1)</f>
        <v>1</v>
      </c>
      <c r="R2135" s="92" t="s">
        <v>1013</v>
      </c>
      <c r="S2135" s="96"/>
    </row>
    <row r="2136" spans="1:19" hidden="1">
      <c r="A2136" s="95" t="s">
        <v>3748</v>
      </c>
      <c r="B2136" s="96" t="str">
        <f>IFERROR(VLOOKUP(Proc[[#This Row],[App]],Table2[],3,0),"open")</f>
        <v>ok</v>
      </c>
      <c r="C2136" s="95" t="s">
        <v>369</v>
      </c>
      <c r="D2136" t="s">
        <v>3972</v>
      </c>
      <c r="E2136" t="s">
        <v>4069</v>
      </c>
      <c r="F2136" s="105" t="s">
        <v>4069</v>
      </c>
      <c r="G2136" s="95" t="s">
        <v>400</v>
      </c>
      <c r="H2136" s="96" t="str">
        <f>IF(Proc[[#This Row],[type]]="LFF (MDG-F)",MID(Proc[[#This Row],[Obj]],13,10),"")</f>
        <v/>
      </c>
      <c r="J2136" s="96" t="b">
        <f>Proc[[#This Row],[Requested]]=Proc[[#This Row],[CurrentParent]]</f>
        <v>1</v>
      </c>
      <c r="K2136" s="96" t="str">
        <f>IF(Proc[[#This Row],[Author]]="Marcela Urrego",VLOOKUP(LEFT(Proc[[#This Row],[Requested]],1),Table3[#All],2,0),VLOOKUP(Proc[[#This Row],[Author]],Table4[],2,0))</f>
        <v>HC</v>
      </c>
      <c r="L2136" s="96"/>
      <c r="M2136" s="92">
        <v>45807.678356481483</v>
      </c>
      <c r="N2136" s="93">
        <v>45810</v>
      </c>
      <c r="O2136" s="93">
        <v>45810</v>
      </c>
      <c r="P2136" s="92" t="str">
        <f ca="1">IF(Proc[[#This Row],[DaysAgeing]]&gt;5,"yep","on track")</f>
        <v>on track</v>
      </c>
      <c r="Q2136" s="3">
        <f ca="1">IF(Proc[[#This Row],[DateClosed]]="",ABS(NETWORKDAYS(Proc[[#This Row],[DateOpened]],TODAY()))-1,ABS(NETWORKDAYS(Proc[[#This Row],[DateOpened]],Proc[[#This Row],[DateClosed]]))-1)</f>
        <v>1</v>
      </c>
      <c r="R2136" s="92" t="s">
        <v>1013</v>
      </c>
      <c r="S2136" s="96"/>
    </row>
    <row r="2137" spans="1:19" hidden="1">
      <c r="A2137" s="95" t="s">
        <v>3748</v>
      </c>
      <c r="B2137" s="96" t="str">
        <f>IFERROR(VLOOKUP(Proc[[#This Row],[App]],Table2[],3,0),"open")</f>
        <v>ok</v>
      </c>
      <c r="C2137" s="95" t="s">
        <v>369</v>
      </c>
      <c r="D2137" t="s">
        <v>3973</v>
      </c>
      <c r="E2137" t="s">
        <v>4069</v>
      </c>
      <c r="F2137" s="105" t="s">
        <v>4069</v>
      </c>
      <c r="G2137" s="95" t="s">
        <v>400</v>
      </c>
      <c r="H2137" s="96" t="str">
        <f>IF(Proc[[#This Row],[type]]="LFF (MDG-F)",MID(Proc[[#This Row],[Obj]],13,10),"")</f>
        <v/>
      </c>
      <c r="J2137" s="96" t="b">
        <f>Proc[[#This Row],[Requested]]=Proc[[#This Row],[CurrentParent]]</f>
        <v>1</v>
      </c>
      <c r="K2137" s="96" t="str">
        <f>IF(Proc[[#This Row],[Author]]="Marcela Urrego",VLOOKUP(LEFT(Proc[[#This Row],[Requested]],1),Table3[#All],2,0),VLOOKUP(Proc[[#This Row],[Author]],Table4[],2,0))</f>
        <v>HC</v>
      </c>
      <c r="L2137" s="96"/>
      <c r="M2137" s="92">
        <v>45807.678356481483</v>
      </c>
      <c r="N2137" s="93">
        <v>45810</v>
      </c>
      <c r="O2137" s="93">
        <v>45810</v>
      </c>
      <c r="P2137" s="92" t="str">
        <f ca="1">IF(Proc[[#This Row],[DaysAgeing]]&gt;5,"yep","on track")</f>
        <v>on track</v>
      </c>
      <c r="Q2137" s="3">
        <f ca="1">IF(Proc[[#This Row],[DateClosed]]="",ABS(NETWORKDAYS(Proc[[#This Row],[DateOpened]],TODAY()))-1,ABS(NETWORKDAYS(Proc[[#This Row],[DateOpened]],Proc[[#This Row],[DateClosed]]))-1)</f>
        <v>1</v>
      </c>
      <c r="R2137" s="92" t="s">
        <v>1013</v>
      </c>
      <c r="S2137" s="96"/>
    </row>
    <row r="2138" spans="1:19" hidden="1">
      <c r="A2138" s="95" t="s">
        <v>3748</v>
      </c>
      <c r="B2138" s="96" t="str">
        <f>IFERROR(VLOOKUP(Proc[[#This Row],[App]],Table2[],3,0),"open")</f>
        <v>ok</v>
      </c>
      <c r="C2138" s="95" t="s">
        <v>369</v>
      </c>
      <c r="D2138" t="s">
        <v>3974</v>
      </c>
      <c r="E2138" t="s">
        <v>4069</v>
      </c>
      <c r="F2138" s="105" t="s">
        <v>4069</v>
      </c>
      <c r="G2138" s="95" t="s">
        <v>400</v>
      </c>
      <c r="H2138" s="96" t="str">
        <f>IF(Proc[[#This Row],[type]]="LFF (MDG-F)",MID(Proc[[#This Row],[Obj]],13,10),"")</f>
        <v/>
      </c>
      <c r="J2138" s="96" t="b">
        <f>Proc[[#This Row],[Requested]]=Proc[[#This Row],[CurrentParent]]</f>
        <v>1</v>
      </c>
      <c r="K2138" s="96" t="str">
        <f>IF(Proc[[#This Row],[Author]]="Marcela Urrego",VLOOKUP(LEFT(Proc[[#This Row],[Requested]],1),Table3[#All],2,0),VLOOKUP(Proc[[#This Row],[Author]],Table4[],2,0))</f>
        <v>HC</v>
      </c>
      <c r="L2138" s="96"/>
      <c r="M2138" s="92">
        <v>45807.678356481483</v>
      </c>
      <c r="N2138" s="93">
        <v>45810</v>
      </c>
      <c r="O2138" s="93">
        <v>45810</v>
      </c>
      <c r="P2138" s="92" t="str">
        <f ca="1">IF(Proc[[#This Row],[DaysAgeing]]&gt;5,"yep","on track")</f>
        <v>on track</v>
      </c>
      <c r="Q2138" s="3">
        <f ca="1">IF(Proc[[#This Row],[DateClosed]]="",ABS(NETWORKDAYS(Proc[[#This Row],[DateOpened]],TODAY()))-1,ABS(NETWORKDAYS(Proc[[#This Row],[DateOpened]],Proc[[#This Row],[DateClosed]]))-1)</f>
        <v>1</v>
      </c>
      <c r="R2138" s="92" t="s">
        <v>1013</v>
      </c>
      <c r="S2138" s="96"/>
    </row>
    <row r="2139" spans="1:19" hidden="1">
      <c r="A2139" s="95" t="s">
        <v>3748</v>
      </c>
      <c r="B2139" s="96" t="str">
        <f>IFERROR(VLOOKUP(Proc[[#This Row],[App]],Table2[],3,0),"open")</f>
        <v>ok</v>
      </c>
      <c r="C2139" s="95" t="s">
        <v>369</v>
      </c>
      <c r="D2139" t="s">
        <v>3975</v>
      </c>
      <c r="E2139" t="s">
        <v>4069</v>
      </c>
      <c r="F2139" s="105" t="s">
        <v>4069</v>
      </c>
      <c r="G2139" s="95" t="s">
        <v>400</v>
      </c>
      <c r="H2139" s="96" t="str">
        <f>IF(Proc[[#This Row],[type]]="LFF (MDG-F)",MID(Proc[[#This Row],[Obj]],13,10),"")</f>
        <v/>
      </c>
      <c r="J2139" s="96" t="b">
        <f>Proc[[#This Row],[Requested]]=Proc[[#This Row],[CurrentParent]]</f>
        <v>1</v>
      </c>
      <c r="K2139" s="96" t="str">
        <f>IF(Proc[[#This Row],[Author]]="Marcela Urrego",VLOOKUP(LEFT(Proc[[#This Row],[Requested]],1),Table3[#All],2,0),VLOOKUP(Proc[[#This Row],[Author]],Table4[],2,0))</f>
        <v>HC</v>
      </c>
      <c r="L2139" s="96"/>
      <c r="M2139" s="92">
        <v>45807.678356481483</v>
      </c>
      <c r="N2139" s="93">
        <v>45810</v>
      </c>
      <c r="O2139" s="93">
        <v>45810</v>
      </c>
      <c r="P2139" s="92" t="str">
        <f ca="1">IF(Proc[[#This Row],[DaysAgeing]]&gt;5,"yep","on track")</f>
        <v>on track</v>
      </c>
      <c r="Q2139" s="3">
        <f ca="1">IF(Proc[[#This Row],[DateClosed]]="",ABS(NETWORKDAYS(Proc[[#This Row],[DateOpened]],TODAY()))-1,ABS(NETWORKDAYS(Proc[[#This Row],[DateOpened]],Proc[[#This Row],[DateClosed]]))-1)</f>
        <v>1</v>
      </c>
      <c r="R2139" s="92" t="s">
        <v>1013</v>
      </c>
      <c r="S2139" s="96"/>
    </row>
    <row r="2140" spans="1:19" hidden="1">
      <c r="A2140" s="95" t="s">
        <v>3748</v>
      </c>
      <c r="B2140" s="96" t="str">
        <f>IFERROR(VLOOKUP(Proc[[#This Row],[App]],Table2[],3,0),"open")</f>
        <v>ok</v>
      </c>
      <c r="C2140" s="95" t="s">
        <v>369</v>
      </c>
      <c r="D2140" t="s">
        <v>3976</v>
      </c>
      <c r="E2140" t="s">
        <v>4069</v>
      </c>
      <c r="F2140" s="105" t="s">
        <v>4069</v>
      </c>
      <c r="G2140" s="95" t="s">
        <v>400</v>
      </c>
      <c r="H2140" s="96" t="str">
        <f>IF(Proc[[#This Row],[type]]="LFF (MDG-F)",MID(Proc[[#This Row],[Obj]],13,10),"")</f>
        <v/>
      </c>
      <c r="J2140" s="96" t="b">
        <f>Proc[[#This Row],[Requested]]=Proc[[#This Row],[CurrentParent]]</f>
        <v>1</v>
      </c>
      <c r="K2140" s="96" t="str">
        <f>IF(Proc[[#This Row],[Author]]="Marcela Urrego",VLOOKUP(LEFT(Proc[[#This Row],[Requested]],1),Table3[#All],2,0),VLOOKUP(Proc[[#This Row],[Author]],Table4[],2,0))</f>
        <v>HC</v>
      </c>
      <c r="L2140" s="96"/>
      <c r="M2140" s="92">
        <v>45807.678356481483</v>
      </c>
      <c r="N2140" s="93">
        <v>45810</v>
      </c>
      <c r="O2140" s="93">
        <v>45810</v>
      </c>
      <c r="P2140" s="92" t="str">
        <f ca="1">IF(Proc[[#This Row],[DaysAgeing]]&gt;5,"yep","on track")</f>
        <v>on track</v>
      </c>
      <c r="Q2140" s="3">
        <f ca="1">IF(Proc[[#This Row],[DateClosed]]="",ABS(NETWORKDAYS(Proc[[#This Row],[DateOpened]],TODAY()))-1,ABS(NETWORKDAYS(Proc[[#This Row],[DateOpened]],Proc[[#This Row],[DateClosed]]))-1)</f>
        <v>1</v>
      </c>
      <c r="R2140" s="92" t="s">
        <v>1013</v>
      </c>
      <c r="S2140" s="96"/>
    </row>
    <row r="2141" spans="1:19" hidden="1">
      <c r="A2141" s="95" t="s">
        <v>3748</v>
      </c>
      <c r="B2141" s="96" t="str">
        <f>IFERROR(VLOOKUP(Proc[[#This Row],[App]],Table2[],3,0),"open")</f>
        <v>ok</v>
      </c>
      <c r="C2141" s="95" t="s">
        <v>369</v>
      </c>
      <c r="D2141" t="s">
        <v>3977</v>
      </c>
      <c r="E2141" t="s">
        <v>4069</v>
      </c>
      <c r="F2141" s="105" t="s">
        <v>4069</v>
      </c>
      <c r="G2141" s="95" t="s">
        <v>400</v>
      </c>
      <c r="H2141" s="96" t="str">
        <f>IF(Proc[[#This Row],[type]]="LFF (MDG-F)",MID(Proc[[#This Row],[Obj]],13,10),"")</f>
        <v/>
      </c>
      <c r="J2141" s="96" t="b">
        <f>Proc[[#This Row],[Requested]]=Proc[[#This Row],[CurrentParent]]</f>
        <v>1</v>
      </c>
      <c r="K2141" s="96" t="str">
        <f>IF(Proc[[#This Row],[Author]]="Marcela Urrego",VLOOKUP(LEFT(Proc[[#This Row],[Requested]],1),Table3[#All],2,0),VLOOKUP(Proc[[#This Row],[Author]],Table4[],2,0))</f>
        <v>HC</v>
      </c>
      <c r="L2141" s="96"/>
      <c r="M2141" s="92">
        <v>45807.678356481483</v>
      </c>
      <c r="N2141" s="93">
        <v>45810</v>
      </c>
      <c r="O2141" s="93">
        <v>45810</v>
      </c>
      <c r="P2141" s="92" t="str">
        <f ca="1">IF(Proc[[#This Row],[DaysAgeing]]&gt;5,"yep","on track")</f>
        <v>on track</v>
      </c>
      <c r="Q2141" s="3">
        <f ca="1">IF(Proc[[#This Row],[DateClosed]]="",ABS(NETWORKDAYS(Proc[[#This Row],[DateOpened]],TODAY()))-1,ABS(NETWORKDAYS(Proc[[#This Row],[DateOpened]],Proc[[#This Row],[DateClosed]]))-1)</f>
        <v>1</v>
      </c>
      <c r="R2141" s="92" t="s">
        <v>1013</v>
      </c>
      <c r="S2141" s="96"/>
    </row>
    <row r="2142" spans="1:19" hidden="1">
      <c r="A2142" s="95" t="s">
        <v>3748</v>
      </c>
      <c r="B2142" s="96" t="str">
        <f>IFERROR(VLOOKUP(Proc[[#This Row],[App]],Table2[],3,0),"open")</f>
        <v>ok</v>
      </c>
      <c r="C2142" s="95" t="s">
        <v>369</v>
      </c>
      <c r="D2142" t="s">
        <v>3978</v>
      </c>
      <c r="E2142" t="s">
        <v>4069</v>
      </c>
      <c r="F2142" s="105" t="s">
        <v>4069</v>
      </c>
      <c r="G2142" s="95" t="s">
        <v>400</v>
      </c>
      <c r="H2142" s="96" t="str">
        <f>IF(Proc[[#This Row],[type]]="LFF (MDG-F)",MID(Proc[[#This Row],[Obj]],13,10),"")</f>
        <v/>
      </c>
      <c r="J2142" s="96" t="b">
        <f>Proc[[#This Row],[Requested]]=Proc[[#This Row],[CurrentParent]]</f>
        <v>1</v>
      </c>
      <c r="K2142" s="96" t="str">
        <f>IF(Proc[[#This Row],[Author]]="Marcela Urrego",VLOOKUP(LEFT(Proc[[#This Row],[Requested]],1),Table3[#All],2,0),VLOOKUP(Proc[[#This Row],[Author]],Table4[],2,0))</f>
        <v>HC</v>
      </c>
      <c r="L2142" s="96"/>
      <c r="M2142" s="92">
        <v>45807.678356481483</v>
      </c>
      <c r="N2142" s="93">
        <v>45810</v>
      </c>
      <c r="O2142" s="93">
        <v>45810</v>
      </c>
      <c r="P2142" s="92" t="str">
        <f ca="1">IF(Proc[[#This Row],[DaysAgeing]]&gt;5,"yep","on track")</f>
        <v>on track</v>
      </c>
      <c r="Q2142" s="3">
        <f ca="1">IF(Proc[[#This Row],[DateClosed]]="",ABS(NETWORKDAYS(Proc[[#This Row],[DateOpened]],TODAY()))-1,ABS(NETWORKDAYS(Proc[[#This Row],[DateOpened]],Proc[[#This Row],[DateClosed]]))-1)</f>
        <v>1</v>
      </c>
      <c r="R2142" s="92" t="s">
        <v>1013</v>
      </c>
      <c r="S2142" s="96"/>
    </row>
    <row r="2143" spans="1:19" hidden="1">
      <c r="A2143" s="95" t="s">
        <v>3748</v>
      </c>
      <c r="B2143" s="96" t="str">
        <f>IFERROR(VLOOKUP(Proc[[#This Row],[App]],Table2[],3,0),"open")</f>
        <v>ok</v>
      </c>
      <c r="C2143" s="95" t="s">
        <v>369</v>
      </c>
      <c r="D2143" t="s">
        <v>3979</v>
      </c>
      <c r="E2143" t="s">
        <v>4069</v>
      </c>
      <c r="F2143" s="105" t="s">
        <v>4069</v>
      </c>
      <c r="G2143" s="95" t="s">
        <v>400</v>
      </c>
      <c r="H2143" s="96" t="str">
        <f>IF(Proc[[#This Row],[type]]="LFF (MDG-F)",MID(Proc[[#This Row],[Obj]],13,10),"")</f>
        <v/>
      </c>
      <c r="J2143" s="96" t="b">
        <f>Proc[[#This Row],[Requested]]=Proc[[#This Row],[CurrentParent]]</f>
        <v>1</v>
      </c>
      <c r="K2143" s="96" t="str">
        <f>IF(Proc[[#This Row],[Author]]="Marcela Urrego",VLOOKUP(LEFT(Proc[[#This Row],[Requested]],1),Table3[#All],2,0),VLOOKUP(Proc[[#This Row],[Author]],Table4[],2,0))</f>
        <v>HC</v>
      </c>
      <c r="L2143" s="96"/>
      <c r="M2143" s="92">
        <v>45807.678356481483</v>
      </c>
      <c r="N2143" s="93">
        <v>45810</v>
      </c>
      <c r="O2143" s="93">
        <v>45810</v>
      </c>
      <c r="P2143" s="92" t="str">
        <f ca="1">IF(Proc[[#This Row],[DaysAgeing]]&gt;5,"yep","on track")</f>
        <v>on track</v>
      </c>
      <c r="Q2143" s="3">
        <f ca="1">IF(Proc[[#This Row],[DateClosed]]="",ABS(NETWORKDAYS(Proc[[#This Row],[DateOpened]],TODAY()))-1,ABS(NETWORKDAYS(Proc[[#This Row],[DateOpened]],Proc[[#This Row],[DateClosed]]))-1)</f>
        <v>1</v>
      </c>
      <c r="R2143" s="92" t="s">
        <v>1013</v>
      </c>
      <c r="S2143" s="96"/>
    </row>
    <row r="2144" spans="1:19" hidden="1">
      <c r="A2144" s="95" t="s">
        <v>3748</v>
      </c>
      <c r="B2144" s="96" t="str">
        <f>IFERROR(VLOOKUP(Proc[[#This Row],[App]],Table2[],3,0),"open")</f>
        <v>ok</v>
      </c>
      <c r="C2144" s="95" t="s">
        <v>369</v>
      </c>
      <c r="D2144" t="s">
        <v>3980</v>
      </c>
      <c r="E2144" t="s">
        <v>4069</v>
      </c>
      <c r="F2144" s="105" t="s">
        <v>4069</v>
      </c>
      <c r="G2144" s="95" t="s">
        <v>400</v>
      </c>
      <c r="H2144" s="96" t="str">
        <f>IF(Proc[[#This Row],[type]]="LFF (MDG-F)",MID(Proc[[#This Row],[Obj]],13,10),"")</f>
        <v/>
      </c>
      <c r="J2144" s="96" t="b">
        <f>Proc[[#This Row],[Requested]]=Proc[[#This Row],[CurrentParent]]</f>
        <v>1</v>
      </c>
      <c r="K2144" s="96" t="str">
        <f>IF(Proc[[#This Row],[Author]]="Marcela Urrego",VLOOKUP(LEFT(Proc[[#This Row],[Requested]],1),Table3[#All],2,0),VLOOKUP(Proc[[#This Row],[Author]],Table4[],2,0))</f>
        <v>HC</v>
      </c>
      <c r="L2144" s="96"/>
      <c r="M2144" s="92">
        <v>45807.678356481483</v>
      </c>
      <c r="N2144" s="93">
        <v>45810</v>
      </c>
      <c r="O2144" s="93">
        <v>45810</v>
      </c>
      <c r="P2144" s="92" t="str">
        <f ca="1">IF(Proc[[#This Row],[DaysAgeing]]&gt;5,"yep","on track")</f>
        <v>on track</v>
      </c>
      <c r="Q2144" s="3">
        <f ca="1">IF(Proc[[#This Row],[DateClosed]]="",ABS(NETWORKDAYS(Proc[[#This Row],[DateOpened]],TODAY()))-1,ABS(NETWORKDAYS(Proc[[#This Row],[DateOpened]],Proc[[#This Row],[DateClosed]]))-1)</f>
        <v>1</v>
      </c>
      <c r="R2144" s="92" t="s">
        <v>1013</v>
      </c>
      <c r="S2144" s="96"/>
    </row>
    <row r="2145" spans="1:19" hidden="1">
      <c r="A2145" s="95" t="s">
        <v>3748</v>
      </c>
      <c r="B2145" s="96" t="str">
        <f>IFERROR(VLOOKUP(Proc[[#This Row],[App]],Table2[],3,0),"open")</f>
        <v>ok</v>
      </c>
      <c r="C2145" s="95" t="s">
        <v>369</v>
      </c>
      <c r="D2145" t="s">
        <v>3981</v>
      </c>
      <c r="E2145" t="s">
        <v>4069</v>
      </c>
      <c r="F2145" s="105" t="s">
        <v>4069</v>
      </c>
      <c r="G2145" s="95" t="s">
        <v>400</v>
      </c>
      <c r="H2145" s="96" t="str">
        <f>IF(Proc[[#This Row],[type]]="LFF (MDG-F)",MID(Proc[[#This Row],[Obj]],13,10),"")</f>
        <v/>
      </c>
      <c r="J2145" s="96" t="b">
        <f>Proc[[#This Row],[Requested]]=Proc[[#This Row],[CurrentParent]]</f>
        <v>1</v>
      </c>
      <c r="K2145" s="96" t="str">
        <f>IF(Proc[[#This Row],[Author]]="Marcela Urrego",VLOOKUP(LEFT(Proc[[#This Row],[Requested]],1),Table3[#All],2,0),VLOOKUP(Proc[[#This Row],[Author]],Table4[],2,0))</f>
        <v>HC</v>
      </c>
      <c r="L2145" s="96"/>
      <c r="M2145" s="92">
        <v>45807.678356481483</v>
      </c>
      <c r="N2145" s="93">
        <v>45810</v>
      </c>
      <c r="O2145" s="93">
        <v>45810</v>
      </c>
      <c r="P2145" s="92" t="str">
        <f ca="1">IF(Proc[[#This Row],[DaysAgeing]]&gt;5,"yep","on track")</f>
        <v>on track</v>
      </c>
      <c r="Q2145" s="3">
        <f ca="1">IF(Proc[[#This Row],[DateClosed]]="",ABS(NETWORKDAYS(Proc[[#This Row],[DateOpened]],TODAY()))-1,ABS(NETWORKDAYS(Proc[[#This Row],[DateOpened]],Proc[[#This Row],[DateClosed]]))-1)</f>
        <v>1</v>
      </c>
      <c r="R2145" s="92" t="s">
        <v>1013</v>
      </c>
      <c r="S2145" s="96"/>
    </row>
    <row r="2146" spans="1:19" hidden="1">
      <c r="A2146" s="95" t="s">
        <v>3748</v>
      </c>
      <c r="B2146" s="96" t="str">
        <f>IFERROR(VLOOKUP(Proc[[#This Row],[App]],Table2[],3,0),"open")</f>
        <v>ok</v>
      </c>
      <c r="C2146" s="95" t="s">
        <v>369</v>
      </c>
      <c r="D2146" t="s">
        <v>3982</v>
      </c>
      <c r="E2146" t="s">
        <v>4069</v>
      </c>
      <c r="F2146" s="105" t="s">
        <v>4069</v>
      </c>
      <c r="G2146" s="95" t="s">
        <v>400</v>
      </c>
      <c r="H2146" s="96" t="str">
        <f>IF(Proc[[#This Row],[type]]="LFF (MDG-F)",MID(Proc[[#This Row],[Obj]],13,10),"")</f>
        <v/>
      </c>
      <c r="J2146" s="96" t="b">
        <f>Proc[[#This Row],[Requested]]=Proc[[#This Row],[CurrentParent]]</f>
        <v>1</v>
      </c>
      <c r="K2146" s="96" t="str">
        <f>IF(Proc[[#This Row],[Author]]="Marcela Urrego",VLOOKUP(LEFT(Proc[[#This Row],[Requested]],1),Table3[#All],2,0),VLOOKUP(Proc[[#This Row],[Author]],Table4[],2,0))</f>
        <v>HC</v>
      </c>
      <c r="L2146" s="96"/>
      <c r="M2146" s="92">
        <v>45807.678356481483</v>
      </c>
      <c r="N2146" s="93">
        <v>45810</v>
      </c>
      <c r="O2146" s="93">
        <v>45810</v>
      </c>
      <c r="P2146" s="92" t="str">
        <f ca="1">IF(Proc[[#This Row],[DaysAgeing]]&gt;5,"yep","on track")</f>
        <v>on track</v>
      </c>
      <c r="Q2146" s="3">
        <f ca="1">IF(Proc[[#This Row],[DateClosed]]="",ABS(NETWORKDAYS(Proc[[#This Row],[DateOpened]],TODAY()))-1,ABS(NETWORKDAYS(Proc[[#This Row],[DateOpened]],Proc[[#This Row],[DateClosed]]))-1)</f>
        <v>1</v>
      </c>
      <c r="R2146" s="92" t="s">
        <v>1013</v>
      </c>
      <c r="S2146" s="96"/>
    </row>
    <row r="2147" spans="1:19" hidden="1">
      <c r="A2147" s="95" t="s">
        <v>3748</v>
      </c>
      <c r="B2147" s="96" t="str">
        <f>IFERROR(VLOOKUP(Proc[[#This Row],[App]],Table2[],3,0),"open")</f>
        <v>ok</v>
      </c>
      <c r="C2147" s="95" t="s">
        <v>369</v>
      </c>
      <c r="D2147" t="s">
        <v>3983</v>
      </c>
      <c r="E2147" t="s">
        <v>4069</v>
      </c>
      <c r="F2147" s="105" t="s">
        <v>4069</v>
      </c>
      <c r="G2147" s="95" t="s">
        <v>400</v>
      </c>
      <c r="H2147" s="96" t="str">
        <f>IF(Proc[[#This Row],[type]]="LFF (MDG-F)",MID(Proc[[#This Row],[Obj]],13,10),"")</f>
        <v/>
      </c>
      <c r="J2147" s="96" t="b">
        <f>Proc[[#This Row],[Requested]]=Proc[[#This Row],[CurrentParent]]</f>
        <v>1</v>
      </c>
      <c r="K2147" s="96" t="str">
        <f>IF(Proc[[#This Row],[Author]]="Marcela Urrego",VLOOKUP(LEFT(Proc[[#This Row],[Requested]],1),Table3[#All],2,0),VLOOKUP(Proc[[#This Row],[Author]],Table4[],2,0))</f>
        <v>HC</v>
      </c>
      <c r="L2147" s="96"/>
      <c r="M2147" s="92">
        <v>45807.678356481483</v>
      </c>
      <c r="N2147" s="93">
        <v>45810</v>
      </c>
      <c r="O2147" s="93">
        <v>45810</v>
      </c>
      <c r="P2147" s="92" t="str">
        <f ca="1">IF(Proc[[#This Row],[DaysAgeing]]&gt;5,"yep","on track")</f>
        <v>on track</v>
      </c>
      <c r="Q2147" s="3">
        <f ca="1">IF(Proc[[#This Row],[DateClosed]]="",ABS(NETWORKDAYS(Proc[[#This Row],[DateOpened]],TODAY()))-1,ABS(NETWORKDAYS(Proc[[#This Row],[DateOpened]],Proc[[#This Row],[DateClosed]]))-1)</f>
        <v>1</v>
      </c>
      <c r="R2147" s="92" t="s">
        <v>1013</v>
      </c>
      <c r="S2147" s="96"/>
    </row>
    <row r="2148" spans="1:19" hidden="1">
      <c r="A2148" s="95" t="s">
        <v>3748</v>
      </c>
      <c r="B2148" s="96" t="str">
        <f>IFERROR(VLOOKUP(Proc[[#This Row],[App]],Table2[],3,0),"open")</f>
        <v>ok</v>
      </c>
      <c r="C2148" s="95" t="s">
        <v>369</v>
      </c>
      <c r="D2148" t="s">
        <v>3984</v>
      </c>
      <c r="E2148" t="s">
        <v>4069</v>
      </c>
      <c r="F2148" s="105" t="s">
        <v>4069</v>
      </c>
      <c r="G2148" s="95" t="s">
        <v>400</v>
      </c>
      <c r="H2148" s="96" t="str">
        <f>IF(Proc[[#This Row],[type]]="LFF (MDG-F)",MID(Proc[[#This Row],[Obj]],13,10),"")</f>
        <v/>
      </c>
      <c r="J2148" s="96" t="b">
        <f>Proc[[#This Row],[Requested]]=Proc[[#This Row],[CurrentParent]]</f>
        <v>1</v>
      </c>
      <c r="K2148" s="96" t="str">
        <f>IF(Proc[[#This Row],[Author]]="Marcela Urrego",VLOOKUP(LEFT(Proc[[#This Row],[Requested]],1),Table3[#All],2,0),VLOOKUP(Proc[[#This Row],[Author]],Table4[],2,0))</f>
        <v>HC</v>
      </c>
      <c r="L2148" s="96"/>
      <c r="M2148" s="92">
        <v>45807.678356481483</v>
      </c>
      <c r="N2148" s="93">
        <v>45810</v>
      </c>
      <c r="O2148" s="93">
        <v>45810</v>
      </c>
      <c r="P2148" s="92" t="str">
        <f ca="1">IF(Proc[[#This Row],[DaysAgeing]]&gt;5,"yep","on track")</f>
        <v>on track</v>
      </c>
      <c r="Q2148" s="3">
        <f ca="1">IF(Proc[[#This Row],[DateClosed]]="",ABS(NETWORKDAYS(Proc[[#This Row],[DateOpened]],TODAY()))-1,ABS(NETWORKDAYS(Proc[[#This Row],[DateOpened]],Proc[[#This Row],[DateClosed]]))-1)</f>
        <v>1</v>
      </c>
      <c r="R2148" s="92" t="s">
        <v>1013</v>
      </c>
      <c r="S2148" s="96"/>
    </row>
    <row r="2149" spans="1:19" hidden="1">
      <c r="A2149" s="95" t="s">
        <v>3748</v>
      </c>
      <c r="B2149" s="96" t="str">
        <f>IFERROR(VLOOKUP(Proc[[#This Row],[App]],Table2[],3,0),"open")</f>
        <v>ok</v>
      </c>
      <c r="C2149" s="95" t="s">
        <v>369</v>
      </c>
      <c r="D2149" t="s">
        <v>3985</v>
      </c>
      <c r="E2149" t="s">
        <v>4069</v>
      </c>
      <c r="F2149" s="105" t="s">
        <v>4069</v>
      </c>
      <c r="G2149" s="95" t="s">
        <v>400</v>
      </c>
      <c r="H2149" s="96" t="str">
        <f>IF(Proc[[#This Row],[type]]="LFF (MDG-F)",MID(Proc[[#This Row],[Obj]],13,10),"")</f>
        <v/>
      </c>
      <c r="J2149" s="96" t="b">
        <f>Proc[[#This Row],[Requested]]=Proc[[#This Row],[CurrentParent]]</f>
        <v>1</v>
      </c>
      <c r="K2149" s="96" t="str">
        <f>IF(Proc[[#This Row],[Author]]="Marcela Urrego",VLOOKUP(LEFT(Proc[[#This Row],[Requested]],1),Table3[#All],2,0),VLOOKUP(Proc[[#This Row],[Author]],Table4[],2,0))</f>
        <v>HC</v>
      </c>
      <c r="L2149" s="96"/>
      <c r="M2149" s="92">
        <v>45807.678356481483</v>
      </c>
      <c r="N2149" s="93">
        <v>45810</v>
      </c>
      <c r="O2149" s="93">
        <v>45810</v>
      </c>
      <c r="P2149" s="92" t="str">
        <f ca="1">IF(Proc[[#This Row],[DaysAgeing]]&gt;5,"yep","on track")</f>
        <v>on track</v>
      </c>
      <c r="Q2149" s="3">
        <f ca="1">IF(Proc[[#This Row],[DateClosed]]="",ABS(NETWORKDAYS(Proc[[#This Row],[DateOpened]],TODAY()))-1,ABS(NETWORKDAYS(Proc[[#This Row],[DateOpened]],Proc[[#This Row],[DateClosed]]))-1)</f>
        <v>1</v>
      </c>
      <c r="R2149" s="92" t="s">
        <v>1013</v>
      </c>
      <c r="S2149" s="96"/>
    </row>
    <row r="2150" spans="1:19" hidden="1">
      <c r="A2150" s="95" t="s">
        <v>3748</v>
      </c>
      <c r="B2150" s="96" t="str">
        <f>IFERROR(VLOOKUP(Proc[[#This Row],[App]],Table2[],3,0),"open")</f>
        <v>ok</v>
      </c>
      <c r="C2150" s="95" t="s">
        <v>369</v>
      </c>
      <c r="D2150" t="s">
        <v>3986</v>
      </c>
      <c r="E2150" t="s">
        <v>4069</v>
      </c>
      <c r="F2150" s="105" t="s">
        <v>4069</v>
      </c>
      <c r="G2150" s="95" t="s">
        <v>400</v>
      </c>
      <c r="H2150" s="96" t="str">
        <f>IF(Proc[[#This Row],[type]]="LFF (MDG-F)",MID(Proc[[#This Row],[Obj]],13,10),"")</f>
        <v/>
      </c>
      <c r="J2150" s="96" t="b">
        <f>Proc[[#This Row],[Requested]]=Proc[[#This Row],[CurrentParent]]</f>
        <v>1</v>
      </c>
      <c r="K2150" s="96" t="str">
        <f>IF(Proc[[#This Row],[Author]]="Marcela Urrego",VLOOKUP(LEFT(Proc[[#This Row],[Requested]],1),Table3[#All],2,0),VLOOKUP(Proc[[#This Row],[Author]],Table4[],2,0))</f>
        <v>HC</v>
      </c>
      <c r="L2150" s="96"/>
      <c r="M2150" s="92">
        <v>45807.678356481483</v>
      </c>
      <c r="N2150" s="93">
        <v>45810</v>
      </c>
      <c r="O2150" s="93">
        <v>45810</v>
      </c>
      <c r="P2150" s="92" t="str">
        <f ca="1">IF(Proc[[#This Row],[DaysAgeing]]&gt;5,"yep","on track")</f>
        <v>on track</v>
      </c>
      <c r="Q2150" s="3">
        <f ca="1">IF(Proc[[#This Row],[DateClosed]]="",ABS(NETWORKDAYS(Proc[[#This Row],[DateOpened]],TODAY()))-1,ABS(NETWORKDAYS(Proc[[#This Row],[DateOpened]],Proc[[#This Row],[DateClosed]]))-1)</f>
        <v>1</v>
      </c>
      <c r="R2150" s="92" t="s">
        <v>1013</v>
      </c>
      <c r="S2150" s="96"/>
    </row>
    <row r="2151" spans="1:19" hidden="1">
      <c r="A2151" s="95" t="s">
        <v>3748</v>
      </c>
      <c r="B2151" s="96" t="str">
        <f>IFERROR(VLOOKUP(Proc[[#This Row],[App]],Table2[],3,0),"open")</f>
        <v>ok</v>
      </c>
      <c r="C2151" s="95" t="s">
        <v>369</v>
      </c>
      <c r="D2151" t="s">
        <v>3987</v>
      </c>
      <c r="E2151" t="s">
        <v>4069</v>
      </c>
      <c r="F2151" s="105" t="s">
        <v>4069</v>
      </c>
      <c r="G2151" s="95" t="s">
        <v>400</v>
      </c>
      <c r="H2151" s="96" t="str">
        <f>IF(Proc[[#This Row],[type]]="LFF (MDG-F)",MID(Proc[[#This Row],[Obj]],13,10),"")</f>
        <v/>
      </c>
      <c r="J2151" s="96" t="b">
        <f>Proc[[#This Row],[Requested]]=Proc[[#This Row],[CurrentParent]]</f>
        <v>1</v>
      </c>
      <c r="K2151" s="96" t="str">
        <f>IF(Proc[[#This Row],[Author]]="Marcela Urrego",VLOOKUP(LEFT(Proc[[#This Row],[Requested]],1),Table3[#All],2,0),VLOOKUP(Proc[[#This Row],[Author]],Table4[],2,0))</f>
        <v>HC</v>
      </c>
      <c r="L2151" s="96"/>
      <c r="M2151" s="92">
        <v>45807.678356481483</v>
      </c>
      <c r="N2151" s="93">
        <v>45810</v>
      </c>
      <c r="O2151" s="93">
        <v>45810</v>
      </c>
      <c r="P2151" s="92" t="str">
        <f ca="1">IF(Proc[[#This Row],[DaysAgeing]]&gt;5,"yep","on track")</f>
        <v>on track</v>
      </c>
      <c r="Q2151" s="3">
        <f ca="1">IF(Proc[[#This Row],[DateClosed]]="",ABS(NETWORKDAYS(Proc[[#This Row],[DateOpened]],TODAY()))-1,ABS(NETWORKDAYS(Proc[[#This Row],[DateOpened]],Proc[[#This Row],[DateClosed]]))-1)</f>
        <v>1</v>
      </c>
      <c r="R2151" s="92" t="s">
        <v>1013</v>
      </c>
      <c r="S2151" s="96"/>
    </row>
    <row r="2152" spans="1:19" hidden="1">
      <c r="A2152" s="95" t="s">
        <v>3748</v>
      </c>
      <c r="B2152" s="96" t="str">
        <f>IFERROR(VLOOKUP(Proc[[#This Row],[App]],Table2[],3,0),"open")</f>
        <v>ok</v>
      </c>
      <c r="C2152" s="95" t="s">
        <v>369</v>
      </c>
      <c r="D2152" t="s">
        <v>3988</v>
      </c>
      <c r="E2152" t="s">
        <v>4069</v>
      </c>
      <c r="F2152" s="105" t="s">
        <v>4069</v>
      </c>
      <c r="G2152" s="95" t="s">
        <v>400</v>
      </c>
      <c r="H2152" s="96" t="str">
        <f>IF(Proc[[#This Row],[type]]="LFF (MDG-F)",MID(Proc[[#This Row],[Obj]],13,10),"")</f>
        <v/>
      </c>
      <c r="J2152" s="96" t="b">
        <f>Proc[[#This Row],[Requested]]=Proc[[#This Row],[CurrentParent]]</f>
        <v>1</v>
      </c>
      <c r="K2152" s="96" t="str">
        <f>IF(Proc[[#This Row],[Author]]="Marcela Urrego",VLOOKUP(LEFT(Proc[[#This Row],[Requested]],1),Table3[#All],2,0),VLOOKUP(Proc[[#This Row],[Author]],Table4[],2,0))</f>
        <v>HC</v>
      </c>
      <c r="L2152" s="96"/>
      <c r="M2152" s="92">
        <v>45807.678356481483</v>
      </c>
      <c r="N2152" s="93">
        <v>45810</v>
      </c>
      <c r="O2152" s="93">
        <v>45810</v>
      </c>
      <c r="P2152" s="92" t="str">
        <f ca="1">IF(Proc[[#This Row],[DaysAgeing]]&gt;5,"yep","on track")</f>
        <v>on track</v>
      </c>
      <c r="Q2152" s="3">
        <f ca="1">IF(Proc[[#This Row],[DateClosed]]="",ABS(NETWORKDAYS(Proc[[#This Row],[DateOpened]],TODAY()))-1,ABS(NETWORKDAYS(Proc[[#This Row],[DateOpened]],Proc[[#This Row],[DateClosed]]))-1)</f>
        <v>1</v>
      </c>
      <c r="R2152" s="92" t="s">
        <v>1013</v>
      </c>
      <c r="S2152" s="96"/>
    </row>
    <row r="2153" spans="1:19" hidden="1">
      <c r="A2153" s="95" t="s">
        <v>3748</v>
      </c>
      <c r="B2153" s="96" t="str">
        <f>IFERROR(VLOOKUP(Proc[[#This Row],[App]],Table2[],3,0),"open")</f>
        <v>ok</v>
      </c>
      <c r="C2153" s="95" t="s">
        <v>369</v>
      </c>
      <c r="D2153" t="s">
        <v>3989</v>
      </c>
      <c r="E2153" t="s">
        <v>4069</v>
      </c>
      <c r="F2153" s="105" t="s">
        <v>4069</v>
      </c>
      <c r="G2153" s="95" t="s">
        <v>400</v>
      </c>
      <c r="H2153" s="96" t="str">
        <f>IF(Proc[[#This Row],[type]]="LFF (MDG-F)",MID(Proc[[#This Row],[Obj]],13,10),"")</f>
        <v/>
      </c>
      <c r="J2153" s="96" t="b">
        <f>Proc[[#This Row],[Requested]]=Proc[[#This Row],[CurrentParent]]</f>
        <v>1</v>
      </c>
      <c r="K2153" s="96" t="str">
        <f>IF(Proc[[#This Row],[Author]]="Marcela Urrego",VLOOKUP(LEFT(Proc[[#This Row],[Requested]],1),Table3[#All],2,0),VLOOKUP(Proc[[#This Row],[Author]],Table4[],2,0))</f>
        <v>HC</v>
      </c>
      <c r="L2153" s="96"/>
      <c r="M2153" s="92">
        <v>45807.678356481483</v>
      </c>
      <c r="N2153" s="93">
        <v>45810</v>
      </c>
      <c r="O2153" s="93">
        <v>45810</v>
      </c>
      <c r="P2153" s="92" t="str">
        <f ca="1">IF(Proc[[#This Row],[DaysAgeing]]&gt;5,"yep","on track")</f>
        <v>on track</v>
      </c>
      <c r="Q2153" s="3">
        <f ca="1">IF(Proc[[#This Row],[DateClosed]]="",ABS(NETWORKDAYS(Proc[[#This Row],[DateOpened]],TODAY()))-1,ABS(NETWORKDAYS(Proc[[#This Row],[DateOpened]],Proc[[#This Row],[DateClosed]]))-1)</f>
        <v>1</v>
      </c>
      <c r="R2153" s="92" t="s">
        <v>1013</v>
      </c>
      <c r="S2153" s="96"/>
    </row>
    <row r="2154" spans="1:19" hidden="1">
      <c r="A2154" s="95" t="s">
        <v>3748</v>
      </c>
      <c r="B2154" s="96" t="str">
        <f>IFERROR(VLOOKUP(Proc[[#This Row],[App]],Table2[],3,0),"open")</f>
        <v>ok</v>
      </c>
      <c r="C2154" s="95" t="s">
        <v>369</v>
      </c>
      <c r="D2154" t="s">
        <v>3990</v>
      </c>
      <c r="E2154" t="s">
        <v>4069</v>
      </c>
      <c r="F2154" s="105" t="s">
        <v>4069</v>
      </c>
      <c r="G2154" s="95" t="s">
        <v>400</v>
      </c>
      <c r="H2154" s="96" t="str">
        <f>IF(Proc[[#This Row],[type]]="LFF (MDG-F)",MID(Proc[[#This Row],[Obj]],13,10),"")</f>
        <v/>
      </c>
      <c r="J2154" s="96" t="b">
        <f>Proc[[#This Row],[Requested]]=Proc[[#This Row],[CurrentParent]]</f>
        <v>1</v>
      </c>
      <c r="K2154" s="96" t="str">
        <f>IF(Proc[[#This Row],[Author]]="Marcela Urrego",VLOOKUP(LEFT(Proc[[#This Row],[Requested]],1),Table3[#All],2,0),VLOOKUP(Proc[[#This Row],[Author]],Table4[],2,0))</f>
        <v>HC</v>
      </c>
      <c r="L2154" s="96"/>
      <c r="M2154" s="92">
        <v>45807.678356481483</v>
      </c>
      <c r="N2154" s="93">
        <v>45810</v>
      </c>
      <c r="O2154" s="93">
        <v>45810</v>
      </c>
      <c r="P2154" s="92" t="str">
        <f ca="1">IF(Proc[[#This Row],[DaysAgeing]]&gt;5,"yep","on track")</f>
        <v>on track</v>
      </c>
      <c r="Q2154" s="3">
        <f ca="1">IF(Proc[[#This Row],[DateClosed]]="",ABS(NETWORKDAYS(Proc[[#This Row],[DateOpened]],TODAY()))-1,ABS(NETWORKDAYS(Proc[[#This Row],[DateOpened]],Proc[[#This Row],[DateClosed]]))-1)</f>
        <v>1</v>
      </c>
      <c r="R2154" s="92" t="s">
        <v>1013</v>
      </c>
      <c r="S2154" s="96"/>
    </row>
    <row r="2155" spans="1:19" hidden="1">
      <c r="A2155" s="95" t="s">
        <v>3748</v>
      </c>
      <c r="B2155" s="96" t="str">
        <f>IFERROR(VLOOKUP(Proc[[#This Row],[App]],Table2[],3,0),"open")</f>
        <v>ok</v>
      </c>
      <c r="C2155" s="95" t="s">
        <v>369</v>
      </c>
      <c r="D2155" t="s">
        <v>3991</v>
      </c>
      <c r="E2155" t="s">
        <v>4069</v>
      </c>
      <c r="F2155" s="105" t="s">
        <v>4069</v>
      </c>
      <c r="G2155" s="95" t="s">
        <v>400</v>
      </c>
      <c r="H2155" s="96" t="str">
        <f>IF(Proc[[#This Row],[type]]="LFF (MDG-F)",MID(Proc[[#This Row],[Obj]],13,10),"")</f>
        <v/>
      </c>
      <c r="J2155" s="96" t="b">
        <f>Proc[[#This Row],[Requested]]=Proc[[#This Row],[CurrentParent]]</f>
        <v>1</v>
      </c>
      <c r="K2155" s="96" t="str">
        <f>IF(Proc[[#This Row],[Author]]="Marcela Urrego",VLOOKUP(LEFT(Proc[[#This Row],[Requested]],1),Table3[#All],2,0),VLOOKUP(Proc[[#This Row],[Author]],Table4[],2,0))</f>
        <v>HC</v>
      </c>
      <c r="L2155" s="96"/>
      <c r="M2155" s="92">
        <v>45807.678356481483</v>
      </c>
      <c r="N2155" s="93">
        <v>45810</v>
      </c>
      <c r="O2155" s="93">
        <v>45810</v>
      </c>
      <c r="P2155" s="92" t="str">
        <f ca="1">IF(Proc[[#This Row],[DaysAgeing]]&gt;5,"yep","on track")</f>
        <v>on track</v>
      </c>
      <c r="Q2155" s="3">
        <f ca="1">IF(Proc[[#This Row],[DateClosed]]="",ABS(NETWORKDAYS(Proc[[#This Row],[DateOpened]],TODAY()))-1,ABS(NETWORKDAYS(Proc[[#This Row],[DateOpened]],Proc[[#This Row],[DateClosed]]))-1)</f>
        <v>1</v>
      </c>
      <c r="R2155" s="92" t="s">
        <v>1013</v>
      </c>
      <c r="S2155" s="96"/>
    </row>
    <row r="2156" spans="1:19" hidden="1">
      <c r="A2156" s="95" t="s">
        <v>3748</v>
      </c>
      <c r="B2156" s="96" t="str">
        <f>IFERROR(VLOOKUP(Proc[[#This Row],[App]],Table2[],3,0),"open")</f>
        <v>ok</v>
      </c>
      <c r="C2156" s="95" t="s">
        <v>369</v>
      </c>
      <c r="D2156" t="s">
        <v>3992</v>
      </c>
      <c r="E2156" t="s">
        <v>4069</v>
      </c>
      <c r="F2156" s="105" t="s">
        <v>4069</v>
      </c>
      <c r="G2156" s="95" t="s">
        <v>400</v>
      </c>
      <c r="H2156" s="96" t="str">
        <f>IF(Proc[[#This Row],[type]]="LFF (MDG-F)",MID(Proc[[#This Row],[Obj]],13,10),"")</f>
        <v/>
      </c>
      <c r="J2156" s="96" t="b">
        <f>Proc[[#This Row],[Requested]]=Proc[[#This Row],[CurrentParent]]</f>
        <v>1</v>
      </c>
      <c r="K2156" s="96" t="str">
        <f>IF(Proc[[#This Row],[Author]]="Marcela Urrego",VLOOKUP(LEFT(Proc[[#This Row],[Requested]],1),Table3[#All],2,0),VLOOKUP(Proc[[#This Row],[Author]],Table4[],2,0))</f>
        <v>HC</v>
      </c>
      <c r="L2156" s="96"/>
      <c r="M2156" s="92">
        <v>45807.678356481483</v>
      </c>
      <c r="N2156" s="93">
        <v>45810</v>
      </c>
      <c r="O2156" s="93">
        <v>45810</v>
      </c>
      <c r="P2156" s="92" t="str">
        <f ca="1">IF(Proc[[#This Row],[DaysAgeing]]&gt;5,"yep","on track")</f>
        <v>on track</v>
      </c>
      <c r="Q2156" s="3">
        <f ca="1">IF(Proc[[#This Row],[DateClosed]]="",ABS(NETWORKDAYS(Proc[[#This Row],[DateOpened]],TODAY()))-1,ABS(NETWORKDAYS(Proc[[#This Row],[DateOpened]],Proc[[#This Row],[DateClosed]]))-1)</f>
        <v>1</v>
      </c>
      <c r="R2156" s="92" t="s">
        <v>1013</v>
      </c>
      <c r="S2156" s="96"/>
    </row>
    <row r="2157" spans="1:19" hidden="1">
      <c r="A2157" s="95" t="s">
        <v>3748</v>
      </c>
      <c r="B2157" s="96" t="str">
        <f>IFERROR(VLOOKUP(Proc[[#This Row],[App]],Table2[],3,0),"open")</f>
        <v>ok</v>
      </c>
      <c r="C2157" s="95" t="s">
        <v>369</v>
      </c>
      <c r="D2157" t="s">
        <v>3993</v>
      </c>
      <c r="E2157" t="s">
        <v>4069</v>
      </c>
      <c r="F2157" s="105" t="s">
        <v>4069</v>
      </c>
      <c r="G2157" s="95" t="s">
        <v>400</v>
      </c>
      <c r="H2157" s="96" t="str">
        <f>IF(Proc[[#This Row],[type]]="LFF (MDG-F)",MID(Proc[[#This Row],[Obj]],13,10),"")</f>
        <v/>
      </c>
      <c r="J2157" s="96" t="b">
        <f>Proc[[#This Row],[Requested]]=Proc[[#This Row],[CurrentParent]]</f>
        <v>1</v>
      </c>
      <c r="K2157" s="96" t="str">
        <f>IF(Proc[[#This Row],[Author]]="Marcela Urrego",VLOOKUP(LEFT(Proc[[#This Row],[Requested]],1),Table3[#All],2,0),VLOOKUP(Proc[[#This Row],[Author]],Table4[],2,0))</f>
        <v>HC</v>
      </c>
      <c r="L2157" s="96"/>
      <c r="M2157" s="92">
        <v>45807.678356481483</v>
      </c>
      <c r="N2157" s="93">
        <v>45810</v>
      </c>
      <c r="O2157" s="93">
        <v>45810</v>
      </c>
      <c r="P2157" s="92" t="str">
        <f ca="1">IF(Proc[[#This Row],[DaysAgeing]]&gt;5,"yep","on track")</f>
        <v>on track</v>
      </c>
      <c r="Q2157" s="3">
        <f ca="1">IF(Proc[[#This Row],[DateClosed]]="",ABS(NETWORKDAYS(Proc[[#This Row],[DateOpened]],TODAY()))-1,ABS(NETWORKDAYS(Proc[[#This Row],[DateOpened]],Proc[[#This Row],[DateClosed]]))-1)</f>
        <v>1</v>
      </c>
      <c r="R2157" s="92" t="s">
        <v>1013</v>
      </c>
      <c r="S2157" s="96"/>
    </row>
    <row r="2158" spans="1:19" hidden="1">
      <c r="A2158" s="95" t="s">
        <v>3748</v>
      </c>
      <c r="B2158" s="96" t="str">
        <f>IFERROR(VLOOKUP(Proc[[#This Row],[App]],Table2[],3,0),"open")</f>
        <v>ok</v>
      </c>
      <c r="C2158" s="95" t="s">
        <v>369</v>
      </c>
      <c r="D2158" t="s">
        <v>3994</v>
      </c>
      <c r="E2158" t="s">
        <v>4069</v>
      </c>
      <c r="F2158" s="105" t="s">
        <v>4069</v>
      </c>
      <c r="G2158" s="95" t="s">
        <v>400</v>
      </c>
      <c r="H2158" s="96" t="str">
        <f>IF(Proc[[#This Row],[type]]="LFF (MDG-F)",MID(Proc[[#This Row],[Obj]],13,10),"")</f>
        <v/>
      </c>
      <c r="J2158" s="96" t="b">
        <f>Proc[[#This Row],[Requested]]=Proc[[#This Row],[CurrentParent]]</f>
        <v>1</v>
      </c>
      <c r="K2158" s="96" t="str">
        <f>IF(Proc[[#This Row],[Author]]="Marcela Urrego",VLOOKUP(LEFT(Proc[[#This Row],[Requested]],1),Table3[#All],2,0),VLOOKUP(Proc[[#This Row],[Author]],Table4[],2,0))</f>
        <v>HC</v>
      </c>
      <c r="L2158" s="96"/>
      <c r="M2158" s="92">
        <v>45807.678356481483</v>
      </c>
      <c r="N2158" s="93">
        <v>45810</v>
      </c>
      <c r="O2158" s="93">
        <v>45810</v>
      </c>
      <c r="P2158" s="92" t="str">
        <f ca="1">IF(Proc[[#This Row],[DaysAgeing]]&gt;5,"yep","on track")</f>
        <v>on track</v>
      </c>
      <c r="Q2158" s="3">
        <f ca="1">IF(Proc[[#This Row],[DateClosed]]="",ABS(NETWORKDAYS(Proc[[#This Row],[DateOpened]],TODAY()))-1,ABS(NETWORKDAYS(Proc[[#This Row],[DateOpened]],Proc[[#This Row],[DateClosed]]))-1)</f>
        <v>1</v>
      </c>
      <c r="R2158" s="92" t="s">
        <v>1013</v>
      </c>
      <c r="S2158" s="96"/>
    </row>
    <row r="2159" spans="1:19" hidden="1">
      <c r="A2159" s="95" t="s">
        <v>3748</v>
      </c>
      <c r="B2159" s="96" t="str">
        <f>IFERROR(VLOOKUP(Proc[[#This Row],[App]],Table2[],3,0),"open")</f>
        <v>ok</v>
      </c>
      <c r="C2159" s="95" t="s">
        <v>369</v>
      </c>
      <c r="D2159" t="s">
        <v>3995</v>
      </c>
      <c r="E2159" t="s">
        <v>4069</v>
      </c>
      <c r="F2159" s="105" t="s">
        <v>4069</v>
      </c>
      <c r="G2159" s="95" t="s">
        <v>400</v>
      </c>
      <c r="H2159" s="96" t="str">
        <f>IF(Proc[[#This Row],[type]]="LFF (MDG-F)",MID(Proc[[#This Row],[Obj]],13,10),"")</f>
        <v/>
      </c>
      <c r="J2159" s="96" t="b">
        <f>Proc[[#This Row],[Requested]]=Proc[[#This Row],[CurrentParent]]</f>
        <v>1</v>
      </c>
      <c r="K2159" s="96" t="str">
        <f>IF(Proc[[#This Row],[Author]]="Marcela Urrego",VLOOKUP(LEFT(Proc[[#This Row],[Requested]],1),Table3[#All],2,0),VLOOKUP(Proc[[#This Row],[Author]],Table4[],2,0))</f>
        <v>HC</v>
      </c>
      <c r="L2159" s="96"/>
      <c r="M2159" s="92">
        <v>45807.678356481483</v>
      </c>
      <c r="N2159" s="93">
        <v>45810</v>
      </c>
      <c r="O2159" s="93">
        <v>45810</v>
      </c>
      <c r="P2159" s="92" t="str">
        <f ca="1">IF(Proc[[#This Row],[DaysAgeing]]&gt;5,"yep","on track")</f>
        <v>on track</v>
      </c>
      <c r="Q2159" s="3">
        <f ca="1">IF(Proc[[#This Row],[DateClosed]]="",ABS(NETWORKDAYS(Proc[[#This Row],[DateOpened]],TODAY()))-1,ABS(NETWORKDAYS(Proc[[#This Row],[DateOpened]],Proc[[#This Row],[DateClosed]]))-1)</f>
        <v>1</v>
      </c>
      <c r="R2159" s="92" t="s">
        <v>1013</v>
      </c>
      <c r="S2159" s="96"/>
    </row>
    <row r="2160" spans="1:19" hidden="1">
      <c r="A2160" s="95" t="s">
        <v>3748</v>
      </c>
      <c r="B2160" s="96" t="str">
        <f>IFERROR(VLOOKUP(Proc[[#This Row],[App]],Table2[],3,0),"open")</f>
        <v>ok</v>
      </c>
      <c r="C2160" s="95" t="s">
        <v>369</v>
      </c>
      <c r="D2160" t="s">
        <v>3996</v>
      </c>
      <c r="E2160" t="s">
        <v>4069</v>
      </c>
      <c r="F2160" s="105" t="s">
        <v>4069</v>
      </c>
      <c r="G2160" s="95" t="s">
        <v>400</v>
      </c>
      <c r="H2160" s="96" t="str">
        <f>IF(Proc[[#This Row],[type]]="LFF (MDG-F)",MID(Proc[[#This Row],[Obj]],13,10),"")</f>
        <v/>
      </c>
      <c r="J2160" s="96" t="b">
        <f>Proc[[#This Row],[Requested]]=Proc[[#This Row],[CurrentParent]]</f>
        <v>1</v>
      </c>
      <c r="K2160" s="96" t="str">
        <f>IF(Proc[[#This Row],[Author]]="Marcela Urrego",VLOOKUP(LEFT(Proc[[#This Row],[Requested]],1),Table3[#All],2,0),VLOOKUP(Proc[[#This Row],[Author]],Table4[],2,0))</f>
        <v>HC</v>
      </c>
      <c r="L2160" s="96"/>
      <c r="M2160" s="92">
        <v>45807.678356481483</v>
      </c>
      <c r="N2160" s="93">
        <v>45810</v>
      </c>
      <c r="O2160" s="93">
        <v>45810</v>
      </c>
      <c r="P2160" s="92" t="str">
        <f ca="1">IF(Proc[[#This Row],[DaysAgeing]]&gt;5,"yep","on track")</f>
        <v>on track</v>
      </c>
      <c r="Q2160" s="3">
        <f ca="1">IF(Proc[[#This Row],[DateClosed]]="",ABS(NETWORKDAYS(Proc[[#This Row],[DateOpened]],TODAY()))-1,ABS(NETWORKDAYS(Proc[[#This Row],[DateOpened]],Proc[[#This Row],[DateClosed]]))-1)</f>
        <v>1</v>
      </c>
      <c r="R2160" s="92" t="s">
        <v>1013</v>
      </c>
      <c r="S2160" s="96"/>
    </row>
    <row r="2161" spans="1:19" hidden="1">
      <c r="A2161" s="95" t="s">
        <v>3748</v>
      </c>
      <c r="B2161" s="96" t="str">
        <f>IFERROR(VLOOKUP(Proc[[#This Row],[App]],Table2[],3,0),"open")</f>
        <v>ok</v>
      </c>
      <c r="C2161" s="95" t="s">
        <v>369</v>
      </c>
      <c r="D2161" t="s">
        <v>3997</v>
      </c>
      <c r="E2161" t="s">
        <v>4069</v>
      </c>
      <c r="F2161" s="105" t="s">
        <v>4069</v>
      </c>
      <c r="G2161" s="95" t="s">
        <v>400</v>
      </c>
      <c r="H2161" s="96" t="str">
        <f>IF(Proc[[#This Row],[type]]="LFF (MDG-F)",MID(Proc[[#This Row],[Obj]],13,10),"")</f>
        <v/>
      </c>
      <c r="J2161" s="96" t="b">
        <f>Proc[[#This Row],[Requested]]=Proc[[#This Row],[CurrentParent]]</f>
        <v>1</v>
      </c>
      <c r="K2161" s="96" t="str">
        <f>IF(Proc[[#This Row],[Author]]="Marcela Urrego",VLOOKUP(LEFT(Proc[[#This Row],[Requested]],1),Table3[#All],2,0),VLOOKUP(Proc[[#This Row],[Author]],Table4[],2,0))</f>
        <v>HC</v>
      </c>
      <c r="L2161" s="96"/>
      <c r="M2161" s="92">
        <v>45807.678356481483</v>
      </c>
      <c r="N2161" s="93">
        <v>45810</v>
      </c>
      <c r="O2161" s="93">
        <v>45810</v>
      </c>
      <c r="P2161" s="92" t="str">
        <f ca="1">IF(Proc[[#This Row],[DaysAgeing]]&gt;5,"yep","on track")</f>
        <v>on track</v>
      </c>
      <c r="Q2161" s="3">
        <f ca="1">IF(Proc[[#This Row],[DateClosed]]="",ABS(NETWORKDAYS(Proc[[#This Row],[DateOpened]],TODAY()))-1,ABS(NETWORKDAYS(Proc[[#This Row],[DateOpened]],Proc[[#This Row],[DateClosed]]))-1)</f>
        <v>1</v>
      </c>
      <c r="R2161" s="92" t="s">
        <v>1013</v>
      </c>
      <c r="S2161" s="96"/>
    </row>
    <row r="2162" spans="1:19" hidden="1">
      <c r="A2162" s="95" t="s">
        <v>3748</v>
      </c>
      <c r="B2162" s="96" t="str">
        <f>IFERROR(VLOOKUP(Proc[[#This Row],[App]],Table2[],3,0),"open")</f>
        <v>ok</v>
      </c>
      <c r="C2162" s="95" t="s">
        <v>369</v>
      </c>
      <c r="D2162" t="s">
        <v>3998</v>
      </c>
      <c r="E2162" t="s">
        <v>4069</v>
      </c>
      <c r="F2162" s="105" t="s">
        <v>4069</v>
      </c>
      <c r="G2162" s="95" t="s">
        <v>400</v>
      </c>
      <c r="H2162" s="96" t="str">
        <f>IF(Proc[[#This Row],[type]]="LFF (MDG-F)",MID(Proc[[#This Row],[Obj]],13,10),"")</f>
        <v/>
      </c>
      <c r="J2162" s="96" t="b">
        <f>Proc[[#This Row],[Requested]]=Proc[[#This Row],[CurrentParent]]</f>
        <v>1</v>
      </c>
      <c r="K2162" s="96" t="str">
        <f>IF(Proc[[#This Row],[Author]]="Marcela Urrego",VLOOKUP(LEFT(Proc[[#This Row],[Requested]],1),Table3[#All],2,0),VLOOKUP(Proc[[#This Row],[Author]],Table4[],2,0))</f>
        <v>HC</v>
      </c>
      <c r="L2162" s="96"/>
      <c r="M2162" s="92">
        <v>45807.678356481483</v>
      </c>
      <c r="N2162" s="93">
        <v>45810</v>
      </c>
      <c r="O2162" s="93">
        <v>45810</v>
      </c>
      <c r="P2162" s="92" t="str">
        <f ca="1">IF(Proc[[#This Row],[DaysAgeing]]&gt;5,"yep","on track")</f>
        <v>on track</v>
      </c>
      <c r="Q2162" s="3">
        <f ca="1">IF(Proc[[#This Row],[DateClosed]]="",ABS(NETWORKDAYS(Proc[[#This Row],[DateOpened]],TODAY()))-1,ABS(NETWORKDAYS(Proc[[#This Row],[DateOpened]],Proc[[#This Row],[DateClosed]]))-1)</f>
        <v>1</v>
      </c>
      <c r="R2162" s="92" t="s">
        <v>1013</v>
      </c>
      <c r="S2162" s="96"/>
    </row>
    <row r="2163" spans="1:19" hidden="1">
      <c r="A2163" s="95" t="s">
        <v>3748</v>
      </c>
      <c r="B2163" s="96" t="str">
        <f>IFERROR(VLOOKUP(Proc[[#This Row],[App]],Table2[],3,0),"open")</f>
        <v>ok</v>
      </c>
      <c r="C2163" s="95" t="s">
        <v>369</v>
      </c>
      <c r="D2163" t="s">
        <v>3999</v>
      </c>
      <c r="E2163" t="s">
        <v>4069</v>
      </c>
      <c r="F2163" s="105" t="s">
        <v>4069</v>
      </c>
      <c r="G2163" s="95" t="s">
        <v>400</v>
      </c>
      <c r="H2163" s="96" t="str">
        <f>IF(Proc[[#This Row],[type]]="LFF (MDG-F)",MID(Proc[[#This Row],[Obj]],13,10),"")</f>
        <v/>
      </c>
      <c r="J2163" s="96" t="b">
        <f>Proc[[#This Row],[Requested]]=Proc[[#This Row],[CurrentParent]]</f>
        <v>1</v>
      </c>
      <c r="K2163" s="96" t="str">
        <f>IF(Proc[[#This Row],[Author]]="Marcela Urrego",VLOOKUP(LEFT(Proc[[#This Row],[Requested]],1),Table3[#All],2,0),VLOOKUP(Proc[[#This Row],[Author]],Table4[],2,0))</f>
        <v>HC</v>
      </c>
      <c r="L2163" s="96"/>
      <c r="M2163" s="92">
        <v>45807.678356481483</v>
      </c>
      <c r="N2163" s="93">
        <v>45810</v>
      </c>
      <c r="O2163" s="93">
        <v>45810</v>
      </c>
      <c r="P2163" s="92" t="str">
        <f ca="1">IF(Proc[[#This Row],[DaysAgeing]]&gt;5,"yep","on track")</f>
        <v>on track</v>
      </c>
      <c r="Q2163" s="3">
        <f ca="1">IF(Proc[[#This Row],[DateClosed]]="",ABS(NETWORKDAYS(Proc[[#This Row],[DateOpened]],TODAY()))-1,ABS(NETWORKDAYS(Proc[[#This Row],[DateOpened]],Proc[[#This Row],[DateClosed]]))-1)</f>
        <v>1</v>
      </c>
      <c r="R2163" s="92" t="s">
        <v>1013</v>
      </c>
      <c r="S2163" s="96"/>
    </row>
    <row r="2164" spans="1:19" hidden="1">
      <c r="A2164" s="95" t="s">
        <v>3748</v>
      </c>
      <c r="B2164" s="96" t="str">
        <f>IFERROR(VLOOKUP(Proc[[#This Row],[App]],Table2[],3,0),"open")</f>
        <v>ok</v>
      </c>
      <c r="C2164" s="95" t="s">
        <v>369</v>
      </c>
      <c r="D2164" t="s">
        <v>4000</v>
      </c>
      <c r="E2164" t="s">
        <v>4069</v>
      </c>
      <c r="F2164" s="105" t="s">
        <v>4069</v>
      </c>
      <c r="G2164" s="95" t="s">
        <v>400</v>
      </c>
      <c r="H2164" s="96" t="str">
        <f>IF(Proc[[#This Row],[type]]="LFF (MDG-F)",MID(Proc[[#This Row],[Obj]],13,10),"")</f>
        <v/>
      </c>
      <c r="J2164" s="96" t="b">
        <f>Proc[[#This Row],[Requested]]=Proc[[#This Row],[CurrentParent]]</f>
        <v>1</v>
      </c>
      <c r="K2164" s="96" t="str">
        <f>IF(Proc[[#This Row],[Author]]="Marcela Urrego",VLOOKUP(LEFT(Proc[[#This Row],[Requested]],1),Table3[#All],2,0),VLOOKUP(Proc[[#This Row],[Author]],Table4[],2,0))</f>
        <v>HC</v>
      </c>
      <c r="L2164" s="96"/>
      <c r="M2164" s="92">
        <v>45807.678356481483</v>
      </c>
      <c r="N2164" s="93">
        <v>45810</v>
      </c>
      <c r="O2164" s="93">
        <v>45810</v>
      </c>
      <c r="P2164" s="92" t="str">
        <f ca="1">IF(Proc[[#This Row],[DaysAgeing]]&gt;5,"yep","on track")</f>
        <v>on track</v>
      </c>
      <c r="Q2164" s="3">
        <f ca="1">IF(Proc[[#This Row],[DateClosed]]="",ABS(NETWORKDAYS(Proc[[#This Row],[DateOpened]],TODAY()))-1,ABS(NETWORKDAYS(Proc[[#This Row],[DateOpened]],Proc[[#This Row],[DateClosed]]))-1)</f>
        <v>1</v>
      </c>
      <c r="R2164" s="92" t="s">
        <v>1013</v>
      </c>
      <c r="S2164" s="96"/>
    </row>
    <row r="2165" spans="1:19" hidden="1">
      <c r="A2165" s="95" t="s">
        <v>3748</v>
      </c>
      <c r="B2165" s="96" t="str">
        <f>IFERROR(VLOOKUP(Proc[[#This Row],[App]],Table2[],3,0),"open")</f>
        <v>ok</v>
      </c>
      <c r="C2165" s="95" t="s">
        <v>369</v>
      </c>
      <c r="D2165" t="s">
        <v>4001</v>
      </c>
      <c r="E2165" t="s">
        <v>4069</v>
      </c>
      <c r="F2165" s="105" t="s">
        <v>4069</v>
      </c>
      <c r="G2165" s="95" t="s">
        <v>400</v>
      </c>
      <c r="H2165" s="96" t="str">
        <f>IF(Proc[[#This Row],[type]]="LFF (MDG-F)",MID(Proc[[#This Row],[Obj]],13,10),"")</f>
        <v/>
      </c>
      <c r="J2165" s="96" t="b">
        <f>Proc[[#This Row],[Requested]]=Proc[[#This Row],[CurrentParent]]</f>
        <v>1</v>
      </c>
      <c r="K2165" s="96" t="str">
        <f>IF(Proc[[#This Row],[Author]]="Marcela Urrego",VLOOKUP(LEFT(Proc[[#This Row],[Requested]],1),Table3[#All],2,0),VLOOKUP(Proc[[#This Row],[Author]],Table4[],2,0))</f>
        <v>HC</v>
      </c>
      <c r="L2165" s="96"/>
      <c r="M2165" s="92">
        <v>45807.678356481483</v>
      </c>
      <c r="N2165" s="93">
        <v>45810</v>
      </c>
      <c r="O2165" s="93">
        <v>45810</v>
      </c>
      <c r="P2165" s="92" t="str">
        <f ca="1">IF(Proc[[#This Row],[DaysAgeing]]&gt;5,"yep","on track")</f>
        <v>on track</v>
      </c>
      <c r="Q2165" s="3">
        <f ca="1">IF(Proc[[#This Row],[DateClosed]]="",ABS(NETWORKDAYS(Proc[[#This Row],[DateOpened]],TODAY()))-1,ABS(NETWORKDAYS(Proc[[#This Row],[DateOpened]],Proc[[#This Row],[DateClosed]]))-1)</f>
        <v>1</v>
      </c>
      <c r="R2165" s="92" t="s">
        <v>1013</v>
      </c>
      <c r="S2165" s="96"/>
    </row>
    <row r="2166" spans="1:19" hidden="1">
      <c r="A2166" s="95" t="s">
        <v>3748</v>
      </c>
      <c r="B2166" s="96" t="str">
        <f>IFERROR(VLOOKUP(Proc[[#This Row],[App]],Table2[],3,0),"open")</f>
        <v>ok</v>
      </c>
      <c r="C2166" s="95" t="s">
        <v>369</v>
      </c>
      <c r="D2166" t="s">
        <v>4002</v>
      </c>
      <c r="E2166" t="s">
        <v>4069</v>
      </c>
      <c r="F2166" s="105" t="s">
        <v>4069</v>
      </c>
      <c r="G2166" s="95" t="s">
        <v>400</v>
      </c>
      <c r="H2166" s="96" t="str">
        <f>IF(Proc[[#This Row],[type]]="LFF (MDG-F)",MID(Proc[[#This Row],[Obj]],13,10),"")</f>
        <v/>
      </c>
      <c r="J2166" s="96" t="b">
        <f>Proc[[#This Row],[Requested]]=Proc[[#This Row],[CurrentParent]]</f>
        <v>1</v>
      </c>
      <c r="K2166" s="96" t="str">
        <f>IF(Proc[[#This Row],[Author]]="Marcela Urrego",VLOOKUP(LEFT(Proc[[#This Row],[Requested]],1),Table3[#All],2,0),VLOOKUP(Proc[[#This Row],[Author]],Table4[],2,0))</f>
        <v>HC</v>
      </c>
      <c r="L2166" s="96"/>
      <c r="M2166" s="92">
        <v>45807.678356481483</v>
      </c>
      <c r="N2166" s="93">
        <v>45810</v>
      </c>
      <c r="O2166" s="93">
        <v>45810</v>
      </c>
      <c r="P2166" s="92" t="str">
        <f ca="1">IF(Proc[[#This Row],[DaysAgeing]]&gt;5,"yep","on track")</f>
        <v>on track</v>
      </c>
      <c r="Q2166" s="3">
        <f ca="1">IF(Proc[[#This Row],[DateClosed]]="",ABS(NETWORKDAYS(Proc[[#This Row],[DateOpened]],TODAY()))-1,ABS(NETWORKDAYS(Proc[[#This Row],[DateOpened]],Proc[[#This Row],[DateClosed]]))-1)</f>
        <v>1</v>
      </c>
      <c r="R2166" s="92" t="s">
        <v>1013</v>
      </c>
      <c r="S2166" s="96"/>
    </row>
    <row r="2167" spans="1:19" hidden="1">
      <c r="A2167" s="95" t="s">
        <v>3748</v>
      </c>
      <c r="B2167" s="96" t="str">
        <f>IFERROR(VLOOKUP(Proc[[#This Row],[App]],Table2[],3,0),"open")</f>
        <v>ok</v>
      </c>
      <c r="C2167" s="95" t="s">
        <v>369</v>
      </c>
      <c r="D2167" t="s">
        <v>4003</v>
      </c>
      <c r="E2167" t="s">
        <v>4069</v>
      </c>
      <c r="F2167" s="105" t="s">
        <v>4069</v>
      </c>
      <c r="G2167" s="95" t="s">
        <v>400</v>
      </c>
      <c r="H2167" s="96" t="str">
        <f>IF(Proc[[#This Row],[type]]="LFF (MDG-F)",MID(Proc[[#This Row],[Obj]],13,10),"")</f>
        <v/>
      </c>
      <c r="J2167" s="96" t="b">
        <f>Proc[[#This Row],[Requested]]=Proc[[#This Row],[CurrentParent]]</f>
        <v>1</v>
      </c>
      <c r="K2167" s="96" t="str">
        <f>IF(Proc[[#This Row],[Author]]="Marcela Urrego",VLOOKUP(LEFT(Proc[[#This Row],[Requested]],1),Table3[#All],2,0),VLOOKUP(Proc[[#This Row],[Author]],Table4[],2,0))</f>
        <v>HC</v>
      </c>
      <c r="L2167" s="96"/>
      <c r="M2167" s="92">
        <v>45807.678356481483</v>
      </c>
      <c r="N2167" s="93">
        <v>45810</v>
      </c>
      <c r="O2167" s="93">
        <v>45810</v>
      </c>
      <c r="P2167" s="92" t="str">
        <f ca="1">IF(Proc[[#This Row],[DaysAgeing]]&gt;5,"yep","on track")</f>
        <v>on track</v>
      </c>
      <c r="Q2167" s="3">
        <f ca="1">IF(Proc[[#This Row],[DateClosed]]="",ABS(NETWORKDAYS(Proc[[#This Row],[DateOpened]],TODAY()))-1,ABS(NETWORKDAYS(Proc[[#This Row],[DateOpened]],Proc[[#This Row],[DateClosed]]))-1)</f>
        <v>1</v>
      </c>
      <c r="R2167" s="92" t="s">
        <v>1013</v>
      </c>
      <c r="S2167" s="96"/>
    </row>
    <row r="2168" spans="1:19" hidden="1">
      <c r="A2168" s="95" t="s">
        <v>3748</v>
      </c>
      <c r="B2168" s="96" t="str">
        <f>IFERROR(VLOOKUP(Proc[[#This Row],[App]],Table2[],3,0),"open")</f>
        <v>ok</v>
      </c>
      <c r="C2168" s="95" t="s">
        <v>369</v>
      </c>
      <c r="D2168" t="s">
        <v>4004</v>
      </c>
      <c r="E2168" t="s">
        <v>4069</v>
      </c>
      <c r="F2168" s="105" t="s">
        <v>4069</v>
      </c>
      <c r="G2168" s="95" t="s">
        <v>400</v>
      </c>
      <c r="H2168" s="96" t="str">
        <f>IF(Proc[[#This Row],[type]]="LFF (MDG-F)",MID(Proc[[#This Row],[Obj]],13,10),"")</f>
        <v/>
      </c>
      <c r="J2168" s="96" t="b">
        <f>Proc[[#This Row],[Requested]]=Proc[[#This Row],[CurrentParent]]</f>
        <v>1</v>
      </c>
      <c r="K2168" s="96" t="str">
        <f>IF(Proc[[#This Row],[Author]]="Marcela Urrego",VLOOKUP(LEFT(Proc[[#This Row],[Requested]],1),Table3[#All],2,0),VLOOKUP(Proc[[#This Row],[Author]],Table4[],2,0))</f>
        <v>HC</v>
      </c>
      <c r="L2168" s="96"/>
      <c r="M2168" s="92">
        <v>45807.678356481483</v>
      </c>
      <c r="N2168" s="93">
        <v>45810</v>
      </c>
      <c r="O2168" s="93">
        <v>45810</v>
      </c>
      <c r="P2168" s="92" t="str">
        <f ca="1">IF(Proc[[#This Row],[DaysAgeing]]&gt;5,"yep","on track")</f>
        <v>on track</v>
      </c>
      <c r="Q2168" s="3">
        <f ca="1">IF(Proc[[#This Row],[DateClosed]]="",ABS(NETWORKDAYS(Proc[[#This Row],[DateOpened]],TODAY()))-1,ABS(NETWORKDAYS(Proc[[#This Row],[DateOpened]],Proc[[#This Row],[DateClosed]]))-1)</f>
        <v>1</v>
      </c>
      <c r="R2168" s="92" t="s">
        <v>1013</v>
      </c>
      <c r="S2168" s="96"/>
    </row>
    <row r="2169" spans="1:19" hidden="1">
      <c r="A2169" s="95" t="s">
        <v>3748</v>
      </c>
      <c r="B2169" s="96" t="str">
        <f>IFERROR(VLOOKUP(Proc[[#This Row],[App]],Table2[],3,0),"open")</f>
        <v>ok</v>
      </c>
      <c r="C2169" s="95" t="s">
        <v>369</v>
      </c>
      <c r="D2169" t="s">
        <v>4005</v>
      </c>
      <c r="E2169" t="s">
        <v>4069</v>
      </c>
      <c r="F2169" s="105" t="s">
        <v>4069</v>
      </c>
      <c r="G2169" s="95" t="s">
        <v>400</v>
      </c>
      <c r="H2169" s="96" t="str">
        <f>IF(Proc[[#This Row],[type]]="LFF (MDG-F)",MID(Proc[[#This Row],[Obj]],13,10),"")</f>
        <v/>
      </c>
      <c r="J2169" s="96" t="b">
        <f>Proc[[#This Row],[Requested]]=Proc[[#This Row],[CurrentParent]]</f>
        <v>1</v>
      </c>
      <c r="K2169" s="96" t="str">
        <f>IF(Proc[[#This Row],[Author]]="Marcela Urrego",VLOOKUP(LEFT(Proc[[#This Row],[Requested]],1),Table3[#All],2,0),VLOOKUP(Proc[[#This Row],[Author]],Table4[],2,0))</f>
        <v>HC</v>
      </c>
      <c r="L2169" s="96"/>
      <c r="M2169" s="92">
        <v>45807.678356481483</v>
      </c>
      <c r="N2169" s="93">
        <v>45810</v>
      </c>
      <c r="O2169" s="93">
        <v>45810</v>
      </c>
      <c r="P2169" s="92" t="str">
        <f ca="1">IF(Proc[[#This Row],[DaysAgeing]]&gt;5,"yep","on track")</f>
        <v>on track</v>
      </c>
      <c r="Q2169" s="3">
        <f ca="1">IF(Proc[[#This Row],[DateClosed]]="",ABS(NETWORKDAYS(Proc[[#This Row],[DateOpened]],TODAY()))-1,ABS(NETWORKDAYS(Proc[[#This Row],[DateOpened]],Proc[[#This Row],[DateClosed]]))-1)</f>
        <v>1</v>
      </c>
      <c r="R2169" s="92" t="s">
        <v>1013</v>
      </c>
      <c r="S2169" s="96"/>
    </row>
    <row r="2170" spans="1:19" hidden="1">
      <c r="A2170" s="95" t="s">
        <v>3748</v>
      </c>
      <c r="B2170" s="96" t="str">
        <f>IFERROR(VLOOKUP(Proc[[#This Row],[App]],Table2[],3,0),"open")</f>
        <v>ok</v>
      </c>
      <c r="C2170" s="95" t="s">
        <v>369</v>
      </c>
      <c r="D2170" t="s">
        <v>4006</v>
      </c>
      <c r="E2170" t="s">
        <v>4069</v>
      </c>
      <c r="F2170" s="105" t="s">
        <v>4069</v>
      </c>
      <c r="G2170" s="95" t="s">
        <v>400</v>
      </c>
      <c r="H2170" s="96" t="str">
        <f>IF(Proc[[#This Row],[type]]="LFF (MDG-F)",MID(Proc[[#This Row],[Obj]],13,10),"")</f>
        <v/>
      </c>
      <c r="J2170" s="96" t="b">
        <f>Proc[[#This Row],[Requested]]=Proc[[#This Row],[CurrentParent]]</f>
        <v>1</v>
      </c>
      <c r="K2170" s="96" t="str">
        <f>IF(Proc[[#This Row],[Author]]="Marcela Urrego",VLOOKUP(LEFT(Proc[[#This Row],[Requested]],1),Table3[#All],2,0),VLOOKUP(Proc[[#This Row],[Author]],Table4[],2,0))</f>
        <v>HC</v>
      </c>
      <c r="L2170" s="96"/>
      <c r="M2170" s="92">
        <v>45807.678356481483</v>
      </c>
      <c r="N2170" s="93">
        <v>45810</v>
      </c>
      <c r="O2170" s="93">
        <v>45810</v>
      </c>
      <c r="P2170" s="92" t="str">
        <f ca="1">IF(Proc[[#This Row],[DaysAgeing]]&gt;5,"yep","on track")</f>
        <v>on track</v>
      </c>
      <c r="Q2170" s="3">
        <f ca="1">IF(Proc[[#This Row],[DateClosed]]="",ABS(NETWORKDAYS(Proc[[#This Row],[DateOpened]],TODAY()))-1,ABS(NETWORKDAYS(Proc[[#This Row],[DateOpened]],Proc[[#This Row],[DateClosed]]))-1)</f>
        <v>1</v>
      </c>
      <c r="R2170" s="92" t="s">
        <v>1013</v>
      </c>
      <c r="S2170" s="96"/>
    </row>
    <row r="2171" spans="1:19" hidden="1">
      <c r="A2171" s="95" t="s">
        <v>3748</v>
      </c>
      <c r="B2171" s="96" t="str">
        <f>IFERROR(VLOOKUP(Proc[[#This Row],[App]],Table2[],3,0),"open")</f>
        <v>ok</v>
      </c>
      <c r="C2171" s="95" t="s">
        <v>369</v>
      </c>
      <c r="D2171" t="s">
        <v>4007</v>
      </c>
      <c r="E2171" t="s">
        <v>4069</v>
      </c>
      <c r="F2171" s="105" t="s">
        <v>4069</v>
      </c>
      <c r="G2171" s="95" t="s">
        <v>400</v>
      </c>
      <c r="H2171" s="96" t="str">
        <f>IF(Proc[[#This Row],[type]]="LFF (MDG-F)",MID(Proc[[#This Row],[Obj]],13,10),"")</f>
        <v/>
      </c>
      <c r="J2171" s="96" t="b">
        <f>Proc[[#This Row],[Requested]]=Proc[[#This Row],[CurrentParent]]</f>
        <v>1</v>
      </c>
      <c r="K2171" s="96" t="str">
        <f>IF(Proc[[#This Row],[Author]]="Marcela Urrego",VLOOKUP(LEFT(Proc[[#This Row],[Requested]],1),Table3[#All],2,0),VLOOKUP(Proc[[#This Row],[Author]],Table4[],2,0))</f>
        <v>HC</v>
      </c>
      <c r="L2171" s="96"/>
      <c r="M2171" s="92">
        <v>45807.678356481483</v>
      </c>
      <c r="N2171" s="93">
        <v>45810</v>
      </c>
      <c r="O2171" s="93">
        <v>45810</v>
      </c>
      <c r="P2171" s="92" t="str">
        <f ca="1">IF(Proc[[#This Row],[DaysAgeing]]&gt;5,"yep","on track")</f>
        <v>on track</v>
      </c>
      <c r="Q2171" s="3">
        <f ca="1">IF(Proc[[#This Row],[DateClosed]]="",ABS(NETWORKDAYS(Proc[[#This Row],[DateOpened]],TODAY()))-1,ABS(NETWORKDAYS(Proc[[#This Row],[DateOpened]],Proc[[#This Row],[DateClosed]]))-1)</f>
        <v>1</v>
      </c>
      <c r="R2171" s="92" t="s">
        <v>1013</v>
      </c>
      <c r="S2171" s="96"/>
    </row>
    <row r="2172" spans="1:19" hidden="1">
      <c r="A2172" s="95" t="s">
        <v>3748</v>
      </c>
      <c r="B2172" s="96" t="str">
        <f>IFERROR(VLOOKUP(Proc[[#This Row],[App]],Table2[],3,0),"open")</f>
        <v>ok</v>
      </c>
      <c r="C2172" s="95" t="s">
        <v>369</v>
      </c>
      <c r="D2172" t="s">
        <v>4008</v>
      </c>
      <c r="E2172" t="s">
        <v>4069</v>
      </c>
      <c r="F2172" s="105" t="s">
        <v>4069</v>
      </c>
      <c r="G2172" s="95" t="s">
        <v>400</v>
      </c>
      <c r="H2172" s="96" t="str">
        <f>IF(Proc[[#This Row],[type]]="LFF (MDG-F)",MID(Proc[[#This Row],[Obj]],13,10),"")</f>
        <v/>
      </c>
      <c r="J2172" s="96" t="b">
        <f>Proc[[#This Row],[Requested]]=Proc[[#This Row],[CurrentParent]]</f>
        <v>1</v>
      </c>
      <c r="K2172" s="96" t="str">
        <f>IF(Proc[[#This Row],[Author]]="Marcela Urrego",VLOOKUP(LEFT(Proc[[#This Row],[Requested]],1),Table3[#All],2,0),VLOOKUP(Proc[[#This Row],[Author]],Table4[],2,0))</f>
        <v>HC</v>
      </c>
      <c r="L2172" s="96"/>
      <c r="M2172" s="92">
        <v>45807.678356481483</v>
      </c>
      <c r="N2172" s="93">
        <v>45810</v>
      </c>
      <c r="O2172" s="93">
        <v>45810</v>
      </c>
      <c r="P2172" s="92" t="str">
        <f ca="1">IF(Proc[[#This Row],[DaysAgeing]]&gt;5,"yep","on track")</f>
        <v>on track</v>
      </c>
      <c r="Q2172" s="3">
        <f ca="1">IF(Proc[[#This Row],[DateClosed]]="",ABS(NETWORKDAYS(Proc[[#This Row],[DateOpened]],TODAY()))-1,ABS(NETWORKDAYS(Proc[[#This Row],[DateOpened]],Proc[[#This Row],[DateClosed]]))-1)</f>
        <v>1</v>
      </c>
      <c r="R2172" s="92" t="s">
        <v>1013</v>
      </c>
      <c r="S2172" s="96"/>
    </row>
    <row r="2173" spans="1:19" hidden="1">
      <c r="A2173" s="95" t="s">
        <v>3748</v>
      </c>
      <c r="B2173" s="96" t="str">
        <f>IFERROR(VLOOKUP(Proc[[#This Row],[App]],Table2[],3,0),"open")</f>
        <v>ok</v>
      </c>
      <c r="C2173" s="95" t="s">
        <v>369</v>
      </c>
      <c r="D2173" t="s">
        <v>4009</v>
      </c>
      <c r="E2173" t="s">
        <v>4069</v>
      </c>
      <c r="F2173" s="105" t="s">
        <v>4069</v>
      </c>
      <c r="G2173" s="95" t="s">
        <v>400</v>
      </c>
      <c r="H2173" s="96" t="str">
        <f>IF(Proc[[#This Row],[type]]="LFF (MDG-F)",MID(Proc[[#This Row],[Obj]],13,10),"")</f>
        <v/>
      </c>
      <c r="J2173" s="96" t="b">
        <f>Proc[[#This Row],[Requested]]=Proc[[#This Row],[CurrentParent]]</f>
        <v>1</v>
      </c>
      <c r="K2173" s="96" t="str">
        <f>IF(Proc[[#This Row],[Author]]="Marcela Urrego",VLOOKUP(LEFT(Proc[[#This Row],[Requested]],1),Table3[#All],2,0),VLOOKUP(Proc[[#This Row],[Author]],Table4[],2,0))</f>
        <v>HC</v>
      </c>
      <c r="L2173" s="96"/>
      <c r="M2173" s="92">
        <v>45807.678356481483</v>
      </c>
      <c r="N2173" s="93">
        <v>45810</v>
      </c>
      <c r="O2173" s="93">
        <v>45810</v>
      </c>
      <c r="P2173" s="92" t="str">
        <f ca="1">IF(Proc[[#This Row],[DaysAgeing]]&gt;5,"yep","on track")</f>
        <v>on track</v>
      </c>
      <c r="Q2173" s="3">
        <f ca="1">IF(Proc[[#This Row],[DateClosed]]="",ABS(NETWORKDAYS(Proc[[#This Row],[DateOpened]],TODAY()))-1,ABS(NETWORKDAYS(Proc[[#This Row],[DateOpened]],Proc[[#This Row],[DateClosed]]))-1)</f>
        <v>1</v>
      </c>
      <c r="R2173" s="92" t="s">
        <v>1013</v>
      </c>
      <c r="S2173" s="96"/>
    </row>
    <row r="2174" spans="1:19" hidden="1">
      <c r="A2174" s="95" t="s">
        <v>3748</v>
      </c>
      <c r="B2174" s="96" t="str">
        <f>IFERROR(VLOOKUP(Proc[[#This Row],[App]],Table2[],3,0),"open")</f>
        <v>ok</v>
      </c>
      <c r="C2174" s="95" t="s">
        <v>369</v>
      </c>
      <c r="D2174" t="s">
        <v>4010</v>
      </c>
      <c r="E2174" t="s">
        <v>4069</v>
      </c>
      <c r="F2174" s="105" t="s">
        <v>4069</v>
      </c>
      <c r="G2174" s="95" t="s">
        <v>400</v>
      </c>
      <c r="H2174" s="96" t="str">
        <f>IF(Proc[[#This Row],[type]]="LFF (MDG-F)",MID(Proc[[#This Row],[Obj]],13,10),"")</f>
        <v/>
      </c>
      <c r="J2174" s="96" t="b">
        <f>Proc[[#This Row],[Requested]]=Proc[[#This Row],[CurrentParent]]</f>
        <v>1</v>
      </c>
      <c r="K2174" s="96" t="str">
        <f>IF(Proc[[#This Row],[Author]]="Marcela Urrego",VLOOKUP(LEFT(Proc[[#This Row],[Requested]],1),Table3[#All],2,0),VLOOKUP(Proc[[#This Row],[Author]],Table4[],2,0))</f>
        <v>HC</v>
      </c>
      <c r="L2174" s="96"/>
      <c r="M2174" s="92">
        <v>45807.678356481483</v>
      </c>
      <c r="N2174" s="93">
        <v>45810</v>
      </c>
      <c r="O2174" s="93">
        <v>45810</v>
      </c>
      <c r="P2174" s="92" t="str">
        <f ca="1">IF(Proc[[#This Row],[DaysAgeing]]&gt;5,"yep","on track")</f>
        <v>on track</v>
      </c>
      <c r="Q2174" s="3">
        <f ca="1">IF(Proc[[#This Row],[DateClosed]]="",ABS(NETWORKDAYS(Proc[[#This Row],[DateOpened]],TODAY()))-1,ABS(NETWORKDAYS(Proc[[#This Row],[DateOpened]],Proc[[#This Row],[DateClosed]]))-1)</f>
        <v>1</v>
      </c>
      <c r="R2174" s="92" t="s">
        <v>1013</v>
      </c>
      <c r="S2174" s="96"/>
    </row>
    <row r="2175" spans="1:19" hidden="1">
      <c r="A2175" s="95" t="s">
        <v>3748</v>
      </c>
      <c r="B2175" s="96" t="str">
        <f>IFERROR(VLOOKUP(Proc[[#This Row],[App]],Table2[],3,0),"open")</f>
        <v>ok</v>
      </c>
      <c r="C2175" s="95" t="s">
        <v>369</v>
      </c>
      <c r="D2175" t="s">
        <v>4011</v>
      </c>
      <c r="E2175" t="s">
        <v>4069</v>
      </c>
      <c r="F2175" s="105" t="s">
        <v>4069</v>
      </c>
      <c r="G2175" s="95" t="s">
        <v>400</v>
      </c>
      <c r="H2175" s="96" t="str">
        <f>IF(Proc[[#This Row],[type]]="LFF (MDG-F)",MID(Proc[[#This Row],[Obj]],13,10),"")</f>
        <v/>
      </c>
      <c r="J2175" s="96" t="b">
        <f>Proc[[#This Row],[Requested]]=Proc[[#This Row],[CurrentParent]]</f>
        <v>1</v>
      </c>
      <c r="K2175" s="96" t="str">
        <f>IF(Proc[[#This Row],[Author]]="Marcela Urrego",VLOOKUP(LEFT(Proc[[#This Row],[Requested]],1),Table3[#All],2,0),VLOOKUP(Proc[[#This Row],[Author]],Table4[],2,0))</f>
        <v>HC</v>
      </c>
      <c r="L2175" s="96"/>
      <c r="M2175" s="92">
        <v>45807.678356481483</v>
      </c>
      <c r="N2175" s="93">
        <v>45810</v>
      </c>
      <c r="O2175" s="93">
        <v>45810</v>
      </c>
      <c r="P2175" s="92" t="str">
        <f ca="1">IF(Proc[[#This Row],[DaysAgeing]]&gt;5,"yep","on track")</f>
        <v>on track</v>
      </c>
      <c r="Q2175" s="3">
        <f ca="1">IF(Proc[[#This Row],[DateClosed]]="",ABS(NETWORKDAYS(Proc[[#This Row],[DateOpened]],TODAY()))-1,ABS(NETWORKDAYS(Proc[[#This Row],[DateOpened]],Proc[[#This Row],[DateClosed]]))-1)</f>
        <v>1</v>
      </c>
      <c r="R2175" s="92" t="s">
        <v>1013</v>
      </c>
      <c r="S2175" s="96"/>
    </row>
    <row r="2176" spans="1:19" hidden="1">
      <c r="A2176" s="95" t="s">
        <v>3748</v>
      </c>
      <c r="B2176" s="96" t="str">
        <f>IFERROR(VLOOKUP(Proc[[#This Row],[App]],Table2[],3,0),"open")</f>
        <v>ok</v>
      </c>
      <c r="C2176" s="95" t="s">
        <v>369</v>
      </c>
      <c r="D2176" t="s">
        <v>4012</v>
      </c>
      <c r="E2176" t="s">
        <v>4069</v>
      </c>
      <c r="F2176" s="105" t="s">
        <v>4069</v>
      </c>
      <c r="G2176" s="95" t="s">
        <v>400</v>
      </c>
      <c r="H2176" s="96" t="str">
        <f>IF(Proc[[#This Row],[type]]="LFF (MDG-F)",MID(Proc[[#This Row],[Obj]],13,10),"")</f>
        <v/>
      </c>
      <c r="J2176" s="96" t="b">
        <f>Proc[[#This Row],[Requested]]=Proc[[#This Row],[CurrentParent]]</f>
        <v>1</v>
      </c>
      <c r="K2176" s="96" t="str">
        <f>IF(Proc[[#This Row],[Author]]="Marcela Urrego",VLOOKUP(LEFT(Proc[[#This Row],[Requested]],1),Table3[#All],2,0),VLOOKUP(Proc[[#This Row],[Author]],Table4[],2,0))</f>
        <v>HC</v>
      </c>
      <c r="L2176" s="96"/>
      <c r="M2176" s="92">
        <v>45807.678356481483</v>
      </c>
      <c r="N2176" s="93">
        <v>45810</v>
      </c>
      <c r="O2176" s="93">
        <v>45810</v>
      </c>
      <c r="P2176" s="92" t="str">
        <f ca="1">IF(Proc[[#This Row],[DaysAgeing]]&gt;5,"yep","on track")</f>
        <v>on track</v>
      </c>
      <c r="Q2176" s="3">
        <f ca="1">IF(Proc[[#This Row],[DateClosed]]="",ABS(NETWORKDAYS(Proc[[#This Row],[DateOpened]],TODAY()))-1,ABS(NETWORKDAYS(Proc[[#This Row],[DateOpened]],Proc[[#This Row],[DateClosed]]))-1)</f>
        <v>1</v>
      </c>
      <c r="R2176" s="92" t="s">
        <v>1013</v>
      </c>
      <c r="S2176" s="96"/>
    </row>
    <row r="2177" spans="1:19" hidden="1">
      <c r="A2177" s="95" t="s">
        <v>3748</v>
      </c>
      <c r="B2177" s="96" t="str">
        <f>IFERROR(VLOOKUP(Proc[[#This Row],[App]],Table2[],3,0),"open")</f>
        <v>ok</v>
      </c>
      <c r="C2177" s="95" t="s">
        <v>369</v>
      </c>
      <c r="D2177" t="s">
        <v>4013</v>
      </c>
      <c r="E2177" t="s">
        <v>4069</v>
      </c>
      <c r="F2177" s="105" t="s">
        <v>4069</v>
      </c>
      <c r="G2177" s="95" t="s">
        <v>400</v>
      </c>
      <c r="H2177" s="96" t="str">
        <f>IF(Proc[[#This Row],[type]]="LFF (MDG-F)",MID(Proc[[#This Row],[Obj]],13,10),"")</f>
        <v/>
      </c>
      <c r="J2177" s="96" t="b">
        <f>Proc[[#This Row],[Requested]]=Proc[[#This Row],[CurrentParent]]</f>
        <v>1</v>
      </c>
      <c r="K2177" s="96" t="str">
        <f>IF(Proc[[#This Row],[Author]]="Marcela Urrego",VLOOKUP(LEFT(Proc[[#This Row],[Requested]],1),Table3[#All],2,0),VLOOKUP(Proc[[#This Row],[Author]],Table4[],2,0))</f>
        <v>HC</v>
      </c>
      <c r="L2177" s="96"/>
      <c r="M2177" s="92">
        <v>45807.678356481483</v>
      </c>
      <c r="N2177" s="93">
        <v>45810</v>
      </c>
      <c r="O2177" s="93">
        <v>45810</v>
      </c>
      <c r="P2177" s="92" t="str">
        <f ca="1">IF(Proc[[#This Row],[DaysAgeing]]&gt;5,"yep","on track")</f>
        <v>on track</v>
      </c>
      <c r="Q2177" s="3">
        <f ca="1">IF(Proc[[#This Row],[DateClosed]]="",ABS(NETWORKDAYS(Proc[[#This Row],[DateOpened]],TODAY()))-1,ABS(NETWORKDAYS(Proc[[#This Row],[DateOpened]],Proc[[#This Row],[DateClosed]]))-1)</f>
        <v>1</v>
      </c>
      <c r="R2177" s="92" t="s">
        <v>1013</v>
      </c>
      <c r="S2177" s="96"/>
    </row>
    <row r="2178" spans="1:19" hidden="1">
      <c r="A2178" s="95" t="s">
        <v>3748</v>
      </c>
      <c r="B2178" s="96" t="str">
        <f>IFERROR(VLOOKUP(Proc[[#This Row],[App]],Table2[],3,0),"open")</f>
        <v>ok</v>
      </c>
      <c r="C2178" s="95" t="s">
        <v>369</v>
      </c>
      <c r="D2178" t="s">
        <v>4014</v>
      </c>
      <c r="E2178" t="s">
        <v>4069</v>
      </c>
      <c r="F2178" s="105" t="s">
        <v>4069</v>
      </c>
      <c r="G2178" s="95" t="s">
        <v>400</v>
      </c>
      <c r="H2178" s="96" t="str">
        <f>IF(Proc[[#This Row],[type]]="LFF (MDG-F)",MID(Proc[[#This Row],[Obj]],13,10),"")</f>
        <v/>
      </c>
      <c r="J2178" s="96" t="b">
        <f>Proc[[#This Row],[Requested]]=Proc[[#This Row],[CurrentParent]]</f>
        <v>1</v>
      </c>
      <c r="K2178" s="96" t="str">
        <f>IF(Proc[[#This Row],[Author]]="Marcela Urrego",VLOOKUP(LEFT(Proc[[#This Row],[Requested]],1),Table3[#All],2,0),VLOOKUP(Proc[[#This Row],[Author]],Table4[],2,0))</f>
        <v>HC</v>
      </c>
      <c r="L2178" s="96"/>
      <c r="M2178" s="92">
        <v>45807.678356481483</v>
      </c>
      <c r="N2178" s="93">
        <v>45810</v>
      </c>
      <c r="O2178" s="93">
        <v>45810</v>
      </c>
      <c r="P2178" s="92" t="str">
        <f ca="1">IF(Proc[[#This Row],[DaysAgeing]]&gt;5,"yep","on track")</f>
        <v>on track</v>
      </c>
      <c r="Q2178" s="3">
        <f ca="1">IF(Proc[[#This Row],[DateClosed]]="",ABS(NETWORKDAYS(Proc[[#This Row],[DateOpened]],TODAY()))-1,ABS(NETWORKDAYS(Proc[[#This Row],[DateOpened]],Proc[[#This Row],[DateClosed]]))-1)</f>
        <v>1</v>
      </c>
      <c r="R2178" s="92" t="s">
        <v>1013</v>
      </c>
      <c r="S2178" s="96"/>
    </row>
    <row r="2179" spans="1:19" hidden="1">
      <c r="A2179" s="95" t="s">
        <v>3748</v>
      </c>
      <c r="B2179" s="96" t="str">
        <f>IFERROR(VLOOKUP(Proc[[#This Row],[App]],Table2[],3,0),"open")</f>
        <v>ok</v>
      </c>
      <c r="C2179" s="95" t="s">
        <v>369</v>
      </c>
      <c r="D2179" t="s">
        <v>4015</v>
      </c>
      <c r="E2179" t="s">
        <v>4069</v>
      </c>
      <c r="F2179" s="105" t="s">
        <v>4069</v>
      </c>
      <c r="G2179" s="95" t="s">
        <v>400</v>
      </c>
      <c r="H2179" s="96" t="str">
        <f>IF(Proc[[#This Row],[type]]="LFF (MDG-F)",MID(Proc[[#This Row],[Obj]],13,10),"")</f>
        <v/>
      </c>
      <c r="J2179" s="96" t="b">
        <f>Proc[[#This Row],[Requested]]=Proc[[#This Row],[CurrentParent]]</f>
        <v>1</v>
      </c>
      <c r="K2179" s="96" t="str">
        <f>IF(Proc[[#This Row],[Author]]="Marcela Urrego",VLOOKUP(LEFT(Proc[[#This Row],[Requested]],1),Table3[#All],2,0),VLOOKUP(Proc[[#This Row],[Author]],Table4[],2,0))</f>
        <v>HC</v>
      </c>
      <c r="L2179" s="96"/>
      <c r="M2179" s="92">
        <v>45807.678356481483</v>
      </c>
      <c r="N2179" s="93">
        <v>45810</v>
      </c>
      <c r="O2179" s="93">
        <v>45810</v>
      </c>
      <c r="P2179" s="92" t="str">
        <f ca="1">IF(Proc[[#This Row],[DaysAgeing]]&gt;5,"yep","on track")</f>
        <v>on track</v>
      </c>
      <c r="Q2179" s="3">
        <f ca="1">IF(Proc[[#This Row],[DateClosed]]="",ABS(NETWORKDAYS(Proc[[#This Row],[DateOpened]],TODAY()))-1,ABS(NETWORKDAYS(Proc[[#This Row],[DateOpened]],Proc[[#This Row],[DateClosed]]))-1)</f>
        <v>1</v>
      </c>
      <c r="R2179" s="92" t="s">
        <v>1013</v>
      </c>
      <c r="S2179" s="96"/>
    </row>
    <row r="2180" spans="1:19" hidden="1">
      <c r="A2180" s="95" t="s">
        <v>3748</v>
      </c>
      <c r="B2180" s="96" t="str">
        <f>IFERROR(VLOOKUP(Proc[[#This Row],[App]],Table2[],3,0),"open")</f>
        <v>ok</v>
      </c>
      <c r="C2180" s="95" t="s">
        <v>369</v>
      </c>
      <c r="D2180" t="s">
        <v>4016</v>
      </c>
      <c r="E2180" t="s">
        <v>4069</v>
      </c>
      <c r="F2180" s="105" t="s">
        <v>4069</v>
      </c>
      <c r="G2180" s="95" t="s">
        <v>400</v>
      </c>
      <c r="H2180" s="96" t="str">
        <f>IF(Proc[[#This Row],[type]]="LFF (MDG-F)",MID(Proc[[#This Row],[Obj]],13,10),"")</f>
        <v/>
      </c>
      <c r="J2180" s="96" t="b">
        <f>Proc[[#This Row],[Requested]]=Proc[[#This Row],[CurrentParent]]</f>
        <v>1</v>
      </c>
      <c r="K2180" s="96" t="str">
        <f>IF(Proc[[#This Row],[Author]]="Marcela Urrego",VLOOKUP(LEFT(Proc[[#This Row],[Requested]],1),Table3[#All],2,0),VLOOKUP(Proc[[#This Row],[Author]],Table4[],2,0))</f>
        <v>HC</v>
      </c>
      <c r="L2180" s="96"/>
      <c r="M2180" s="92">
        <v>45807.678356481483</v>
      </c>
      <c r="N2180" s="93">
        <v>45810</v>
      </c>
      <c r="O2180" s="93">
        <v>45810</v>
      </c>
      <c r="P2180" s="92" t="str">
        <f ca="1">IF(Proc[[#This Row],[DaysAgeing]]&gt;5,"yep","on track")</f>
        <v>on track</v>
      </c>
      <c r="Q2180" s="3">
        <f ca="1">IF(Proc[[#This Row],[DateClosed]]="",ABS(NETWORKDAYS(Proc[[#This Row],[DateOpened]],TODAY()))-1,ABS(NETWORKDAYS(Proc[[#This Row],[DateOpened]],Proc[[#This Row],[DateClosed]]))-1)</f>
        <v>1</v>
      </c>
      <c r="R2180" s="92" t="s">
        <v>1013</v>
      </c>
      <c r="S2180" s="96"/>
    </row>
    <row r="2181" spans="1:19" hidden="1">
      <c r="A2181" s="95" t="s">
        <v>3748</v>
      </c>
      <c r="B2181" s="96" t="str">
        <f>IFERROR(VLOOKUP(Proc[[#This Row],[App]],Table2[],3,0),"open")</f>
        <v>ok</v>
      </c>
      <c r="C2181" s="95" t="s">
        <v>369</v>
      </c>
      <c r="D2181" t="s">
        <v>4017</v>
      </c>
      <c r="E2181" t="s">
        <v>4069</v>
      </c>
      <c r="F2181" s="105" t="s">
        <v>4069</v>
      </c>
      <c r="G2181" s="95" t="s">
        <v>400</v>
      </c>
      <c r="H2181" s="96" t="str">
        <f>IF(Proc[[#This Row],[type]]="LFF (MDG-F)",MID(Proc[[#This Row],[Obj]],13,10),"")</f>
        <v/>
      </c>
      <c r="J2181" s="96" t="b">
        <f>Proc[[#This Row],[Requested]]=Proc[[#This Row],[CurrentParent]]</f>
        <v>1</v>
      </c>
      <c r="K2181" s="96" t="str">
        <f>IF(Proc[[#This Row],[Author]]="Marcela Urrego",VLOOKUP(LEFT(Proc[[#This Row],[Requested]],1),Table3[#All],2,0),VLOOKUP(Proc[[#This Row],[Author]],Table4[],2,0))</f>
        <v>HC</v>
      </c>
      <c r="L2181" s="96"/>
      <c r="M2181" s="92">
        <v>45807.678356481483</v>
      </c>
      <c r="N2181" s="93">
        <v>45810</v>
      </c>
      <c r="O2181" s="93">
        <v>45810</v>
      </c>
      <c r="P2181" s="92" t="str">
        <f ca="1">IF(Proc[[#This Row],[DaysAgeing]]&gt;5,"yep","on track")</f>
        <v>on track</v>
      </c>
      <c r="Q2181" s="3">
        <f ca="1">IF(Proc[[#This Row],[DateClosed]]="",ABS(NETWORKDAYS(Proc[[#This Row],[DateOpened]],TODAY()))-1,ABS(NETWORKDAYS(Proc[[#This Row],[DateOpened]],Proc[[#This Row],[DateClosed]]))-1)</f>
        <v>1</v>
      </c>
      <c r="R2181" s="92" t="s">
        <v>1013</v>
      </c>
      <c r="S2181" s="96"/>
    </row>
    <row r="2182" spans="1:19" hidden="1">
      <c r="A2182" s="95" t="s">
        <v>3748</v>
      </c>
      <c r="B2182" s="96" t="str">
        <f>IFERROR(VLOOKUP(Proc[[#This Row],[App]],Table2[],3,0),"open")</f>
        <v>ok</v>
      </c>
      <c r="C2182" s="95" t="s">
        <v>369</v>
      </c>
      <c r="D2182" t="s">
        <v>4018</v>
      </c>
      <c r="E2182" t="s">
        <v>4069</v>
      </c>
      <c r="F2182" s="105" t="s">
        <v>4069</v>
      </c>
      <c r="G2182" s="95" t="s">
        <v>400</v>
      </c>
      <c r="H2182" s="96" t="str">
        <f>IF(Proc[[#This Row],[type]]="LFF (MDG-F)",MID(Proc[[#This Row],[Obj]],13,10),"")</f>
        <v/>
      </c>
      <c r="J2182" s="96" t="b">
        <f>Proc[[#This Row],[Requested]]=Proc[[#This Row],[CurrentParent]]</f>
        <v>1</v>
      </c>
      <c r="K2182" s="96" t="str">
        <f>IF(Proc[[#This Row],[Author]]="Marcela Urrego",VLOOKUP(LEFT(Proc[[#This Row],[Requested]],1),Table3[#All],2,0),VLOOKUP(Proc[[#This Row],[Author]],Table4[],2,0))</f>
        <v>HC</v>
      </c>
      <c r="L2182" s="96"/>
      <c r="M2182" s="92">
        <v>45807.678356481483</v>
      </c>
      <c r="N2182" s="93">
        <v>45810</v>
      </c>
      <c r="O2182" s="93">
        <v>45810</v>
      </c>
      <c r="P2182" s="92" t="str">
        <f ca="1">IF(Proc[[#This Row],[DaysAgeing]]&gt;5,"yep","on track")</f>
        <v>on track</v>
      </c>
      <c r="Q2182" s="3">
        <f ca="1">IF(Proc[[#This Row],[DateClosed]]="",ABS(NETWORKDAYS(Proc[[#This Row],[DateOpened]],TODAY()))-1,ABS(NETWORKDAYS(Proc[[#This Row],[DateOpened]],Proc[[#This Row],[DateClosed]]))-1)</f>
        <v>1</v>
      </c>
      <c r="R2182" s="92" t="s">
        <v>1013</v>
      </c>
      <c r="S2182" s="96"/>
    </row>
    <row r="2183" spans="1:19" hidden="1">
      <c r="A2183" s="95" t="s">
        <v>3748</v>
      </c>
      <c r="B2183" s="96" t="str">
        <f>IFERROR(VLOOKUP(Proc[[#This Row],[App]],Table2[],3,0),"open")</f>
        <v>ok</v>
      </c>
      <c r="C2183" s="95" t="s">
        <v>369</v>
      </c>
      <c r="D2183" t="s">
        <v>4019</v>
      </c>
      <c r="E2183" t="s">
        <v>4069</v>
      </c>
      <c r="F2183" s="105" t="s">
        <v>4069</v>
      </c>
      <c r="G2183" s="95" t="s">
        <v>400</v>
      </c>
      <c r="H2183" s="96" t="str">
        <f>IF(Proc[[#This Row],[type]]="LFF (MDG-F)",MID(Proc[[#This Row],[Obj]],13,10),"")</f>
        <v/>
      </c>
      <c r="J2183" s="96" t="b">
        <f>Proc[[#This Row],[Requested]]=Proc[[#This Row],[CurrentParent]]</f>
        <v>1</v>
      </c>
      <c r="K2183" s="96" t="str">
        <f>IF(Proc[[#This Row],[Author]]="Marcela Urrego",VLOOKUP(LEFT(Proc[[#This Row],[Requested]],1),Table3[#All],2,0),VLOOKUP(Proc[[#This Row],[Author]],Table4[],2,0))</f>
        <v>HC</v>
      </c>
      <c r="L2183" s="96"/>
      <c r="M2183" s="92">
        <v>45807.678356481483</v>
      </c>
      <c r="N2183" s="93">
        <v>45810</v>
      </c>
      <c r="O2183" s="93">
        <v>45810</v>
      </c>
      <c r="P2183" s="92" t="str">
        <f ca="1">IF(Proc[[#This Row],[DaysAgeing]]&gt;5,"yep","on track")</f>
        <v>on track</v>
      </c>
      <c r="Q2183" s="3">
        <f ca="1">IF(Proc[[#This Row],[DateClosed]]="",ABS(NETWORKDAYS(Proc[[#This Row],[DateOpened]],TODAY()))-1,ABS(NETWORKDAYS(Proc[[#This Row],[DateOpened]],Proc[[#This Row],[DateClosed]]))-1)</f>
        <v>1</v>
      </c>
      <c r="R2183" s="92" t="s">
        <v>1013</v>
      </c>
      <c r="S2183" s="96"/>
    </row>
    <row r="2184" spans="1:19" hidden="1">
      <c r="A2184" s="95" t="s">
        <v>3748</v>
      </c>
      <c r="B2184" s="96" t="str">
        <f>IFERROR(VLOOKUP(Proc[[#This Row],[App]],Table2[],3,0),"open")</f>
        <v>ok</v>
      </c>
      <c r="C2184" s="95" t="s">
        <v>369</v>
      </c>
      <c r="D2184" t="s">
        <v>4020</v>
      </c>
      <c r="E2184" t="s">
        <v>4069</v>
      </c>
      <c r="F2184" s="105" t="s">
        <v>4069</v>
      </c>
      <c r="G2184" s="95" t="s">
        <v>400</v>
      </c>
      <c r="H2184" s="96" t="str">
        <f>IF(Proc[[#This Row],[type]]="LFF (MDG-F)",MID(Proc[[#This Row],[Obj]],13,10),"")</f>
        <v/>
      </c>
      <c r="J2184" s="96" t="b">
        <f>Proc[[#This Row],[Requested]]=Proc[[#This Row],[CurrentParent]]</f>
        <v>1</v>
      </c>
      <c r="K2184" s="96" t="str">
        <f>IF(Proc[[#This Row],[Author]]="Marcela Urrego",VLOOKUP(LEFT(Proc[[#This Row],[Requested]],1),Table3[#All],2,0),VLOOKUP(Proc[[#This Row],[Author]],Table4[],2,0))</f>
        <v>HC</v>
      </c>
      <c r="L2184" s="96"/>
      <c r="M2184" s="92">
        <v>45807.678356481483</v>
      </c>
      <c r="N2184" s="93">
        <v>45810</v>
      </c>
      <c r="O2184" s="93">
        <v>45810</v>
      </c>
      <c r="P2184" s="92" t="str">
        <f ca="1">IF(Proc[[#This Row],[DaysAgeing]]&gt;5,"yep","on track")</f>
        <v>on track</v>
      </c>
      <c r="Q2184" s="3">
        <f ca="1">IF(Proc[[#This Row],[DateClosed]]="",ABS(NETWORKDAYS(Proc[[#This Row],[DateOpened]],TODAY()))-1,ABS(NETWORKDAYS(Proc[[#This Row],[DateOpened]],Proc[[#This Row],[DateClosed]]))-1)</f>
        <v>1</v>
      </c>
      <c r="R2184" s="92" t="s">
        <v>1013</v>
      </c>
      <c r="S2184" s="96"/>
    </row>
    <row r="2185" spans="1:19" hidden="1">
      <c r="A2185" s="95" t="s">
        <v>3748</v>
      </c>
      <c r="B2185" s="96" t="str">
        <f>IFERROR(VLOOKUP(Proc[[#This Row],[App]],Table2[],3,0),"open")</f>
        <v>ok</v>
      </c>
      <c r="C2185" s="95" t="s">
        <v>369</v>
      </c>
      <c r="D2185" t="s">
        <v>4021</v>
      </c>
      <c r="E2185" t="s">
        <v>4069</v>
      </c>
      <c r="F2185" s="105" t="s">
        <v>4069</v>
      </c>
      <c r="G2185" s="95" t="s">
        <v>400</v>
      </c>
      <c r="H2185" s="96" t="str">
        <f>IF(Proc[[#This Row],[type]]="LFF (MDG-F)",MID(Proc[[#This Row],[Obj]],13,10),"")</f>
        <v/>
      </c>
      <c r="J2185" s="96" t="b">
        <f>Proc[[#This Row],[Requested]]=Proc[[#This Row],[CurrentParent]]</f>
        <v>1</v>
      </c>
      <c r="K2185" s="96" t="str">
        <f>IF(Proc[[#This Row],[Author]]="Marcela Urrego",VLOOKUP(LEFT(Proc[[#This Row],[Requested]],1),Table3[#All],2,0),VLOOKUP(Proc[[#This Row],[Author]],Table4[],2,0))</f>
        <v>HC</v>
      </c>
      <c r="L2185" s="96"/>
      <c r="M2185" s="92">
        <v>45807.678356481483</v>
      </c>
      <c r="N2185" s="93">
        <v>45810</v>
      </c>
      <c r="O2185" s="93">
        <v>45810</v>
      </c>
      <c r="P2185" s="92" t="str">
        <f ca="1">IF(Proc[[#This Row],[DaysAgeing]]&gt;5,"yep","on track")</f>
        <v>on track</v>
      </c>
      <c r="Q2185" s="3">
        <f ca="1">IF(Proc[[#This Row],[DateClosed]]="",ABS(NETWORKDAYS(Proc[[#This Row],[DateOpened]],TODAY()))-1,ABS(NETWORKDAYS(Proc[[#This Row],[DateOpened]],Proc[[#This Row],[DateClosed]]))-1)</f>
        <v>1</v>
      </c>
      <c r="R2185" s="92" t="s">
        <v>1013</v>
      </c>
      <c r="S2185" s="96"/>
    </row>
    <row r="2186" spans="1:19" hidden="1">
      <c r="A2186" s="95" t="s">
        <v>3748</v>
      </c>
      <c r="B2186" s="96" t="str">
        <f>IFERROR(VLOOKUP(Proc[[#This Row],[App]],Table2[],3,0),"open")</f>
        <v>ok</v>
      </c>
      <c r="C2186" s="95" t="s">
        <v>369</v>
      </c>
      <c r="D2186" t="s">
        <v>4022</v>
      </c>
      <c r="E2186" t="s">
        <v>4069</v>
      </c>
      <c r="F2186" s="105" t="s">
        <v>4069</v>
      </c>
      <c r="G2186" s="95" t="s">
        <v>400</v>
      </c>
      <c r="H2186" s="96" t="str">
        <f>IF(Proc[[#This Row],[type]]="LFF (MDG-F)",MID(Proc[[#This Row],[Obj]],13,10),"")</f>
        <v/>
      </c>
      <c r="J2186" s="96" t="b">
        <f>Proc[[#This Row],[Requested]]=Proc[[#This Row],[CurrentParent]]</f>
        <v>1</v>
      </c>
      <c r="K2186" s="96" t="str">
        <f>IF(Proc[[#This Row],[Author]]="Marcela Urrego",VLOOKUP(LEFT(Proc[[#This Row],[Requested]],1),Table3[#All],2,0),VLOOKUP(Proc[[#This Row],[Author]],Table4[],2,0))</f>
        <v>HC</v>
      </c>
      <c r="L2186" s="96"/>
      <c r="M2186" s="92">
        <v>45807.678356481483</v>
      </c>
      <c r="N2186" s="93">
        <v>45810</v>
      </c>
      <c r="O2186" s="93">
        <v>45810</v>
      </c>
      <c r="P2186" s="92" t="str">
        <f ca="1">IF(Proc[[#This Row],[DaysAgeing]]&gt;5,"yep","on track")</f>
        <v>on track</v>
      </c>
      <c r="Q2186" s="3">
        <f ca="1">IF(Proc[[#This Row],[DateClosed]]="",ABS(NETWORKDAYS(Proc[[#This Row],[DateOpened]],TODAY()))-1,ABS(NETWORKDAYS(Proc[[#This Row],[DateOpened]],Proc[[#This Row],[DateClosed]]))-1)</f>
        <v>1</v>
      </c>
      <c r="R2186" s="92" t="s">
        <v>1013</v>
      </c>
      <c r="S2186" s="96"/>
    </row>
    <row r="2187" spans="1:19" hidden="1">
      <c r="A2187" s="95" t="s">
        <v>3748</v>
      </c>
      <c r="B2187" s="96" t="str">
        <f>IFERROR(VLOOKUP(Proc[[#This Row],[App]],Table2[],3,0),"open")</f>
        <v>ok</v>
      </c>
      <c r="C2187" s="95" t="s">
        <v>369</v>
      </c>
      <c r="D2187" t="s">
        <v>4023</v>
      </c>
      <c r="E2187" t="s">
        <v>4069</v>
      </c>
      <c r="F2187" s="105" t="s">
        <v>4069</v>
      </c>
      <c r="G2187" s="95" t="s">
        <v>400</v>
      </c>
      <c r="H2187" s="96" t="str">
        <f>IF(Proc[[#This Row],[type]]="LFF (MDG-F)",MID(Proc[[#This Row],[Obj]],13,10),"")</f>
        <v/>
      </c>
      <c r="J2187" s="96" t="b">
        <f>Proc[[#This Row],[Requested]]=Proc[[#This Row],[CurrentParent]]</f>
        <v>1</v>
      </c>
      <c r="K2187" s="96" t="str">
        <f>IF(Proc[[#This Row],[Author]]="Marcela Urrego",VLOOKUP(LEFT(Proc[[#This Row],[Requested]],1),Table3[#All],2,0),VLOOKUP(Proc[[#This Row],[Author]],Table4[],2,0))</f>
        <v>HC</v>
      </c>
      <c r="L2187" s="96"/>
      <c r="M2187" s="92">
        <v>45807.678356481483</v>
      </c>
      <c r="N2187" s="93">
        <v>45810</v>
      </c>
      <c r="O2187" s="93">
        <v>45810</v>
      </c>
      <c r="P2187" s="92" t="str">
        <f ca="1">IF(Proc[[#This Row],[DaysAgeing]]&gt;5,"yep","on track")</f>
        <v>on track</v>
      </c>
      <c r="Q2187" s="3">
        <f ca="1">IF(Proc[[#This Row],[DateClosed]]="",ABS(NETWORKDAYS(Proc[[#This Row],[DateOpened]],TODAY()))-1,ABS(NETWORKDAYS(Proc[[#This Row],[DateOpened]],Proc[[#This Row],[DateClosed]]))-1)</f>
        <v>1</v>
      </c>
      <c r="R2187" s="92" t="s">
        <v>1013</v>
      </c>
      <c r="S2187" s="96"/>
    </row>
    <row r="2188" spans="1:19" hidden="1">
      <c r="A2188" s="95" t="s">
        <v>3748</v>
      </c>
      <c r="B2188" s="96" t="str">
        <f>IFERROR(VLOOKUP(Proc[[#This Row],[App]],Table2[],3,0),"open")</f>
        <v>ok</v>
      </c>
      <c r="C2188" s="95" t="s">
        <v>369</v>
      </c>
      <c r="D2188" t="s">
        <v>4024</v>
      </c>
      <c r="E2188" t="s">
        <v>4069</v>
      </c>
      <c r="F2188" s="105" t="s">
        <v>4069</v>
      </c>
      <c r="G2188" s="95" t="s">
        <v>400</v>
      </c>
      <c r="H2188" s="96" t="str">
        <f>IF(Proc[[#This Row],[type]]="LFF (MDG-F)",MID(Proc[[#This Row],[Obj]],13,10),"")</f>
        <v/>
      </c>
      <c r="J2188" s="96" t="b">
        <f>Proc[[#This Row],[Requested]]=Proc[[#This Row],[CurrentParent]]</f>
        <v>1</v>
      </c>
      <c r="K2188" s="96" t="str">
        <f>IF(Proc[[#This Row],[Author]]="Marcela Urrego",VLOOKUP(LEFT(Proc[[#This Row],[Requested]],1),Table3[#All],2,0),VLOOKUP(Proc[[#This Row],[Author]],Table4[],2,0))</f>
        <v>HC</v>
      </c>
      <c r="L2188" s="96"/>
      <c r="M2188" s="92">
        <v>45807.678356481483</v>
      </c>
      <c r="N2188" s="93">
        <v>45810</v>
      </c>
      <c r="O2188" s="93">
        <v>45810</v>
      </c>
      <c r="P2188" s="92" t="str">
        <f ca="1">IF(Proc[[#This Row],[DaysAgeing]]&gt;5,"yep","on track")</f>
        <v>on track</v>
      </c>
      <c r="Q2188" s="3">
        <f ca="1">IF(Proc[[#This Row],[DateClosed]]="",ABS(NETWORKDAYS(Proc[[#This Row],[DateOpened]],TODAY()))-1,ABS(NETWORKDAYS(Proc[[#This Row],[DateOpened]],Proc[[#This Row],[DateClosed]]))-1)</f>
        <v>1</v>
      </c>
      <c r="R2188" s="92" t="s">
        <v>1013</v>
      </c>
      <c r="S2188" s="96"/>
    </row>
    <row r="2189" spans="1:19" hidden="1">
      <c r="A2189" s="95" t="s">
        <v>3748</v>
      </c>
      <c r="B2189" s="96" t="str">
        <f>IFERROR(VLOOKUP(Proc[[#This Row],[App]],Table2[],3,0),"open")</f>
        <v>ok</v>
      </c>
      <c r="C2189" s="95" t="s">
        <v>369</v>
      </c>
      <c r="D2189" t="s">
        <v>4025</v>
      </c>
      <c r="E2189" t="s">
        <v>4069</v>
      </c>
      <c r="F2189" s="105" t="s">
        <v>4069</v>
      </c>
      <c r="G2189" s="95" t="s">
        <v>400</v>
      </c>
      <c r="H2189" s="96" t="str">
        <f>IF(Proc[[#This Row],[type]]="LFF (MDG-F)",MID(Proc[[#This Row],[Obj]],13,10),"")</f>
        <v/>
      </c>
      <c r="J2189" s="96" t="b">
        <f>Proc[[#This Row],[Requested]]=Proc[[#This Row],[CurrentParent]]</f>
        <v>1</v>
      </c>
      <c r="K2189" s="96" t="str">
        <f>IF(Proc[[#This Row],[Author]]="Marcela Urrego",VLOOKUP(LEFT(Proc[[#This Row],[Requested]],1),Table3[#All],2,0),VLOOKUP(Proc[[#This Row],[Author]],Table4[],2,0))</f>
        <v>HC</v>
      </c>
      <c r="L2189" s="96"/>
      <c r="M2189" s="92">
        <v>45807.678356481483</v>
      </c>
      <c r="N2189" s="93">
        <v>45810</v>
      </c>
      <c r="O2189" s="93">
        <v>45810</v>
      </c>
      <c r="P2189" s="92" t="str">
        <f ca="1">IF(Proc[[#This Row],[DaysAgeing]]&gt;5,"yep","on track")</f>
        <v>on track</v>
      </c>
      <c r="Q2189" s="3">
        <f ca="1">IF(Proc[[#This Row],[DateClosed]]="",ABS(NETWORKDAYS(Proc[[#This Row],[DateOpened]],TODAY()))-1,ABS(NETWORKDAYS(Proc[[#This Row],[DateOpened]],Proc[[#This Row],[DateClosed]]))-1)</f>
        <v>1</v>
      </c>
      <c r="R2189" s="92" t="s">
        <v>1013</v>
      </c>
      <c r="S2189" s="96"/>
    </row>
    <row r="2190" spans="1:19" hidden="1">
      <c r="A2190" s="95" t="s">
        <v>3748</v>
      </c>
      <c r="B2190" s="96" t="str">
        <f>IFERROR(VLOOKUP(Proc[[#This Row],[App]],Table2[],3,0),"open")</f>
        <v>ok</v>
      </c>
      <c r="C2190" s="95" t="s">
        <v>369</v>
      </c>
      <c r="D2190" t="s">
        <v>4026</v>
      </c>
      <c r="E2190" t="s">
        <v>4069</v>
      </c>
      <c r="F2190" s="105" t="s">
        <v>4069</v>
      </c>
      <c r="G2190" s="95" t="s">
        <v>400</v>
      </c>
      <c r="H2190" s="96" t="str">
        <f>IF(Proc[[#This Row],[type]]="LFF (MDG-F)",MID(Proc[[#This Row],[Obj]],13,10),"")</f>
        <v/>
      </c>
      <c r="J2190" s="96" t="b">
        <f>Proc[[#This Row],[Requested]]=Proc[[#This Row],[CurrentParent]]</f>
        <v>1</v>
      </c>
      <c r="K2190" s="96" t="str">
        <f>IF(Proc[[#This Row],[Author]]="Marcela Urrego",VLOOKUP(LEFT(Proc[[#This Row],[Requested]],1),Table3[#All],2,0),VLOOKUP(Proc[[#This Row],[Author]],Table4[],2,0))</f>
        <v>HC</v>
      </c>
      <c r="L2190" s="96"/>
      <c r="M2190" s="92">
        <v>45807.678356481483</v>
      </c>
      <c r="N2190" s="93">
        <v>45810</v>
      </c>
      <c r="O2190" s="93">
        <v>45810</v>
      </c>
      <c r="P2190" s="92" t="str">
        <f ca="1">IF(Proc[[#This Row],[DaysAgeing]]&gt;5,"yep","on track")</f>
        <v>on track</v>
      </c>
      <c r="Q2190" s="3">
        <f ca="1">IF(Proc[[#This Row],[DateClosed]]="",ABS(NETWORKDAYS(Proc[[#This Row],[DateOpened]],TODAY()))-1,ABS(NETWORKDAYS(Proc[[#This Row],[DateOpened]],Proc[[#This Row],[DateClosed]]))-1)</f>
        <v>1</v>
      </c>
      <c r="R2190" s="92" t="s">
        <v>1013</v>
      </c>
      <c r="S2190" s="96"/>
    </row>
    <row r="2191" spans="1:19" hidden="1">
      <c r="A2191" s="95" t="s">
        <v>3748</v>
      </c>
      <c r="B2191" s="96" t="str">
        <f>IFERROR(VLOOKUP(Proc[[#This Row],[App]],Table2[],3,0),"open")</f>
        <v>ok</v>
      </c>
      <c r="C2191" s="95" t="s">
        <v>369</v>
      </c>
      <c r="D2191" t="s">
        <v>4027</v>
      </c>
      <c r="E2191" t="s">
        <v>4069</v>
      </c>
      <c r="F2191" s="105" t="s">
        <v>4069</v>
      </c>
      <c r="G2191" s="95" t="s">
        <v>400</v>
      </c>
      <c r="H2191" s="96" t="str">
        <f>IF(Proc[[#This Row],[type]]="LFF (MDG-F)",MID(Proc[[#This Row],[Obj]],13,10),"")</f>
        <v/>
      </c>
      <c r="J2191" s="96" t="b">
        <f>Proc[[#This Row],[Requested]]=Proc[[#This Row],[CurrentParent]]</f>
        <v>1</v>
      </c>
      <c r="K2191" s="96" t="str">
        <f>IF(Proc[[#This Row],[Author]]="Marcela Urrego",VLOOKUP(LEFT(Proc[[#This Row],[Requested]],1),Table3[#All],2,0),VLOOKUP(Proc[[#This Row],[Author]],Table4[],2,0))</f>
        <v>HC</v>
      </c>
      <c r="L2191" s="96"/>
      <c r="M2191" s="92">
        <v>45807.678356481483</v>
      </c>
      <c r="N2191" s="93">
        <v>45810</v>
      </c>
      <c r="O2191" s="93">
        <v>45810</v>
      </c>
      <c r="P2191" s="92" t="str">
        <f ca="1">IF(Proc[[#This Row],[DaysAgeing]]&gt;5,"yep","on track")</f>
        <v>on track</v>
      </c>
      <c r="Q2191" s="3">
        <f ca="1">IF(Proc[[#This Row],[DateClosed]]="",ABS(NETWORKDAYS(Proc[[#This Row],[DateOpened]],TODAY()))-1,ABS(NETWORKDAYS(Proc[[#This Row],[DateOpened]],Proc[[#This Row],[DateClosed]]))-1)</f>
        <v>1</v>
      </c>
      <c r="R2191" s="92" t="s">
        <v>1013</v>
      </c>
      <c r="S2191" s="96"/>
    </row>
    <row r="2192" spans="1:19" hidden="1">
      <c r="A2192" s="95" t="s">
        <v>3748</v>
      </c>
      <c r="B2192" s="96" t="str">
        <f>IFERROR(VLOOKUP(Proc[[#This Row],[App]],Table2[],3,0),"open")</f>
        <v>ok</v>
      </c>
      <c r="C2192" s="95" t="s">
        <v>369</v>
      </c>
      <c r="D2192" t="s">
        <v>4028</v>
      </c>
      <c r="E2192" t="s">
        <v>4069</v>
      </c>
      <c r="F2192" s="105" t="s">
        <v>4069</v>
      </c>
      <c r="G2192" s="95" t="s">
        <v>400</v>
      </c>
      <c r="H2192" s="96" t="str">
        <f>IF(Proc[[#This Row],[type]]="LFF (MDG-F)",MID(Proc[[#This Row],[Obj]],13,10),"")</f>
        <v/>
      </c>
      <c r="J2192" s="96" t="b">
        <f>Proc[[#This Row],[Requested]]=Proc[[#This Row],[CurrentParent]]</f>
        <v>1</v>
      </c>
      <c r="K2192" s="96" t="str">
        <f>IF(Proc[[#This Row],[Author]]="Marcela Urrego",VLOOKUP(LEFT(Proc[[#This Row],[Requested]],1),Table3[#All],2,0),VLOOKUP(Proc[[#This Row],[Author]],Table4[],2,0))</f>
        <v>HC</v>
      </c>
      <c r="L2192" s="96"/>
      <c r="M2192" s="92">
        <v>45807.678356481483</v>
      </c>
      <c r="N2192" s="93">
        <v>45810</v>
      </c>
      <c r="O2192" s="93">
        <v>45810</v>
      </c>
      <c r="P2192" s="92" t="str">
        <f ca="1">IF(Proc[[#This Row],[DaysAgeing]]&gt;5,"yep","on track")</f>
        <v>on track</v>
      </c>
      <c r="Q2192" s="3">
        <f ca="1">IF(Proc[[#This Row],[DateClosed]]="",ABS(NETWORKDAYS(Proc[[#This Row],[DateOpened]],TODAY()))-1,ABS(NETWORKDAYS(Proc[[#This Row],[DateOpened]],Proc[[#This Row],[DateClosed]]))-1)</f>
        <v>1</v>
      </c>
      <c r="R2192" s="92" t="s">
        <v>1013</v>
      </c>
      <c r="S2192" s="96"/>
    </row>
    <row r="2193" spans="1:19" hidden="1">
      <c r="A2193" s="95" t="s">
        <v>3748</v>
      </c>
      <c r="B2193" s="96" t="str">
        <f>IFERROR(VLOOKUP(Proc[[#This Row],[App]],Table2[],3,0),"open")</f>
        <v>ok</v>
      </c>
      <c r="C2193" s="95" t="s">
        <v>369</v>
      </c>
      <c r="D2193" t="s">
        <v>4029</v>
      </c>
      <c r="E2193" t="s">
        <v>4069</v>
      </c>
      <c r="F2193" s="105" t="s">
        <v>4069</v>
      </c>
      <c r="G2193" s="95" t="s">
        <v>400</v>
      </c>
      <c r="H2193" s="96" t="str">
        <f>IF(Proc[[#This Row],[type]]="LFF (MDG-F)",MID(Proc[[#This Row],[Obj]],13,10),"")</f>
        <v/>
      </c>
      <c r="J2193" s="96" t="b">
        <f>Proc[[#This Row],[Requested]]=Proc[[#This Row],[CurrentParent]]</f>
        <v>1</v>
      </c>
      <c r="K2193" s="96" t="str">
        <f>IF(Proc[[#This Row],[Author]]="Marcela Urrego",VLOOKUP(LEFT(Proc[[#This Row],[Requested]],1),Table3[#All],2,0),VLOOKUP(Proc[[#This Row],[Author]],Table4[],2,0))</f>
        <v>HC</v>
      </c>
      <c r="L2193" s="96"/>
      <c r="M2193" s="92">
        <v>45807.678356481483</v>
      </c>
      <c r="N2193" s="93">
        <v>45810</v>
      </c>
      <c r="O2193" s="93">
        <v>45810</v>
      </c>
      <c r="P2193" s="92" t="str">
        <f ca="1">IF(Proc[[#This Row],[DaysAgeing]]&gt;5,"yep","on track")</f>
        <v>on track</v>
      </c>
      <c r="Q2193" s="3">
        <f ca="1">IF(Proc[[#This Row],[DateClosed]]="",ABS(NETWORKDAYS(Proc[[#This Row],[DateOpened]],TODAY()))-1,ABS(NETWORKDAYS(Proc[[#This Row],[DateOpened]],Proc[[#This Row],[DateClosed]]))-1)</f>
        <v>1</v>
      </c>
      <c r="R2193" s="92" t="s">
        <v>1013</v>
      </c>
      <c r="S2193" s="96"/>
    </row>
    <row r="2194" spans="1:19" hidden="1">
      <c r="A2194" s="95" t="s">
        <v>3748</v>
      </c>
      <c r="B2194" s="96" t="str">
        <f>IFERROR(VLOOKUP(Proc[[#This Row],[App]],Table2[],3,0),"open")</f>
        <v>ok</v>
      </c>
      <c r="C2194" s="95" t="s">
        <v>369</v>
      </c>
      <c r="D2194" t="s">
        <v>4030</v>
      </c>
      <c r="E2194" t="s">
        <v>4069</v>
      </c>
      <c r="F2194" s="105" t="s">
        <v>4069</v>
      </c>
      <c r="G2194" s="95" t="s">
        <v>400</v>
      </c>
      <c r="H2194" s="96" t="str">
        <f>IF(Proc[[#This Row],[type]]="LFF (MDG-F)",MID(Proc[[#This Row],[Obj]],13,10),"")</f>
        <v/>
      </c>
      <c r="J2194" s="96" t="b">
        <f>Proc[[#This Row],[Requested]]=Proc[[#This Row],[CurrentParent]]</f>
        <v>1</v>
      </c>
      <c r="K2194" s="96" t="str">
        <f>IF(Proc[[#This Row],[Author]]="Marcela Urrego",VLOOKUP(LEFT(Proc[[#This Row],[Requested]],1),Table3[#All],2,0),VLOOKUP(Proc[[#This Row],[Author]],Table4[],2,0))</f>
        <v>HC</v>
      </c>
      <c r="L2194" s="96"/>
      <c r="M2194" s="92">
        <v>45807.678356481483</v>
      </c>
      <c r="N2194" s="93">
        <v>45810</v>
      </c>
      <c r="O2194" s="93">
        <v>45810</v>
      </c>
      <c r="P2194" s="92" t="str">
        <f ca="1">IF(Proc[[#This Row],[DaysAgeing]]&gt;5,"yep","on track")</f>
        <v>on track</v>
      </c>
      <c r="Q2194" s="3">
        <f ca="1">IF(Proc[[#This Row],[DateClosed]]="",ABS(NETWORKDAYS(Proc[[#This Row],[DateOpened]],TODAY()))-1,ABS(NETWORKDAYS(Proc[[#This Row],[DateOpened]],Proc[[#This Row],[DateClosed]]))-1)</f>
        <v>1</v>
      </c>
      <c r="R2194" s="92" t="s">
        <v>1013</v>
      </c>
      <c r="S2194" s="96"/>
    </row>
    <row r="2195" spans="1:19" hidden="1">
      <c r="A2195" s="95" t="s">
        <v>3748</v>
      </c>
      <c r="B2195" s="96" t="str">
        <f>IFERROR(VLOOKUP(Proc[[#This Row],[App]],Table2[],3,0),"open")</f>
        <v>ok</v>
      </c>
      <c r="C2195" s="95" t="s">
        <v>369</v>
      </c>
      <c r="D2195" t="s">
        <v>4031</v>
      </c>
      <c r="E2195" t="s">
        <v>4069</v>
      </c>
      <c r="F2195" s="105" t="s">
        <v>4069</v>
      </c>
      <c r="G2195" s="95" t="s">
        <v>400</v>
      </c>
      <c r="H2195" s="96" t="str">
        <f>IF(Proc[[#This Row],[type]]="LFF (MDG-F)",MID(Proc[[#This Row],[Obj]],13,10),"")</f>
        <v/>
      </c>
      <c r="J2195" s="96" t="b">
        <f>Proc[[#This Row],[Requested]]=Proc[[#This Row],[CurrentParent]]</f>
        <v>1</v>
      </c>
      <c r="K2195" s="96" t="str">
        <f>IF(Proc[[#This Row],[Author]]="Marcela Urrego",VLOOKUP(LEFT(Proc[[#This Row],[Requested]],1),Table3[#All],2,0),VLOOKUP(Proc[[#This Row],[Author]],Table4[],2,0))</f>
        <v>HC</v>
      </c>
      <c r="L2195" s="96"/>
      <c r="M2195" s="92">
        <v>45807.678356481483</v>
      </c>
      <c r="N2195" s="93">
        <v>45810</v>
      </c>
      <c r="O2195" s="93">
        <v>45810</v>
      </c>
      <c r="P2195" s="92" t="str">
        <f ca="1">IF(Proc[[#This Row],[DaysAgeing]]&gt;5,"yep","on track")</f>
        <v>on track</v>
      </c>
      <c r="Q2195" s="3">
        <f ca="1">IF(Proc[[#This Row],[DateClosed]]="",ABS(NETWORKDAYS(Proc[[#This Row],[DateOpened]],TODAY()))-1,ABS(NETWORKDAYS(Proc[[#This Row],[DateOpened]],Proc[[#This Row],[DateClosed]]))-1)</f>
        <v>1</v>
      </c>
      <c r="R2195" s="92" t="s">
        <v>1013</v>
      </c>
      <c r="S2195" s="96"/>
    </row>
    <row r="2196" spans="1:19" hidden="1">
      <c r="A2196" s="95" t="s">
        <v>3748</v>
      </c>
      <c r="B2196" s="96" t="str">
        <f>IFERROR(VLOOKUP(Proc[[#This Row],[App]],Table2[],3,0),"open")</f>
        <v>ok</v>
      </c>
      <c r="C2196" s="95" t="s">
        <v>369</v>
      </c>
      <c r="D2196" t="s">
        <v>4032</v>
      </c>
      <c r="E2196" t="s">
        <v>4069</v>
      </c>
      <c r="F2196" s="105" t="s">
        <v>4069</v>
      </c>
      <c r="G2196" s="95" t="s">
        <v>400</v>
      </c>
      <c r="H2196" s="96" t="str">
        <f>IF(Proc[[#This Row],[type]]="LFF (MDG-F)",MID(Proc[[#This Row],[Obj]],13,10),"")</f>
        <v/>
      </c>
      <c r="J2196" s="96" t="b">
        <f>Proc[[#This Row],[Requested]]=Proc[[#This Row],[CurrentParent]]</f>
        <v>1</v>
      </c>
      <c r="K2196" s="96" t="str">
        <f>IF(Proc[[#This Row],[Author]]="Marcela Urrego",VLOOKUP(LEFT(Proc[[#This Row],[Requested]],1),Table3[#All],2,0),VLOOKUP(Proc[[#This Row],[Author]],Table4[],2,0))</f>
        <v>HC</v>
      </c>
      <c r="L2196" s="96"/>
      <c r="M2196" s="92">
        <v>45807.678356481483</v>
      </c>
      <c r="N2196" s="93">
        <v>45810</v>
      </c>
      <c r="O2196" s="93">
        <v>45810</v>
      </c>
      <c r="P2196" s="92" t="str">
        <f ca="1">IF(Proc[[#This Row],[DaysAgeing]]&gt;5,"yep","on track")</f>
        <v>on track</v>
      </c>
      <c r="Q2196" s="3">
        <f ca="1">IF(Proc[[#This Row],[DateClosed]]="",ABS(NETWORKDAYS(Proc[[#This Row],[DateOpened]],TODAY()))-1,ABS(NETWORKDAYS(Proc[[#This Row],[DateOpened]],Proc[[#This Row],[DateClosed]]))-1)</f>
        <v>1</v>
      </c>
      <c r="R2196" s="92" t="s">
        <v>1013</v>
      </c>
      <c r="S2196" s="96"/>
    </row>
    <row r="2197" spans="1:19" hidden="1">
      <c r="A2197" s="95" t="s">
        <v>3748</v>
      </c>
      <c r="B2197" s="96" t="str">
        <f>IFERROR(VLOOKUP(Proc[[#This Row],[App]],Table2[],3,0),"open")</f>
        <v>ok</v>
      </c>
      <c r="C2197" s="95" t="s">
        <v>369</v>
      </c>
      <c r="D2197" t="s">
        <v>4033</v>
      </c>
      <c r="E2197" t="s">
        <v>4069</v>
      </c>
      <c r="F2197" s="105" t="s">
        <v>4069</v>
      </c>
      <c r="G2197" s="95" t="s">
        <v>400</v>
      </c>
      <c r="H2197" s="96" t="str">
        <f>IF(Proc[[#This Row],[type]]="LFF (MDG-F)",MID(Proc[[#This Row],[Obj]],13,10),"")</f>
        <v/>
      </c>
      <c r="J2197" s="96" t="b">
        <f>Proc[[#This Row],[Requested]]=Proc[[#This Row],[CurrentParent]]</f>
        <v>1</v>
      </c>
      <c r="K2197" s="96" t="str">
        <f>IF(Proc[[#This Row],[Author]]="Marcela Urrego",VLOOKUP(LEFT(Proc[[#This Row],[Requested]],1),Table3[#All],2,0),VLOOKUP(Proc[[#This Row],[Author]],Table4[],2,0))</f>
        <v>HC</v>
      </c>
      <c r="L2197" s="96"/>
      <c r="M2197" s="92">
        <v>45807.678356481483</v>
      </c>
      <c r="N2197" s="93">
        <v>45810</v>
      </c>
      <c r="O2197" s="93">
        <v>45810</v>
      </c>
      <c r="P2197" s="92" t="str">
        <f ca="1">IF(Proc[[#This Row],[DaysAgeing]]&gt;5,"yep","on track")</f>
        <v>on track</v>
      </c>
      <c r="Q2197" s="3">
        <f ca="1">IF(Proc[[#This Row],[DateClosed]]="",ABS(NETWORKDAYS(Proc[[#This Row],[DateOpened]],TODAY()))-1,ABS(NETWORKDAYS(Proc[[#This Row],[DateOpened]],Proc[[#This Row],[DateClosed]]))-1)</f>
        <v>1</v>
      </c>
      <c r="R2197" s="92" t="s">
        <v>1013</v>
      </c>
      <c r="S2197" s="96"/>
    </row>
    <row r="2198" spans="1:19" hidden="1">
      <c r="A2198" s="95" t="s">
        <v>3748</v>
      </c>
      <c r="B2198" s="96" t="str">
        <f>IFERROR(VLOOKUP(Proc[[#This Row],[App]],Table2[],3,0),"open")</f>
        <v>ok</v>
      </c>
      <c r="C2198" s="95" t="s">
        <v>369</v>
      </c>
      <c r="D2198" t="s">
        <v>4034</v>
      </c>
      <c r="E2198" t="s">
        <v>4069</v>
      </c>
      <c r="F2198" s="105" t="s">
        <v>4069</v>
      </c>
      <c r="G2198" s="95" t="s">
        <v>400</v>
      </c>
      <c r="H2198" s="96" t="str">
        <f>IF(Proc[[#This Row],[type]]="LFF (MDG-F)",MID(Proc[[#This Row],[Obj]],13,10),"")</f>
        <v/>
      </c>
      <c r="J2198" s="96" t="b">
        <f>Proc[[#This Row],[Requested]]=Proc[[#This Row],[CurrentParent]]</f>
        <v>1</v>
      </c>
      <c r="K2198" s="96" t="str">
        <f>IF(Proc[[#This Row],[Author]]="Marcela Urrego",VLOOKUP(LEFT(Proc[[#This Row],[Requested]],1),Table3[#All],2,0),VLOOKUP(Proc[[#This Row],[Author]],Table4[],2,0))</f>
        <v>HC</v>
      </c>
      <c r="L2198" s="96"/>
      <c r="M2198" s="92">
        <v>45807.678356481483</v>
      </c>
      <c r="N2198" s="93">
        <v>45810</v>
      </c>
      <c r="O2198" s="93">
        <v>45810</v>
      </c>
      <c r="P2198" s="92" t="str">
        <f ca="1">IF(Proc[[#This Row],[DaysAgeing]]&gt;5,"yep","on track")</f>
        <v>on track</v>
      </c>
      <c r="Q2198" s="3">
        <f ca="1">IF(Proc[[#This Row],[DateClosed]]="",ABS(NETWORKDAYS(Proc[[#This Row],[DateOpened]],TODAY()))-1,ABS(NETWORKDAYS(Proc[[#This Row],[DateOpened]],Proc[[#This Row],[DateClosed]]))-1)</f>
        <v>1</v>
      </c>
      <c r="R2198" s="92" t="s">
        <v>1013</v>
      </c>
      <c r="S2198" s="96"/>
    </row>
    <row r="2199" spans="1:19" hidden="1">
      <c r="A2199" s="95" t="s">
        <v>3748</v>
      </c>
      <c r="B2199" s="96" t="str">
        <f>IFERROR(VLOOKUP(Proc[[#This Row],[App]],Table2[],3,0),"open")</f>
        <v>ok</v>
      </c>
      <c r="C2199" s="95" t="s">
        <v>369</v>
      </c>
      <c r="D2199" t="s">
        <v>4035</v>
      </c>
      <c r="E2199" t="s">
        <v>4069</v>
      </c>
      <c r="F2199" s="105" t="s">
        <v>4069</v>
      </c>
      <c r="G2199" s="95" t="s">
        <v>400</v>
      </c>
      <c r="H2199" s="96" t="str">
        <f>IF(Proc[[#This Row],[type]]="LFF (MDG-F)",MID(Proc[[#This Row],[Obj]],13,10),"")</f>
        <v/>
      </c>
      <c r="J2199" s="96" t="b">
        <f>Proc[[#This Row],[Requested]]=Proc[[#This Row],[CurrentParent]]</f>
        <v>1</v>
      </c>
      <c r="K2199" s="96" t="str">
        <f>IF(Proc[[#This Row],[Author]]="Marcela Urrego",VLOOKUP(LEFT(Proc[[#This Row],[Requested]],1),Table3[#All],2,0),VLOOKUP(Proc[[#This Row],[Author]],Table4[],2,0))</f>
        <v>HC</v>
      </c>
      <c r="L2199" s="96"/>
      <c r="M2199" s="92">
        <v>45807.678356481483</v>
      </c>
      <c r="N2199" s="93">
        <v>45810</v>
      </c>
      <c r="O2199" s="93">
        <v>45810</v>
      </c>
      <c r="P2199" s="92" t="str">
        <f ca="1">IF(Proc[[#This Row],[DaysAgeing]]&gt;5,"yep","on track")</f>
        <v>on track</v>
      </c>
      <c r="Q2199" s="3">
        <f ca="1">IF(Proc[[#This Row],[DateClosed]]="",ABS(NETWORKDAYS(Proc[[#This Row],[DateOpened]],TODAY()))-1,ABS(NETWORKDAYS(Proc[[#This Row],[DateOpened]],Proc[[#This Row],[DateClosed]]))-1)</f>
        <v>1</v>
      </c>
      <c r="R2199" s="92" t="s">
        <v>1013</v>
      </c>
      <c r="S2199" s="96"/>
    </row>
    <row r="2200" spans="1:19" hidden="1">
      <c r="A2200" s="95" t="s">
        <v>3748</v>
      </c>
      <c r="B2200" s="96" t="str">
        <f>IFERROR(VLOOKUP(Proc[[#This Row],[App]],Table2[],3,0),"open")</f>
        <v>ok</v>
      </c>
      <c r="C2200" s="95" t="s">
        <v>369</v>
      </c>
      <c r="D2200" t="s">
        <v>4036</v>
      </c>
      <c r="E2200" t="s">
        <v>4069</v>
      </c>
      <c r="F2200" s="105" t="s">
        <v>4069</v>
      </c>
      <c r="G2200" s="95" t="s">
        <v>400</v>
      </c>
      <c r="H2200" s="96" t="str">
        <f>IF(Proc[[#This Row],[type]]="LFF (MDG-F)",MID(Proc[[#This Row],[Obj]],13,10),"")</f>
        <v/>
      </c>
      <c r="J2200" s="96" t="b">
        <f>Proc[[#This Row],[Requested]]=Proc[[#This Row],[CurrentParent]]</f>
        <v>1</v>
      </c>
      <c r="K2200" s="96" t="str">
        <f>IF(Proc[[#This Row],[Author]]="Marcela Urrego",VLOOKUP(LEFT(Proc[[#This Row],[Requested]],1),Table3[#All],2,0),VLOOKUP(Proc[[#This Row],[Author]],Table4[],2,0))</f>
        <v>HC</v>
      </c>
      <c r="L2200" s="96"/>
      <c r="M2200" s="92">
        <v>45807.678356481483</v>
      </c>
      <c r="N2200" s="93">
        <v>45810</v>
      </c>
      <c r="O2200" s="93">
        <v>45810</v>
      </c>
      <c r="P2200" s="92" t="str">
        <f ca="1">IF(Proc[[#This Row],[DaysAgeing]]&gt;5,"yep","on track")</f>
        <v>on track</v>
      </c>
      <c r="Q2200" s="3">
        <f ca="1">IF(Proc[[#This Row],[DateClosed]]="",ABS(NETWORKDAYS(Proc[[#This Row],[DateOpened]],TODAY()))-1,ABS(NETWORKDAYS(Proc[[#This Row],[DateOpened]],Proc[[#This Row],[DateClosed]]))-1)</f>
        <v>1</v>
      </c>
      <c r="R2200" s="92" t="s">
        <v>1013</v>
      </c>
      <c r="S2200" s="96"/>
    </row>
    <row r="2201" spans="1:19" hidden="1">
      <c r="A2201" s="95" t="s">
        <v>3748</v>
      </c>
      <c r="B2201" s="96" t="str">
        <f>IFERROR(VLOOKUP(Proc[[#This Row],[App]],Table2[],3,0),"open")</f>
        <v>ok</v>
      </c>
      <c r="C2201" s="95" t="s">
        <v>369</v>
      </c>
      <c r="D2201" t="s">
        <v>4037</v>
      </c>
      <c r="E2201" t="s">
        <v>4069</v>
      </c>
      <c r="F2201" s="105" t="s">
        <v>4069</v>
      </c>
      <c r="G2201" s="95" t="s">
        <v>400</v>
      </c>
      <c r="H2201" s="96" t="str">
        <f>IF(Proc[[#This Row],[type]]="LFF (MDG-F)",MID(Proc[[#This Row],[Obj]],13,10),"")</f>
        <v/>
      </c>
      <c r="J2201" s="96" t="b">
        <f>Proc[[#This Row],[Requested]]=Proc[[#This Row],[CurrentParent]]</f>
        <v>1</v>
      </c>
      <c r="K2201" s="96" t="str">
        <f>IF(Proc[[#This Row],[Author]]="Marcela Urrego",VLOOKUP(LEFT(Proc[[#This Row],[Requested]],1),Table3[#All],2,0),VLOOKUP(Proc[[#This Row],[Author]],Table4[],2,0))</f>
        <v>HC</v>
      </c>
      <c r="L2201" s="96"/>
      <c r="M2201" s="92">
        <v>45807.678356481483</v>
      </c>
      <c r="N2201" s="93">
        <v>45810</v>
      </c>
      <c r="O2201" s="93">
        <v>45810</v>
      </c>
      <c r="P2201" s="92" t="str">
        <f ca="1">IF(Proc[[#This Row],[DaysAgeing]]&gt;5,"yep","on track")</f>
        <v>on track</v>
      </c>
      <c r="Q2201" s="3">
        <f ca="1">IF(Proc[[#This Row],[DateClosed]]="",ABS(NETWORKDAYS(Proc[[#This Row],[DateOpened]],TODAY()))-1,ABS(NETWORKDAYS(Proc[[#This Row],[DateOpened]],Proc[[#This Row],[DateClosed]]))-1)</f>
        <v>1</v>
      </c>
      <c r="R2201" s="92" t="s">
        <v>1013</v>
      </c>
      <c r="S2201" s="96"/>
    </row>
    <row r="2202" spans="1:19" hidden="1">
      <c r="A2202" s="95" t="s">
        <v>3748</v>
      </c>
      <c r="B2202" s="96" t="str">
        <f>IFERROR(VLOOKUP(Proc[[#This Row],[App]],Table2[],3,0),"open")</f>
        <v>ok</v>
      </c>
      <c r="C2202" s="95" t="s">
        <v>369</v>
      </c>
      <c r="D2202" t="s">
        <v>4038</v>
      </c>
      <c r="E2202" t="s">
        <v>4069</v>
      </c>
      <c r="F2202" s="105" t="s">
        <v>4069</v>
      </c>
      <c r="G2202" s="95" t="s">
        <v>400</v>
      </c>
      <c r="H2202" s="96" t="str">
        <f>IF(Proc[[#This Row],[type]]="LFF (MDG-F)",MID(Proc[[#This Row],[Obj]],13,10),"")</f>
        <v/>
      </c>
      <c r="J2202" s="96" t="b">
        <f>Proc[[#This Row],[Requested]]=Proc[[#This Row],[CurrentParent]]</f>
        <v>1</v>
      </c>
      <c r="K2202" s="96" t="str">
        <f>IF(Proc[[#This Row],[Author]]="Marcela Urrego",VLOOKUP(LEFT(Proc[[#This Row],[Requested]],1),Table3[#All],2,0),VLOOKUP(Proc[[#This Row],[Author]],Table4[],2,0))</f>
        <v>HC</v>
      </c>
      <c r="L2202" s="96"/>
      <c r="M2202" s="92">
        <v>45807.678356481483</v>
      </c>
      <c r="N2202" s="93">
        <v>45810</v>
      </c>
      <c r="O2202" s="93">
        <v>45810</v>
      </c>
      <c r="P2202" s="92" t="str">
        <f ca="1">IF(Proc[[#This Row],[DaysAgeing]]&gt;5,"yep","on track")</f>
        <v>on track</v>
      </c>
      <c r="Q2202" s="3">
        <f ca="1">IF(Proc[[#This Row],[DateClosed]]="",ABS(NETWORKDAYS(Proc[[#This Row],[DateOpened]],TODAY()))-1,ABS(NETWORKDAYS(Proc[[#This Row],[DateOpened]],Proc[[#This Row],[DateClosed]]))-1)</f>
        <v>1</v>
      </c>
      <c r="R2202" s="92" t="s">
        <v>1013</v>
      </c>
      <c r="S2202" s="96"/>
    </row>
    <row r="2203" spans="1:19" hidden="1">
      <c r="A2203" s="95" t="s">
        <v>3748</v>
      </c>
      <c r="B2203" s="96" t="str">
        <f>IFERROR(VLOOKUP(Proc[[#This Row],[App]],Table2[],3,0),"open")</f>
        <v>ok</v>
      </c>
      <c r="C2203" s="95" t="s">
        <v>369</v>
      </c>
      <c r="D2203" t="s">
        <v>4039</v>
      </c>
      <c r="E2203" t="s">
        <v>4069</v>
      </c>
      <c r="F2203" s="105" t="s">
        <v>4069</v>
      </c>
      <c r="G2203" s="95" t="s">
        <v>400</v>
      </c>
      <c r="H2203" s="96" t="str">
        <f>IF(Proc[[#This Row],[type]]="LFF (MDG-F)",MID(Proc[[#This Row],[Obj]],13,10),"")</f>
        <v/>
      </c>
      <c r="J2203" s="96" t="b">
        <f>Proc[[#This Row],[Requested]]=Proc[[#This Row],[CurrentParent]]</f>
        <v>1</v>
      </c>
      <c r="K2203" s="96" t="str">
        <f>IF(Proc[[#This Row],[Author]]="Marcela Urrego",VLOOKUP(LEFT(Proc[[#This Row],[Requested]],1),Table3[#All],2,0),VLOOKUP(Proc[[#This Row],[Author]],Table4[],2,0))</f>
        <v>HC</v>
      </c>
      <c r="L2203" s="96"/>
      <c r="M2203" s="92">
        <v>45807.678356481483</v>
      </c>
      <c r="N2203" s="93">
        <v>45810</v>
      </c>
      <c r="O2203" s="93">
        <v>45810</v>
      </c>
      <c r="P2203" s="92" t="str">
        <f ca="1">IF(Proc[[#This Row],[DaysAgeing]]&gt;5,"yep","on track")</f>
        <v>on track</v>
      </c>
      <c r="Q2203" s="3">
        <f ca="1">IF(Proc[[#This Row],[DateClosed]]="",ABS(NETWORKDAYS(Proc[[#This Row],[DateOpened]],TODAY()))-1,ABS(NETWORKDAYS(Proc[[#This Row],[DateOpened]],Proc[[#This Row],[DateClosed]]))-1)</f>
        <v>1</v>
      </c>
      <c r="R2203" s="92" t="s">
        <v>1013</v>
      </c>
      <c r="S2203" s="96"/>
    </row>
    <row r="2204" spans="1:19" hidden="1">
      <c r="A2204" s="95" t="s">
        <v>3748</v>
      </c>
      <c r="B2204" s="96" t="str">
        <f>IFERROR(VLOOKUP(Proc[[#This Row],[App]],Table2[],3,0),"open")</f>
        <v>ok</v>
      </c>
      <c r="C2204" s="95" t="s">
        <v>369</v>
      </c>
      <c r="D2204" t="s">
        <v>4040</v>
      </c>
      <c r="E2204" t="s">
        <v>4069</v>
      </c>
      <c r="F2204" s="105" t="s">
        <v>4069</v>
      </c>
      <c r="G2204" s="95" t="s">
        <v>400</v>
      </c>
      <c r="H2204" s="96" t="str">
        <f>IF(Proc[[#This Row],[type]]="LFF (MDG-F)",MID(Proc[[#This Row],[Obj]],13,10),"")</f>
        <v/>
      </c>
      <c r="J2204" s="96" t="b">
        <f>Proc[[#This Row],[Requested]]=Proc[[#This Row],[CurrentParent]]</f>
        <v>1</v>
      </c>
      <c r="K2204" s="96" t="str">
        <f>IF(Proc[[#This Row],[Author]]="Marcela Urrego",VLOOKUP(LEFT(Proc[[#This Row],[Requested]],1),Table3[#All],2,0),VLOOKUP(Proc[[#This Row],[Author]],Table4[],2,0))</f>
        <v>HC</v>
      </c>
      <c r="L2204" s="96"/>
      <c r="M2204" s="92">
        <v>45807.678356481483</v>
      </c>
      <c r="N2204" s="93">
        <v>45810</v>
      </c>
      <c r="O2204" s="93">
        <v>45810</v>
      </c>
      <c r="P2204" s="92" t="str">
        <f ca="1">IF(Proc[[#This Row],[DaysAgeing]]&gt;5,"yep","on track")</f>
        <v>on track</v>
      </c>
      <c r="Q2204" s="3">
        <f ca="1">IF(Proc[[#This Row],[DateClosed]]="",ABS(NETWORKDAYS(Proc[[#This Row],[DateOpened]],TODAY()))-1,ABS(NETWORKDAYS(Proc[[#This Row],[DateOpened]],Proc[[#This Row],[DateClosed]]))-1)</f>
        <v>1</v>
      </c>
      <c r="R2204" s="92" t="s">
        <v>1013</v>
      </c>
      <c r="S2204" s="96"/>
    </row>
    <row r="2205" spans="1:19" hidden="1">
      <c r="A2205" s="95" t="s">
        <v>3748</v>
      </c>
      <c r="B2205" s="96" t="str">
        <f>IFERROR(VLOOKUP(Proc[[#This Row],[App]],Table2[],3,0),"open")</f>
        <v>ok</v>
      </c>
      <c r="C2205" s="95" t="s">
        <v>369</v>
      </c>
      <c r="D2205" t="s">
        <v>4041</v>
      </c>
      <c r="E2205" t="s">
        <v>4069</v>
      </c>
      <c r="F2205" s="105" t="s">
        <v>4069</v>
      </c>
      <c r="G2205" s="95" t="s">
        <v>400</v>
      </c>
      <c r="H2205" s="96" t="str">
        <f>IF(Proc[[#This Row],[type]]="LFF (MDG-F)",MID(Proc[[#This Row],[Obj]],13,10),"")</f>
        <v/>
      </c>
      <c r="J2205" s="96" t="b">
        <f>Proc[[#This Row],[Requested]]=Proc[[#This Row],[CurrentParent]]</f>
        <v>1</v>
      </c>
      <c r="K2205" s="96" t="str">
        <f>IF(Proc[[#This Row],[Author]]="Marcela Urrego",VLOOKUP(LEFT(Proc[[#This Row],[Requested]],1),Table3[#All],2,0),VLOOKUP(Proc[[#This Row],[Author]],Table4[],2,0))</f>
        <v>HC</v>
      </c>
      <c r="L2205" s="96"/>
      <c r="M2205" s="92">
        <v>45807.678356481483</v>
      </c>
      <c r="N2205" s="93">
        <v>45810</v>
      </c>
      <c r="O2205" s="93">
        <v>45810</v>
      </c>
      <c r="P2205" s="92" t="str">
        <f ca="1">IF(Proc[[#This Row],[DaysAgeing]]&gt;5,"yep","on track")</f>
        <v>on track</v>
      </c>
      <c r="Q2205" s="3">
        <f ca="1">IF(Proc[[#This Row],[DateClosed]]="",ABS(NETWORKDAYS(Proc[[#This Row],[DateOpened]],TODAY()))-1,ABS(NETWORKDAYS(Proc[[#This Row],[DateOpened]],Proc[[#This Row],[DateClosed]]))-1)</f>
        <v>1</v>
      </c>
      <c r="R2205" s="92" t="s">
        <v>1013</v>
      </c>
      <c r="S2205" s="96"/>
    </row>
    <row r="2206" spans="1:19" hidden="1">
      <c r="A2206" s="95" t="s">
        <v>3748</v>
      </c>
      <c r="B2206" s="96" t="str">
        <f>IFERROR(VLOOKUP(Proc[[#This Row],[App]],Table2[],3,0),"open")</f>
        <v>ok</v>
      </c>
      <c r="C2206" s="95" t="s">
        <v>369</v>
      </c>
      <c r="D2206" t="s">
        <v>4042</v>
      </c>
      <c r="E2206" t="s">
        <v>4069</v>
      </c>
      <c r="F2206" s="105" t="s">
        <v>4069</v>
      </c>
      <c r="G2206" s="95" t="s">
        <v>400</v>
      </c>
      <c r="H2206" s="96" t="str">
        <f>IF(Proc[[#This Row],[type]]="LFF (MDG-F)",MID(Proc[[#This Row],[Obj]],13,10),"")</f>
        <v/>
      </c>
      <c r="J2206" s="96" t="b">
        <f>Proc[[#This Row],[Requested]]=Proc[[#This Row],[CurrentParent]]</f>
        <v>1</v>
      </c>
      <c r="K2206" s="96" t="str">
        <f>IF(Proc[[#This Row],[Author]]="Marcela Urrego",VLOOKUP(LEFT(Proc[[#This Row],[Requested]],1),Table3[#All],2,0),VLOOKUP(Proc[[#This Row],[Author]],Table4[],2,0))</f>
        <v>HC</v>
      </c>
      <c r="L2206" s="96"/>
      <c r="M2206" s="92">
        <v>45807.678356481483</v>
      </c>
      <c r="N2206" s="93">
        <v>45810</v>
      </c>
      <c r="O2206" s="93">
        <v>45810</v>
      </c>
      <c r="P2206" s="92" t="str">
        <f ca="1">IF(Proc[[#This Row],[DaysAgeing]]&gt;5,"yep","on track")</f>
        <v>on track</v>
      </c>
      <c r="Q2206" s="3">
        <f ca="1">IF(Proc[[#This Row],[DateClosed]]="",ABS(NETWORKDAYS(Proc[[#This Row],[DateOpened]],TODAY()))-1,ABS(NETWORKDAYS(Proc[[#This Row],[DateOpened]],Proc[[#This Row],[DateClosed]]))-1)</f>
        <v>1</v>
      </c>
      <c r="R2206" s="92" t="s">
        <v>1013</v>
      </c>
      <c r="S2206" s="96"/>
    </row>
    <row r="2207" spans="1:19" hidden="1">
      <c r="A2207" s="95" t="s">
        <v>3748</v>
      </c>
      <c r="B2207" s="96" t="str">
        <f>IFERROR(VLOOKUP(Proc[[#This Row],[App]],Table2[],3,0),"open")</f>
        <v>ok</v>
      </c>
      <c r="C2207" s="95" t="s">
        <v>369</v>
      </c>
      <c r="D2207" t="s">
        <v>4043</v>
      </c>
      <c r="E2207" t="s">
        <v>4069</v>
      </c>
      <c r="F2207" s="105" t="s">
        <v>4069</v>
      </c>
      <c r="G2207" s="95" t="s">
        <v>400</v>
      </c>
      <c r="H2207" s="96" t="str">
        <f>IF(Proc[[#This Row],[type]]="LFF (MDG-F)",MID(Proc[[#This Row],[Obj]],13,10),"")</f>
        <v/>
      </c>
      <c r="J2207" s="96" t="b">
        <f>Proc[[#This Row],[Requested]]=Proc[[#This Row],[CurrentParent]]</f>
        <v>1</v>
      </c>
      <c r="K2207" s="96" t="str">
        <f>IF(Proc[[#This Row],[Author]]="Marcela Urrego",VLOOKUP(LEFT(Proc[[#This Row],[Requested]],1),Table3[#All],2,0),VLOOKUP(Proc[[#This Row],[Author]],Table4[],2,0))</f>
        <v>HC</v>
      </c>
      <c r="L2207" s="96"/>
      <c r="M2207" s="92">
        <v>45807.678356481483</v>
      </c>
      <c r="N2207" s="93">
        <v>45810</v>
      </c>
      <c r="O2207" s="93">
        <v>45810</v>
      </c>
      <c r="P2207" s="92" t="str">
        <f ca="1">IF(Proc[[#This Row],[DaysAgeing]]&gt;5,"yep","on track")</f>
        <v>on track</v>
      </c>
      <c r="Q2207" s="3">
        <f ca="1">IF(Proc[[#This Row],[DateClosed]]="",ABS(NETWORKDAYS(Proc[[#This Row],[DateOpened]],TODAY()))-1,ABS(NETWORKDAYS(Proc[[#This Row],[DateOpened]],Proc[[#This Row],[DateClosed]]))-1)</f>
        <v>1</v>
      </c>
      <c r="R2207" s="92" t="s">
        <v>1013</v>
      </c>
      <c r="S2207" s="96"/>
    </row>
    <row r="2208" spans="1:19" hidden="1">
      <c r="A2208" s="95" t="s">
        <v>3748</v>
      </c>
      <c r="B2208" s="96" t="str">
        <f>IFERROR(VLOOKUP(Proc[[#This Row],[App]],Table2[],3,0),"open")</f>
        <v>ok</v>
      </c>
      <c r="C2208" s="95" t="s">
        <v>369</v>
      </c>
      <c r="D2208" t="s">
        <v>4044</v>
      </c>
      <c r="E2208" t="s">
        <v>4069</v>
      </c>
      <c r="F2208" s="105" t="s">
        <v>4069</v>
      </c>
      <c r="G2208" s="95" t="s">
        <v>400</v>
      </c>
      <c r="H2208" s="96" t="str">
        <f>IF(Proc[[#This Row],[type]]="LFF (MDG-F)",MID(Proc[[#This Row],[Obj]],13,10),"")</f>
        <v/>
      </c>
      <c r="J2208" s="96" t="b">
        <f>Proc[[#This Row],[Requested]]=Proc[[#This Row],[CurrentParent]]</f>
        <v>1</v>
      </c>
      <c r="K2208" s="96" t="str">
        <f>IF(Proc[[#This Row],[Author]]="Marcela Urrego",VLOOKUP(LEFT(Proc[[#This Row],[Requested]],1),Table3[#All],2,0),VLOOKUP(Proc[[#This Row],[Author]],Table4[],2,0))</f>
        <v>HC</v>
      </c>
      <c r="L2208" s="96"/>
      <c r="M2208" s="92">
        <v>45807.678356481483</v>
      </c>
      <c r="N2208" s="93">
        <v>45810</v>
      </c>
      <c r="O2208" s="93">
        <v>45810</v>
      </c>
      <c r="P2208" s="92" t="str">
        <f ca="1">IF(Proc[[#This Row],[DaysAgeing]]&gt;5,"yep","on track")</f>
        <v>on track</v>
      </c>
      <c r="Q2208" s="3">
        <f ca="1">IF(Proc[[#This Row],[DateClosed]]="",ABS(NETWORKDAYS(Proc[[#This Row],[DateOpened]],TODAY()))-1,ABS(NETWORKDAYS(Proc[[#This Row],[DateOpened]],Proc[[#This Row],[DateClosed]]))-1)</f>
        <v>1</v>
      </c>
      <c r="R2208" s="92" t="s">
        <v>1013</v>
      </c>
      <c r="S2208" s="96"/>
    </row>
    <row r="2209" spans="1:19" hidden="1">
      <c r="A2209" s="95" t="s">
        <v>3748</v>
      </c>
      <c r="B2209" s="96" t="str">
        <f>IFERROR(VLOOKUP(Proc[[#This Row],[App]],Table2[],3,0),"open")</f>
        <v>ok</v>
      </c>
      <c r="C2209" s="95" t="s">
        <v>369</v>
      </c>
      <c r="D2209" t="s">
        <v>4045</v>
      </c>
      <c r="E2209" t="s">
        <v>4069</v>
      </c>
      <c r="F2209" s="105" t="s">
        <v>4069</v>
      </c>
      <c r="G2209" s="95" t="s">
        <v>400</v>
      </c>
      <c r="H2209" s="96" t="str">
        <f>IF(Proc[[#This Row],[type]]="LFF (MDG-F)",MID(Proc[[#This Row],[Obj]],13,10),"")</f>
        <v/>
      </c>
      <c r="J2209" s="96" t="b">
        <f>Proc[[#This Row],[Requested]]=Proc[[#This Row],[CurrentParent]]</f>
        <v>1</v>
      </c>
      <c r="K2209" s="96" t="str">
        <f>IF(Proc[[#This Row],[Author]]="Marcela Urrego",VLOOKUP(LEFT(Proc[[#This Row],[Requested]],1),Table3[#All],2,0),VLOOKUP(Proc[[#This Row],[Author]],Table4[],2,0))</f>
        <v>HC</v>
      </c>
      <c r="L2209" s="96"/>
      <c r="M2209" s="92">
        <v>45807.678356481483</v>
      </c>
      <c r="N2209" s="93">
        <v>45810</v>
      </c>
      <c r="O2209" s="93">
        <v>45810</v>
      </c>
      <c r="P2209" s="92" t="str">
        <f ca="1">IF(Proc[[#This Row],[DaysAgeing]]&gt;5,"yep","on track")</f>
        <v>on track</v>
      </c>
      <c r="Q2209" s="3">
        <f ca="1">IF(Proc[[#This Row],[DateClosed]]="",ABS(NETWORKDAYS(Proc[[#This Row],[DateOpened]],TODAY()))-1,ABS(NETWORKDAYS(Proc[[#This Row],[DateOpened]],Proc[[#This Row],[DateClosed]]))-1)</f>
        <v>1</v>
      </c>
      <c r="R2209" s="92" t="s">
        <v>1013</v>
      </c>
      <c r="S2209" s="96"/>
    </row>
    <row r="2210" spans="1:19" hidden="1">
      <c r="A2210" s="95" t="s">
        <v>3748</v>
      </c>
      <c r="B2210" s="96" t="str">
        <f>IFERROR(VLOOKUP(Proc[[#This Row],[App]],Table2[],3,0),"open")</f>
        <v>ok</v>
      </c>
      <c r="C2210" s="95" t="s">
        <v>369</v>
      </c>
      <c r="D2210" t="s">
        <v>4046</v>
      </c>
      <c r="E2210" t="s">
        <v>4069</v>
      </c>
      <c r="F2210" s="105" t="s">
        <v>4069</v>
      </c>
      <c r="G2210" s="95" t="s">
        <v>400</v>
      </c>
      <c r="H2210" s="96" t="str">
        <f>IF(Proc[[#This Row],[type]]="LFF (MDG-F)",MID(Proc[[#This Row],[Obj]],13,10),"")</f>
        <v/>
      </c>
      <c r="J2210" s="96" t="b">
        <f>Proc[[#This Row],[Requested]]=Proc[[#This Row],[CurrentParent]]</f>
        <v>1</v>
      </c>
      <c r="K2210" s="96" t="str">
        <f>IF(Proc[[#This Row],[Author]]="Marcela Urrego",VLOOKUP(LEFT(Proc[[#This Row],[Requested]],1),Table3[#All],2,0),VLOOKUP(Proc[[#This Row],[Author]],Table4[],2,0))</f>
        <v>HC</v>
      </c>
      <c r="L2210" s="96"/>
      <c r="M2210" s="92">
        <v>45807.678356481483</v>
      </c>
      <c r="N2210" s="93">
        <v>45810</v>
      </c>
      <c r="O2210" s="93">
        <v>45810</v>
      </c>
      <c r="P2210" s="92" t="str">
        <f ca="1">IF(Proc[[#This Row],[DaysAgeing]]&gt;5,"yep","on track")</f>
        <v>on track</v>
      </c>
      <c r="Q2210" s="3">
        <f ca="1">IF(Proc[[#This Row],[DateClosed]]="",ABS(NETWORKDAYS(Proc[[#This Row],[DateOpened]],TODAY()))-1,ABS(NETWORKDAYS(Proc[[#This Row],[DateOpened]],Proc[[#This Row],[DateClosed]]))-1)</f>
        <v>1</v>
      </c>
      <c r="R2210" s="92" t="s">
        <v>1013</v>
      </c>
      <c r="S2210" s="96"/>
    </row>
    <row r="2211" spans="1:19" hidden="1">
      <c r="A2211" s="95" t="s">
        <v>3748</v>
      </c>
      <c r="B2211" s="96" t="str">
        <f>IFERROR(VLOOKUP(Proc[[#This Row],[App]],Table2[],3,0),"open")</f>
        <v>ok</v>
      </c>
      <c r="C2211" s="95" t="s">
        <v>369</v>
      </c>
      <c r="D2211" t="s">
        <v>4047</v>
      </c>
      <c r="E2211" t="s">
        <v>4069</v>
      </c>
      <c r="F2211" s="105" t="s">
        <v>4069</v>
      </c>
      <c r="G2211" s="95" t="s">
        <v>400</v>
      </c>
      <c r="H2211" s="96" t="str">
        <f>IF(Proc[[#This Row],[type]]="LFF (MDG-F)",MID(Proc[[#This Row],[Obj]],13,10),"")</f>
        <v/>
      </c>
      <c r="J2211" s="96" t="b">
        <f>Proc[[#This Row],[Requested]]=Proc[[#This Row],[CurrentParent]]</f>
        <v>1</v>
      </c>
      <c r="K2211" s="96" t="str">
        <f>IF(Proc[[#This Row],[Author]]="Marcela Urrego",VLOOKUP(LEFT(Proc[[#This Row],[Requested]],1),Table3[#All],2,0),VLOOKUP(Proc[[#This Row],[Author]],Table4[],2,0))</f>
        <v>HC</v>
      </c>
      <c r="L2211" s="96"/>
      <c r="M2211" s="92">
        <v>45807.678356481483</v>
      </c>
      <c r="N2211" s="93">
        <v>45810</v>
      </c>
      <c r="O2211" s="93">
        <v>45810</v>
      </c>
      <c r="P2211" s="92" t="str">
        <f ca="1">IF(Proc[[#This Row],[DaysAgeing]]&gt;5,"yep","on track")</f>
        <v>on track</v>
      </c>
      <c r="Q2211" s="3">
        <f ca="1">IF(Proc[[#This Row],[DateClosed]]="",ABS(NETWORKDAYS(Proc[[#This Row],[DateOpened]],TODAY()))-1,ABS(NETWORKDAYS(Proc[[#This Row],[DateOpened]],Proc[[#This Row],[DateClosed]]))-1)</f>
        <v>1</v>
      </c>
      <c r="R2211" s="92" t="s">
        <v>1013</v>
      </c>
      <c r="S2211" s="96"/>
    </row>
    <row r="2212" spans="1:19" hidden="1">
      <c r="A2212" s="95" t="s">
        <v>3748</v>
      </c>
      <c r="B2212" s="96" t="str">
        <f>IFERROR(VLOOKUP(Proc[[#This Row],[App]],Table2[],3,0),"open")</f>
        <v>ok</v>
      </c>
      <c r="C2212" s="95" t="s">
        <v>369</v>
      </c>
      <c r="D2212" t="s">
        <v>4048</v>
      </c>
      <c r="E2212" t="s">
        <v>2274</v>
      </c>
      <c r="F2212" s="105" t="s">
        <v>2274</v>
      </c>
      <c r="G2212" s="95" t="s">
        <v>400</v>
      </c>
      <c r="H2212" s="96" t="str">
        <f>IF(Proc[[#This Row],[type]]="LFF (MDG-F)",MID(Proc[[#This Row],[Obj]],13,10),"")</f>
        <v/>
      </c>
      <c r="J2212" s="96" t="b">
        <f>Proc[[#This Row],[Requested]]=Proc[[#This Row],[CurrentParent]]</f>
        <v>1</v>
      </c>
      <c r="K2212" s="96" t="str">
        <f>IF(Proc[[#This Row],[Author]]="Marcela Urrego",VLOOKUP(LEFT(Proc[[#This Row],[Requested]],1),Table3[#All],2,0),VLOOKUP(Proc[[#This Row],[Author]],Table4[],2,0))</f>
        <v>HC</v>
      </c>
      <c r="L2212" s="96"/>
      <c r="M2212" s="92">
        <v>45807.678356481483</v>
      </c>
      <c r="N2212" s="93">
        <v>45810</v>
      </c>
      <c r="O2212" s="93">
        <v>45810</v>
      </c>
      <c r="P2212" s="92" t="str">
        <f ca="1">IF(Proc[[#This Row],[DaysAgeing]]&gt;5,"yep","on track")</f>
        <v>on track</v>
      </c>
      <c r="Q2212" s="3">
        <f ca="1">IF(Proc[[#This Row],[DateClosed]]="",ABS(NETWORKDAYS(Proc[[#This Row],[DateOpened]],TODAY()))-1,ABS(NETWORKDAYS(Proc[[#This Row],[DateOpened]],Proc[[#This Row],[DateClosed]]))-1)</f>
        <v>1</v>
      </c>
      <c r="R2212" s="92" t="s">
        <v>1013</v>
      </c>
      <c r="S2212" s="96"/>
    </row>
    <row r="2213" spans="1:19" hidden="1">
      <c r="A2213" s="95" t="s">
        <v>3748</v>
      </c>
      <c r="B2213" s="96" t="str">
        <f>IFERROR(VLOOKUP(Proc[[#This Row],[App]],Table2[],3,0),"open")</f>
        <v>ok</v>
      </c>
      <c r="C2213" s="95" t="s">
        <v>369</v>
      </c>
      <c r="D2213" t="s">
        <v>4049</v>
      </c>
      <c r="E2213" t="s">
        <v>4069</v>
      </c>
      <c r="F2213" s="105" t="s">
        <v>4069</v>
      </c>
      <c r="G2213" s="95" t="s">
        <v>400</v>
      </c>
      <c r="H2213" s="96" t="str">
        <f>IF(Proc[[#This Row],[type]]="LFF (MDG-F)",MID(Proc[[#This Row],[Obj]],13,10),"")</f>
        <v/>
      </c>
      <c r="J2213" s="96" t="b">
        <f>Proc[[#This Row],[Requested]]=Proc[[#This Row],[CurrentParent]]</f>
        <v>1</v>
      </c>
      <c r="K2213" s="96" t="str">
        <f>IF(Proc[[#This Row],[Author]]="Marcela Urrego",VLOOKUP(LEFT(Proc[[#This Row],[Requested]],1),Table3[#All],2,0),VLOOKUP(Proc[[#This Row],[Author]],Table4[],2,0))</f>
        <v>HC</v>
      </c>
      <c r="L2213" s="96"/>
      <c r="M2213" s="92">
        <v>45807.678356481483</v>
      </c>
      <c r="N2213" s="93">
        <v>45810</v>
      </c>
      <c r="O2213" s="93">
        <v>45810</v>
      </c>
      <c r="P2213" s="92" t="str">
        <f ca="1">IF(Proc[[#This Row],[DaysAgeing]]&gt;5,"yep","on track")</f>
        <v>on track</v>
      </c>
      <c r="Q2213" s="3">
        <f ca="1">IF(Proc[[#This Row],[DateClosed]]="",ABS(NETWORKDAYS(Proc[[#This Row],[DateOpened]],TODAY()))-1,ABS(NETWORKDAYS(Proc[[#This Row],[DateOpened]],Proc[[#This Row],[DateClosed]]))-1)</f>
        <v>1</v>
      </c>
      <c r="R2213" s="92" t="s">
        <v>1013</v>
      </c>
      <c r="S2213" s="96"/>
    </row>
    <row r="2214" spans="1:19" hidden="1">
      <c r="A2214" s="95" t="s">
        <v>3748</v>
      </c>
      <c r="B2214" s="96" t="str">
        <f>IFERROR(VLOOKUP(Proc[[#This Row],[App]],Table2[],3,0),"open")</f>
        <v>ok</v>
      </c>
      <c r="C2214" s="95" t="s">
        <v>369</v>
      </c>
      <c r="D2214" t="s">
        <v>4050</v>
      </c>
      <c r="E2214" t="s">
        <v>4069</v>
      </c>
      <c r="F2214" s="105" t="s">
        <v>4069</v>
      </c>
      <c r="G2214" s="95" t="s">
        <v>400</v>
      </c>
      <c r="H2214" s="96" t="str">
        <f>IF(Proc[[#This Row],[type]]="LFF (MDG-F)",MID(Proc[[#This Row],[Obj]],13,10),"")</f>
        <v/>
      </c>
      <c r="J2214" s="96" t="b">
        <f>Proc[[#This Row],[Requested]]=Proc[[#This Row],[CurrentParent]]</f>
        <v>1</v>
      </c>
      <c r="K2214" s="96" t="str">
        <f>IF(Proc[[#This Row],[Author]]="Marcela Urrego",VLOOKUP(LEFT(Proc[[#This Row],[Requested]],1),Table3[#All],2,0),VLOOKUP(Proc[[#This Row],[Author]],Table4[],2,0))</f>
        <v>HC</v>
      </c>
      <c r="L2214" s="96"/>
      <c r="M2214" s="92">
        <v>45807.678356481483</v>
      </c>
      <c r="N2214" s="93">
        <v>45810</v>
      </c>
      <c r="O2214" s="93">
        <v>45810</v>
      </c>
      <c r="P2214" s="92" t="str">
        <f ca="1">IF(Proc[[#This Row],[DaysAgeing]]&gt;5,"yep","on track")</f>
        <v>on track</v>
      </c>
      <c r="Q2214" s="3">
        <f ca="1">IF(Proc[[#This Row],[DateClosed]]="",ABS(NETWORKDAYS(Proc[[#This Row],[DateOpened]],TODAY()))-1,ABS(NETWORKDAYS(Proc[[#This Row],[DateOpened]],Proc[[#This Row],[DateClosed]]))-1)</f>
        <v>1</v>
      </c>
      <c r="R2214" s="92" t="s">
        <v>1013</v>
      </c>
      <c r="S2214" s="96"/>
    </row>
    <row r="2215" spans="1:19" hidden="1">
      <c r="A2215" s="95" t="s">
        <v>3748</v>
      </c>
      <c r="B2215" s="96" t="str">
        <f>IFERROR(VLOOKUP(Proc[[#This Row],[App]],Table2[],3,0),"open")</f>
        <v>ok</v>
      </c>
      <c r="C2215" s="95" t="s">
        <v>369</v>
      </c>
      <c r="D2215" t="s">
        <v>4051</v>
      </c>
      <c r="E2215" t="s">
        <v>4069</v>
      </c>
      <c r="F2215" s="105" t="s">
        <v>4069</v>
      </c>
      <c r="G2215" s="95" t="s">
        <v>400</v>
      </c>
      <c r="H2215" s="96" t="str">
        <f>IF(Proc[[#This Row],[type]]="LFF (MDG-F)",MID(Proc[[#This Row],[Obj]],13,10),"")</f>
        <v/>
      </c>
      <c r="J2215" s="96" t="b">
        <f>Proc[[#This Row],[Requested]]=Proc[[#This Row],[CurrentParent]]</f>
        <v>1</v>
      </c>
      <c r="K2215" s="96" t="str">
        <f>IF(Proc[[#This Row],[Author]]="Marcela Urrego",VLOOKUP(LEFT(Proc[[#This Row],[Requested]],1),Table3[#All],2,0),VLOOKUP(Proc[[#This Row],[Author]],Table4[],2,0))</f>
        <v>HC</v>
      </c>
      <c r="L2215" s="96"/>
      <c r="M2215" s="92">
        <v>45807.678356481483</v>
      </c>
      <c r="N2215" s="93">
        <v>45810</v>
      </c>
      <c r="O2215" s="93">
        <v>45810</v>
      </c>
      <c r="P2215" s="92" t="str">
        <f ca="1">IF(Proc[[#This Row],[DaysAgeing]]&gt;5,"yep","on track")</f>
        <v>on track</v>
      </c>
      <c r="Q2215" s="3">
        <f ca="1">IF(Proc[[#This Row],[DateClosed]]="",ABS(NETWORKDAYS(Proc[[#This Row],[DateOpened]],TODAY()))-1,ABS(NETWORKDAYS(Proc[[#This Row],[DateOpened]],Proc[[#This Row],[DateClosed]]))-1)</f>
        <v>1</v>
      </c>
      <c r="R2215" s="92" t="s">
        <v>1013</v>
      </c>
      <c r="S2215" s="96"/>
    </row>
    <row r="2216" spans="1:19" hidden="1">
      <c r="A2216" s="95" t="s">
        <v>3748</v>
      </c>
      <c r="B2216" s="96" t="str">
        <f>IFERROR(VLOOKUP(Proc[[#This Row],[App]],Table2[],3,0),"open")</f>
        <v>ok</v>
      </c>
      <c r="C2216" s="95" t="s">
        <v>369</v>
      </c>
      <c r="D2216" t="s">
        <v>4052</v>
      </c>
      <c r="E2216" t="s">
        <v>4069</v>
      </c>
      <c r="F2216" s="105" t="s">
        <v>4069</v>
      </c>
      <c r="G2216" s="95" t="s">
        <v>400</v>
      </c>
      <c r="H2216" s="96" t="str">
        <f>IF(Proc[[#This Row],[type]]="LFF (MDG-F)",MID(Proc[[#This Row],[Obj]],13,10),"")</f>
        <v/>
      </c>
      <c r="J2216" s="96" t="b">
        <f>Proc[[#This Row],[Requested]]=Proc[[#This Row],[CurrentParent]]</f>
        <v>1</v>
      </c>
      <c r="K2216" s="96" t="str">
        <f>IF(Proc[[#This Row],[Author]]="Marcela Urrego",VLOOKUP(LEFT(Proc[[#This Row],[Requested]],1),Table3[#All],2,0),VLOOKUP(Proc[[#This Row],[Author]],Table4[],2,0))</f>
        <v>HC</v>
      </c>
      <c r="L2216" s="96"/>
      <c r="M2216" s="92">
        <v>45807.678356481483</v>
      </c>
      <c r="N2216" s="93">
        <v>45810</v>
      </c>
      <c r="O2216" s="93">
        <v>45810</v>
      </c>
      <c r="P2216" s="92" t="str">
        <f ca="1">IF(Proc[[#This Row],[DaysAgeing]]&gt;5,"yep","on track")</f>
        <v>on track</v>
      </c>
      <c r="Q2216" s="3">
        <f ca="1">IF(Proc[[#This Row],[DateClosed]]="",ABS(NETWORKDAYS(Proc[[#This Row],[DateOpened]],TODAY()))-1,ABS(NETWORKDAYS(Proc[[#This Row],[DateOpened]],Proc[[#This Row],[DateClosed]]))-1)</f>
        <v>1</v>
      </c>
      <c r="R2216" s="92" t="s">
        <v>1013</v>
      </c>
      <c r="S2216" s="96"/>
    </row>
    <row r="2217" spans="1:19" hidden="1">
      <c r="A2217" s="95" t="s">
        <v>3748</v>
      </c>
      <c r="B2217" s="96" t="str">
        <f>IFERROR(VLOOKUP(Proc[[#This Row],[App]],Table2[],3,0),"open")</f>
        <v>ok</v>
      </c>
      <c r="C2217" s="95" t="s">
        <v>369</v>
      </c>
      <c r="D2217" t="s">
        <v>4053</v>
      </c>
      <c r="E2217" t="s">
        <v>4069</v>
      </c>
      <c r="F2217" s="105" t="s">
        <v>4069</v>
      </c>
      <c r="G2217" s="95" t="s">
        <v>400</v>
      </c>
      <c r="H2217" s="96" t="str">
        <f>IF(Proc[[#This Row],[type]]="LFF (MDG-F)",MID(Proc[[#This Row],[Obj]],13,10),"")</f>
        <v/>
      </c>
      <c r="J2217" s="96" t="b">
        <f>Proc[[#This Row],[Requested]]=Proc[[#This Row],[CurrentParent]]</f>
        <v>1</v>
      </c>
      <c r="K2217" s="96" t="str">
        <f>IF(Proc[[#This Row],[Author]]="Marcela Urrego",VLOOKUP(LEFT(Proc[[#This Row],[Requested]],1),Table3[#All],2,0),VLOOKUP(Proc[[#This Row],[Author]],Table4[],2,0))</f>
        <v>HC</v>
      </c>
      <c r="L2217" s="96"/>
      <c r="M2217" s="92">
        <v>45807.678356481483</v>
      </c>
      <c r="N2217" s="93">
        <v>45810</v>
      </c>
      <c r="O2217" s="93">
        <v>45810</v>
      </c>
      <c r="P2217" s="92" t="str">
        <f ca="1">IF(Proc[[#This Row],[DaysAgeing]]&gt;5,"yep","on track")</f>
        <v>on track</v>
      </c>
      <c r="Q2217" s="3">
        <f ca="1">IF(Proc[[#This Row],[DateClosed]]="",ABS(NETWORKDAYS(Proc[[#This Row],[DateOpened]],TODAY()))-1,ABS(NETWORKDAYS(Proc[[#This Row],[DateOpened]],Proc[[#This Row],[DateClosed]]))-1)</f>
        <v>1</v>
      </c>
      <c r="R2217" s="92" t="s">
        <v>1013</v>
      </c>
      <c r="S2217" s="96"/>
    </row>
    <row r="2218" spans="1:19" hidden="1">
      <c r="A2218" s="95" t="s">
        <v>3748</v>
      </c>
      <c r="B2218" s="96" t="str">
        <f>IFERROR(VLOOKUP(Proc[[#This Row],[App]],Table2[],3,0),"open")</f>
        <v>ok</v>
      </c>
      <c r="C2218" s="95" t="s">
        <v>369</v>
      </c>
      <c r="D2218" t="s">
        <v>4054</v>
      </c>
      <c r="E2218" t="s">
        <v>4069</v>
      </c>
      <c r="F2218" s="105" t="s">
        <v>4069</v>
      </c>
      <c r="G2218" s="95" t="s">
        <v>400</v>
      </c>
      <c r="H2218" s="96" t="str">
        <f>IF(Proc[[#This Row],[type]]="LFF (MDG-F)",MID(Proc[[#This Row],[Obj]],13,10),"")</f>
        <v/>
      </c>
      <c r="J2218" s="96" t="b">
        <f>Proc[[#This Row],[Requested]]=Proc[[#This Row],[CurrentParent]]</f>
        <v>1</v>
      </c>
      <c r="K2218" s="96" t="str">
        <f>IF(Proc[[#This Row],[Author]]="Marcela Urrego",VLOOKUP(LEFT(Proc[[#This Row],[Requested]],1),Table3[#All],2,0),VLOOKUP(Proc[[#This Row],[Author]],Table4[],2,0))</f>
        <v>HC</v>
      </c>
      <c r="L2218" s="96"/>
      <c r="M2218" s="92">
        <v>45807.678356481483</v>
      </c>
      <c r="N2218" s="93">
        <v>45810</v>
      </c>
      <c r="O2218" s="93">
        <v>45810</v>
      </c>
      <c r="P2218" s="92" t="str">
        <f ca="1">IF(Proc[[#This Row],[DaysAgeing]]&gt;5,"yep","on track")</f>
        <v>on track</v>
      </c>
      <c r="Q2218" s="3">
        <f ca="1">IF(Proc[[#This Row],[DateClosed]]="",ABS(NETWORKDAYS(Proc[[#This Row],[DateOpened]],TODAY()))-1,ABS(NETWORKDAYS(Proc[[#This Row],[DateOpened]],Proc[[#This Row],[DateClosed]]))-1)</f>
        <v>1</v>
      </c>
      <c r="R2218" s="92" t="s">
        <v>1013</v>
      </c>
      <c r="S2218" s="96"/>
    </row>
    <row r="2219" spans="1:19" hidden="1">
      <c r="A2219" s="95" t="s">
        <v>3748</v>
      </c>
      <c r="B2219" s="96" t="str">
        <f>IFERROR(VLOOKUP(Proc[[#This Row],[App]],Table2[],3,0),"open")</f>
        <v>ok</v>
      </c>
      <c r="C2219" s="95" t="s">
        <v>369</v>
      </c>
      <c r="D2219" t="s">
        <v>4055</v>
      </c>
      <c r="E2219" t="s">
        <v>4069</v>
      </c>
      <c r="F2219" s="105" t="s">
        <v>4069</v>
      </c>
      <c r="G2219" s="95" t="s">
        <v>400</v>
      </c>
      <c r="H2219" s="96" t="str">
        <f>IF(Proc[[#This Row],[type]]="LFF (MDG-F)",MID(Proc[[#This Row],[Obj]],13,10),"")</f>
        <v/>
      </c>
      <c r="J2219" s="96" t="b">
        <f>Proc[[#This Row],[Requested]]=Proc[[#This Row],[CurrentParent]]</f>
        <v>1</v>
      </c>
      <c r="K2219" s="96" t="str">
        <f>IF(Proc[[#This Row],[Author]]="Marcela Urrego",VLOOKUP(LEFT(Proc[[#This Row],[Requested]],1),Table3[#All],2,0),VLOOKUP(Proc[[#This Row],[Author]],Table4[],2,0))</f>
        <v>HC</v>
      </c>
      <c r="L2219" s="96"/>
      <c r="M2219" s="92">
        <v>45807.678356481483</v>
      </c>
      <c r="N2219" s="93">
        <v>45810</v>
      </c>
      <c r="O2219" s="93">
        <v>45810</v>
      </c>
      <c r="P2219" s="92" t="str">
        <f ca="1">IF(Proc[[#This Row],[DaysAgeing]]&gt;5,"yep","on track")</f>
        <v>on track</v>
      </c>
      <c r="Q2219" s="3">
        <f ca="1">IF(Proc[[#This Row],[DateClosed]]="",ABS(NETWORKDAYS(Proc[[#This Row],[DateOpened]],TODAY()))-1,ABS(NETWORKDAYS(Proc[[#This Row],[DateOpened]],Proc[[#This Row],[DateClosed]]))-1)</f>
        <v>1</v>
      </c>
      <c r="R2219" s="92" t="s">
        <v>1013</v>
      </c>
      <c r="S2219" s="96"/>
    </row>
    <row r="2220" spans="1:19" hidden="1">
      <c r="A2220" s="95" t="s">
        <v>3748</v>
      </c>
      <c r="B2220" s="96" t="str">
        <f>IFERROR(VLOOKUP(Proc[[#This Row],[App]],Table2[],3,0),"open")</f>
        <v>ok</v>
      </c>
      <c r="C2220" s="95" t="s">
        <v>369</v>
      </c>
      <c r="D2220" t="s">
        <v>4056</v>
      </c>
      <c r="E2220" t="s">
        <v>4069</v>
      </c>
      <c r="F2220" s="105" t="s">
        <v>4069</v>
      </c>
      <c r="G2220" s="95" t="s">
        <v>400</v>
      </c>
      <c r="H2220" s="96" t="str">
        <f>IF(Proc[[#This Row],[type]]="LFF (MDG-F)",MID(Proc[[#This Row],[Obj]],13,10),"")</f>
        <v/>
      </c>
      <c r="J2220" s="96" t="b">
        <f>Proc[[#This Row],[Requested]]=Proc[[#This Row],[CurrentParent]]</f>
        <v>1</v>
      </c>
      <c r="K2220" s="96" t="str">
        <f>IF(Proc[[#This Row],[Author]]="Marcela Urrego",VLOOKUP(LEFT(Proc[[#This Row],[Requested]],1),Table3[#All],2,0),VLOOKUP(Proc[[#This Row],[Author]],Table4[],2,0))</f>
        <v>HC</v>
      </c>
      <c r="L2220" s="96"/>
      <c r="M2220" s="92">
        <v>45807.678356481483</v>
      </c>
      <c r="N2220" s="93">
        <v>45810</v>
      </c>
      <c r="O2220" s="93">
        <v>45810</v>
      </c>
      <c r="P2220" s="92" t="str">
        <f ca="1">IF(Proc[[#This Row],[DaysAgeing]]&gt;5,"yep","on track")</f>
        <v>on track</v>
      </c>
      <c r="Q2220" s="3">
        <f ca="1">IF(Proc[[#This Row],[DateClosed]]="",ABS(NETWORKDAYS(Proc[[#This Row],[DateOpened]],TODAY()))-1,ABS(NETWORKDAYS(Proc[[#This Row],[DateOpened]],Proc[[#This Row],[DateClosed]]))-1)</f>
        <v>1</v>
      </c>
      <c r="R2220" s="92" t="s">
        <v>1013</v>
      </c>
      <c r="S2220" s="96"/>
    </row>
    <row r="2221" spans="1:19" hidden="1">
      <c r="A2221" s="95" t="s">
        <v>3748</v>
      </c>
      <c r="B2221" s="96" t="str">
        <f>IFERROR(VLOOKUP(Proc[[#This Row],[App]],Table2[],3,0),"open")</f>
        <v>ok</v>
      </c>
      <c r="C2221" s="95" t="s">
        <v>369</v>
      </c>
      <c r="D2221" t="s">
        <v>4057</v>
      </c>
      <c r="E2221" t="s">
        <v>4069</v>
      </c>
      <c r="F2221" s="105" t="s">
        <v>4069</v>
      </c>
      <c r="G2221" s="95" t="s">
        <v>400</v>
      </c>
      <c r="H2221" s="96" t="str">
        <f>IF(Proc[[#This Row],[type]]="LFF (MDG-F)",MID(Proc[[#This Row],[Obj]],13,10),"")</f>
        <v/>
      </c>
      <c r="J2221" s="96" t="b">
        <f>Proc[[#This Row],[Requested]]=Proc[[#This Row],[CurrentParent]]</f>
        <v>1</v>
      </c>
      <c r="K2221" s="96" t="str">
        <f>IF(Proc[[#This Row],[Author]]="Marcela Urrego",VLOOKUP(LEFT(Proc[[#This Row],[Requested]],1),Table3[#All],2,0),VLOOKUP(Proc[[#This Row],[Author]],Table4[],2,0))</f>
        <v>HC</v>
      </c>
      <c r="L2221" s="96"/>
      <c r="M2221" s="92">
        <v>45807.678356481483</v>
      </c>
      <c r="N2221" s="93">
        <v>45810</v>
      </c>
      <c r="O2221" s="93">
        <v>45810</v>
      </c>
      <c r="P2221" s="92" t="str">
        <f ca="1">IF(Proc[[#This Row],[DaysAgeing]]&gt;5,"yep","on track")</f>
        <v>on track</v>
      </c>
      <c r="Q2221" s="3">
        <f ca="1">IF(Proc[[#This Row],[DateClosed]]="",ABS(NETWORKDAYS(Proc[[#This Row],[DateOpened]],TODAY()))-1,ABS(NETWORKDAYS(Proc[[#This Row],[DateOpened]],Proc[[#This Row],[DateClosed]]))-1)</f>
        <v>1</v>
      </c>
      <c r="R2221" s="92" t="s">
        <v>1013</v>
      </c>
      <c r="S2221" s="96"/>
    </row>
    <row r="2222" spans="1:19" hidden="1">
      <c r="A2222" s="95" t="s">
        <v>3748</v>
      </c>
      <c r="B2222" s="96" t="str">
        <f>IFERROR(VLOOKUP(Proc[[#This Row],[App]],Table2[],3,0),"open")</f>
        <v>ok</v>
      </c>
      <c r="C2222" s="95" t="s">
        <v>369</v>
      </c>
      <c r="D2222" t="s">
        <v>4058</v>
      </c>
      <c r="E2222" t="s">
        <v>4069</v>
      </c>
      <c r="F2222" s="105" t="s">
        <v>4069</v>
      </c>
      <c r="G2222" s="95" t="s">
        <v>400</v>
      </c>
      <c r="H2222" s="96" t="str">
        <f>IF(Proc[[#This Row],[type]]="LFF (MDG-F)",MID(Proc[[#This Row],[Obj]],13,10),"")</f>
        <v/>
      </c>
      <c r="J2222" s="96" t="b">
        <f>Proc[[#This Row],[Requested]]=Proc[[#This Row],[CurrentParent]]</f>
        <v>1</v>
      </c>
      <c r="K2222" s="96" t="str">
        <f>IF(Proc[[#This Row],[Author]]="Marcela Urrego",VLOOKUP(LEFT(Proc[[#This Row],[Requested]],1),Table3[#All],2,0),VLOOKUP(Proc[[#This Row],[Author]],Table4[],2,0))</f>
        <v>HC</v>
      </c>
      <c r="L2222" s="96"/>
      <c r="M2222" s="92">
        <v>45807.678356481483</v>
      </c>
      <c r="N2222" s="93">
        <v>45810</v>
      </c>
      <c r="O2222" s="93">
        <v>45810</v>
      </c>
      <c r="P2222" s="92" t="str">
        <f ca="1">IF(Proc[[#This Row],[DaysAgeing]]&gt;5,"yep","on track")</f>
        <v>on track</v>
      </c>
      <c r="Q2222" s="3">
        <f ca="1">IF(Proc[[#This Row],[DateClosed]]="",ABS(NETWORKDAYS(Proc[[#This Row],[DateOpened]],TODAY()))-1,ABS(NETWORKDAYS(Proc[[#This Row],[DateOpened]],Proc[[#This Row],[DateClosed]]))-1)</f>
        <v>1</v>
      </c>
      <c r="R2222" s="92" t="s">
        <v>1013</v>
      </c>
      <c r="S2222" s="96"/>
    </row>
    <row r="2223" spans="1:19" hidden="1">
      <c r="A2223" s="95" t="s">
        <v>3748</v>
      </c>
      <c r="B2223" s="96" t="str">
        <f>IFERROR(VLOOKUP(Proc[[#This Row],[App]],Table2[],3,0),"open")</f>
        <v>ok</v>
      </c>
      <c r="C2223" s="95" t="s">
        <v>369</v>
      </c>
      <c r="D2223" t="s">
        <v>4059</v>
      </c>
      <c r="E2223" t="s">
        <v>4069</v>
      </c>
      <c r="F2223" s="105" t="s">
        <v>4069</v>
      </c>
      <c r="G2223" s="95" t="s">
        <v>400</v>
      </c>
      <c r="H2223" s="96" t="str">
        <f>IF(Proc[[#This Row],[type]]="LFF (MDG-F)",MID(Proc[[#This Row],[Obj]],13,10),"")</f>
        <v/>
      </c>
      <c r="J2223" s="96" t="b">
        <f>Proc[[#This Row],[Requested]]=Proc[[#This Row],[CurrentParent]]</f>
        <v>1</v>
      </c>
      <c r="K2223" s="96" t="str">
        <f>IF(Proc[[#This Row],[Author]]="Marcela Urrego",VLOOKUP(LEFT(Proc[[#This Row],[Requested]],1),Table3[#All],2,0),VLOOKUP(Proc[[#This Row],[Author]],Table4[],2,0))</f>
        <v>HC</v>
      </c>
      <c r="L2223" s="96"/>
      <c r="M2223" s="92">
        <v>45807.678356481483</v>
      </c>
      <c r="N2223" s="93">
        <v>45810</v>
      </c>
      <c r="O2223" s="93">
        <v>45810</v>
      </c>
      <c r="P2223" s="92" t="str">
        <f ca="1">IF(Proc[[#This Row],[DaysAgeing]]&gt;5,"yep","on track")</f>
        <v>on track</v>
      </c>
      <c r="Q2223" s="3">
        <f ca="1">IF(Proc[[#This Row],[DateClosed]]="",ABS(NETWORKDAYS(Proc[[#This Row],[DateOpened]],TODAY()))-1,ABS(NETWORKDAYS(Proc[[#This Row],[DateOpened]],Proc[[#This Row],[DateClosed]]))-1)</f>
        <v>1</v>
      </c>
      <c r="R2223" s="92" t="s">
        <v>1013</v>
      </c>
      <c r="S2223" s="96"/>
    </row>
    <row r="2224" spans="1:19" hidden="1">
      <c r="A2224" s="95" t="s">
        <v>3748</v>
      </c>
      <c r="B2224" s="96" t="str">
        <f>IFERROR(VLOOKUP(Proc[[#This Row],[App]],Table2[],3,0),"open")</f>
        <v>ok</v>
      </c>
      <c r="C2224" s="95" t="s">
        <v>369</v>
      </c>
      <c r="D2224" t="s">
        <v>4060</v>
      </c>
      <c r="E2224" t="s">
        <v>4069</v>
      </c>
      <c r="F2224" s="105" t="s">
        <v>4069</v>
      </c>
      <c r="G2224" s="95" t="s">
        <v>400</v>
      </c>
      <c r="H2224" s="96" t="str">
        <f>IF(Proc[[#This Row],[type]]="LFF (MDG-F)",MID(Proc[[#This Row],[Obj]],13,10),"")</f>
        <v/>
      </c>
      <c r="J2224" s="96" t="b">
        <f>Proc[[#This Row],[Requested]]=Proc[[#This Row],[CurrentParent]]</f>
        <v>1</v>
      </c>
      <c r="K2224" s="96" t="str">
        <f>IF(Proc[[#This Row],[Author]]="Marcela Urrego",VLOOKUP(LEFT(Proc[[#This Row],[Requested]],1),Table3[#All],2,0),VLOOKUP(Proc[[#This Row],[Author]],Table4[],2,0))</f>
        <v>HC</v>
      </c>
      <c r="L2224" s="96"/>
      <c r="M2224" s="92">
        <v>45807.678356481483</v>
      </c>
      <c r="N2224" s="93">
        <v>45810</v>
      </c>
      <c r="O2224" s="93">
        <v>45810</v>
      </c>
      <c r="P2224" s="92" t="str">
        <f ca="1">IF(Proc[[#This Row],[DaysAgeing]]&gt;5,"yep","on track")</f>
        <v>on track</v>
      </c>
      <c r="Q2224" s="3">
        <f ca="1">IF(Proc[[#This Row],[DateClosed]]="",ABS(NETWORKDAYS(Proc[[#This Row],[DateOpened]],TODAY()))-1,ABS(NETWORKDAYS(Proc[[#This Row],[DateOpened]],Proc[[#This Row],[DateClosed]]))-1)</f>
        <v>1</v>
      </c>
      <c r="R2224" s="92" t="s">
        <v>1013</v>
      </c>
      <c r="S2224" s="96"/>
    </row>
    <row r="2225" spans="1:19" hidden="1">
      <c r="A2225" s="95" t="s">
        <v>3748</v>
      </c>
      <c r="B2225" s="96" t="str">
        <f>IFERROR(VLOOKUP(Proc[[#This Row],[App]],Table2[],3,0),"open")</f>
        <v>ok</v>
      </c>
      <c r="C2225" s="95" t="s">
        <v>369</v>
      </c>
      <c r="D2225" t="s">
        <v>4061</v>
      </c>
      <c r="E2225" t="s">
        <v>4069</v>
      </c>
      <c r="F2225" s="105" t="s">
        <v>4069</v>
      </c>
      <c r="G2225" s="95" t="s">
        <v>400</v>
      </c>
      <c r="H2225" s="96" t="str">
        <f>IF(Proc[[#This Row],[type]]="LFF (MDG-F)",MID(Proc[[#This Row],[Obj]],13,10),"")</f>
        <v/>
      </c>
      <c r="J2225" s="96" t="b">
        <f>Proc[[#This Row],[Requested]]=Proc[[#This Row],[CurrentParent]]</f>
        <v>1</v>
      </c>
      <c r="K2225" s="96" t="str">
        <f>IF(Proc[[#This Row],[Author]]="Marcela Urrego",VLOOKUP(LEFT(Proc[[#This Row],[Requested]],1),Table3[#All],2,0),VLOOKUP(Proc[[#This Row],[Author]],Table4[],2,0))</f>
        <v>HC</v>
      </c>
      <c r="L2225" s="96"/>
      <c r="M2225" s="92">
        <v>45807.678356481483</v>
      </c>
      <c r="N2225" s="93">
        <v>45810</v>
      </c>
      <c r="O2225" s="93">
        <v>45810</v>
      </c>
      <c r="P2225" s="92" t="str">
        <f ca="1">IF(Proc[[#This Row],[DaysAgeing]]&gt;5,"yep","on track")</f>
        <v>on track</v>
      </c>
      <c r="Q2225" s="3">
        <f ca="1">IF(Proc[[#This Row],[DateClosed]]="",ABS(NETWORKDAYS(Proc[[#This Row],[DateOpened]],TODAY()))-1,ABS(NETWORKDAYS(Proc[[#This Row],[DateOpened]],Proc[[#This Row],[DateClosed]]))-1)</f>
        <v>1</v>
      </c>
      <c r="R2225" s="92" t="s">
        <v>1013</v>
      </c>
      <c r="S2225" s="96"/>
    </row>
    <row r="2226" spans="1:19" hidden="1">
      <c r="A2226" s="95" t="s">
        <v>3748</v>
      </c>
      <c r="B2226" s="96" t="str">
        <f>IFERROR(VLOOKUP(Proc[[#This Row],[App]],Table2[],3,0),"open")</f>
        <v>ok</v>
      </c>
      <c r="C2226" s="95" t="s">
        <v>369</v>
      </c>
      <c r="D2226" t="s">
        <v>4062</v>
      </c>
      <c r="E2226" t="s">
        <v>4069</v>
      </c>
      <c r="F2226" s="105" t="s">
        <v>4069</v>
      </c>
      <c r="G2226" s="95" t="s">
        <v>400</v>
      </c>
      <c r="H2226" s="96" t="str">
        <f>IF(Proc[[#This Row],[type]]="LFF (MDG-F)",MID(Proc[[#This Row],[Obj]],13,10),"")</f>
        <v/>
      </c>
      <c r="J2226" s="96" t="b">
        <f>Proc[[#This Row],[Requested]]=Proc[[#This Row],[CurrentParent]]</f>
        <v>1</v>
      </c>
      <c r="K2226" s="96" t="str">
        <f>IF(Proc[[#This Row],[Author]]="Marcela Urrego",VLOOKUP(LEFT(Proc[[#This Row],[Requested]],1),Table3[#All],2,0),VLOOKUP(Proc[[#This Row],[Author]],Table4[],2,0))</f>
        <v>HC</v>
      </c>
      <c r="L2226" s="96"/>
      <c r="M2226" s="92">
        <v>45807.678356481483</v>
      </c>
      <c r="N2226" s="93">
        <v>45810</v>
      </c>
      <c r="O2226" s="93">
        <v>45810</v>
      </c>
      <c r="P2226" s="92" t="str">
        <f ca="1">IF(Proc[[#This Row],[DaysAgeing]]&gt;5,"yep","on track")</f>
        <v>on track</v>
      </c>
      <c r="Q2226" s="3">
        <f ca="1">IF(Proc[[#This Row],[DateClosed]]="",ABS(NETWORKDAYS(Proc[[#This Row],[DateOpened]],TODAY()))-1,ABS(NETWORKDAYS(Proc[[#This Row],[DateOpened]],Proc[[#This Row],[DateClosed]]))-1)</f>
        <v>1</v>
      </c>
      <c r="R2226" s="92" t="s">
        <v>1013</v>
      </c>
      <c r="S2226" s="96"/>
    </row>
    <row r="2227" spans="1:19" hidden="1">
      <c r="A2227" s="95" t="s">
        <v>3748</v>
      </c>
      <c r="B2227" s="96" t="str">
        <f>IFERROR(VLOOKUP(Proc[[#This Row],[App]],Table2[],3,0),"open")</f>
        <v>ok</v>
      </c>
      <c r="C2227" s="95" t="s">
        <v>369</v>
      </c>
      <c r="D2227" t="s">
        <v>4063</v>
      </c>
      <c r="E2227" t="s">
        <v>4069</v>
      </c>
      <c r="F2227" s="105" t="s">
        <v>4069</v>
      </c>
      <c r="G2227" s="95" t="s">
        <v>400</v>
      </c>
      <c r="H2227" s="96" t="str">
        <f>IF(Proc[[#This Row],[type]]="LFF (MDG-F)",MID(Proc[[#This Row],[Obj]],13,10),"")</f>
        <v/>
      </c>
      <c r="J2227" s="96" t="b">
        <f>Proc[[#This Row],[Requested]]=Proc[[#This Row],[CurrentParent]]</f>
        <v>1</v>
      </c>
      <c r="K2227" s="96" t="str">
        <f>IF(Proc[[#This Row],[Author]]="Marcela Urrego",VLOOKUP(LEFT(Proc[[#This Row],[Requested]],1),Table3[#All],2,0),VLOOKUP(Proc[[#This Row],[Author]],Table4[],2,0))</f>
        <v>HC</v>
      </c>
      <c r="L2227" s="96"/>
      <c r="M2227" s="92">
        <v>45807.678356481483</v>
      </c>
      <c r="N2227" s="93">
        <v>45810</v>
      </c>
      <c r="O2227" s="93">
        <v>45810</v>
      </c>
      <c r="P2227" s="92" t="str">
        <f ca="1">IF(Proc[[#This Row],[DaysAgeing]]&gt;5,"yep","on track")</f>
        <v>on track</v>
      </c>
      <c r="Q2227" s="3">
        <f ca="1">IF(Proc[[#This Row],[DateClosed]]="",ABS(NETWORKDAYS(Proc[[#This Row],[DateOpened]],TODAY()))-1,ABS(NETWORKDAYS(Proc[[#This Row],[DateOpened]],Proc[[#This Row],[DateClosed]]))-1)</f>
        <v>1</v>
      </c>
      <c r="R2227" s="92" t="s">
        <v>1013</v>
      </c>
      <c r="S2227" s="96"/>
    </row>
    <row r="2228" spans="1:19" hidden="1">
      <c r="A2228" s="95" t="s">
        <v>3748</v>
      </c>
      <c r="B2228" s="96" t="str">
        <f>IFERROR(VLOOKUP(Proc[[#This Row],[App]],Table2[],3,0),"open")</f>
        <v>ok</v>
      </c>
      <c r="C2228" s="95" t="s">
        <v>369</v>
      </c>
      <c r="D2228" t="s">
        <v>4064</v>
      </c>
      <c r="E2228" t="s">
        <v>4069</v>
      </c>
      <c r="F2228" s="105" t="s">
        <v>4069</v>
      </c>
      <c r="G2228" s="95" t="s">
        <v>400</v>
      </c>
      <c r="H2228" s="96" t="str">
        <f>IF(Proc[[#This Row],[type]]="LFF (MDG-F)",MID(Proc[[#This Row],[Obj]],13,10),"")</f>
        <v/>
      </c>
      <c r="J2228" s="96" t="b">
        <f>Proc[[#This Row],[Requested]]=Proc[[#This Row],[CurrentParent]]</f>
        <v>1</v>
      </c>
      <c r="K2228" s="96" t="str">
        <f>IF(Proc[[#This Row],[Author]]="Marcela Urrego",VLOOKUP(LEFT(Proc[[#This Row],[Requested]],1),Table3[#All],2,0),VLOOKUP(Proc[[#This Row],[Author]],Table4[],2,0))</f>
        <v>HC</v>
      </c>
      <c r="L2228" s="96"/>
      <c r="M2228" s="92">
        <v>45807.678356481483</v>
      </c>
      <c r="N2228" s="93">
        <v>45810</v>
      </c>
      <c r="O2228" s="93">
        <v>45810</v>
      </c>
      <c r="P2228" s="92" t="str">
        <f ca="1">IF(Proc[[#This Row],[DaysAgeing]]&gt;5,"yep","on track")</f>
        <v>on track</v>
      </c>
      <c r="Q2228" s="3">
        <f ca="1">IF(Proc[[#This Row],[DateClosed]]="",ABS(NETWORKDAYS(Proc[[#This Row],[DateOpened]],TODAY()))-1,ABS(NETWORKDAYS(Proc[[#This Row],[DateOpened]],Proc[[#This Row],[DateClosed]]))-1)</f>
        <v>1</v>
      </c>
      <c r="R2228" s="92" t="s">
        <v>1013</v>
      </c>
      <c r="S2228" s="96"/>
    </row>
    <row r="2229" spans="1:19" hidden="1">
      <c r="A2229" s="95" t="s">
        <v>3748</v>
      </c>
      <c r="B2229" s="96" t="str">
        <f>IFERROR(VLOOKUP(Proc[[#This Row],[App]],Table2[],3,0),"open")</f>
        <v>ok</v>
      </c>
      <c r="C2229" s="95" t="s">
        <v>369</v>
      </c>
      <c r="D2229" t="s">
        <v>4065</v>
      </c>
      <c r="E2229" t="s">
        <v>4069</v>
      </c>
      <c r="F2229" s="105" t="s">
        <v>4069</v>
      </c>
      <c r="G2229" s="95" t="s">
        <v>400</v>
      </c>
      <c r="H2229" s="96" t="str">
        <f>IF(Proc[[#This Row],[type]]="LFF (MDG-F)",MID(Proc[[#This Row],[Obj]],13,10),"")</f>
        <v/>
      </c>
      <c r="J2229" s="96" t="b">
        <f>Proc[[#This Row],[Requested]]=Proc[[#This Row],[CurrentParent]]</f>
        <v>1</v>
      </c>
      <c r="K2229" s="96" t="str">
        <f>IF(Proc[[#This Row],[Author]]="Marcela Urrego",VLOOKUP(LEFT(Proc[[#This Row],[Requested]],1),Table3[#All],2,0),VLOOKUP(Proc[[#This Row],[Author]],Table4[],2,0))</f>
        <v>HC</v>
      </c>
      <c r="L2229" s="96"/>
      <c r="M2229" s="92">
        <v>45807.678356481483</v>
      </c>
      <c r="N2229" s="93">
        <v>45810</v>
      </c>
      <c r="O2229" s="93">
        <v>45810</v>
      </c>
      <c r="P2229" s="92" t="str">
        <f ca="1">IF(Proc[[#This Row],[DaysAgeing]]&gt;5,"yep","on track")</f>
        <v>on track</v>
      </c>
      <c r="Q2229" s="3">
        <f ca="1">IF(Proc[[#This Row],[DateClosed]]="",ABS(NETWORKDAYS(Proc[[#This Row],[DateOpened]],TODAY()))-1,ABS(NETWORKDAYS(Proc[[#This Row],[DateOpened]],Proc[[#This Row],[DateClosed]]))-1)</f>
        <v>1</v>
      </c>
      <c r="R2229" s="92" t="s">
        <v>1013</v>
      </c>
      <c r="S2229" s="96"/>
    </row>
    <row r="2230" spans="1:19" hidden="1">
      <c r="A2230" s="95" t="s">
        <v>3748</v>
      </c>
      <c r="B2230" s="96" t="str">
        <f>IFERROR(VLOOKUP(Proc[[#This Row],[App]],Table2[],3,0),"open")</f>
        <v>ok</v>
      </c>
      <c r="C2230" s="95" t="s">
        <v>369</v>
      </c>
      <c r="D2230" t="s">
        <v>4066</v>
      </c>
      <c r="E2230" t="s">
        <v>2274</v>
      </c>
      <c r="F2230" s="105" t="s">
        <v>2274</v>
      </c>
      <c r="G2230" s="95" t="s">
        <v>400</v>
      </c>
      <c r="H2230" s="96" t="str">
        <f>IF(Proc[[#This Row],[type]]="LFF (MDG-F)",MID(Proc[[#This Row],[Obj]],13,10),"")</f>
        <v/>
      </c>
      <c r="J2230" s="96" t="b">
        <f>Proc[[#This Row],[Requested]]=Proc[[#This Row],[CurrentParent]]</f>
        <v>1</v>
      </c>
      <c r="K2230" s="96" t="str">
        <f>IF(Proc[[#This Row],[Author]]="Marcela Urrego",VLOOKUP(LEFT(Proc[[#This Row],[Requested]],1),Table3[#All],2,0),VLOOKUP(Proc[[#This Row],[Author]],Table4[],2,0))</f>
        <v>HC</v>
      </c>
      <c r="L2230" s="96"/>
      <c r="M2230" s="92">
        <v>45807.678356481483</v>
      </c>
      <c r="N2230" s="93">
        <v>45810</v>
      </c>
      <c r="O2230" s="93">
        <v>45810</v>
      </c>
      <c r="P2230" s="92" t="str">
        <f ca="1">IF(Proc[[#This Row],[DaysAgeing]]&gt;5,"yep","on track")</f>
        <v>on track</v>
      </c>
      <c r="Q2230" s="3">
        <f ca="1">IF(Proc[[#This Row],[DateClosed]]="",ABS(NETWORKDAYS(Proc[[#This Row],[DateOpened]],TODAY()))-1,ABS(NETWORKDAYS(Proc[[#This Row],[DateOpened]],Proc[[#This Row],[DateClosed]]))-1)</f>
        <v>1</v>
      </c>
      <c r="R2230" s="92" t="s">
        <v>1013</v>
      </c>
      <c r="S2230" s="96"/>
    </row>
    <row r="2231" spans="1:19" hidden="1">
      <c r="A2231" t="s">
        <v>3625</v>
      </c>
      <c r="B2231" s="96" t="str">
        <f>IFERROR(VLOOKUP(Proc[[#This Row],[App]],Table2[],3,0),"open")</f>
        <v>ok</v>
      </c>
      <c r="C2231" s="95" t="s">
        <v>369</v>
      </c>
      <c r="D2231" t="s">
        <v>4073</v>
      </c>
      <c r="E2231" t="s">
        <v>3626</v>
      </c>
      <c r="F2231" s="105" t="s">
        <v>3626</v>
      </c>
      <c r="G2231" s="95" t="s">
        <v>400</v>
      </c>
      <c r="H2231" s="96" t="str">
        <f>IF(Proc[[#This Row],[type]]="LFF (MDG-F)",MID(Proc[[#This Row],[Obj]],13,10),"")</f>
        <v/>
      </c>
      <c r="J2231" s="96" t="b">
        <f>Proc[[#This Row],[Requested]]=Proc[[#This Row],[CurrentParent]]</f>
        <v>1</v>
      </c>
      <c r="K2231" s="96" t="str">
        <f>IF(Proc[[#This Row],[Author]]="Marcela Urrego",VLOOKUP(LEFT(Proc[[#This Row],[Requested]],1),Table3[#All],2,0),VLOOKUP(Proc[[#This Row],[Author]],Table4[],2,0))</f>
        <v>HC</v>
      </c>
      <c r="L2231" s="96"/>
      <c r="M2231" s="93">
        <v>45806.441412037035</v>
      </c>
      <c r="N2231" s="93">
        <v>45810</v>
      </c>
      <c r="O2231" s="93">
        <v>45810</v>
      </c>
      <c r="P2231" s="97" t="str">
        <f ca="1">IF(Proc[[#This Row],[DaysAgeing]]&gt;5,"yep","on track")</f>
        <v>on track</v>
      </c>
      <c r="Q2231" s="3">
        <f ca="1">IF(Proc[[#This Row],[DateClosed]]="",ABS(NETWORKDAYS(Proc[[#This Row],[DateOpened]],TODAY()))-1,ABS(NETWORKDAYS(Proc[[#This Row],[DateOpened]],Proc[[#This Row],[DateClosed]]))-1)</f>
        <v>2</v>
      </c>
      <c r="R2231" s="97" t="s">
        <v>478</v>
      </c>
      <c r="S2231" s="96"/>
    </row>
    <row r="2232" spans="1:19" hidden="1">
      <c r="A2232" t="s">
        <v>4075</v>
      </c>
      <c r="B2232" s="96" t="str">
        <f>IFERROR(VLOOKUP(Proc[[#This Row],[App]],Table2[],3,0),"open")</f>
        <v>ok</v>
      </c>
      <c r="C2232" t="s">
        <v>369</v>
      </c>
      <c r="D2232" t="s">
        <v>4076</v>
      </c>
      <c r="E2232" t="s">
        <v>1522</v>
      </c>
      <c r="F2232" s="105" t="s">
        <v>1522</v>
      </c>
      <c r="G2232" s="95" t="s">
        <v>400</v>
      </c>
      <c r="H2232" s="96" t="str">
        <f>IF(Proc[[#This Row],[type]]="LFF (MDG-F)",MID(Proc[[#This Row],[Obj]],13,10),"")</f>
        <v/>
      </c>
      <c r="J2232" s="96" t="b">
        <f>Proc[[#This Row],[Requested]]=Proc[[#This Row],[CurrentParent]]</f>
        <v>1</v>
      </c>
      <c r="K2232" s="96" t="str">
        <f>IF(Proc[[#This Row],[Author]]="Marcela Urrego",VLOOKUP(LEFT(Proc[[#This Row],[Requested]],1),Table3[#All],2,0),VLOOKUP(Proc[[#This Row],[Author]],Table4[],2,0))</f>
        <v>LS</v>
      </c>
      <c r="L2232" s="96"/>
      <c r="M2232" s="93">
        <v>45810.136655092596</v>
      </c>
      <c r="N2232" s="93">
        <v>45811</v>
      </c>
      <c r="O2232" s="93">
        <v>45811</v>
      </c>
      <c r="P2232" s="97" t="str">
        <f ca="1">IF(Proc[[#This Row],[DaysAgeing]]&gt;5,"yep","on track")</f>
        <v>on track</v>
      </c>
      <c r="Q2232" s="3">
        <f ca="1">IF(Proc[[#This Row],[DateClosed]]="",ABS(NETWORKDAYS(Proc[[#This Row],[DateOpened]],TODAY()))-1,ABS(NETWORKDAYS(Proc[[#This Row],[DateOpened]],Proc[[#This Row],[DateClosed]]))-1)</f>
        <v>1</v>
      </c>
      <c r="R2232" s="97" t="s">
        <v>489</v>
      </c>
      <c r="S2232" s="96"/>
    </row>
    <row r="2233" spans="1:19" hidden="1">
      <c r="A2233" t="s">
        <v>4077</v>
      </c>
      <c r="B2233" s="96" t="str">
        <f>IFERROR(VLOOKUP(Proc[[#This Row],[App]],Table2[],3,0),"open")</f>
        <v>ok</v>
      </c>
      <c r="C2233" t="s">
        <v>369</v>
      </c>
      <c r="D2233" t="s">
        <v>4078</v>
      </c>
      <c r="E2233" t="s">
        <v>2417</v>
      </c>
      <c r="F2233" s="105" t="s">
        <v>2417</v>
      </c>
      <c r="G2233" t="s">
        <v>406</v>
      </c>
      <c r="H2233" s="96" t="str">
        <f>IF(Proc[[#This Row],[type]]="LFF (MDG-F)",MID(Proc[[#This Row],[Obj]],13,10),"")</f>
        <v>CZ50GIT01D</v>
      </c>
      <c r="I2233" t="s">
        <v>4083</v>
      </c>
      <c r="J2233" s="96" t="b">
        <f>Proc[[#This Row],[Requested]]=Proc[[#This Row],[CurrentParent]]</f>
        <v>1</v>
      </c>
      <c r="K2233" s="96" t="str">
        <f>IF(Proc[[#This Row],[Author]]="Marcela Urrego",VLOOKUP(LEFT(Proc[[#This Row],[Requested]],1),Table3[#All],2,0),VLOOKUP(Proc[[#This Row],[Author]],Table4[],2,0))</f>
        <v>MGF</v>
      </c>
      <c r="L2233" s="96"/>
      <c r="M2233" s="93">
        <v>45810.40115740741</v>
      </c>
      <c r="N2233" s="93">
        <v>45811</v>
      </c>
      <c r="O2233" s="93">
        <v>45811</v>
      </c>
      <c r="P2233" s="97" t="str">
        <f ca="1">IF(Proc[[#This Row],[DaysAgeing]]&gt;5,"yep","on track")</f>
        <v>on track</v>
      </c>
      <c r="Q2233" s="3">
        <f ca="1">IF(Proc[[#This Row],[DateClosed]]="",ABS(NETWORKDAYS(Proc[[#This Row],[DateOpened]],TODAY()))-1,ABS(NETWORKDAYS(Proc[[#This Row],[DateOpened]],Proc[[#This Row],[DateClosed]]))-1)</f>
        <v>1</v>
      </c>
      <c r="R2233" s="97" t="s">
        <v>515</v>
      </c>
      <c r="S2233" s="96"/>
    </row>
    <row r="2234" spans="1:19" hidden="1">
      <c r="A2234" s="95" t="s">
        <v>4077</v>
      </c>
      <c r="B2234" s="96" t="str">
        <f>IFERROR(VLOOKUP(Proc[[#This Row],[App]],Table2[],3,0),"open")</f>
        <v>ok</v>
      </c>
      <c r="C2234" s="95" t="s">
        <v>369</v>
      </c>
      <c r="D2234" t="s">
        <v>4079</v>
      </c>
      <c r="E2234" t="s">
        <v>2417</v>
      </c>
      <c r="F2234" s="105" t="s">
        <v>2417</v>
      </c>
      <c r="G2234" s="95" t="s">
        <v>406</v>
      </c>
      <c r="H2234" s="96" t="str">
        <f>IF(Proc[[#This Row],[type]]="LFF (MDG-F)",MID(Proc[[#This Row],[Obj]],13,10),"")</f>
        <v>CZ50GM1000</v>
      </c>
      <c r="I2234" s="95" t="s">
        <v>4083</v>
      </c>
      <c r="J2234" s="96" t="b">
        <f>Proc[[#This Row],[Requested]]=Proc[[#This Row],[CurrentParent]]</f>
        <v>1</v>
      </c>
      <c r="K2234" s="96" t="str">
        <f>IF(Proc[[#This Row],[Author]]="Marcela Urrego",VLOOKUP(LEFT(Proc[[#This Row],[Requested]],1),Table3[#All],2,0),VLOOKUP(Proc[[#This Row],[Author]],Table4[],2,0))</f>
        <v>MGF</v>
      </c>
      <c r="L2234" s="96"/>
      <c r="M2234" s="93">
        <v>45810.40115740741</v>
      </c>
      <c r="N2234" s="93">
        <v>45811</v>
      </c>
      <c r="O2234" s="93">
        <v>45811</v>
      </c>
      <c r="P2234" s="97" t="str">
        <f ca="1">IF(Proc[[#This Row],[DaysAgeing]]&gt;5,"yep","on track")</f>
        <v>on track</v>
      </c>
      <c r="Q2234" s="3">
        <f ca="1">IF(Proc[[#This Row],[DateClosed]]="",ABS(NETWORKDAYS(Proc[[#This Row],[DateOpened]],TODAY()))-1,ABS(NETWORKDAYS(Proc[[#This Row],[DateOpened]],Proc[[#This Row],[DateClosed]]))-1)</f>
        <v>1</v>
      </c>
      <c r="R2234" s="97" t="s">
        <v>515</v>
      </c>
      <c r="S2234" s="96"/>
    </row>
    <row r="2235" spans="1:19" hidden="1">
      <c r="A2235" s="95" t="s">
        <v>4077</v>
      </c>
      <c r="B2235" s="96" t="str">
        <f>IFERROR(VLOOKUP(Proc[[#This Row],[App]],Table2[],3,0),"open")</f>
        <v>ok</v>
      </c>
      <c r="C2235" s="95" t="s">
        <v>369</v>
      </c>
      <c r="D2235" t="s">
        <v>4080</v>
      </c>
      <c r="E2235" t="s">
        <v>2417</v>
      </c>
      <c r="F2235" s="105" t="s">
        <v>2417</v>
      </c>
      <c r="G2235" s="95" t="s">
        <v>406</v>
      </c>
      <c r="H2235" s="96" t="str">
        <f>IF(Proc[[#This Row],[type]]="LFF (MDG-F)",MID(Proc[[#This Row],[Obj]],13,10),"")</f>
        <v>CZ50GIT01M</v>
      </c>
      <c r="I2235" s="95" t="s">
        <v>4083</v>
      </c>
      <c r="J2235" s="96" t="b">
        <f>Proc[[#This Row],[Requested]]=Proc[[#This Row],[CurrentParent]]</f>
        <v>1</v>
      </c>
      <c r="K2235" s="96" t="str">
        <f>IF(Proc[[#This Row],[Author]]="Marcela Urrego",VLOOKUP(LEFT(Proc[[#This Row],[Requested]],1),Table3[#All],2,0),VLOOKUP(Proc[[#This Row],[Author]],Table4[],2,0))</f>
        <v>MGF</v>
      </c>
      <c r="L2235" s="96"/>
      <c r="M2235" s="93">
        <v>45810.40115740741</v>
      </c>
      <c r="N2235" s="93">
        <v>45811</v>
      </c>
      <c r="O2235" s="93">
        <v>45811</v>
      </c>
      <c r="P2235" s="97" t="str">
        <f ca="1">IF(Proc[[#This Row],[DaysAgeing]]&gt;5,"yep","on track")</f>
        <v>on track</v>
      </c>
      <c r="Q2235" s="3">
        <f ca="1">IF(Proc[[#This Row],[DateClosed]]="",ABS(NETWORKDAYS(Proc[[#This Row],[DateOpened]],TODAY()))-1,ABS(NETWORKDAYS(Proc[[#This Row],[DateOpened]],Proc[[#This Row],[DateClosed]]))-1)</f>
        <v>1</v>
      </c>
      <c r="R2235" s="97" t="s">
        <v>515</v>
      </c>
      <c r="S2235" s="96"/>
    </row>
    <row r="2236" spans="1:19" hidden="1">
      <c r="A2236" s="95" t="s">
        <v>4077</v>
      </c>
      <c r="B2236" s="96" t="str">
        <f>IFERROR(VLOOKUP(Proc[[#This Row],[App]],Table2[],3,0),"open")</f>
        <v>ok</v>
      </c>
      <c r="C2236" s="95" t="s">
        <v>369</v>
      </c>
      <c r="D2236" t="s">
        <v>4079</v>
      </c>
      <c r="E2236" t="s">
        <v>2417</v>
      </c>
      <c r="F2236" s="105" t="s">
        <v>2417</v>
      </c>
      <c r="G2236" s="95" t="s">
        <v>406</v>
      </c>
      <c r="H2236" s="96" t="str">
        <f>IF(Proc[[#This Row],[type]]="LFF (MDG-F)",MID(Proc[[#This Row],[Obj]],13,10),"")</f>
        <v>CZ50GM1000</v>
      </c>
      <c r="I2236" s="95" t="s">
        <v>4083</v>
      </c>
      <c r="J2236" s="96" t="b">
        <f>Proc[[#This Row],[Requested]]=Proc[[#This Row],[CurrentParent]]</f>
        <v>1</v>
      </c>
      <c r="K2236" s="96" t="str">
        <f>IF(Proc[[#This Row],[Author]]="Marcela Urrego",VLOOKUP(LEFT(Proc[[#This Row],[Requested]],1),Table3[#All],2,0),VLOOKUP(Proc[[#This Row],[Author]],Table4[],2,0))</f>
        <v>MGF</v>
      </c>
      <c r="L2236" s="96"/>
      <c r="M2236" s="93">
        <v>45810.40115740741</v>
      </c>
      <c r="N2236" s="93">
        <v>45811</v>
      </c>
      <c r="O2236" s="93">
        <v>45811</v>
      </c>
      <c r="P2236" s="97" t="str">
        <f ca="1">IF(Proc[[#This Row],[DaysAgeing]]&gt;5,"yep","on track")</f>
        <v>on track</v>
      </c>
      <c r="Q2236" s="3">
        <f ca="1">IF(Proc[[#This Row],[DateClosed]]="",ABS(NETWORKDAYS(Proc[[#This Row],[DateOpened]],TODAY()))-1,ABS(NETWORKDAYS(Proc[[#This Row],[DateOpened]],Proc[[#This Row],[DateClosed]]))-1)</f>
        <v>1</v>
      </c>
      <c r="R2236" s="97" t="s">
        <v>515</v>
      </c>
      <c r="S2236" s="96"/>
    </row>
    <row r="2237" spans="1:19" hidden="1">
      <c r="A2237" s="95" t="s">
        <v>4077</v>
      </c>
      <c r="B2237" s="96" t="str">
        <f>IFERROR(VLOOKUP(Proc[[#This Row],[App]],Table2[],3,0),"open")</f>
        <v>ok</v>
      </c>
      <c r="C2237" s="95" t="s">
        <v>369</v>
      </c>
      <c r="D2237" t="s">
        <v>4081</v>
      </c>
      <c r="E2237" t="s">
        <v>2417</v>
      </c>
      <c r="F2237" s="105" t="s">
        <v>2417</v>
      </c>
      <c r="G2237" s="95" t="s">
        <v>406</v>
      </c>
      <c r="H2237" s="96" t="str">
        <f>IF(Proc[[#This Row],[type]]="LFF (MDG-F)",MID(Proc[[#This Row],[Obj]],13,10),"")</f>
        <v>CZ50OF0007</v>
      </c>
      <c r="I2237" s="95" t="s">
        <v>4083</v>
      </c>
      <c r="J2237" s="96" t="b">
        <f>Proc[[#This Row],[Requested]]=Proc[[#This Row],[CurrentParent]]</f>
        <v>1</v>
      </c>
      <c r="K2237" s="96" t="str">
        <f>IF(Proc[[#This Row],[Author]]="Marcela Urrego",VLOOKUP(LEFT(Proc[[#This Row],[Requested]],1),Table3[#All],2,0),VLOOKUP(Proc[[#This Row],[Author]],Table4[],2,0))</f>
        <v>MGF</v>
      </c>
      <c r="L2237" s="96"/>
      <c r="M2237" s="93">
        <v>45810.40115740741</v>
      </c>
      <c r="N2237" s="93">
        <v>45811</v>
      </c>
      <c r="O2237" s="93">
        <v>45811</v>
      </c>
      <c r="P2237" s="97" t="str">
        <f ca="1">IF(Proc[[#This Row],[DaysAgeing]]&gt;5,"yep","on track")</f>
        <v>on track</v>
      </c>
      <c r="Q2237" s="3">
        <f ca="1">IF(Proc[[#This Row],[DateClosed]]="",ABS(NETWORKDAYS(Proc[[#This Row],[DateOpened]],TODAY()))-1,ABS(NETWORKDAYS(Proc[[#This Row],[DateOpened]],Proc[[#This Row],[DateClosed]]))-1)</f>
        <v>1</v>
      </c>
      <c r="R2237" s="97" t="s">
        <v>515</v>
      </c>
      <c r="S2237" s="96"/>
    </row>
    <row r="2238" spans="1:19" hidden="1">
      <c r="A2238" t="s">
        <v>4084</v>
      </c>
      <c r="B2238" s="96" t="str">
        <f>IFERROR(VLOOKUP(Proc[[#This Row],[App]],Table2[],3,0),"open")</f>
        <v>ok</v>
      </c>
      <c r="C2238" t="s">
        <v>369</v>
      </c>
      <c r="D2238" t="s">
        <v>4092</v>
      </c>
      <c r="E2238" t="s">
        <v>661</v>
      </c>
      <c r="F2238" s="105" t="s">
        <v>661</v>
      </c>
      <c r="G2238" t="s">
        <v>400</v>
      </c>
      <c r="H2238" s="96" t="str">
        <f>IF(Proc[[#This Row],[type]]="LFF (MDG-F)",MID(Proc[[#This Row],[Obj]],13,10),"")</f>
        <v/>
      </c>
      <c r="J2238" s="96" t="b">
        <f>Proc[[#This Row],[Requested]]=Proc[[#This Row],[CurrentParent]]</f>
        <v>1</v>
      </c>
      <c r="K2238" s="96" t="str">
        <f>IF(Proc[[#This Row],[Author]]="Marcela Urrego",VLOOKUP(LEFT(Proc[[#This Row],[Requested]],1),Table3[#All],2,0),VLOOKUP(Proc[[#This Row],[Author]],Table4[],2,0))</f>
        <v>MGF</v>
      </c>
      <c r="L2238" s="96"/>
      <c r="M2238" s="93">
        <v>45810.524050925924</v>
      </c>
      <c r="N2238" s="93">
        <v>45811</v>
      </c>
      <c r="O2238" s="93">
        <v>45811</v>
      </c>
      <c r="P2238" s="97" t="str">
        <f ca="1">IF(Proc[[#This Row],[DaysAgeing]]&gt;5,"yep","on track")</f>
        <v>on track</v>
      </c>
      <c r="Q2238" s="3">
        <f ca="1">IF(Proc[[#This Row],[DateClosed]]="",ABS(NETWORKDAYS(Proc[[#This Row],[DateOpened]],TODAY()))-1,ABS(NETWORKDAYS(Proc[[#This Row],[DateOpened]],Proc[[#This Row],[DateClosed]]))-1)</f>
        <v>1</v>
      </c>
      <c r="R2238" s="97" t="s">
        <v>1459</v>
      </c>
      <c r="S2238" s="96"/>
    </row>
    <row r="2239" spans="1:19" hidden="1">
      <c r="A2239" s="95" t="s">
        <v>4084</v>
      </c>
      <c r="B2239" s="96" t="str">
        <f>IFERROR(VLOOKUP(Proc[[#This Row],[App]],Table2[],3,0),"open")</f>
        <v>ok</v>
      </c>
      <c r="C2239" s="95" t="s">
        <v>369</v>
      </c>
      <c r="D2239" t="s">
        <v>4085</v>
      </c>
      <c r="E2239" t="s">
        <v>2616</v>
      </c>
      <c r="F2239" s="105" t="s">
        <v>2616</v>
      </c>
      <c r="G2239" t="s">
        <v>406</v>
      </c>
      <c r="H2239" s="96" t="str">
        <f>IF(Proc[[#This Row],[type]]="LFF (MDG-F)",MID(Proc[[#This Row],[Obj]],13,10),"")</f>
        <v>CH75GIT060</v>
      </c>
      <c r="I2239" t="s">
        <v>4091</v>
      </c>
      <c r="J2239" s="96" t="b">
        <f>Proc[[#This Row],[Requested]]=Proc[[#This Row],[CurrentParent]]</f>
        <v>1</v>
      </c>
      <c r="K2239" s="96" t="str">
        <f>IF(Proc[[#This Row],[Author]]="Marcela Urrego",VLOOKUP(LEFT(Proc[[#This Row],[Requested]],1),Table3[#All],2,0),VLOOKUP(Proc[[#This Row],[Author]],Table4[],2,0))</f>
        <v>MGF</v>
      </c>
      <c r="L2239" s="96"/>
      <c r="M2239" s="93">
        <v>45810.524050925924</v>
      </c>
      <c r="N2239" s="93">
        <v>45811</v>
      </c>
      <c r="O2239" s="93">
        <v>45811</v>
      </c>
      <c r="P2239" s="97" t="str">
        <f ca="1">IF(Proc[[#This Row],[DaysAgeing]]&gt;5,"yep","on track")</f>
        <v>on track</v>
      </c>
      <c r="Q2239" s="3">
        <f ca="1">IF(Proc[[#This Row],[DateClosed]]="",ABS(NETWORKDAYS(Proc[[#This Row],[DateOpened]],TODAY()))-1,ABS(NETWORKDAYS(Proc[[#This Row],[DateOpened]],Proc[[#This Row],[DateClosed]]))-1)</f>
        <v>1</v>
      </c>
      <c r="R2239" s="97" t="s">
        <v>1459</v>
      </c>
      <c r="S2239" s="96"/>
    </row>
    <row r="2240" spans="1:19" hidden="1">
      <c r="A2240" s="95" t="s">
        <v>4084</v>
      </c>
      <c r="B2240" s="96" t="str">
        <f>IFERROR(VLOOKUP(Proc[[#This Row],[App]],Table2[],3,0),"open")</f>
        <v>ok</v>
      </c>
      <c r="C2240" s="95" t="s">
        <v>369</v>
      </c>
      <c r="D2240" t="s">
        <v>4086</v>
      </c>
      <c r="E2240" t="s">
        <v>2334</v>
      </c>
      <c r="F2240" s="105" t="s">
        <v>2334</v>
      </c>
      <c r="G2240" s="95" t="s">
        <v>406</v>
      </c>
      <c r="H2240" s="96" t="str">
        <f>IF(Proc[[#This Row],[type]]="LFF (MDG-F)",MID(Proc[[#This Row],[Obj]],13,10),"")</f>
        <v>DE10653700</v>
      </c>
      <c r="I2240" s="95" t="s">
        <v>4091</v>
      </c>
      <c r="J2240" s="96" t="b">
        <f>Proc[[#This Row],[Requested]]=Proc[[#This Row],[CurrentParent]]</f>
        <v>1</v>
      </c>
      <c r="K2240" s="96" t="str">
        <f>IF(Proc[[#This Row],[Author]]="Marcela Urrego",VLOOKUP(LEFT(Proc[[#This Row],[Requested]],1),Table3[#All],2,0),VLOOKUP(Proc[[#This Row],[Author]],Table4[],2,0))</f>
        <v>MGF</v>
      </c>
      <c r="L2240" s="96"/>
      <c r="M2240" s="93">
        <v>45810.524050925924</v>
      </c>
      <c r="N2240" s="93">
        <v>45811</v>
      </c>
      <c r="O2240" s="93">
        <v>45811</v>
      </c>
      <c r="P2240" s="97" t="str">
        <f ca="1">IF(Proc[[#This Row],[DaysAgeing]]&gt;5,"yep","on track")</f>
        <v>on track</v>
      </c>
      <c r="Q2240" s="3">
        <f ca="1">IF(Proc[[#This Row],[DateClosed]]="",ABS(NETWORKDAYS(Proc[[#This Row],[DateOpened]],TODAY()))-1,ABS(NETWORKDAYS(Proc[[#This Row],[DateOpened]],Proc[[#This Row],[DateClosed]]))-1)</f>
        <v>1</v>
      </c>
      <c r="R2240" s="97" t="s">
        <v>1459</v>
      </c>
      <c r="S2240" s="96"/>
    </row>
    <row r="2241" spans="1:19" hidden="1">
      <c r="A2241" s="95" t="s">
        <v>4084</v>
      </c>
      <c r="B2241" s="96" t="str">
        <f>IFERROR(VLOOKUP(Proc[[#This Row],[App]],Table2[],3,0),"open")</f>
        <v>ok</v>
      </c>
      <c r="C2241" s="95" t="s">
        <v>369</v>
      </c>
      <c r="D2241" t="s">
        <v>4087</v>
      </c>
      <c r="E2241" t="s">
        <v>2336</v>
      </c>
      <c r="F2241" s="105" t="s">
        <v>2336</v>
      </c>
      <c r="G2241" s="95" t="s">
        <v>400</v>
      </c>
      <c r="H2241" s="96" t="str">
        <f>IF(Proc[[#This Row],[type]]="LFF (MDG-F)",MID(Proc[[#This Row],[Obj]],13,10),"")</f>
        <v/>
      </c>
      <c r="J2241" s="96" t="b">
        <f>Proc[[#This Row],[Requested]]=Proc[[#This Row],[CurrentParent]]</f>
        <v>1</v>
      </c>
      <c r="K2241" s="96" t="str">
        <f>IF(Proc[[#This Row],[Author]]="Marcela Urrego",VLOOKUP(LEFT(Proc[[#This Row],[Requested]],1),Table3[#All],2,0),VLOOKUP(Proc[[#This Row],[Author]],Table4[],2,0))</f>
        <v>MGF</v>
      </c>
      <c r="L2241" s="96"/>
      <c r="M2241" s="93">
        <v>45810.524050925924</v>
      </c>
      <c r="N2241" s="93">
        <v>45811</v>
      </c>
      <c r="O2241" s="93">
        <v>45811</v>
      </c>
      <c r="P2241" s="97" t="str">
        <f ca="1">IF(Proc[[#This Row],[DaysAgeing]]&gt;5,"yep","on track")</f>
        <v>on track</v>
      </c>
      <c r="Q2241" s="3">
        <f ca="1">IF(Proc[[#This Row],[DateClosed]]="",ABS(NETWORKDAYS(Proc[[#This Row],[DateOpened]],TODAY()))-1,ABS(NETWORKDAYS(Proc[[#This Row],[DateOpened]],Proc[[#This Row],[DateClosed]]))-1)</f>
        <v>1</v>
      </c>
      <c r="R2241" s="97" t="s">
        <v>1459</v>
      </c>
      <c r="S2241" s="96"/>
    </row>
    <row r="2242" spans="1:19" hidden="1">
      <c r="A2242" s="95" t="s">
        <v>4084</v>
      </c>
      <c r="B2242" s="96" t="str">
        <f>IFERROR(VLOOKUP(Proc[[#This Row],[App]],Table2[],3,0),"open")</f>
        <v>ok</v>
      </c>
      <c r="C2242" s="95" t="s">
        <v>369</v>
      </c>
      <c r="D2242" t="s">
        <v>4088</v>
      </c>
      <c r="E2242" t="s">
        <v>2336</v>
      </c>
      <c r="F2242" s="105" t="s">
        <v>2336</v>
      </c>
      <c r="G2242" s="95" t="s">
        <v>400</v>
      </c>
      <c r="H2242" s="96" t="str">
        <f>IF(Proc[[#This Row],[type]]="LFF (MDG-F)",MID(Proc[[#This Row],[Obj]],13,10),"")</f>
        <v/>
      </c>
      <c r="J2242" s="96" t="b">
        <f>Proc[[#This Row],[Requested]]=Proc[[#This Row],[CurrentParent]]</f>
        <v>1</v>
      </c>
      <c r="K2242" s="96" t="str">
        <f>IF(Proc[[#This Row],[Author]]="Marcela Urrego",VLOOKUP(LEFT(Proc[[#This Row],[Requested]],1),Table3[#All],2,0),VLOOKUP(Proc[[#This Row],[Author]],Table4[],2,0))</f>
        <v>MGF</v>
      </c>
      <c r="L2242" s="96"/>
      <c r="M2242" s="93">
        <v>45810.524050925924</v>
      </c>
      <c r="N2242" s="93">
        <v>45811</v>
      </c>
      <c r="O2242" s="93">
        <v>45811</v>
      </c>
      <c r="P2242" s="97" t="str">
        <f ca="1">IF(Proc[[#This Row],[DaysAgeing]]&gt;5,"yep","on track")</f>
        <v>on track</v>
      </c>
      <c r="Q2242" s="3">
        <f ca="1">IF(Proc[[#This Row],[DateClosed]]="",ABS(NETWORKDAYS(Proc[[#This Row],[DateOpened]],TODAY()))-1,ABS(NETWORKDAYS(Proc[[#This Row],[DateOpened]],Proc[[#This Row],[DateClosed]]))-1)</f>
        <v>1</v>
      </c>
      <c r="R2242" s="97" t="s">
        <v>1459</v>
      </c>
      <c r="S2242" s="96"/>
    </row>
    <row r="2243" spans="1:19" hidden="1">
      <c r="A2243" s="95" t="s">
        <v>4084</v>
      </c>
      <c r="B2243" s="96" t="str">
        <f>IFERROR(VLOOKUP(Proc[[#This Row],[App]],Table2[],3,0),"open")</f>
        <v>ok</v>
      </c>
      <c r="C2243" s="95" t="s">
        <v>369</v>
      </c>
      <c r="D2243" t="s">
        <v>4089</v>
      </c>
      <c r="E2243" t="s">
        <v>2336</v>
      </c>
      <c r="F2243" s="105" t="s">
        <v>2336</v>
      </c>
      <c r="G2243" s="95" t="s">
        <v>400</v>
      </c>
      <c r="H2243" s="96" t="str">
        <f>IF(Proc[[#This Row],[type]]="LFF (MDG-F)",MID(Proc[[#This Row],[Obj]],13,10),"")</f>
        <v/>
      </c>
      <c r="J2243" s="96" t="b">
        <f>Proc[[#This Row],[Requested]]=Proc[[#This Row],[CurrentParent]]</f>
        <v>1</v>
      </c>
      <c r="K2243" s="96" t="str">
        <f>IF(Proc[[#This Row],[Author]]="Marcela Urrego",VLOOKUP(LEFT(Proc[[#This Row],[Requested]],1),Table3[#All],2,0),VLOOKUP(Proc[[#This Row],[Author]],Table4[],2,0))</f>
        <v>MGF</v>
      </c>
      <c r="L2243" s="96"/>
      <c r="M2243" s="93">
        <v>45810.524050925924</v>
      </c>
      <c r="N2243" s="93">
        <v>45811</v>
      </c>
      <c r="O2243" s="93">
        <v>45811</v>
      </c>
      <c r="P2243" s="97" t="str">
        <f ca="1">IF(Proc[[#This Row],[DaysAgeing]]&gt;5,"yep","on track")</f>
        <v>on track</v>
      </c>
      <c r="Q2243" s="3">
        <f ca="1">IF(Proc[[#This Row],[DateClosed]]="",ABS(NETWORKDAYS(Proc[[#This Row],[DateOpened]],TODAY()))-1,ABS(NETWORKDAYS(Proc[[#This Row],[DateOpened]],Proc[[#This Row],[DateClosed]]))-1)</f>
        <v>1</v>
      </c>
      <c r="R2243" s="97" t="s">
        <v>1459</v>
      </c>
      <c r="S2243" s="96"/>
    </row>
    <row r="2244" spans="1:19" hidden="1">
      <c r="A2244" s="95" t="s">
        <v>4084</v>
      </c>
      <c r="B2244" s="96" t="str">
        <f>IFERROR(VLOOKUP(Proc[[#This Row],[App]],Table2[],3,0),"open")</f>
        <v>ok</v>
      </c>
      <c r="C2244" s="95" t="s">
        <v>369</v>
      </c>
      <c r="D2244" t="s">
        <v>4090</v>
      </c>
      <c r="E2244" t="s">
        <v>425</v>
      </c>
      <c r="F2244" s="105" t="s">
        <v>425</v>
      </c>
      <c r="G2244" s="95" t="s">
        <v>400</v>
      </c>
      <c r="H2244" s="96" t="str">
        <f>IF(Proc[[#This Row],[type]]="LFF (MDG-F)",MID(Proc[[#This Row],[Obj]],13,10),"")</f>
        <v/>
      </c>
      <c r="J2244" s="96" t="b">
        <f>Proc[[#This Row],[Requested]]=Proc[[#This Row],[CurrentParent]]</f>
        <v>1</v>
      </c>
      <c r="K2244" s="96" t="str">
        <f>IF(Proc[[#This Row],[Author]]="Marcela Urrego",VLOOKUP(LEFT(Proc[[#This Row],[Requested]],1),Table3[#All],2,0),VLOOKUP(Proc[[#This Row],[Author]],Table4[],2,0))</f>
        <v>MGF</v>
      </c>
      <c r="L2244" s="96"/>
      <c r="M2244" s="93">
        <v>45810.524050925924</v>
      </c>
      <c r="N2244" s="93">
        <v>45811</v>
      </c>
      <c r="O2244" s="93">
        <v>45811</v>
      </c>
      <c r="P2244" s="97" t="str">
        <f ca="1">IF(Proc[[#This Row],[DaysAgeing]]&gt;5,"yep","on track")</f>
        <v>on track</v>
      </c>
      <c r="Q2244" s="3">
        <f ca="1">IF(Proc[[#This Row],[DateClosed]]="",ABS(NETWORKDAYS(Proc[[#This Row],[DateOpened]],TODAY()))-1,ABS(NETWORKDAYS(Proc[[#This Row],[DateOpened]],Proc[[#This Row],[DateClosed]]))-1)</f>
        <v>1</v>
      </c>
      <c r="R2244" s="97" t="s">
        <v>1459</v>
      </c>
      <c r="S2244" s="96"/>
    </row>
    <row r="2245" spans="1:19" hidden="1">
      <c r="A2245" t="s">
        <v>4093</v>
      </c>
      <c r="B2245" s="96" t="str">
        <f>IFERROR(VLOOKUP(Proc[[#This Row],[App]],Table2[],3,0),"open")</f>
        <v>ok</v>
      </c>
      <c r="C2245" t="s">
        <v>369</v>
      </c>
      <c r="D2245" t="s">
        <v>4094</v>
      </c>
      <c r="E2245" t="s">
        <v>4095</v>
      </c>
      <c r="F2245" s="105" t="s">
        <v>4095</v>
      </c>
      <c r="G2245" s="95" t="s">
        <v>400</v>
      </c>
      <c r="H2245" s="96" t="str">
        <f>IF(Proc[[#This Row],[type]]="LFF (MDG-F)",MID(Proc[[#This Row],[Obj]],13,10),"")</f>
        <v/>
      </c>
      <c r="J2245" s="96" t="b">
        <f>Proc[[#This Row],[Requested]]=Proc[[#This Row],[CurrentParent]]</f>
        <v>1</v>
      </c>
      <c r="K2245" s="96" t="str">
        <f>IF(Proc[[#This Row],[Author]]="Marcela Urrego",VLOOKUP(LEFT(Proc[[#This Row],[Requested]],1),Table3[#All],2,0),VLOOKUP(Proc[[#This Row],[Author]],Table4[],2,0))</f>
        <v>HC</v>
      </c>
      <c r="L2245" s="96"/>
      <c r="M2245" s="93">
        <v>45811.460358796299</v>
      </c>
      <c r="N2245" s="93"/>
      <c r="O2245" s="93"/>
      <c r="P2245" s="97" t="str">
        <f ca="1">IF(Proc[[#This Row],[DaysAgeing]]&gt;5,"yep","on track")</f>
        <v>yep</v>
      </c>
      <c r="Q2245" s="3">
        <f ca="1">IF(Proc[[#This Row],[DateClosed]]="",ABS(NETWORKDAYS(Proc[[#This Row],[DateOpened]],TODAY()))-1,ABS(NETWORKDAYS(Proc[[#This Row],[DateOpened]],Proc[[#This Row],[DateClosed]]))-1)</f>
        <v>20</v>
      </c>
      <c r="R2245" s="97" t="s">
        <v>764</v>
      </c>
      <c r="S2245" s="96"/>
    </row>
    <row r="2246" spans="1:19" hidden="1">
      <c r="A2246" t="s">
        <v>4098</v>
      </c>
      <c r="B2246" s="96" t="str">
        <f>IFERROR(VLOOKUP(Proc[[#This Row],[App]],Table2[],3,0),"open")</f>
        <v>ok</v>
      </c>
      <c r="C2246" s="99" t="s">
        <v>369</v>
      </c>
      <c r="D2246" s="99" t="s">
        <v>4096</v>
      </c>
      <c r="E2246" s="99" t="s">
        <v>4097</v>
      </c>
      <c r="F2246" s="105" t="s">
        <v>4097</v>
      </c>
      <c r="G2246" s="99" t="s">
        <v>400</v>
      </c>
      <c r="H2246" s="96" t="str">
        <f>IF(Proc[[#This Row],[type]]="LFF (MDG-F)",MID(Proc[[#This Row],[Obj]],13,10),"")</f>
        <v/>
      </c>
      <c r="J2246" s="96" t="b">
        <f>Proc[[#This Row],[Requested]]=Proc[[#This Row],[CurrentParent]]</f>
        <v>1</v>
      </c>
      <c r="K2246" s="96" t="str">
        <f>IF(Proc[[#This Row],[Author]]="Marcela Urrego",VLOOKUP(LEFT(Proc[[#This Row],[Requested]],1),Table3[#All],2,0),VLOOKUP(Proc[[#This Row],[Author]],Table4[],2,0))</f>
        <v>MGF</v>
      </c>
      <c r="L2246" s="96"/>
      <c r="M2246" s="97">
        <v>45811.460358796299</v>
      </c>
      <c r="N2246" s="98"/>
      <c r="O2246" s="98"/>
      <c r="P2246" s="97" t="str">
        <f ca="1">IF(Proc[[#This Row],[DaysAgeing]]&gt;5,"yep","on track")</f>
        <v>yep</v>
      </c>
      <c r="Q2246" s="3">
        <f ca="1">IF(Proc[[#This Row],[DateClosed]]="",ABS(NETWORKDAYS(Proc[[#This Row],[DateOpened]],TODAY()))-1,ABS(NETWORKDAYS(Proc[[#This Row],[DateOpened]],Proc[[#This Row],[DateClosed]]))-1)</f>
        <v>20</v>
      </c>
      <c r="R2246" s="97" t="s">
        <v>515</v>
      </c>
      <c r="S2246" s="96"/>
    </row>
    <row r="2247" spans="1:19" hidden="1">
      <c r="A2247" t="s">
        <v>4099</v>
      </c>
      <c r="B2247" s="96" t="str">
        <f>IFERROR(VLOOKUP(Proc[[#This Row],[App]],Table2[],3,0),"open")</f>
        <v>ok</v>
      </c>
      <c r="C2247" s="105" t="s">
        <v>369</v>
      </c>
      <c r="D2247" t="s">
        <v>4100</v>
      </c>
      <c r="E2247" t="s">
        <v>4101</v>
      </c>
      <c r="F2247" s="105" t="s">
        <v>4101</v>
      </c>
      <c r="G2247" s="99" t="s">
        <v>400</v>
      </c>
      <c r="H2247" s="96" t="str">
        <f>IF(Proc[[#This Row],[type]]="LFF (MDG-F)",MID(Proc[[#This Row],[Obj]],13,10),"")</f>
        <v/>
      </c>
      <c r="J2247" s="96" t="b">
        <f>Proc[[#This Row],[Requested]]=Proc[[#This Row],[CurrentParent]]</f>
        <v>1</v>
      </c>
      <c r="K2247" s="96" t="str">
        <f>IF(Proc[[#This Row],[Author]]="Marcela Urrego",VLOOKUP(LEFT(Proc[[#This Row],[Requested]],1),Table3[#All],2,0),VLOOKUP(Proc[[#This Row],[Author]],Table4[],2,0))</f>
        <v>LS</v>
      </c>
      <c r="L2247" s="96"/>
      <c r="M2247" s="97">
        <v>45811.460358796299</v>
      </c>
      <c r="N2247" s="98">
        <v>45819</v>
      </c>
      <c r="O2247" s="102">
        <v>45819</v>
      </c>
      <c r="P2247" s="97" t="str">
        <f ca="1">IF(Proc[[#This Row],[DaysAgeing]]&gt;5,"yep","on track")</f>
        <v>yep</v>
      </c>
      <c r="Q2247" s="3">
        <f ca="1">IF(Proc[[#This Row],[DateClosed]]="",ABS(NETWORKDAYS(Proc[[#This Row],[DateOpened]],TODAY()))-1,ABS(NETWORKDAYS(Proc[[#This Row],[DateOpened]],Proc[[#This Row],[DateClosed]]))-1)</f>
        <v>6</v>
      </c>
      <c r="R2247" s="97" t="s">
        <v>489</v>
      </c>
      <c r="S2247" s="96"/>
    </row>
    <row r="2248" spans="1:19" hidden="1">
      <c r="A2248" t="s">
        <v>4104</v>
      </c>
      <c r="B2248" s="96" t="str">
        <f>IFERROR(VLOOKUP(Proc[[#This Row],[App]],Table2[],3,0),"open")</f>
        <v>ok</v>
      </c>
      <c r="C2248" s="99" t="s">
        <v>369</v>
      </c>
      <c r="D2248" t="s">
        <v>4105</v>
      </c>
      <c r="E2248" t="s">
        <v>1236</v>
      </c>
      <c r="F2248" s="105" t="s">
        <v>1236</v>
      </c>
      <c r="G2248" s="99" t="s">
        <v>400</v>
      </c>
      <c r="H2248" s="96" t="str">
        <f>IF(Proc[[#This Row],[type]]="LFF (MDG-F)",MID(Proc[[#This Row],[Obj]],13,10),"")</f>
        <v/>
      </c>
      <c r="J2248" s="96" t="b">
        <f>Proc[[#This Row],[Requested]]=Proc[[#This Row],[CurrentParent]]</f>
        <v>1</v>
      </c>
      <c r="K2248" s="96" t="str">
        <f>IF(Proc[[#This Row],[Author]]="Marcela Urrego",VLOOKUP(LEFT(Proc[[#This Row],[Requested]],1),Table3[#All],2,0),VLOOKUP(Proc[[#This Row],[Author]],Table4[],2,0))</f>
        <v>LS</v>
      </c>
      <c r="L2248" s="96"/>
      <c r="M2248" s="97">
        <v>45811.460358796299</v>
      </c>
      <c r="N2248" s="102">
        <v>45819</v>
      </c>
      <c r="O2248" s="102">
        <v>45819</v>
      </c>
      <c r="P2248" s="97" t="str">
        <f ca="1">IF(Proc[[#This Row],[DaysAgeing]]&gt;5,"yep","on track")</f>
        <v>yep</v>
      </c>
      <c r="Q2248" s="3">
        <f ca="1">IF(Proc[[#This Row],[DateClosed]]="",ABS(NETWORKDAYS(Proc[[#This Row],[DateOpened]],TODAY()))-1,ABS(NETWORKDAYS(Proc[[#This Row],[DateOpened]],Proc[[#This Row],[DateClosed]]))-1)</f>
        <v>6</v>
      </c>
      <c r="R2248" s="97" t="s">
        <v>489</v>
      </c>
      <c r="S2248" s="96"/>
    </row>
    <row r="2249" spans="1:19" hidden="1">
      <c r="A2249" t="s">
        <v>4104</v>
      </c>
      <c r="B2249" s="96" t="str">
        <f>IFERROR(VLOOKUP(Proc[[#This Row],[App]],Table2[],3,0),"open")</f>
        <v>ok</v>
      </c>
      <c r="C2249" s="99" t="s">
        <v>377</v>
      </c>
      <c r="D2249" t="s">
        <v>4102</v>
      </c>
      <c r="E2249" t="s">
        <v>4103</v>
      </c>
      <c r="F2249" s="105" t="s">
        <v>4103</v>
      </c>
      <c r="G2249" s="99" t="s">
        <v>400</v>
      </c>
      <c r="H2249" s="96" t="str">
        <f>IF(Proc[[#This Row],[type]]="LFF (MDG-F)",MID(Proc[[#This Row],[Obj]],13,10),"")</f>
        <v/>
      </c>
      <c r="J2249" s="96" t="b">
        <f>Proc[[#This Row],[Requested]]=Proc[[#This Row],[CurrentParent]]</f>
        <v>1</v>
      </c>
      <c r="K2249" s="96" t="str">
        <f>IF(Proc[[#This Row],[Author]]="Marcela Urrego",VLOOKUP(LEFT(Proc[[#This Row],[Requested]],1),Table3[#All],2,0),VLOOKUP(Proc[[#This Row],[Author]],Table4[],2,0))</f>
        <v>LS</v>
      </c>
      <c r="L2249" s="96"/>
      <c r="M2249" s="97">
        <v>45811.460358796299</v>
      </c>
      <c r="N2249" s="98"/>
      <c r="O2249" s="98">
        <v>45819</v>
      </c>
      <c r="P2249" s="97" t="str">
        <f ca="1">IF(Proc[[#This Row],[DaysAgeing]]&gt;5,"yep","on track")</f>
        <v>yep</v>
      </c>
      <c r="Q2249" s="3">
        <f ca="1">IF(Proc[[#This Row],[DateClosed]]="",ABS(NETWORKDAYS(Proc[[#This Row],[DateOpened]],TODAY()))-1,ABS(NETWORKDAYS(Proc[[#This Row],[DateOpened]],Proc[[#This Row],[DateClosed]]))-1)</f>
        <v>6</v>
      </c>
      <c r="R2249" s="97" t="s">
        <v>489</v>
      </c>
      <c r="S2249" s="96"/>
    </row>
    <row r="2250" spans="1:19" hidden="1">
      <c r="A2250" t="s">
        <v>4116</v>
      </c>
      <c r="B2250" s="96" t="str">
        <f>IFERROR(VLOOKUP(Proc[[#This Row],[App]],Table2[],3,0),"open")</f>
        <v>ok</v>
      </c>
      <c r="C2250" s="105" t="s">
        <v>369</v>
      </c>
      <c r="D2250" t="s">
        <v>4106</v>
      </c>
      <c r="E2250" t="s">
        <v>4114</v>
      </c>
      <c r="F2250" s="105" t="s">
        <v>4114</v>
      </c>
      <c r="G2250" t="s">
        <v>406</v>
      </c>
      <c r="H2250" s="96" t="str">
        <f>IF(Proc[[#This Row],[type]]="LFF (MDG-F)",MID(Proc[[#This Row],[Obj]],13,10),"")</f>
        <v>DE20538353</v>
      </c>
      <c r="I2250" t="s">
        <v>4117</v>
      </c>
      <c r="J2250" s="96" t="b">
        <f>Proc[[#This Row],[Requested]]=Proc[[#This Row],[CurrentParent]]</f>
        <v>1</v>
      </c>
      <c r="K2250" s="96" t="str">
        <f>IF(Proc[[#This Row],[Author]]="Marcela Urrego",VLOOKUP(LEFT(Proc[[#This Row],[Requested]],1),Table3[#All],2,0),VLOOKUP(Proc[[#This Row],[Author]],Table4[],2,0))</f>
        <v>MGF</v>
      </c>
      <c r="L2250" s="96"/>
      <c r="M2250" s="98">
        <v>45814.369039351855</v>
      </c>
      <c r="N2250" s="102">
        <v>45819</v>
      </c>
      <c r="O2250" s="102">
        <v>45819</v>
      </c>
      <c r="P2250" s="100" t="str">
        <f ca="1">IF(Proc[[#This Row],[DaysAgeing]]&gt;5,"yep","on track")</f>
        <v>on track</v>
      </c>
      <c r="Q2250" s="3">
        <f ca="1">IF(Proc[[#This Row],[DateClosed]]="",ABS(NETWORKDAYS(Proc[[#This Row],[DateOpened]],TODAY()))-1,ABS(NETWORKDAYS(Proc[[#This Row],[DateOpened]],Proc[[#This Row],[DateClosed]]))-1)</f>
        <v>3</v>
      </c>
      <c r="R2250" s="100" t="s">
        <v>481</v>
      </c>
      <c r="S2250" s="96"/>
    </row>
    <row r="2251" spans="1:19" hidden="1">
      <c r="A2251" s="99" t="s">
        <v>4116</v>
      </c>
      <c r="B2251" s="96" t="str">
        <f>IFERROR(VLOOKUP(Proc[[#This Row],[App]],Table2[],3,0),"open")</f>
        <v>ok</v>
      </c>
      <c r="C2251" s="105" t="s">
        <v>369</v>
      </c>
      <c r="D2251" t="s">
        <v>4107</v>
      </c>
      <c r="E2251" t="s">
        <v>4115</v>
      </c>
      <c r="F2251" s="105" t="s">
        <v>4115</v>
      </c>
      <c r="G2251" s="99" t="s">
        <v>406</v>
      </c>
      <c r="H2251" s="96" t="str">
        <f>IF(Proc[[#This Row],[type]]="LFF (MDG-F)",MID(Proc[[#This Row],[Obj]],13,10),"")</f>
        <v>DE10538353</v>
      </c>
      <c r="I2251" s="99" t="s">
        <v>4117</v>
      </c>
      <c r="J2251" s="96" t="b">
        <f>Proc[[#This Row],[Requested]]=Proc[[#This Row],[CurrentParent]]</f>
        <v>1</v>
      </c>
      <c r="K2251" s="96" t="str">
        <f>IF(Proc[[#This Row],[Author]]="Marcela Urrego",VLOOKUP(LEFT(Proc[[#This Row],[Requested]],1),Table3[#All],2,0),VLOOKUP(Proc[[#This Row],[Author]],Table4[],2,0))</f>
        <v>MGF</v>
      </c>
      <c r="L2251" s="96"/>
      <c r="M2251" s="98">
        <v>45814.369039351855</v>
      </c>
      <c r="N2251" s="102">
        <v>45819</v>
      </c>
      <c r="O2251" s="102">
        <v>45819</v>
      </c>
      <c r="P2251" s="100" t="str">
        <f ca="1">IF(Proc[[#This Row],[DaysAgeing]]&gt;5,"yep","on track")</f>
        <v>on track</v>
      </c>
      <c r="Q2251" s="3">
        <f ca="1">IF(Proc[[#This Row],[DateClosed]]="",ABS(NETWORKDAYS(Proc[[#This Row],[DateOpened]],TODAY()))-1,ABS(NETWORKDAYS(Proc[[#This Row],[DateOpened]],Proc[[#This Row],[DateClosed]]))-1)</f>
        <v>3</v>
      </c>
      <c r="R2251" s="100" t="s">
        <v>481</v>
      </c>
      <c r="S2251" s="96"/>
    </row>
    <row r="2252" spans="1:19" hidden="1">
      <c r="A2252" s="99" t="s">
        <v>4116</v>
      </c>
      <c r="B2252" s="96" t="str">
        <f>IFERROR(VLOOKUP(Proc[[#This Row],[App]],Table2[],3,0),"open")</f>
        <v>ok</v>
      </c>
      <c r="C2252" s="105" t="s">
        <v>369</v>
      </c>
      <c r="D2252" t="s">
        <v>4108</v>
      </c>
      <c r="E2252" t="s">
        <v>3383</v>
      </c>
      <c r="F2252" s="105" t="s">
        <v>3383</v>
      </c>
      <c r="G2252" s="99" t="s">
        <v>406</v>
      </c>
      <c r="H2252" s="96" t="str">
        <f>IF(Proc[[#This Row],[type]]="LFF (MDG-F)",MID(Proc[[#This Row],[Obj]],13,10),"")</f>
        <v>DE10538602</v>
      </c>
      <c r="I2252" s="99" t="s">
        <v>4117</v>
      </c>
      <c r="J2252" s="96" t="b">
        <f>Proc[[#This Row],[Requested]]=Proc[[#This Row],[CurrentParent]]</f>
        <v>1</v>
      </c>
      <c r="K2252" s="96" t="str">
        <f>IF(Proc[[#This Row],[Author]]="Marcela Urrego",VLOOKUP(LEFT(Proc[[#This Row],[Requested]],1),Table3[#All],2,0),VLOOKUP(Proc[[#This Row],[Author]],Table4[],2,0))</f>
        <v>MGF</v>
      </c>
      <c r="L2252" s="96"/>
      <c r="M2252" s="98">
        <v>45814.369039351855</v>
      </c>
      <c r="N2252" s="102">
        <v>45819</v>
      </c>
      <c r="O2252" s="102">
        <v>45819</v>
      </c>
      <c r="P2252" s="100" t="str">
        <f ca="1">IF(Proc[[#This Row],[DaysAgeing]]&gt;5,"yep","on track")</f>
        <v>on track</v>
      </c>
      <c r="Q2252" s="3">
        <f ca="1">IF(Proc[[#This Row],[DateClosed]]="",ABS(NETWORKDAYS(Proc[[#This Row],[DateOpened]],TODAY()))-1,ABS(NETWORKDAYS(Proc[[#This Row],[DateOpened]],Proc[[#This Row],[DateClosed]]))-1)</f>
        <v>3</v>
      </c>
      <c r="R2252" s="100" t="s">
        <v>481</v>
      </c>
      <c r="S2252" s="96"/>
    </row>
    <row r="2253" spans="1:19" hidden="1">
      <c r="A2253" s="99" t="s">
        <v>4116</v>
      </c>
      <c r="B2253" s="96" t="str">
        <f>IFERROR(VLOOKUP(Proc[[#This Row],[App]],Table2[],3,0),"open")</f>
        <v>ok</v>
      </c>
      <c r="C2253" s="105" t="s">
        <v>369</v>
      </c>
      <c r="D2253" t="s">
        <v>4109</v>
      </c>
      <c r="E2253" t="s">
        <v>3383</v>
      </c>
      <c r="F2253" s="105" t="s">
        <v>3383</v>
      </c>
      <c r="G2253" s="99" t="s">
        <v>406</v>
      </c>
      <c r="H2253" s="96" t="str">
        <f>IF(Proc[[#This Row],[type]]="LFF (MDG-F)",MID(Proc[[#This Row],[Obj]],13,10),"")</f>
        <v>DE10538603</v>
      </c>
      <c r="I2253" s="99" t="s">
        <v>4117</v>
      </c>
      <c r="J2253" s="96" t="b">
        <f>Proc[[#This Row],[Requested]]=Proc[[#This Row],[CurrentParent]]</f>
        <v>1</v>
      </c>
      <c r="K2253" s="96" t="str">
        <f>IF(Proc[[#This Row],[Author]]="Marcela Urrego",VLOOKUP(LEFT(Proc[[#This Row],[Requested]],1),Table3[#All],2,0),VLOOKUP(Proc[[#This Row],[Author]],Table4[],2,0))</f>
        <v>MGF</v>
      </c>
      <c r="L2253" s="96"/>
      <c r="M2253" s="98">
        <v>45814.369039351855</v>
      </c>
      <c r="N2253" s="102">
        <v>45819</v>
      </c>
      <c r="O2253" s="102">
        <v>45819</v>
      </c>
      <c r="P2253" s="100" t="str">
        <f ca="1">IF(Proc[[#This Row],[DaysAgeing]]&gt;5,"yep","on track")</f>
        <v>on track</v>
      </c>
      <c r="Q2253" s="3">
        <f ca="1">IF(Proc[[#This Row],[DateClosed]]="",ABS(NETWORKDAYS(Proc[[#This Row],[DateOpened]],TODAY()))-1,ABS(NETWORKDAYS(Proc[[#This Row],[DateOpened]],Proc[[#This Row],[DateClosed]]))-1)</f>
        <v>3</v>
      </c>
      <c r="R2253" s="100" t="s">
        <v>481</v>
      </c>
      <c r="S2253" s="96"/>
    </row>
    <row r="2254" spans="1:19" hidden="1">
      <c r="A2254" s="99" t="s">
        <v>4116</v>
      </c>
      <c r="B2254" s="96" t="str">
        <f>IFERROR(VLOOKUP(Proc[[#This Row],[App]],Table2[],3,0),"open")</f>
        <v>ok</v>
      </c>
      <c r="C2254" s="105" t="s">
        <v>369</v>
      </c>
      <c r="D2254" t="s">
        <v>4110</v>
      </c>
      <c r="E2254" t="s">
        <v>3383</v>
      </c>
      <c r="F2254" s="105" t="s">
        <v>3383</v>
      </c>
      <c r="G2254" s="99" t="s">
        <v>406</v>
      </c>
      <c r="H2254" s="96" t="str">
        <f>IF(Proc[[#This Row],[type]]="LFF (MDG-F)",MID(Proc[[#This Row],[Obj]],13,10),"")</f>
        <v>DE10538604</v>
      </c>
      <c r="I2254" s="99" t="s">
        <v>4117</v>
      </c>
      <c r="J2254" s="96" t="b">
        <f>Proc[[#This Row],[Requested]]=Proc[[#This Row],[CurrentParent]]</f>
        <v>1</v>
      </c>
      <c r="K2254" s="96" t="str">
        <f>IF(Proc[[#This Row],[Author]]="Marcela Urrego",VLOOKUP(LEFT(Proc[[#This Row],[Requested]],1),Table3[#All],2,0),VLOOKUP(Proc[[#This Row],[Author]],Table4[],2,0))</f>
        <v>MGF</v>
      </c>
      <c r="L2254" s="96"/>
      <c r="M2254" s="98">
        <v>45814.369039351855</v>
      </c>
      <c r="N2254" s="102">
        <v>45819</v>
      </c>
      <c r="O2254" s="102">
        <v>45819</v>
      </c>
      <c r="P2254" s="100" t="str">
        <f ca="1">IF(Proc[[#This Row],[DaysAgeing]]&gt;5,"yep","on track")</f>
        <v>on track</v>
      </c>
      <c r="Q2254" s="3">
        <f ca="1">IF(Proc[[#This Row],[DateClosed]]="",ABS(NETWORKDAYS(Proc[[#This Row],[DateOpened]],TODAY()))-1,ABS(NETWORKDAYS(Proc[[#This Row],[DateOpened]],Proc[[#This Row],[DateClosed]]))-1)</f>
        <v>3</v>
      </c>
      <c r="R2254" s="100" t="s">
        <v>481</v>
      </c>
      <c r="S2254" s="96"/>
    </row>
    <row r="2255" spans="1:19" hidden="1">
      <c r="A2255" s="99" t="s">
        <v>4116</v>
      </c>
      <c r="B2255" s="96" t="str">
        <f>IFERROR(VLOOKUP(Proc[[#This Row],[App]],Table2[],3,0),"open")</f>
        <v>ok</v>
      </c>
      <c r="C2255" s="105" t="s">
        <v>369</v>
      </c>
      <c r="D2255" t="s">
        <v>4111</v>
      </c>
      <c r="E2255" t="s">
        <v>3382</v>
      </c>
      <c r="F2255" s="105" t="s">
        <v>3382</v>
      </c>
      <c r="G2255" s="99" t="s">
        <v>406</v>
      </c>
      <c r="H2255" s="96" t="str">
        <f>IF(Proc[[#This Row],[type]]="LFF (MDG-F)",MID(Proc[[#This Row],[Obj]],13,10),"")</f>
        <v>DE20538602</v>
      </c>
      <c r="I2255" s="99" t="s">
        <v>4117</v>
      </c>
      <c r="J2255" s="96" t="b">
        <f>Proc[[#This Row],[Requested]]=Proc[[#This Row],[CurrentParent]]</f>
        <v>1</v>
      </c>
      <c r="K2255" s="96" t="str">
        <f>IF(Proc[[#This Row],[Author]]="Marcela Urrego",VLOOKUP(LEFT(Proc[[#This Row],[Requested]],1),Table3[#All],2,0),VLOOKUP(Proc[[#This Row],[Author]],Table4[],2,0))</f>
        <v>MGF</v>
      </c>
      <c r="L2255" s="96"/>
      <c r="M2255" s="98">
        <v>45814.369039351855</v>
      </c>
      <c r="N2255" s="102">
        <v>45819</v>
      </c>
      <c r="O2255" s="102">
        <v>45819</v>
      </c>
      <c r="P2255" s="100" t="str">
        <f ca="1">IF(Proc[[#This Row],[DaysAgeing]]&gt;5,"yep","on track")</f>
        <v>on track</v>
      </c>
      <c r="Q2255" s="3">
        <f ca="1">IF(Proc[[#This Row],[DateClosed]]="",ABS(NETWORKDAYS(Proc[[#This Row],[DateOpened]],TODAY()))-1,ABS(NETWORKDAYS(Proc[[#This Row],[DateOpened]],Proc[[#This Row],[DateClosed]]))-1)</f>
        <v>3</v>
      </c>
      <c r="R2255" s="100" t="s">
        <v>481</v>
      </c>
      <c r="S2255" s="96"/>
    </row>
    <row r="2256" spans="1:19" hidden="1">
      <c r="A2256" s="99" t="s">
        <v>4116</v>
      </c>
      <c r="B2256" s="96" t="str">
        <f>IFERROR(VLOOKUP(Proc[[#This Row],[App]],Table2[],3,0),"open")</f>
        <v>ok</v>
      </c>
      <c r="C2256" s="105" t="s">
        <v>369</v>
      </c>
      <c r="D2256" t="s">
        <v>4112</v>
      </c>
      <c r="E2256" t="s">
        <v>3382</v>
      </c>
      <c r="F2256" s="105" t="s">
        <v>3382</v>
      </c>
      <c r="G2256" s="99" t="s">
        <v>406</v>
      </c>
      <c r="H2256" s="96" t="str">
        <f>IF(Proc[[#This Row],[type]]="LFF (MDG-F)",MID(Proc[[#This Row],[Obj]],13,10),"")</f>
        <v>DE20538603</v>
      </c>
      <c r="I2256" s="99" t="s">
        <v>4117</v>
      </c>
      <c r="J2256" s="96" t="b">
        <f>Proc[[#This Row],[Requested]]=Proc[[#This Row],[CurrentParent]]</f>
        <v>1</v>
      </c>
      <c r="K2256" s="96" t="str">
        <f>IF(Proc[[#This Row],[Author]]="Marcela Urrego",VLOOKUP(LEFT(Proc[[#This Row],[Requested]],1),Table3[#All],2,0),VLOOKUP(Proc[[#This Row],[Author]],Table4[],2,0))</f>
        <v>MGF</v>
      </c>
      <c r="L2256" s="96"/>
      <c r="M2256" s="98">
        <v>45814.369039351855</v>
      </c>
      <c r="N2256" s="102">
        <v>45819</v>
      </c>
      <c r="O2256" s="102">
        <v>45819</v>
      </c>
      <c r="P2256" s="100" t="str">
        <f ca="1">IF(Proc[[#This Row],[DaysAgeing]]&gt;5,"yep","on track")</f>
        <v>on track</v>
      </c>
      <c r="Q2256" s="3">
        <f ca="1">IF(Proc[[#This Row],[DateClosed]]="",ABS(NETWORKDAYS(Proc[[#This Row],[DateOpened]],TODAY()))-1,ABS(NETWORKDAYS(Proc[[#This Row],[DateOpened]],Proc[[#This Row],[DateClosed]]))-1)</f>
        <v>3</v>
      </c>
      <c r="R2256" s="100" t="s">
        <v>481</v>
      </c>
      <c r="S2256" s="96"/>
    </row>
    <row r="2257" spans="1:19" hidden="1">
      <c r="A2257" s="99" t="s">
        <v>4116</v>
      </c>
      <c r="B2257" s="96" t="str">
        <f>IFERROR(VLOOKUP(Proc[[#This Row],[App]],Table2[],3,0),"open")</f>
        <v>ok</v>
      </c>
      <c r="C2257" s="105" t="s">
        <v>369</v>
      </c>
      <c r="D2257" t="s">
        <v>4113</v>
      </c>
      <c r="E2257" t="s">
        <v>3382</v>
      </c>
      <c r="F2257" s="105" t="s">
        <v>3382</v>
      </c>
      <c r="G2257" s="99" t="s">
        <v>406</v>
      </c>
      <c r="H2257" s="96" t="str">
        <f>IF(Proc[[#This Row],[type]]="LFF (MDG-F)",MID(Proc[[#This Row],[Obj]],13,10),"")</f>
        <v>DE20538604</v>
      </c>
      <c r="I2257" s="99" t="s">
        <v>4117</v>
      </c>
      <c r="J2257" s="96" t="b">
        <f>Proc[[#This Row],[Requested]]=Proc[[#This Row],[CurrentParent]]</f>
        <v>1</v>
      </c>
      <c r="K2257" s="96" t="str">
        <f>IF(Proc[[#This Row],[Author]]="Marcela Urrego",VLOOKUP(LEFT(Proc[[#This Row],[Requested]],1),Table3[#All],2,0),VLOOKUP(Proc[[#This Row],[Author]],Table4[],2,0))</f>
        <v>MGF</v>
      </c>
      <c r="L2257" s="96"/>
      <c r="M2257" s="98">
        <v>45814.369039351855</v>
      </c>
      <c r="N2257" s="102">
        <v>45819</v>
      </c>
      <c r="O2257" s="102">
        <v>45819</v>
      </c>
      <c r="P2257" s="100" t="str">
        <f ca="1">IF(Proc[[#This Row],[DaysAgeing]]&gt;5,"yep","on track")</f>
        <v>on track</v>
      </c>
      <c r="Q2257" s="3">
        <f ca="1">IF(Proc[[#This Row],[DateClosed]]="",ABS(NETWORKDAYS(Proc[[#This Row],[DateOpened]],TODAY()))-1,ABS(NETWORKDAYS(Proc[[#This Row],[DateOpened]],Proc[[#This Row],[DateClosed]]))-1)</f>
        <v>3</v>
      </c>
      <c r="R2257" s="100" t="s">
        <v>481</v>
      </c>
      <c r="S2257" s="96"/>
    </row>
    <row r="2258" spans="1:19" hidden="1">
      <c r="A2258" t="s">
        <v>4119</v>
      </c>
      <c r="B2258" s="96" t="str">
        <f>IFERROR(VLOOKUP(Proc[[#This Row],[App]],Table2[],3,0),"open")</f>
        <v>ok</v>
      </c>
      <c r="C2258" s="105" t="s">
        <v>369</v>
      </c>
      <c r="D2258" s="101" t="s">
        <v>4118</v>
      </c>
      <c r="E2258" t="s">
        <v>4101</v>
      </c>
      <c r="F2258" s="105" t="s">
        <v>4101</v>
      </c>
      <c r="G2258" t="s">
        <v>400</v>
      </c>
      <c r="H2258" s="96" t="str">
        <f>IF(Proc[[#This Row],[type]]="LFF (MDG-F)",MID(Proc[[#This Row],[Obj]],13,10),"")</f>
        <v/>
      </c>
      <c r="J2258" s="96" t="b">
        <f>Proc[[#This Row],[Requested]]=Proc[[#This Row],[CurrentParent]]</f>
        <v>1</v>
      </c>
      <c r="K2258" s="96" t="str">
        <f>IF(Proc[[#This Row],[Author]]="Marcela Urrego",VLOOKUP(LEFT(Proc[[#This Row],[Requested]],1),Table3[#All],2,0),VLOOKUP(Proc[[#This Row],[Author]],Table4[],2,0))</f>
        <v>LS</v>
      </c>
      <c r="L2258" s="96"/>
      <c r="M2258" s="100">
        <v>45818.369039351855</v>
      </c>
      <c r="N2258" s="102">
        <v>45819</v>
      </c>
      <c r="O2258" s="102">
        <v>45819</v>
      </c>
      <c r="P2258" s="100" t="str">
        <f ca="1">IF(Proc[[#This Row],[DaysAgeing]]&gt;5,"yep","on track")</f>
        <v>on track</v>
      </c>
      <c r="Q2258" s="3">
        <f ca="1">IF(Proc[[#This Row],[DateClosed]]="",ABS(NETWORKDAYS(Proc[[#This Row],[DateOpened]],TODAY()))-1,ABS(NETWORKDAYS(Proc[[#This Row],[DateOpened]],Proc[[#This Row],[DateClosed]]))-1)</f>
        <v>1</v>
      </c>
      <c r="R2258" s="100" t="s">
        <v>489</v>
      </c>
      <c r="S2258" s="96"/>
    </row>
    <row r="2259" spans="1:19" hidden="1">
      <c r="A2259" t="s">
        <v>4120</v>
      </c>
      <c r="B2259" s="96" t="str">
        <f>IFERROR(VLOOKUP(Proc[[#This Row],[App]],Table2[],3,0),"open")</f>
        <v>ok</v>
      </c>
      <c r="C2259" s="105" t="s">
        <v>369</v>
      </c>
      <c r="D2259" s="103" t="s">
        <v>4180</v>
      </c>
      <c r="E2259" t="s">
        <v>4121</v>
      </c>
      <c r="F2259" s="105" t="s">
        <v>4121</v>
      </c>
      <c r="G2259" s="103" t="s">
        <v>406</v>
      </c>
      <c r="H2259" s="96" t="str">
        <f>IF(Proc[[#This Row],[type]]="LFF (MDG-F)",MID(Proc[[#This Row],[Obj]],13,10),"")</f>
        <v>DE10594600</v>
      </c>
      <c r="J2259" s="96" t="b">
        <f>Proc[[#This Row],[Requested]]=Proc[[#This Row],[CurrentParent]]</f>
        <v>1</v>
      </c>
      <c r="K2259" s="96" t="str">
        <f>IF(Proc[[#This Row],[Author]]="Marcela Urrego",VLOOKUP(LEFT(Proc[[#This Row],[Requested]],1),Table3[#All],2,0),VLOOKUP(Proc[[#This Row],[Author]],Table4[],2,0))</f>
        <v>MGF</v>
      </c>
      <c r="L2259" s="96" t="s">
        <v>2563</v>
      </c>
      <c r="M2259" s="100">
        <v>45818.369039351855</v>
      </c>
      <c r="N2259" s="102"/>
      <c r="O2259" s="102"/>
      <c r="P2259" s="100" t="str">
        <f ca="1">IF(Proc[[#This Row],[DaysAgeing]]&gt;5,"yep","on track")</f>
        <v>yep</v>
      </c>
      <c r="Q2259" s="3">
        <f ca="1">IF(Proc[[#This Row],[DateClosed]]="",ABS(NETWORKDAYS(Proc[[#This Row],[DateOpened]],TODAY()))-1,ABS(NETWORKDAYS(Proc[[#This Row],[DateOpened]],Proc[[#This Row],[DateClosed]]))-1)</f>
        <v>15</v>
      </c>
      <c r="R2259" s="100" t="s">
        <v>515</v>
      </c>
      <c r="S2259" s="96"/>
    </row>
    <row r="2260" spans="1:19" hidden="1">
      <c r="A2260" s="103" t="s">
        <v>4120</v>
      </c>
      <c r="B2260" s="96" t="str">
        <f>IFERROR(VLOOKUP(Proc[[#This Row],[App]],Table2[],3,0),"open")</f>
        <v>ok</v>
      </c>
      <c r="C2260" s="103" t="s">
        <v>369</v>
      </c>
      <c r="D2260" s="104" t="s">
        <v>4179</v>
      </c>
      <c r="E2260" t="s">
        <v>4122</v>
      </c>
      <c r="F2260" s="105" t="s">
        <v>4122</v>
      </c>
      <c r="G2260" s="103" t="s">
        <v>406</v>
      </c>
      <c r="H2260" s="96" t="str">
        <f>IF(Proc[[#This Row],[type]]="LFF (MDG-F)",MID(Proc[[#This Row],[Obj]],13,10),"")</f>
        <v>DE10629410</v>
      </c>
      <c r="J2260" s="96" t="b">
        <f>Proc[[#This Row],[Requested]]=Proc[[#This Row],[CurrentParent]]</f>
        <v>1</v>
      </c>
      <c r="K2260" s="96" t="str">
        <f>IF(Proc[[#This Row],[Author]]="Marcela Urrego",VLOOKUP(LEFT(Proc[[#This Row],[Requested]],1),Table3[#All],2,0),VLOOKUP(Proc[[#This Row],[Author]],Table4[],2,0))</f>
        <v>MGF</v>
      </c>
      <c r="L2260" s="96" t="s">
        <v>2563</v>
      </c>
      <c r="M2260" s="100">
        <v>45818.369039351855</v>
      </c>
      <c r="N2260" s="102"/>
      <c r="O2260" s="102"/>
      <c r="P2260" s="100" t="str">
        <f ca="1">IF(Proc[[#This Row],[DaysAgeing]]&gt;5,"yep","on track")</f>
        <v>yep</v>
      </c>
      <c r="Q2260" s="3">
        <f ca="1">IF(Proc[[#This Row],[DateClosed]]="",ABS(NETWORKDAYS(Proc[[#This Row],[DateOpened]],TODAY()))-1,ABS(NETWORKDAYS(Proc[[#This Row],[DateOpened]],Proc[[#This Row],[DateClosed]]))-1)</f>
        <v>15</v>
      </c>
      <c r="R2260" s="100" t="s">
        <v>515</v>
      </c>
      <c r="S2260" s="96"/>
    </row>
    <row r="2261" spans="1:19" hidden="1">
      <c r="A2261" t="s">
        <v>4124</v>
      </c>
      <c r="B2261" s="96" t="str">
        <f>IFERROR(VLOOKUP(Proc[[#This Row],[App]],Table2[],3,0),"open")</f>
        <v>ok</v>
      </c>
      <c r="C2261" s="105" t="s">
        <v>369</v>
      </c>
      <c r="D2261" s="101" t="s">
        <v>4123</v>
      </c>
      <c r="E2261" s="105" t="s">
        <v>3265</v>
      </c>
      <c r="F2261" s="105" t="s">
        <v>3265</v>
      </c>
      <c r="G2261" t="s">
        <v>400</v>
      </c>
      <c r="H2261" s="96" t="str">
        <f>IF(Proc[[#This Row],[type]]="LFF (MDG-F)",MID(Proc[[#This Row],[Obj]],13,10),"")</f>
        <v/>
      </c>
      <c r="J2261" s="96" t="b">
        <f>Proc[[#This Row],[Requested]]=Proc[[#This Row],[CurrentParent]]</f>
        <v>1</v>
      </c>
      <c r="K2261" s="96" t="str">
        <f>IF(Proc[[#This Row],[Author]]="Marcela Urrego",VLOOKUP(LEFT(Proc[[#This Row],[Requested]],1),Table3[#All],2,0),VLOOKUP(Proc[[#This Row],[Author]],Table4[],2,0))</f>
        <v>LS</v>
      </c>
      <c r="L2261" s="96"/>
      <c r="M2261" s="100">
        <v>45818.369039351855</v>
      </c>
      <c r="N2261" s="102">
        <v>45819</v>
      </c>
      <c r="O2261" s="102">
        <v>45819</v>
      </c>
      <c r="P2261" s="100" t="str">
        <f ca="1">IF(Proc[[#This Row],[DaysAgeing]]&gt;5,"yep","on track")</f>
        <v>on track</v>
      </c>
      <c r="Q2261" s="3">
        <f ca="1">IF(Proc[[#This Row],[DateClosed]]="",ABS(NETWORKDAYS(Proc[[#This Row],[DateOpened]],TODAY()))-1,ABS(NETWORKDAYS(Proc[[#This Row],[DateOpened]],Proc[[#This Row],[DateClosed]]))-1)</f>
        <v>1</v>
      </c>
      <c r="R2261" s="100" t="s">
        <v>489</v>
      </c>
      <c r="S2261" s="96"/>
    </row>
    <row r="2262" spans="1:19" hidden="1">
      <c r="A2262" t="s">
        <v>4134</v>
      </c>
      <c r="B2262" s="96" t="str">
        <f>IFERROR(VLOOKUP(Proc[[#This Row],[App]],Table2[],3,0),"open")</f>
        <v>ok</v>
      </c>
      <c r="C2262" t="s">
        <v>369</v>
      </c>
      <c r="D2262" t="s">
        <v>4125</v>
      </c>
      <c r="E2262" t="s">
        <v>1213</v>
      </c>
      <c r="F2262" s="105" t="s">
        <v>1213</v>
      </c>
      <c r="G2262" t="s">
        <v>400</v>
      </c>
      <c r="H2262" s="96" t="str">
        <f>IF(Proc[[#This Row],[type]]="LFF (MDG-F)",MID(Proc[[#This Row],[Obj]],13,10),"")</f>
        <v/>
      </c>
      <c r="J2262" s="96" t="b">
        <f>Proc[[#This Row],[Requested]]=Proc[[#This Row],[CurrentParent]]</f>
        <v>1</v>
      </c>
      <c r="K2262" s="96" t="str">
        <f>IF(Proc[[#This Row],[Author]]="Marcela Urrego",VLOOKUP(LEFT(Proc[[#This Row],[Requested]],1),Table3[#All],2,0),VLOOKUP(Proc[[#This Row],[Author]],Table4[],2,0))</f>
        <v>EL</v>
      </c>
      <c r="L2262" s="96" t="s">
        <v>2563</v>
      </c>
      <c r="M2262" s="102">
        <v>45819.48096064815</v>
      </c>
      <c r="N2262" s="102">
        <v>45825</v>
      </c>
      <c r="O2262" s="102">
        <v>45825</v>
      </c>
      <c r="P2262" s="106" t="str">
        <f ca="1">IF(Proc[[#This Row],[DaysAgeing]]&gt;5,"yep","on track")</f>
        <v>on track</v>
      </c>
      <c r="Q2262" s="3">
        <f ca="1">IF(Proc[[#This Row],[DateClosed]]="",ABS(NETWORKDAYS(Proc[[#This Row],[DateOpened]],TODAY()))-1,ABS(NETWORKDAYS(Proc[[#This Row],[DateOpened]],Proc[[#This Row],[DateClosed]]))-1)</f>
        <v>4</v>
      </c>
      <c r="R2262" s="106" t="s">
        <v>780</v>
      </c>
      <c r="S2262" s="96"/>
    </row>
    <row r="2263" spans="1:19" hidden="1">
      <c r="A2263" s="105" t="s">
        <v>4134</v>
      </c>
      <c r="B2263" s="96" t="str">
        <f>IFERROR(VLOOKUP(Proc[[#This Row],[App]],Table2[],3,0),"open")</f>
        <v>ok</v>
      </c>
      <c r="C2263" s="105" t="s">
        <v>369</v>
      </c>
      <c r="D2263" t="s">
        <v>4126</v>
      </c>
      <c r="E2263" t="s">
        <v>1214</v>
      </c>
      <c r="F2263" s="105" t="s">
        <v>1214</v>
      </c>
      <c r="G2263" s="105" t="s">
        <v>400</v>
      </c>
      <c r="H2263" s="96" t="str">
        <f>IF(Proc[[#This Row],[type]]="LFF (MDG-F)",MID(Proc[[#This Row],[Obj]],13,10),"")</f>
        <v/>
      </c>
      <c r="J2263" s="96" t="b">
        <f>Proc[[#This Row],[Requested]]=Proc[[#This Row],[CurrentParent]]</f>
        <v>1</v>
      </c>
      <c r="K2263" s="96" t="str">
        <f>IF(Proc[[#This Row],[Author]]="Marcela Urrego",VLOOKUP(LEFT(Proc[[#This Row],[Requested]],1),Table3[#All],2,0),VLOOKUP(Proc[[#This Row],[Author]],Table4[],2,0))</f>
        <v>EL</v>
      </c>
      <c r="L2263" s="96" t="s">
        <v>2563</v>
      </c>
      <c r="M2263" s="102">
        <v>45819.48096064815</v>
      </c>
      <c r="N2263" s="102">
        <v>45825</v>
      </c>
      <c r="O2263" s="102">
        <v>45825</v>
      </c>
      <c r="P2263" s="106" t="str">
        <f ca="1">IF(Proc[[#This Row],[DaysAgeing]]&gt;5,"yep","on track")</f>
        <v>on track</v>
      </c>
      <c r="Q2263" s="3">
        <f ca="1">IF(Proc[[#This Row],[DateClosed]]="",ABS(NETWORKDAYS(Proc[[#This Row],[DateOpened]],TODAY()))-1,ABS(NETWORKDAYS(Proc[[#This Row],[DateOpened]],Proc[[#This Row],[DateClosed]]))-1)</f>
        <v>4</v>
      </c>
      <c r="R2263" s="106" t="s">
        <v>780</v>
      </c>
      <c r="S2263" s="96"/>
    </row>
    <row r="2264" spans="1:19" hidden="1">
      <c r="A2264" s="105" t="s">
        <v>4134</v>
      </c>
      <c r="B2264" s="96" t="str">
        <f>IFERROR(VLOOKUP(Proc[[#This Row],[App]],Table2[],3,0),"open")</f>
        <v>ok</v>
      </c>
      <c r="C2264" s="105" t="s">
        <v>369</v>
      </c>
      <c r="D2264" t="s">
        <v>4127</v>
      </c>
      <c r="E2264" t="s">
        <v>1214</v>
      </c>
      <c r="F2264" s="105" t="s">
        <v>1214</v>
      </c>
      <c r="G2264" s="105" t="s">
        <v>400</v>
      </c>
      <c r="H2264" s="96" t="str">
        <f>IF(Proc[[#This Row],[type]]="LFF (MDG-F)",MID(Proc[[#This Row],[Obj]],13,10),"")</f>
        <v/>
      </c>
      <c r="J2264" s="96" t="b">
        <f>Proc[[#This Row],[Requested]]=Proc[[#This Row],[CurrentParent]]</f>
        <v>1</v>
      </c>
      <c r="K2264" s="96" t="str">
        <f>IF(Proc[[#This Row],[Author]]="Marcela Urrego",VLOOKUP(LEFT(Proc[[#This Row],[Requested]],1),Table3[#All],2,0),VLOOKUP(Proc[[#This Row],[Author]],Table4[],2,0))</f>
        <v>EL</v>
      </c>
      <c r="L2264" s="96" t="s">
        <v>2563</v>
      </c>
      <c r="M2264" s="102">
        <v>45819.48096064815</v>
      </c>
      <c r="N2264" s="102">
        <v>45825</v>
      </c>
      <c r="O2264" s="102">
        <v>45825</v>
      </c>
      <c r="P2264" s="106" t="str">
        <f ca="1">IF(Proc[[#This Row],[DaysAgeing]]&gt;5,"yep","on track")</f>
        <v>on track</v>
      </c>
      <c r="Q2264" s="3">
        <f ca="1">IF(Proc[[#This Row],[DateClosed]]="",ABS(NETWORKDAYS(Proc[[#This Row],[DateOpened]],TODAY()))-1,ABS(NETWORKDAYS(Proc[[#This Row],[DateOpened]],Proc[[#This Row],[DateClosed]]))-1)</f>
        <v>4</v>
      </c>
      <c r="R2264" s="106" t="s">
        <v>780</v>
      </c>
      <c r="S2264" s="96"/>
    </row>
    <row r="2265" spans="1:19" hidden="1">
      <c r="A2265" s="105" t="s">
        <v>4134</v>
      </c>
      <c r="B2265" s="96" t="str">
        <f>IFERROR(VLOOKUP(Proc[[#This Row],[App]],Table2[],3,0),"open")</f>
        <v>ok</v>
      </c>
      <c r="C2265" s="105" t="s">
        <v>369</v>
      </c>
      <c r="D2265" t="s">
        <v>4128</v>
      </c>
      <c r="E2265" t="s">
        <v>4132</v>
      </c>
      <c r="F2265" s="105" t="s">
        <v>4132</v>
      </c>
      <c r="G2265" s="105" t="s">
        <v>400</v>
      </c>
      <c r="H2265" s="96" t="str">
        <f>IF(Proc[[#This Row],[type]]="LFF (MDG-F)",MID(Proc[[#This Row],[Obj]],13,10),"")</f>
        <v/>
      </c>
      <c r="J2265" s="96" t="b">
        <f>Proc[[#This Row],[Requested]]=Proc[[#This Row],[CurrentParent]]</f>
        <v>1</v>
      </c>
      <c r="K2265" s="96" t="str">
        <f>IF(Proc[[#This Row],[Author]]="Marcela Urrego",VLOOKUP(LEFT(Proc[[#This Row],[Requested]],1),Table3[#All],2,0),VLOOKUP(Proc[[#This Row],[Author]],Table4[],2,0))</f>
        <v>EL</v>
      </c>
      <c r="L2265" s="96" t="s">
        <v>2563</v>
      </c>
      <c r="M2265" s="102">
        <v>45819.48096064815</v>
      </c>
      <c r="N2265" s="102">
        <v>45825</v>
      </c>
      <c r="O2265" s="102">
        <v>45825</v>
      </c>
      <c r="P2265" s="106" t="str">
        <f ca="1">IF(Proc[[#This Row],[DaysAgeing]]&gt;5,"yep","on track")</f>
        <v>on track</v>
      </c>
      <c r="Q2265" s="3">
        <f ca="1">IF(Proc[[#This Row],[DateClosed]]="",ABS(NETWORKDAYS(Proc[[#This Row],[DateOpened]],TODAY()))-1,ABS(NETWORKDAYS(Proc[[#This Row],[DateOpened]],Proc[[#This Row],[DateClosed]]))-1)</f>
        <v>4</v>
      </c>
      <c r="R2265" s="106" t="s">
        <v>780</v>
      </c>
      <c r="S2265" s="96"/>
    </row>
    <row r="2266" spans="1:19" hidden="1">
      <c r="A2266" s="105" t="s">
        <v>4134</v>
      </c>
      <c r="B2266" s="96" t="str">
        <f>IFERROR(VLOOKUP(Proc[[#This Row],[App]],Table2[],3,0),"open")</f>
        <v>ok</v>
      </c>
      <c r="C2266" s="105" t="s">
        <v>369</v>
      </c>
      <c r="D2266" t="s">
        <v>4129</v>
      </c>
      <c r="E2266" t="s">
        <v>4132</v>
      </c>
      <c r="F2266" s="105" t="s">
        <v>4132</v>
      </c>
      <c r="G2266" s="105" t="s">
        <v>400</v>
      </c>
      <c r="H2266" s="96" t="str">
        <f>IF(Proc[[#This Row],[type]]="LFF (MDG-F)",MID(Proc[[#This Row],[Obj]],13,10),"")</f>
        <v/>
      </c>
      <c r="J2266" s="96" t="b">
        <f>Proc[[#This Row],[Requested]]=Proc[[#This Row],[CurrentParent]]</f>
        <v>1</v>
      </c>
      <c r="K2266" s="96" t="str">
        <f>IF(Proc[[#This Row],[Author]]="Marcela Urrego",VLOOKUP(LEFT(Proc[[#This Row],[Requested]],1),Table3[#All],2,0),VLOOKUP(Proc[[#This Row],[Author]],Table4[],2,0))</f>
        <v>EL</v>
      </c>
      <c r="L2266" s="96" t="s">
        <v>2563</v>
      </c>
      <c r="M2266" s="102">
        <v>45819.48096064815</v>
      </c>
      <c r="N2266" s="102">
        <v>45825</v>
      </c>
      <c r="O2266" s="102">
        <v>45825</v>
      </c>
      <c r="P2266" s="106" t="str">
        <f ca="1">IF(Proc[[#This Row],[DaysAgeing]]&gt;5,"yep","on track")</f>
        <v>on track</v>
      </c>
      <c r="Q2266" s="3">
        <f ca="1">IF(Proc[[#This Row],[DateClosed]]="",ABS(NETWORKDAYS(Proc[[#This Row],[DateOpened]],TODAY()))-1,ABS(NETWORKDAYS(Proc[[#This Row],[DateOpened]],Proc[[#This Row],[DateClosed]]))-1)</f>
        <v>4</v>
      </c>
      <c r="R2266" s="106" t="s">
        <v>780</v>
      </c>
      <c r="S2266" s="96"/>
    </row>
    <row r="2267" spans="1:19" hidden="1">
      <c r="A2267" s="105" t="s">
        <v>4134</v>
      </c>
      <c r="B2267" s="96" t="str">
        <f>IFERROR(VLOOKUP(Proc[[#This Row],[App]],Table2[],3,0),"open")</f>
        <v>ok</v>
      </c>
      <c r="C2267" s="105" t="s">
        <v>369</v>
      </c>
      <c r="D2267" t="s">
        <v>4130</v>
      </c>
      <c r="E2267" t="s">
        <v>4133</v>
      </c>
      <c r="F2267" s="105" t="s">
        <v>4133</v>
      </c>
      <c r="G2267" s="105" t="s">
        <v>400</v>
      </c>
      <c r="H2267" s="96" t="str">
        <f>IF(Proc[[#This Row],[type]]="LFF (MDG-F)",MID(Proc[[#This Row],[Obj]],13,10),"")</f>
        <v/>
      </c>
      <c r="J2267" s="96" t="b">
        <f>Proc[[#This Row],[Requested]]=Proc[[#This Row],[CurrentParent]]</f>
        <v>1</v>
      </c>
      <c r="K2267" s="96" t="str">
        <f>IF(Proc[[#This Row],[Author]]="Marcela Urrego",VLOOKUP(LEFT(Proc[[#This Row],[Requested]],1),Table3[#All],2,0),VLOOKUP(Proc[[#This Row],[Author]],Table4[],2,0))</f>
        <v>EL</v>
      </c>
      <c r="L2267" s="96" t="s">
        <v>2563</v>
      </c>
      <c r="M2267" s="102">
        <v>45819.48096064815</v>
      </c>
      <c r="N2267" s="102">
        <v>45825</v>
      </c>
      <c r="O2267" s="102">
        <v>45825</v>
      </c>
      <c r="P2267" s="106" t="str">
        <f ca="1">IF(Proc[[#This Row],[DaysAgeing]]&gt;5,"yep","on track")</f>
        <v>on track</v>
      </c>
      <c r="Q2267" s="3">
        <f ca="1">IF(Proc[[#This Row],[DateClosed]]="",ABS(NETWORKDAYS(Proc[[#This Row],[DateOpened]],TODAY()))-1,ABS(NETWORKDAYS(Proc[[#This Row],[DateOpened]],Proc[[#This Row],[DateClosed]]))-1)</f>
        <v>4</v>
      </c>
      <c r="R2267" s="106" t="s">
        <v>780</v>
      </c>
      <c r="S2267" s="96"/>
    </row>
    <row r="2268" spans="1:19" hidden="1">
      <c r="A2268" s="105" t="s">
        <v>4134</v>
      </c>
      <c r="B2268" s="96" t="str">
        <f>IFERROR(VLOOKUP(Proc[[#This Row],[App]],Table2[],3,0),"open")</f>
        <v>ok</v>
      </c>
      <c r="C2268" s="105" t="s">
        <v>369</v>
      </c>
      <c r="D2268" t="s">
        <v>4131</v>
      </c>
      <c r="E2268" t="s">
        <v>4133</v>
      </c>
      <c r="F2268" s="105" t="s">
        <v>4133</v>
      </c>
      <c r="G2268" s="105" t="s">
        <v>400</v>
      </c>
      <c r="H2268" s="96" t="str">
        <f>IF(Proc[[#This Row],[type]]="LFF (MDG-F)",MID(Proc[[#This Row],[Obj]],13,10),"")</f>
        <v/>
      </c>
      <c r="J2268" s="96" t="b">
        <f>Proc[[#This Row],[Requested]]=Proc[[#This Row],[CurrentParent]]</f>
        <v>1</v>
      </c>
      <c r="K2268" s="96" t="str">
        <f>IF(Proc[[#This Row],[Author]]="Marcela Urrego",VLOOKUP(LEFT(Proc[[#This Row],[Requested]],1),Table3[#All],2,0),VLOOKUP(Proc[[#This Row],[Author]],Table4[],2,0))</f>
        <v>EL</v>
      </c>
      <c r="L2268" s="96" t="s">
        <v>2563</v>
      </c>
      <c r="M2268" s="102">
        <v>45819.48096064815</v>
      </c>
      <c r="N2268" s="102">
        <v>45825</v>
      </c>
      <c r="O2268" s="102">
        <v>45825</v>
      </c>
      <c r="P2268" s="106" t="str">
        <f ca="1">IF(Proc[[#This Row],[DaysAgeing]]&gt;5,"yep","on track")</f>
        <v>on track</v>
      </c>
      <c r="Q2268" s="3">
        <f ca="1">IF(Proc[[#This Row],[DateClosed]]="",ABS(NETWORKDAYS(Proc[[#This Row],[DateOpened]],TODAY()))-1,ABS(NETWORKDAYS(Proc[[#This Row],[DateOpened]],Proc[[#This Row],[DateClosed]]))-1)</f>
        <v>4</v>
      </c>
      <c r="R2268" s="106" t="s">
        <v>780</v>
      </c>
      <c r="S2268" s="96"/>
    </row>
    <row r="2269" spans="1:19" hidden="1">
      <c r="A2269" t="s">
        <v>4140</v>
      </c>
      <c r="B2269" s="96" t="str">
        <f>IFERROR(VLOOKUP(Proc[[#This Row],[App]],Table2[],3,0),"open")</f>
        <v>ok</v>
      </c>
      <c r="C2269" s="105" t="s">
        <v>369</v>
      </c>
      <c r="D2269" t="s">
        <v>4141</v>
      </c>
      <c r="E2269" t="s">
        <v>4174</v>
      </c>
      <c r="F2269" s="105" t="s">
        <v>4174</v>
      </c>
      <c r="G2269" s="105" t="s">
        <v>400</v>
      </c>
      <c r="H2269" s="96" t="str">
        <f>IF(Proc[[#This Row],[type]]="LFF (MDG-F)",MID(Proc[[#This Row],[Obj]],13,10),"")</f>
        <v/>
      </c>
      <c r="J2269" s="96" t="b">
        <f>Proc[[#This Row],[Requested]]=Proc[[#This Row],[CurrentParent]]</f>
        <v>1</v>
      </c>
      <c r="K2269" s="96" t="str">
        <f>IF(Proc[[#This Row],[Author]]="Marcela Urrego",VLOOKUP(LEFT(Proc[[#This Row],[Requested]],1),Table3[#All],2,0),VLOOKUP(Proc[[#This Row],[Author]],Table4[],2,0))</f>
        <v>HC</v>
      </c>
      <c r="L2269" s="96" t="s">
        <v>2563</v>
      </c>
      <c r="M2269" s="106">
        <v>45825.48096064815</v>
      </c>
      <c r="N2269" s="107">
        <v>45825</v>
      </c>
      <c r="O2269" s="107">
        <v>45825</v>
      </c>
      <c r="P2269" s="106" t="str">
        <f ca="1">IF(Proc[[#This Row],[DaysAgeing]]&gt;5,"yep","on track")</f>
        <v>on track</v>
      </c>
      <c r="Q2269" s="3">
        <f ca="1">IF(Proc[[#This Row],[DateClosed]]="",ABS(NETWORKDAYS(Proc[[#This Row],[DateOpened]],TODAY()))-1,ABS(NETWORKDAYS(Proc[[#This Row],[DateOpened]],Proc[[#This Row],[DateClosed]]))-1)</f>
        <v>0</v>
      </c>
      <c r="R2269" s="106" t="s">
        <v>410</v>
      </c>
      <c r="S2269" s="96"/>
    </row>
    <row r="2270" spans="1:19" hidden="1">
      <c r="A2270" s="105" t="s">
        <v>4140</v>
      </c>
      <c r="B2270" s="96" t="str">
        <f>IFERROR(VLOOKUP(Proc[[#This Row],[App]],Table2[],3,0),"open")</f>
        <v>ok</v>
      </c>
      <c r="C2270" s="105" t="s">
        <v>369</v>
      </c>
      <c r="D2270" t="s">
        <v>4142</v>
      </c>
      <c r="E2270" t="s">
        <v>4175</v>
      </c>
      <c r="F2270" s="105" t="s">
        <v>4175</v>
      </c>
      <c r="G2270" s="105" t="s">
        <v>400</v>
      </c>
      <c r="H2270" s="96" t="str">
        <f>IF(Proc[[#This Row],[type]]="LFF (MDG-F)",MID(Proc[[#This Row],[Obj]],13,10),"")</f>
        <v/>
      </c>
      <c r="J2270" s="96" t="b">
        <f>Proc[[#This Row],[Requested]]=Proc[[#This Row],[CurrentParent]]</f>
        <v>1</v>
      </c>
      <c r="K2270" s="96" t="str">
        <f>IF(Proc[[#This Row],[Author]]="Marcela Urrego",VLOOKUP(LEFT(Proc[[#This Row],[Requested]],1),Table3[#All],2,0),VLOOKUP(Proc[[#This Row],[Author]],Table4[],2,0))</f>
        <v>HC</v>
      </c>
      <c r="L2270" s="96" t="s">
        <v>2563</v>
      </c>
      <c r="M2270" s="106">
        <v>45825.48096064815</v>
      </c>
      <c r="N2270" s="107">
        <v>45825</v>
      </c>
      <c r="O2270" s="107">
        <v>45825</v>
      </c>
      <c r="P2270" s="106" t="str">
        <f ca="1">IF(Proc[[#This Row],[DaysAgeing]]&gt;5,"yep","on track")</f>
        <v>on track</v>
      </c>
      <c r="Q2270" s="3">
        <f ca="1">IF(Proc[[#This Row],[DateClosed]]="",ABS(NETWORKDAYS(Proc[[#This Row],[DateOpened]],TODAY()))-1,ABS(NETWORKDAYS(Proc[[#This Row],[DateOpened]],Proc[[#This Row],[DateClosed]]))-1)</f>
        <v>0</v>
      </c>
      <c r="R2270" s="106" t="s">
        <v>410</v>
      </c>
      <c r="S2270" s="96"/>
    </row>
    <row r="2271" spans="1:19" hidden="1">
      <c r="A2271" s="105" t="s">
        <v>4140</v>
      </c>
      <c r="B2271" s="96" t="str">
        <f>IFERROR(VLOOKUP(Proc[[#This Row],[App]],Table2[],3,0),"open")</f>
        <v>ok</v>
      </c>
      <c r="C2271" s="105" t="s">
        <v>369</v>
      </c>
      <c r="D2271" t="s">
        <v>4143</v>
      </c>
      <c r="E2271" t="s">
        <v>4175</v>
      </c>
      <c r="F2271" s="105" t="s">
        <v>4175</v>
      </c>
      <c r="G2271" s="105" t="s">
        <v>400</v>
      </c>
      <c r="H2271" s="96" t="str">
        <f>IF(Proc[[#This Row],[type]]="LFF (MDG-F)",MID(Proc[[#This Row],[Obj]],13,10),"")</f>
        <v/>
      </c>
      <c r="J2271" s="96" t="b">
        <f>Proc[[#This Row],[Requested]]=Proc[[#This Row],[CurrentParent]]</f>
        <v>1</v>
      </c>
      <c r="K2271" s="96" t="str">
        <f>IF(Proc[[#This Row],[Author]]="Marcela Urrego",VLOOKUP(LEFT(Proc[[#This Row],[Requested]],1),Table3[#All],2,0),VLOOKUP(Proc[[#This Row],[Author]],Table4[],2,0))</f>
        <v>HC</v>
      </c>
      <c r="L2271" s="96" t="s">
        <v>2563</v>
      </c>
      <c r="M2271" s="106">
        <v>45825.48096064815</v>
      </c>
      <c r="N2271" s="107">
        <v>45825</v>
      </c>
      <c r="O2271" s="107">
        <v>45825</v>
      </c>
      <c r="P2271" s="106" t="str">
        <f ca="1">IF(Proc[[#This Row],[DaysAgeing]]&gt;5,"yep","on track")</f>
        <v>on track</v>
      </c>
      <c r="Q2271" s="3">
        <f ca="1">IF(Proc[[#This Row],[DateClosed]]="",ABS(NETWORKDAYS(Proc[[#This Row],[DateOpened]],TODAY()))-1,ABS(NETWORKDAYS(Proc[[#This Row],[DateOpened]],Proc[[#This Row],[DateClosed]]))-1)</f>
        <v>0</v>
      </c>
      <c r="R2271" s="106" t="s">
        <v>410</v>
      </c>
      <c r="S2271" s="96"/>
    </row>
    <row r="2272" spans="1:19" hidden="1">
      <c r="A2272" s="105" t="s">
        <v>4140</v>
      </c>
      <c r="B2272" s="96" t="str">
        <f>IFERROR(VLOOKUP(Proc[[#This Row],[App]],Table2[],3,0),"open")</f>
        <v>ok</v>
      </c>
      <c r="C2272" s="105" t="s">
        <v>369</v>
      </c>
      <c r="D2272" t="s">
        <v>4144</v>
      </c>
      <c r="E2272" t="s">
        <v>4175</v>
      </c>
      <c r="F2272" s="105" t="s">
        <v>4175</v>
      </c>
      <c r="G2272" s="105" t="s">
        <v>400</v>
      </c>
      <c r="H2272" s="96" t="str">
        <f>IF(Proc[[#This Row],[type]]="LFF (MDG-F)",MID(Proc[[#This Row],[Obj]],13,10),"")</f>
        <v/>
      </c>
      <c r="J2272" s="96" t="b">
        <f>Proc[[#This Row],[Requested]]=Proc[[#This Row],[CurrentParent]]</f>
        <v>1</v>
      </c>
      <c r="K2272" s="96" t="str">
        <f>IF(Proc[[#This Row],[Author]]="Marcela Urrego",VLOOKUP(LEFT(Proc[[#This Row],[Requested]],1),Table3[#All],2,0),VLOOKUP(Proc[[#This Row],[Author]],Table4[],2,0))</f>
        <v>HC</v>
      </c>
      <c r="L2272" s="96" t="s">
        <v>2563</v>
      </c>
      <c r="M2272" s="106">
        <v>45825.48096064815</v>
      </c>
      <c r="N2272" s="107">
        <v>45825</v>
      </c>
      <c r="O2272" s="107">
        <v>45825</v>
      </c>
      <c r="P2272" s="106" t="str">
        <f ca="1">IF(Proc[[#This Row],[DaysAgeing]]&gt;5,"yep","on track")</f>
        <v>on track</v>
      </c>
      <c r="Q2272" s="3">
        <f ca="1">IF(Proc[[#This Row],[DateClosed]]="",ABS(NETWORKDAYS(Proc[[#This Row],[DateOpened]],TODAY()))-1,ABS(NETWORKDAYS(Proc[[#This Row],[DateOpened]],Proc[[#This Row],[DateClosed]]))-1)</f>
        <v>0</v>
      </c>
      <c r="R2272" s="106" t="s">
        <v>410</v>
      </c>
      <c r="S2272" s="96"/>
    </row>
    <row r="2273" spans="1:19" hidden="1">
      <c r="A2273" s="105" t="s">
        <v>4140</v>
      </c>
      <c r="B2273" s="96" t="str">
        <f>IFERROR(VLOOKUP(Proc[[#This Row],[App]],Table2[],3,0),"open")</f>
        <v>ok</v>
      </c>
      <c r="C2273" s="105" t="s">
        <v>369</v>
      </c>
      <c r="D2273" t="s">
        <v>4145</v>
      </c>
      <c r="E2273" t="s">
        <v>4174</v>
      </c>
      <c r="F2273" s="105" t="s">
        <v>4174</v>
      </c>
      <c r="G2273" s="105" t="s">
        <v>400</v>
      </c>
      <c r="H2273" s="96" t="str">
        <f>IF(Proc[[#This Row],[type]]="LFF (MDG-F)",MID(Proc[[#This Row],[Obj]],13,10),"")</f>
        <v/>
      </c>
      <c r="J2273" s="96" t="b">
        <f>Proc[[#This Row],[Requested]]=Proc[[#This Row],[CurrentParent]]</f>
        <v>1</v>
      </c>
      <c r="K2273" s="96" t="str">
        <f>IF(Proc[[#This Row],[Author]]="Marcela Urrego",VLOOKUP(LEFT(Proc[[#This Row],[Requested]],1),Table3[#All],2,0),VLOOKUP(Proc[[#This Row],[Author]],Table4[],2,0))</f>
        <v>HC</v>
      </c>
      <c r="L2273" s="96" t="s">
        <v>2563</v>
      </c>
      <c r="M2273" s="106">
        <v>45825.48096064815</v>
      </c>
      <c r="N2273" s="107">
        <v>45825</v>
      </c>
      <c r="O2273" s="107">
        <v>45825</v>
      </c>
      <c r="P2273" s="106" t="str">
        <f ca="1">IF(Proc[[#This Row],[DaysAgeing]]&gt;5,"yep","on track")</f>
        <v>on track</v>
      </c>
      <c r="Q2273" s="3">
        <f ca="1">IF(Proc[[#This Row],[DateClosed]]="",ABS(NETWORKDAYS(Proc[[#This Row],[DateOpened]],TODAY()))-1,ABS(NETWORKDAYS(Proc[[#This Row],[DateOpened]],Proc[[#This Row],[DateClosed]]))-1)</f>
        <v>0</v>
      </c>
      <c r="R2273" s="106" t="s">
        <v>410</v>
      </c>
      <c r="S2273" s="96"/>
    </row>
    <row r="2274" spans="1:19" hidden="1">
      <c r="A2274" s="105" t="s">
        <v>4140</v>
      </c>
      <c r="B2274" s="96" t="str">
        <f>IFERROR(VLOOKUP(Proc[[#This Row],[App]],Table2[],3,0),"open")</f>
        <v>ok</v>
      </c>
      <c r="C2274" s="105" t="s">
        <v>369</v>
      </c>
      <c r="D2274" t="s">
        <v>4146</v>
      </c>
      <c r="E2274" t="s">
        <v>4174</v>
      </c>
      <c r="F2274" s="105" t="s">
        <v>4174</v>
      </c>
      <c r="G2274" s="105" t="s">
        <v>400</v>
      </c>
      <c r="H2274" s="96" t="str">
        <f>IF(Proc[[#This Row],[type]]="LFF (MDG-F)",MID(Proc[[#This Row],[Obj]],13,10),"")</f>
        <v/>
      </c>
      <c r="J2274" s="96" t="b">
        <f>Proc[[#This Row],[Requested]]=Proc[[#This Row],[CurrentParent]]</f>
        <v>1</v>
      </c>
      <c r="K2274" s="96" t="str">
        <f>IF(Proc[[#This Row],[Author]]="Marcela Urrego",VLOOKUP(LEFT(Proc[[#This Row],[Requested]],1),Table3[#All],2,0),VLOOKUP(Proc[[#This Row],[Author]],Table4[],2,0))</f>
        <v>HC</v>
      </c>
      <c r="L2274" s="96" t="s">
        <v>2563</v>
      </c>
      <c r="M2274" s="106">
        <v>45825.48096064815</v>
      </c>
      <c r="N2274" s="107">
        <v>45825</v>
      </c>
      <c r="O2274" s="107">
        <v>45825</v>
      </c>
      <c r="P2274" s="106" t="str">
        <f ca="1">IF(Proc[[#This Row],[DaysAgeing]]&gt;5,"yep","on track")</f>
        <v>on track</v>
      </c>
      <c r="Q2274" s="3">
        <f ca="1">IF(Proc[[#This Row],[DateClosed]]="",ABS(NETWORKDAYS(Proc[[#This Row],[DateOpened]],TODAY()))-1,ABS(NETWORKDAYS(Proc[[#This Row],[DateOpened]],Proc[[#This Row],[DateClosed]]))-1)</f>
        <v>0</v>
      </c>
      <c r="R2274" s="106" t="s">
        <v>410</v>
      </c>
      <c r="S2274" s="96"/>
    </row>
    <row r="2275" spans="1:19" hidden="1">
      <c r="A2275" s="105" t="s">
        <v>4140</v>
      </c>
      <c r="B2275" s="96" t="str">
        <f>IFERROR(VLOOKUP(Proc[[#This Row],[App]],Table2[],3,0),"open")</f>
        <v>ok</v>
      </c>
      <c r="C2275" s="105" t="s">
        <v>369</v>
      </c>
      <c r="D2275" t="s">
        <v>4147</v>
      </c>
      <c r="E2275" t="s">
        <v>4174</v>
      </c>
      <c r="F2275" s="105" t="s">
        <v>4174</v>
      </c>
      <c r="G2275" s="105" t="s">
        <v>400</v>
      </c>
      <c r="H2275" s="96" t="str">
        <f>IF(Proc[[#This Row],[type]]="LFF (MDG-F)",MID(Proc[[#This Row],[Obj]],13,10),"")</f>
        <v/>
      </c>
      <c r="J2275" s="96" t="b">
        <f>Proc[[#This Row],[Requested]]=Proc[[#This Row],[CurrentParent]]</f>
        <v>1</v>
      </c>
      <c r="K2275" s="96" t="str">
        <f>IF(Proc[[#This Row],[Author]]="Marcela Urrego",VLOOKUP(LEFT(Proc[[#This Row],[Requested]],1),Table3[#All],2,0),VLOOKUP(Proc[[#This Row],[Author]],Table4[],2,0))</f>
        <v>HC</v>
      </c>
      <c r="L2275" s="96" t="s">
        <v>2563</v>
      </c>
      <c r="M2275" s="106">
        <v>45825.48096064815</v>
      </c>
      <c r="N2275" s="107">
        <v>45825</v>
      </c>
      <c r="O2275" s="107">
        <v>45825</v>
      </c>
      <c r="P2275" s="106" t="str">
        <f ca="1">IF(Proc[[#This Row],[DaysAgeing]]&gt;5,"yep","on track")</f>
        <v>on track</v>
      </c>
      <c r="Q2275" s="3">
        <f ca="1">IF(Proc[[#This Row],[DateClosed]]="",ABS(NETWORKDAYS(Proc[[#This Row],[DateOpened]],TODAY()))-1,ABS(NETWORKDAYS(Proc[[#This Row],[DateOpened]],Proc[[#This Row],[DateClosed]]))-1)</f>
        <v>0</v>
      </c>
      <c r="R2275" s="106" t="s">
        <v>410</v>
      </c>
      <c r="S2275" s="96"/>
    </row>
    <row r="2276" spans="1:19" hidden="1">
      <c r="A2276" s="105" t="s">
        <v>4140</v>
      </c>
      <c r="B2276" s="96" t="str">
        <f>IFERROR(VLOOKUP(Proc[[#This Row],[App]],Table2[],3,0),"open")</f>
        <v>ok</v>
      </c>
      <c r="C2276" s="105" t="s">
        <v>369</v>
      </c>
      <c r="D2276" t="s">
        <v>4148</v>
      </c>
      <c r="E2276" t="s">
        <v>4082</v>
      </c>
      <c r="F2276" s="105" t="s">
        <v>4082</v>
      </c>
      <c r="G2276" s="105" t="s">
        <v>400</v>
      </c>
      <c r="H2276" s="96" t="str">
        <f>IF(Proc[[#This Row],[type]]="LFF (MDG-F)",MID(Proc[[#This Row],[Obj]],13,10),"")</f>
        <v/>
      </c>
      <c r="J2276" s="96" t="b">
        <f>Proc[[#This Row],[Requested]]=Proc[[#This Row],[CurrentParent]]</f>
        <v>1</v>
      </c>
      <c r="K2276" s="96" t="str">
        <f>IF(Proc[[#This Row],[Author]]="Marcela Urrego",VLOOKUP(LEFT(Proc[[#This Row],[Requested]],1),Table3[#All],2,0),VLOOKUP(Proc[[#This Row],[Author]],Table4[],2,0))</f>
        <v>HC</v>
      </c>
      <c r="L2276" s="96" t="s">
        <v>2563</v>
      </c>
      <c r="M2276" s="106">
        <v>45825.48096064815</v>
      </c>
      <c r="N2276" s="107">
        <v>45825</v>
      </c>
      <c r="O2276" s="107">
        <v>45825</v>
      </c>
      <c r="P2276" s="106" t="str">
        <f ca="1">IF(Proc[[#This Row],[DaysAgeing]]&gt;5,"yep","on track")</f>
        <v>on track</v>
      </c>
      <c r="Q2276" s="3">
        <f ca="1">IF(Proc[[#This Row],[DateClosed]]="",ABS(NETWORKDAYS(Proc[[#This Row],[DateOpened]],TODAY()))-1,ABS(NETWORKDAYS(Proc[[#This Row],[DateOpened]],Proc[[#This Row],[DateClosed]]))-1)</f>
        <v>0</v>
      </c>
      <c r="R2276" s="106" t="s">
        <v>410</v>
      </c>
      <c r="S2276" s="96"/>
    </row>
    <row r="2277" spans="1:19" hidden="1">
      <c r="A2277" s="105" t="s">
        <v>4140</v>
      </c>
      <c r="B2277" s="96" t="str">
        <f>IFERROR(VLOOKUP(Proc[[#This Row],[App]],Table2[],3,0),"open")</f>
        <v>ok</v>
      </c>
      <c r="C2277" s="105" t="s">
        <v>369</v>
      </c>
      <c r="D2277" t="s">
        <v>4149</v>
      </c>
      <c r="E2277" t="s">
        <v>4175</v>
      </c>
      <c r="F2277" s="105" t="s">
        <v>4175</v>
      </c>
      <c r="G2277" s="105" t="s">
        <v>400</v>
      </c>
      <c r="H2277" s="96" t="str">
        <f>IF(Proc[[#This Row],[type]]="LFF (MDG-F)",MID(Proc[[#This Row],[Obj]],13,10),"")</f>
        <v/>
      </c>
      <c r="J2277" s="96" t="b">
        <f>Proc[[#This Row],[Requested]]=Proc[[#This Row],[CurrentParent]]</f>
        <v>1</v>
      </c>
      <c r="K2277" s="96" t="str">
        <f>IF(Proc[[#This Row],[Author]]="Marcela Urrego",VLOOKUP(LEFT(Proc[[#This Row],[Requested]],1),Table3[#All],2,0),VLOOKUP(Proc[[#This Row],[Author]],Table4[],2,0))</f>
        <v>HC</v>
      </c>
      <c r="L2277" s="96" t="s">
        <v>2563</v>
      </c>
      <c r="M2277" s="106">
        <v>45825.48096064815</v>
      </c>
      <c r="N2277" s="107">
        <v>45825</v>
      </c>
      <c r="O2277" s="107">
        <v>45825</v>
      </c>
      <c r="P2277" s="106" t="str">
        <f ca="1">IF(Proc[[#This Row],[DaysAgeing]]&gt;5,"yep","on track")</f>
        <v>on track</v>
      </c>
      <c r="Q2277" s="3">
        <f ca="1">IF(Proc[[#This Row],[DateClosed]]="",ABS(NETWORKDAYS(Proc[[#This Row],[DateOpened]],TODAY()))-1,ABS(NETWORKDAYS(Proc[[#This Row],[DateOpened]],Proc[[#This Row],[DateClosed]]))-1)</f>
        <v>0</v>
      </c>
      <c r="R2277" s="106" t="s">
        <v>410</v>
      </c>
      <c r="S2277" s="96"/>
    </row>
    <row r="2278" spans="1:19" hidden="1">
      <c r="A2278" s="105" t="s">
        <v>4140</v>
      </c>
      <c r="B2278" s="96" t="str">
        <f>IFERROR(VLOOKUP(Proc[[#This Row],[App]],Table2[],3,0),"open")</f>
        <v>ok</v>
      </c>
      <c r="C2278" s="105" t="s">
        <v>369</v>
      </c>
      <c r="D2278" t="s">
        <v>4150</v>
      </c>
      <c r="E2278" t="s">
        <v>4174</v>
      </c>
      <c r="F2278" s="105" t="s">
        <v>4174</v>
      </c>
      <c r="G2278" s="105" t="s">
        <v>400</v>
      </c>
      <c r="H2278" s="96" t="str">
        <f>IF(Proc[[#This Row],[type]]="LFF (MDG-F)",MID(Proc[[#This Row],[Obj]],13,10),"")</f>
        <v/>
      </c>
      <c r="J2278" s="96" t="b">
        <f>Proc[[#This Row],[Requested]]=Proc[[#This Row],[CurrentParent]]</f>
        <v>1</v>
      </c>
      <c r="K2278" s="96" t="str">
        <f>IF(Proc[[#This Row],[Author]]="Marcela Urrego",VLOOKUP(LEFT(Proc[[#This Row],[Requested]],1),Table3[#All],2,0),VLOOKUP(Proc[[#This Row],[Author]],Table4[],2,0))</f>
        <v>HC</v>
      </c>
      <c r="L2278" s="96" t="s">
        <v>2563</v>
      </c>
      <c r="M2278" s="106">
        <v>45825.48096064815</v>
      </c>
      <c r="N2278" s="107">
        <v>45825</v>
      </c>
      <c r="O2278" s="107">
        <v>45825</v>
      </c>
      <c r="P2278" s="106" t="str">
        <f ca="1">IF(Proc[[#This Row],[DaysAgeing]]&gt;5,"yep","on track")</f>
        <v>on track</v>
      </c>
      <c r="Q2278" s="3">
        <f ca="1">IF(Proc[[#This Row],[DateClosed]]="",ABS(NETWORKDAYS(Proc[[#This Row],[DateOpened]],TODAY()))-1,ABS(NETWORKDAYS(Proc[[#This Row],[DateOpened]],Proc[[#This Row],[DateClosed]]))-1)</f>
        <v>0</v>
      </c>
      <c r="R2278" s="106" t="s">
        <v>410</v>
      </c>
      <c r="S2278" s="96"/>
    </row>
    <row r="2279" spans="1:19" hidden="1">
      <c r="A2279" s="105" t="s">
        <v>4140</v>
      </c>
      <c r="B2279" s="96" t="str">
        <f>IFERROR(VLOOKUP(Proc[[#This Row],[App]],Table2[],3,0),"open")</f>
        <v>ok</v>
      </c>
      <c r="C2279" s="105" t="s">
        <v>369</v>
      </c>
      <c r="D2279" t="s">
        <v>4151</v>
      </c>
      <c r="E2279" t="s">
        <v>4174</v>
      </c>
      <c r="F2279" s="105" t="s">
        <v>4174</v>
      </c>
      <c r="G2279" s="105" t="s">
        <v>400</v>
      </c>
      <c r="H2279" s="96" t="str">
        <f>IF(Proc[[#This Row],[type]]="LFF (MDG-F)",MID(Proc[[#This Row],[Obj]],13,10),"")</f>
        <v/>
      </c>
      <c r="J2279" s="96" t="b">
        <f>Proc[[#This Row],[Requested]]=Proc[[#This Row],[CurrentParent]]</f>
        <v>1</v>
      </c>
      <c r="K2279" s="96" t="str">
        <f>IF(Proc[[#This Row],[Author]]="Marcela Urrego",VLOOKUP(LEFT(Proc[[#This Row],[Requested]],1),Table3[#All],2,0),VLOOKUP(Proc[[#This Row],[Author]],Table4[],2,0))</f>
        <v>HC</v>
      </c>
      <c r="L2279" s="96" t="s">
        <v>2563</v>
      </c>
      <c r="M2279" s="106">
        <v>45825.48096064815</v>
      </c>
      <c r="N2279" s="107">
        <v>45825</v>
      </c>
      <c r="O2279" s="107">
        <v>45825</v>
      </c>
      <c r="P2279" s="106" t="str">
        <f ca="1">IF(Proc[[#This Row],[DaysAgeing]]&gt;5,"yep","on track")</f>
        <v>on track</v>
      </c>
      <c r="Q2279" s="3">
        <f ca="1">IF(Proc[[#This Row],[DateClosed]]="",ABS(NETWORKDAYS(Proc[[#This Row],[DateOpened]],TODAY()))-1,ABS(NETWORKDAYS(Proc[[#This Row],[DateOpened]],Proc[[#This Row],[DateClosed]]))-1)</f>
        <v>0</v>
      </c>
      <c r="R2279" s="106" t="s">
        <v>410</v>
      </c>
      <c r="S2279" s="96"/>
    </row>
    <row r="2280" spans="1:19" hidden="1">
      <c r="A2280" s="105" t="s">
        <v>4140</v>
      </c>
      <c r="B2280" s="96" t="str">
        <f>IFERROR(VLOOKUP(Proc[[#This Row],[App]],Table2[],3,0),"open")</f>
        <v>ok</v>
      </c>
      <c r="C2280" s="105" t="s">
        <v>369</v>
      </c>
      <c r="D2280" t="s">
        <v>4152</v>
      </c>
      <c r="E2280" t="s">
        <v>4174</v>
      </c>
      <c r="F2280" s="105" t="s">
        <v>4174</v>
      </c>
      <c r="G2280" s="105" t="s">
        <v>400</v>
      </c>
      <c r="H2280" s="96" t="str">
        <f>IF(Proc[[#This Row],[type]]="LFF (MDG-F)",MID(Proc[[#This Row],[Obj]],13,10),"")</f>
        <v/>
      </c>
      <c r="J2280" s="96" t="b">
        <f>Proc[[#This Row],[Requested]]=Proc[[#This Row],[CurrentParent]]</f>
        <v>1</v>
      </c>
      <c r="K2280" s="96" t="str">
        <f>IF(Proc[[#This Row],[Author]]="Marcela Urrego",VLOOKUP(LEFT(Proc[[#This Row],[Requested]],1),Table3[#All],2,0),VLOOKUP(Proc[[#This Row],[Author]],Table4[],2,0))</f>
        <v>HC</v>
      </c>
      <c r="L2280" s="96" t="s">
        <v>2563</v>
      </c>
      <c r="M2280" s="106">
        <v>45825.48096064815</v>
      </c>
      <c r="N2280" s="107">
        <v>45825</v>
      </c>
      <c r="O2280" s="107">
        <v>45825</v>
      </c>
      <c r="P2280" s="106" t="str">
        <f ca="1">IF(Proc[[#This Row],[DaysAgeing]]&gt;5,"yep","on track")</f>
        <v>on track</v>
      </c>
      <c r="Q2280" s="3">
        <f ca="1">IF(Proc[[#This Row],[DateClosed]]="",ABS(NETWORKDAYS(Proc[[#This Row],[DateOpened]],TODAY()))-1,ABS(NETWORKDAYS(Proc[[#This Row],[DateOpened]],Proc[[#This Row],[DateClosed]]))-1)</f>
        <v>0</v>
      </c>
      <c r="R2280" s="106" t="s">
        <v>410</v>
      </c>
      <c r="S2280" s="96"/>
    </row>
    <row r="2281" spans="1:19" hidden="1">
      <c r="A2281" s="105" t="s">
        <v>4140</v>
      </c>
      <c r="B2281" s="96" t="str">
        <f>IFERROR(VLOOKUP(Proc[[#This Row],[App]],Table2[],3,0),"open")</f>
        <v>ok</v>
      </c>
      <c r="C2281" s="105" t="s">
        <v>369</v>
      </c>
      <c r="D2281" t="s">
        <v>4153</v>
      </c>
      <c r="E2281" t="s">
        <v>4174</v>
      </c>
      <c r="F2281" s="105" t="s">
        <v>4174</v>
      </c>
      <c r="G2281" s="105" t="s">
        <v>400</v>
      </c>
      <c r="H2281" s="96" t="str">
        <f>IF(Proc[[#This Row],[type]]="LFF (MDG-F)",MID(Proc[[#This Row],[Obj]],13,10),"")</f>
        <v/>
      </c>
      <c r="J2281" s="96" t="b">
        <f>Proc[[#This Row],[Requested]]=Proc[[#This Row],[CurrentParent]]</f>
        <v>1</v>
      </c>
      <c r="K2281" s="96" t="str">
        <f>IF(Proc[[#This Row],[Author]]="Marcela Urrego",VLOOKUP(LEFT(Proc[[#This Row],[Requested]],1),Table3[#All],2,0),VLOOKUP(Proc[[#This Row],[Author]],Table4[],2,0))</f>
        <v>HC</v>
      </c>
      <c r="L2281" s="96" t="s">
        <v>2563</v>
      </c>
      <c r="M2281" s="106">
        <v>45825.48096064815</v>
      </c>
      <c r="N2281" s="107">
        <v>45825</v>
      </c>
      <c r="O2281" s="107">
        <v>45825</v>
      </c>
      <c r="P2281" s="106" t="str">
        <f ca="1">IF(Proc[[#This Row],[DaysAgeing]]&gt;5,"yep","on track")</f>
        <v>on track</v>
      </c>
      <c r="Q2281" s="3">
        <f ca="1">IF(Proc[[#This Row],[DateClosed]]="",ABS(NETWORKDAYS(Proc[[#This Row],[DateOpened]],TODAY()))-1,ABS(NETWORKDAYS(Proc[[#This Row],[DateOpened]],Proc[[#This Row],[DateClosed]]))-1)</f>
        <v>0</v>
      </c>
      <c r="R2281" s="106" t="s">
        <v>410</v>
      </c>
      <c r="S2281" s="96"/>
    </row>
    <row r="2282" spans="1:19" hidden="1">
      <c r="A2282" s="105" t="s">
        <v>4140</v>
      </c>
      <c r="B2282" s="96" t="str">
        <f>IFERROR(VLOOKUP(Proc[[#This Row],[App]],Table2[],3,0),"open")</f>
        <v>ok</v>
      </c>
      <c r="C2282" s="105" t="s">
        <v>369</v>
      </c>
      <c r="D2282" t="s">
        <v>4154</v>
      </c>
      <c r="E2282" t="s">
        <v>4174</v>
      </c>
      <c r="F2282" s="105" t="s">
        <v>4174</v>
      </c>
      <c r="G2282" s="105" t="s">
        <v>400</v>
      </c>
      <c r="H2282" s="96" t="str">
        <f>IF(Proc[[#This Row],[type]]="LFF (MDG-F)",MID(Proc[[#This Row],[Obj]],13,10),"")</f>
        <v/>
      </c>
      <c r="J2282" s="96" t="b">
        <f>Proc[[#This Row],[Requested]]=Proc[[#This Row],[CurrentParent]]</f>
        <v>1</v>
      </c>
      <c r="K2282" s="96" t="str">
        <f>IF(Proc[[#This Row],[Author]]="Marcela Urrego",VLOOKUP(LEFT(Proc[[#This Row],[Requested]],1),Table3[#All],2,0),VLOOKUP(Proc[[#This Row],[Author]],Table4[],2,0))</f>
        <v>HC</v>
      </c>
      <c r="L2282" s="96" t="s">
        <v>2563</v>
      </c>
      <c r="M2282" s="106">
        <v>45825.48096064815</v>
      </c>
      <c r="N2282" s="107">
        <v>45825</v>
      </c>
      <c r="O2282" s="107">
        <v>45825</v>
      </c>
      <c r="P2282" s="106" t="str">
        <f ca="1">IF(Proc[[#This Row],[DaysAgeing]]&gt;5,"yep","on track")</f>
        <v>on track</v>
      </c>
      <c r="Q2282" s="3">
        <f ca="1">IF(Proc[[#This Row],[DateClosed]]="",ABS(NETWORKDAYS(Proc[[#This Row],[DateOpened]],TODAY()))-1,ABS(NETWORKDAYS(Proc[[#This Row],[DateOpened]],Proc[[#This Row],[DateClosed]]))-1)</f>
        <v>0</v>
      </c>
      <c r="R2282" s="106" t="s">
        <v>410</v>
      </c>
      <c r="S2282" s="96"/>
    </row>
    <row r="2283" spans="1:19" hidden="1">
      <c r="A2283" s="105" t="s">
        <v>4140</v>
      </c>
      <c r="B2283" s="96" t="str">
        <f>IFERROR(VLOOKUP(Proc[[#This Row],[App]],Table2[],3,0),"open")</f>
        <v>ok</v>
      </c>
      <c r="C2283" s="105" t="s">
        <v>369</v>
      </c>
      <c r="D2283" t="s">
        <v>4155</v>
      </c>
      <c r="E2283" t="s">
        <v>4174</v>
      </c>
      <c r="F2283" s="105" t="s">
        <v>4174</v>
      </c>
      <c r="G2283" s="105" t="s">
        <v>400</v>
      </c>
      <c r="H2283" s="96" t="str">
        <f>IF(Proc[[#This Row],[type]]="LFF (MDG-F)",MID(Proc[[#This Row],[Obj]],13,10),"")</f>
        <v/>
      </c>
      <c r="J2283" s="96" t="b">
        <f>Proc[[#This Row],[Requested]]=Proc[[#This Row],[CurrentParent]]</f>
        <v>1</v>
      </c>
      <c r="K2283" s="96" t="str">
        <f>IF(Proc[[#This Row],[Author]]="Marcela Urrego",VLOOKUP(LEFT(Proc[[#This Row],[Requested]],1),Table3[#All],2,0),VLOOKUP(Proc[[#This Row],[Author]],Table4[],2,0))</f>
        <v>HC</v>
      </c>
      <c r="L2283" s="96" t="s">
        <v>2563</v>
      </c>
      <c r="M2283" s="106">
        <v>45825.48096064815</v>
      </c>
      <c r="N2283" s="107">
        <v>45825</v>
      </c>
      <c r="O2283" s="107">
        <v>45825</v>
      </c>
      <c r="P2283" s="106" t="str">
        <f ca="1">IF(Proc[[#This Row],[DaysAgeing]]&gt;5,"yep","on track")</f>
        <v>on track</v>
      </c>
      <c r="Q2283" s="3">
        <f ca="1">IF(Proc[[#This Row],[DateClosed]]="",ABS(NETWORKDAYS(Proc[[#This Row],[DateOpened]],TODAY()))-1,ABS(NETWORKDAYS(Proc[[#This Row],[DateOpened]],Proc[[#This Row],[DateClosed]]))-1)</f>
        <v>0</v>
      </c>
      <c r="R2283" s="106" t="s">
        <v>410</v>
      </c>
      <c r="S2283" s="96"/>
    </row>
    <row r="2284" spans="1:19" hidden="1">
      <c r="A2284" s="105" t="s">
        <v>4140</v>
      </c>
      <c r="B2284" s="96" t="str">
        <f>IFERROR(VLOOKUP(Proc[[#This Row],[App]],Table2[],3,0),"open")</f>
        <v>ok</v>
      </c>
      <c r="C2284" s="105" t="s">
        <v>369</v>
      </c>
      <c r="D2284" t="s">
        <v>4156</v>
      </c>
      <c r="E2284" t="s">
        <v>4174</v>
      </c>
      <c r="F2284" s="105" t="s">
        <v>4174</v>
      </c>
      <c r="G2284" s="105" t="s">
        <v>400</v>
      </c>
      <c r="H2284" s="96" t="str">
        <f>IF(Proc[[#This Row],[type]]="LFF (MDG-F)",MID(Proc[[#This Row],[Obj]],13,10),"")</f>
        <v/>
      </c>
      <c r="J2284" s="96" t="b">
        <f>Proc[[#This Row],[Requested]]=Proc[[#This Row],[CurrentParent]]</f>
        <v>1</v>
      </c>
      <c r="K2284" s="96" t="str">
        <f>IF(Proc[[#This Row],[Author]]="Marcela Urrego",VLOOKUP(LEFT(Proc[[#This Row],[Requested]],1),Table3[#All],2,0),VLOOKUP(Proc[[#This Row],[Author]],Table4[],2,0))</f>
        <v>HC</v>
      </c>
      <c r="L2284" s="96" t="s">
        <v>2563</v>
      </c>
      <c r="M2284" s="106">
        <v>45825.48096064815</v>
      </c>
      <c r="N2284" s="107">
        <v>45825</v>
      </c>
      <c r="O2284" s="107">
        <v>45825</v>
      </c>
      <c r="P2284" s="106" t="str">
        <f ca="1">IF(Proc[[#This Row],[DaysAgeing]]&gt;5,"yep","on track")</f>
        <v>on track</v>
      </c>
      <c r="Q2284" s="3">
        <f ca="1">IF(Proc[[#This Row],[DateClosed]]="",ABS(NETWORKDAYS(Proc[[#This Row],[DateOpened]],TODAY()))-1,ABS(NETWORKDAYS(Proc[[#This Row],[DateOpened]],Proc[[#This Row],[DateClosed]]))-1)</f>
        <v>0</v>
      </c>
      <c r="R2284" s="106" t="s">
        <v>410</v>
      </c>
      <c r="S2284" s="96"/>
    </row>
    <row r="2285" spans="1:19" hidden="1">
      <c r="A2285" s="105" t="s">
        <v>4140</v>
      </c>
      <c r="B2285" s="96" t="str">
        <f>IFERROR(VLOOKUP(Proc[[#This Row],[App]],Table2[],3,0),"open")</f>
        <v>ok</v>
      </c>
      <c r="C2285" s="105" t="s">
        <v>369</v>
      </c>
      <c r="D2285" t="s">
        <v>4157</v>
      </c>
      <c r="E2285" t="s">
        <v>4174</v>
      </c>
      <c r="F2285" s="105" t="s">
        <v>4174</v>
      </c>
      <c r="G2285" s="105" t="s">
        <v>400</v>
      </c>
      <c r="H2285" s="96" t="str">
        <f>IF(Proc[[#This Row],[type]]="LFF (MDG-F)",MID(Proc[[#This Row],[Obj]],13,10),"")</f>
        <v/>
      </c>
      <c r="J2285" s="96" t="b">
        <f>Proc[[#This Row],[Requested]]=Proc[[#This Row],[CurrentParent]]</f>
        <v>1</v>
      </c>
      <c r="K2285" s="96" t="str">
        <f>IF(Proc[[#This Row],[Author]]="Marcela Urrego",VLOOKUP(LEFT(Proc[[#This Row],[Requested]],1),Table3[#All],2,0),VLOOKUP(Proc[[#This Row],[Author]],Table4[],2,0))</f>
        <v>HC</v>
      </c>
      <c r="L2285" s="96" t="s">
        <v>2563</v>
      </c>
      <c r="M2285" s="106">
        <v>45825.48096064815</v>
      </c>
      <c r="N2285" s="107">
        <v>45825</v>
      </c>
      <c r="O2285" s="107">
        <v>45825</v>
      </c>
      <c r="P2285" s="106" t="str">
        <f ca="1">IF(Proc[[#This Row],[DaysAgeing]]&gt;5,"yep","on track")</f>
        <v>on track</v>
      </c>
      <c r="Q2285" s="3">
        <f ca="1">IF(Proc[[#This Row],[DateClosed]]="",ABS(NETWORKDAYS(Proc[[#This Row],[DateOpened]],TODAY()))-1,ABS(NETWORKDAYS(Proc[[#This Row],[DateOpened]],Proc[[#This Row],[DateClosed]]))-1)</f>
        <v>0</v>
      </c>
      <c r="R2285" s="106" t="s">
        <v>410</v>
      </c>
      <c r="S2285" s="96"/>
    </row>
    <row r="2286" spans="1:19" hidden="1">
      <c r="A2286" s="105" t="s">
        <v>4140</v>
      </c>
      <c r="B2286" s="96" t="str">
        <f>IFERROR(VLOOKUP(Proc[[#This Row],[App]],Table2[],3,0),"open")</f>
        <v>ok</v>
      </c>
      <c r="C2286" s="105" t="s">
        <v>369</v>
      </c>
      <c r="D2286" t="s">
        <v>4158</v>
      </c>
      <c r="E2286" t="s">
        <v>4174</v>
      </c>
      <c r="F2286" s="105" t="s">
        <v>4174</v>
      </c>
      <c r="G2286" s="105" t="s">
        <v>400</v>
      </c>
      <c r="H2286" s="96" t="str">
        <f>IF(Proc[[#This Row],[type]]="LFF (MDG-F)",MID(Proc[[#This Row],[Obj]],13,10),"")</f>
        <v/>
      </c>
      <c r="J2286" s="96" t="b">
        <f>Proc[[#This Row],[Requested]]=Proc[[#This Row],[CurrentParent]]</f>
        <v>1</v>
      </c>
      <c r="K2286" s="96" t="str">
        <f>IF(Proc[[#This Row],[Author]]="Marcela Urrego",VLOOKUP(LEFT(Proc[[#This Row],[Requested]],1),Table3[#All],2,0),VLOOKUP(Proc[[#This Row],[Author]],Table4[],2,0))</f>
        <v>HC</v>
      </c>
      <c r="L2286" s="96" t="s">
        <v>2563</v>
      </c>
      <c r="M2286" s="106">
        <v>45825.48096064815</v>
      </c>
      <c r="N2286" s="107">
        <v>45825</v>
      </c>
      <c r="O2286" s="107">
        <v>45825</v>
      </c>
      <c r="P2286" s="106" t="str">
        <f ca="1">IF(Proc[[#This Row],[DaysAgeing]]&gt;5,"yep","on track")</f>
        <v>on track</v>
      </c>
      <c r="Q2286" s="3">
        <f ca="1">IF(Proc[[#This Row],[DateClosed]]="",ABS(NETWORKDAYS(Proc[[#This Row],[DateOpened]],TODAY()))-1,ABS(NETWORKDAYS(Proc[[#This Row],[DateOpened]],Proc[[#This Row],[DateClosed]]))-1)</f>
        <v>0</v>
      </c>
      <c r="R2286" s="106" t="s">
        <v>410</v>
      </c>
      <c r="S2286" s="96"/>
    </row>
    <row r="2287" spans="1:19" hidden="1">
      <c r="A2287" s="105" t="s">
        <v>4140</v>
      </c>
      <c r="B2287" s="96" t="str">
        <f>IFERROR(VLOOKUP(Proc[[#This Row],[App]],Table2[],3,0),"open")</f>
        <v>ok</v>
      </c>
      <c r="C2287" s="105" t="s">
        <v>369</v>
      </c>
      <c r="D2287" t="s">
        <v>4159</v>
      </c>
      <c r="E2287" t="s">
        <v>4174</v>
      </c>
      <c r="F2287" s="105" t="s">
        <v>4174</v>
      </c>
      <c r="G2287" s="105" t="s">
        <v>400</v>
      </c>
      <c r="H2287" s="96" t="str">
        <f>IF(Proc[[#This Row],[type]]="LFF (MDG-F)",MID(Proc[[#This Row],[Obj]],13,10),"")</f>
        <v/>
      </c>
      <c r="J2287" s="96" t="b">
        <f>Proc[[#This Row],[Requested]]=Proc[[#This Row],[CurrentParent]]</f>
        <v>1</v>
      </c>
      <c r="K2287" s="96" t="str">
        <f>IF(Proc[[#This Row],[Author]]="Marcela Urrego",VLOOKUP(LEFT(Proc[[#This Row],[Requested]],1),Table3[#All],2,0),VLOOKUP(Proc[[#This Row],[Author]],Table4[],2,0))</f>
        <v>HC</v>
      </c>
      <c r="L2287" s="96" t="s">
        <v>2563</v>
      </c>
      <c r="M2287" s="106">
        <v>45825.48096064815</v>
      </c>
      <c r="N2287" s="107">
        <v>45825</v>
      </c>
      <c r="O2287" s="107">
        <v>45825</v>
      </c>
      <c r="P2287" s="106" t="str">
        <f ca="1">IF(Proc[[#This Row],[DaysAgeing]]&gt;5,"yep","on track")</f>
        <v>on track</v>
      </c>
      <c r="Q2287" s="3">
        <f ca="1">IF(Proc[[#This Row],[DateClosed]]="",ABS(NETWORKDAYS(Proc[[#This Row],[DateOpened]],TODAY()))-1,ABS(NETWORKDAYS(Proc[[#This Row],[DateOpened]],Proc[[#This Row],[DateClosed]]))-1)</f>
        <v>0</v>
      </c>
      <c r="R2287" s="106" t="s">
        <v>410</v>
      </c>
      <c r="S2287" s="96"/>
    </row>
    <row r="2288" spans="1:19" hidden="1">
      <c r="A2288" s="105" t="s">
        <v>4140</v>
      </c>
      <c r="B2288" s="96" t="str">
        <f>IFERROR(VLOOKUP(Proc[[#This Row],[App]],Table2[],3,0),"open")</f>
        <v>ok</v>
      </c>
      <c r="C2288" s="105" t="s">
        <v>369</v>
      </c>
      <c r="D2288" t="s">
        <v>4160</v>
      </c>
      <c r="E2288" t="s">
        <v>4174</v>
      </c>
      <c r="F2288" s="105" t="s">
        <v>4174</v>
      </c>
      <c r="G2288" s="105" t="s">
        <v>400</v>
      </c>
      <c r="H2288" s="96" t="str">
        <f>IF(Proc[[#This Row],[type]]="LFF (MDG-F)",MID(Proc[[#This Row],[Obj]],13,10),"")</f>
        <v/>
      </c>
      <c r="J2288" s="96" t="b">
        <f>Proc[[#This Row],[Requested]]=Proc[[#This Row],[CurrentParent]]</f>
        <v>1</v>
      </c>
      <c r="K2288" s="96" t="str">
        <f>IF(Proc[[#This Row],[Author]]="Marcela Urrego",VLOOKUP(LEFT(Proc[[#This Row],[Requested]],1),Table3[#All],2,0),VLOOKUP(Proc[[#This Row],[Author]],Table4[],2,0))</f>
        <v>HC</v>
      </c>
      <c r="L2288" s="96" t="s">
        <v>2563</v>
      </c>
      <c r="M2288" s="106">
        <v>45825.48096064815</v>
      </c>
      <c r="N2288" s="107">
        <v>45825</v>
      </c>
      <c r="O2288" s="107">
        <v>45825</v>
      </c>
      <c r="P2288" s="106" t="str">
        <f ca="1">IF(Proc[[#This Row],[DaysAgeing]]&gt;5,"yep","on track")</f>
        <v>on track</v>
      </c>
      <c r="Q2288" s="3">
        <f ca="1">IF(Proc[[#This Row],[DateClosed]]="",ABS(NETWORKDAYS(Proc[[#This Row],[DateOpened]],TODAY()))-1,ABS(NETWORKDAYS(Proc[[#This Row],[DateOpened]],Proc[[#This Row],[DateClosed]]))-1)</f>
        <v>0</v>
      </c>
      <c r="R2288" s="106" t="s">
        <v>410</v>
      </c>
      <c r="S2288" s="96"/>
    </row>
    <row r="2289" spans="1:19" hidden="1">
      <c r="A2289" s="105" t="s">
        <v>4140</v>
      </c>
      <c r="B2289" s="96" t="str">
        <f>IFERROR(VLOOKUP(Proc[[#This Row],[App]],Table2[],3,0),"open")</f>
        <v>ok</v>
      </c>
      <c r="C2289" s="105" t="s">
        <v>369</v>
      </c>
      <c r="D2289" t="s">
        <v>4161</v>
      </c>
      <c r="E2289" t="s">
        <v>4174</v>
      </c>
      <c r="F2289" s="105" t="s">
        <v>4174</v>
      </c>
      <c r="G2289" s="105" t="s">
        <v>400</v>
      </c>
      <c r="H2289" s="96" t="str">
        <f>IF(Proc[[#This Row],[type]]="LFF (MDG-F)",MID(Proc[[#This Row],[Obj]],13,10),"")</f>
        <v/>
      </c>
      <c r="J2289" s="96" t="b">
        <f>Proc[[#This Row],[Requested]]=Proc[[#This Row],[CurrentParent]]</f>
        <v>1</v>
      </c>
      <c r="K2289" s="96" t="str">
        <f>IF(Proc[[#This Row],[Author]]="Marcela Urrego",VLOOKUP(LEFT(Proc[[#This Row],[Requested]],1),Table3[#All],2,0),VLOOKUP(Proc[[#This Row],[Author]],Table4[],2,0))</f>
        <v>HC</v>
      </c>
      <c r="L2289" s="96" t="s">
        <v>2563</v>
      </c>
      <c r="M2289" s="106">
        <v>45825.48096064815</v>
      </c>
      <c r="N2289" s="107">
        <v>45825</v>
      </c>
      <c r="O2289" s="107">
        <v>45825</v>
      </c>
      <c r="P2289" s="106" t="str">
        <f ca="1">IF(Proc[[#This Row],[DaysAgeing]]&gt;5,"yep","on track")</f>
        <v>on track</v>
      </c>
      <c r="Q2289" s="3">
        <f ca="1">IF(Proc[[#This Row],[DateClosed]]="",ABS(NETWORKDAYS(Proc[[#This Row],[DateOpened]],TODAY()))-1,ABS(NETWORKDAYS(Proc[[#This Row],[DateOpened]],Proc[[#This Row],[DateClosed]]))-1)</f>
        <v>0</v>
      </c>
      <c r="R2289" s="106" t="s">
        <v>410</v>
      </c>
      <c r="S2289" s="96"/>
    </row>
    <row r="2290" spans="1:19" hidden="1">
      <c r="A2290" s="105" t="s">
        <v>4140</v>
      </c>
      <c r="B2290" s="96" t="str">
        <f>IFERROR(VLOOKUP(Proc[[#This Row],[App]],Table2[],3,0),"open")</f>
        <v>ok</v>
      </c>
      <c r="C2290" s="105" t="s">
        <v>369</v>
      </c>
      <c r="D2290" t="s">
        <v>4162</v>
      </c>
      <c r="E2290" t="s">
        <v>4174</v>
      </c>
      <c r="F2290" s="105" t="s">
        <v>4174</v>
      </c>
      <c r="G2290" s="105" t="s">
        <v>400</v>
      </c>
      <c r="H2290" s="96" t="str">
        <f>IF(Proc[[#This Row],[type]]="LFF (MDG-F)",MID(Proc[[#This Row],[Obj]],13,10),"")</f>
        <v/>
      </c>
      <c r="J2290" s="96" t="b">
        <f>Proc[[#This Row],[Requested]]=Proc[[#This Row],[CurrentParent]]</f>
        <v>1</v>
      </c>
      <c r="K2290" s="96" t="str">
        <f>IF(Proc[[#This Row],[Author]]="Marcela Urrego",VLOOKUP(LEFT(Proc[[#This Row],[Requested]],1),Table3[#All],2,0),VLOOKUP(Proc[[#This Row],[Author]],Table4[],2,0))</f>
        <v>HC</v>
      </c>
      <c r="L2290" s="96" t="s">
        <v>2563</v>
      </c>
      <c r="M2290" s="106">
        <v>45825.48096064815</v>
      </c>
      <c r="N2290" s="107">
        <v>45825</v>
      </c>
      <c r="O2290" s="107">
        <v>45825</v>
      </c>
      <c r="P2290" s="106" t="str">
        <f ca="1">IF(Proc[[#This Row],[DaysAgeing]]&gt;5,"yep","on track")</f>
        <v>on track</v>
      </c>
      <c r="Q2290" s="3">
        <f ca="1">IF(Proc[[#This Row],[DateClosed]]="",ABS(NETWORKDAYS(Proc[[#This Row],[DateOpened]],TODAY()))-1,ABS(NETWORKDAYS(Proc[[#This Row],[DateOpened]],Proc[[#This Row],[DateClosed]]))-1)</f>
        <v>0</v>
      </c>
      <c r="R2290" s="106" t="s">
        <v>410</v>
      </c>
      <c r="S2290" s="96"/>
    </row>
    <row r="2291" spans="1:19" hidden="1">
      <c r="A2291" s="105" t="s">
        <v>4140</v>
      </c>
      <c r="B2291" s="96" t="str">
        <f>IFERROR(VLOOKUP(Proc[[#This Row],[App]],Table2[],3,0),"open")</f>
        <v>ok</v>
      </c>
      <c r="C2291" s="105" t="s">
        <v>369</v>
      </c>
      <c r="D2291" t="s">
        <v>4163</v>
      </c>
      <c r="E2291" t="s">
        <v>4174</v>
      </c>
      <c r="F2291" s="105" t="s">
        <v>4174</v>
      </c>
      <c r="G2291" s="105" t="s">
        <v>400</v>
      </c>
      <c r="H2291" s="96" t="str">
        <f>IF(Proc[[#This Row],[type]]="LFF (MDG-F)",MID(Proc[[#This Row],[Obj]],13,10),"")</f>
        <v/>
      </c>
      <c r="J2291" s="96" t="b">
        <f>Proc[[#This Row],[Requested]]=Proc[[#This Row],[CurrentParent]]</f>
        <v>1</v>
      </c>
      <c r="K2291" s="96" t="str">
        <f>IF(Proc[[#This Row],[Author]]="Marcela Urrego",VLOOKUP(LEFT(Proc[[#This Row],[Requested]],1),Table3[#All],2,0),VLOOKUP(Proc[[#This Row],[Author]],Table4[],2,0))</f>
        <v>HC</v>
      </c>
      <c r="L2291" s="96" t="s">
        <v>2563</v>
      </c>
      <c r="M2291" s="106">
        <v>45825.48096064815</v>
      </c>
      <c r="N2291" s="107">
        <v>45825</v>
      </c>
      <c r="O2291" s="107">
        <v>45825</v>
      </c>
      <c r="P2291" s="106" t="str">
        <f ca="1">IF(Proc[[#This Row],[DaysAgeing]]&gt;5,"yep","on track")</f>
        <v>on track</v>
      </c>
      <c r="Q2291" s="3">
        <f ca="1">IF(Proc[[#This Row],[DateClosed]]="",ABS(NETWORKDAYS(Proc[[#This Row],[DateOpened]],TODAY()))-1,ABS(NETWORKDAYS(Proc[[#This Row],[DateOpened]],Proc[[#This Row],[DateClosed]]))-1)</f>
        <v>0</v>
      </c>
      <c r="R2291" s="106" t="s">
        <v>410</v>
      </c>
      <c r="S2291" s="96"/>
    </row>
    <row r="2292" spans="1:19" hidden="1">
      <c r="A2292" s="105" t="s">
        <v>4140</v>
      </c>
      <c r="B2292" s="96" t="str">
        <f>IFERROR(VLOOKUP(Proc[[#This Row],[App]],Table2[],3,0),"open")</f>
        <v>ok</v>
      </c>
      <c r="C2292" s="105" t="s">
        <v>369</v>
      </c>
      <c r="D2292" t="s">
        <v>4164</v>
      </c>
      <c r="E2292" t="s">
        <v>4174</v>
      </c>
      <c r="F2292" s="105" t="s">
        <v>4174</v>
      </c>
      <c r="G2292" s="105" t="s">
        <v>400</v>
      </c>
      <c r="H2292" s="96" t="str">
        <f>IF(Proc[[#This Row],[type]]="LFF (MDG-F)",MID(Proc[[#This Row],[Obj]],13,10),"")</f>
        <v/>
      </c>
      <c r="J2292" s="96" t="b">
        <f>Proc[[#This Row],[Requested]]=Proc[[#This Row],[CurrentParent]]</f>
        <v>1</v>
      </c>
      <c r="K2292" s="96" t="str">
        <f>IF(Proc[[#This Row],[Author]]="Marcela Urrego",VLOOKUP(LEFT(Proc[[#This Row],[Requested]],1),Table3[#All],2,0),VLOOKUP(Proc[[#This Row],[Author]],Table4[],2,0))</f>
        <v>HC</v>
      </c>
      <c r="L2292" s="96" t="s">
        <v>2563</v>
      </c>
      <c r="M2292" s="106">
        <v>45825.48096064815</v>
      </c>
      <c r="N2292" s="107">
        <v>45825</v>
      </c>
      <c r="O2292" s="107">
        <v>45825</v>
      </c>
      <c r="P2292" s="106" t="str">
        <f ca="1">IF(Proc[[#This Row],[DaysAgeing]]&gt;5,"yep","on track")</f>
        <v>on track</v>
      </c>
      <c r="Q2292" s="3">
        <f ca="1">IF(Proc[[#This Row],[DateClosed]]="",ABS(NETWORKDAYS(Proc[[#This Row],[DateOpened]],TODAY()))-1,ABS(NETWORKDAYS(Proc[[#This Row],[DateOpened]],Proc[[#This Row],[DateClosed]]))-1)</f>
        <v>0</v>
      </c>
      <c r="R2292" s="106" t="s">
        <v>410</v>
      </c>
      <c r="S2292" s="96"/>
    </row>
    <row r="2293" spans="1:19" hidden="1">
      <c r="A2293" s="105" t="s">
        <v>4140</v>
      </c>
      <c r="B2293" s="96" t="str">
        <f>IFERROR(VLOOKUP(Proc[[#This Row],[App]],Table2[],3,0),"open")</f>
        <v>ok</v>
      </c>
      <c r="C2293" s="105" t="s">
        <v>369</v>
      </c>
      <c r="D2293" t="s">
        <v>4165</v>
      </c>
      <c r="E2293" t="s">
        <v>4175</v>
      </c>
      <c r="F2293" s="105" t="s">
        <v>4175</v>
      </c>
      <c r="G2293" s="105" t="s">
        <v>400</v>
      </c>
      <c r="H2293" s="96" t="str">
        <f>IF(Proc[[#This Row],[type]]="LFF (MDG-F)",MID(Proc[[#This Row],[Obj]],13,10),"")</f>
        <v/>
      </c>
      <c r="J2293" s="96" t="b">
        <f>Proc[[#This Row],[Requested]]=Proc[[#This Row],[CurrentParent]]</f>
        <v>1</v>
      </c>
      <c r="K2293" s="96" t="str">
        <f>IF(Proc[[#This Row],[Author]]="Marcela Urrego",VLOOKUP(LEFT(Proc[[#This Row],[Requested]],1),Table3[#All],2,0),VLOOKUP(Proc[[#This Row],[Author]],Table4[],2,0))</f>
        <v>HC</v>
      </c>
      <c r="L2293" s="96" t="s">
        <v>2563</v>
      </c>
      <c r="M2293" s="106">
        <v>45825.48096064815</v>
      </c>
      <c r="N2293" s="107">
        <v>45825</v>
      </c>
      <c r="O2293" s="107">
        <v>45825</v>
      </c>
      <c r="P2293" s="106" t="str">
        <f ca="1">IF(Proc[[#This Row],[DaysAgeing]]&gt;5,"yep","on track")</f>
        <v>on track</v>
      </c>
      <c r="Q2293" s="3">
        <f ca="1">IF(Proc[[#This Row],[DateClosed]]="",ABS(NETWORKDAYS(Proc[[#This Row],[DateOpened]],TODAY()))-1,ABS(NETWORKDAYS(Proc[[#This Row],[DateOpened]],Proc[[#This Row],[DateClosed]]))-1)</f>
        <v>0</v>
      </c>
      <c r="R2293" s="106" t="s">
        <v>410</v>
      </c>
      <c r="S2293" s="96"/>
    </row>
    <row r="2294" spans="1:19" hidden="1">
      <c r="A2294" s="105" t="s">
        <v>4140</v>
      </c>
      <c r="B2294" s="96" t="str">
        <f>IFERROR(VLOOKUP(Proc[[#This Row],[App]],Table2[],3,0),"open")</f>
        <v>ok</v>
      </c>
      <c r="C2294" s="105" t="s">
        <v>369</v>
      </c>
      <c r="D2294" t="s">
        <v>4166</v>
      </c>
      <c r="E2294" t="s">
        <v>4175</v>
      </c>
      <c r="F2294" s="105" t="s">
        <v>4175</v>
      </c>
      <c r="G2294" s="105" t="s">
        <v>400</v>
      </c>
      <c r="H2294" s="96" t="str">
        <f>IF(Proc[[#This Row],[type]]="LFF (MDG-F)",MID(Proc[[#This Row],[Obj]],13,10),"")</f>
        <v/>
      </c>
      <c r="J2294" s="96" t="b">
        <f>Proc[[#This Row],[Requested]]=Proc[[#This Row],[CurrentParent]]</f>
        <v>1</v>
      </c>
      <c r="K2294" s="96" t="str">
        <f>IF(Proc[[#This Row],[Author]]="Marcela Urrego",VLOOKUP(LEFT(Proc[[#This Row],[Requested]],1),Table3[#All],2,0),VLOOKUP(Proc[[#This Row],[Author]],Table4[],2,0))</f>
        <v>HC</v>
      </c>
      <c r="L2294" s="96" t="s">
        <v>2563</v>
      </c>
      <c r="M2294" s="106">
        <v>45825.48096064815</v>
      </c>
      <c r="N2294" s="107">
        <v>45825</v>
      </c>
      <c r="O2294" s="107">
        <v>45825</v>
      </c>
      <c r="P2294" s="106" t="str">
        <f ca="1">IF(Proc[[#This Row],[DaysAgeing]]&gt;5,"yep","on track")</f>
        <v>on track</v>
      </c>
      <c r="Q2294" s="3">
        <f ca="1">IF(Proc[[#This Row],[DateClosed]]="",ABS(NETWORKDAYS(Proc[[#This Row],[DateOpened]],TODAY()))-1,ABS(NETWORKDAYS(Proc[[#This Row],[DateOpened]],Proc[[#This Row],[DateClosed]]))-1)</f>
        <v>0</v>
      </c>
      <c r="R2294" s="106" t="s">
        <v>410</v>
      </c>
      <c r="S2294" s="96"/>
    </row>
    <row r="2295" spans="1:19" hidden="1">
      <c r="A2295" s="105" t="s">
        <v>4140</v>
      </c>
      <c r="B2295" s="96" t="str">
        <f>IFERROR(VLOOKUP(Proc[[#This Row],[App]],Table2[],3,0),"open")</f>
        <v>ok</v>
      </c>
      <c r="C2295" s="105" t="s">
        <v>369</v>
      </c>
      <c r="D2295" t="s">
        <v>4167</v>
      </c>
      <c r="E2295" t="s">
        <v>4175</v>
      </c>
      <c r="F2295" s="105" t="s">
        <v>4175</v>
      </c>
      <c r="G2295" s="105" t="s">
        <v>400</v>
      </c>
      <c r="H2295" s="96" t="str">
        <f>IF(Proc[[#This Row],[type]]="LFF (MDG-F)",MID(Proc[[#This Row],[Obj]],13,10),"")</f>
        <v/>
      </c>
      <c r="J2295" s="96" t="b">
        <f>Proc[[#This Row],[Requested]]=Proc[[#This Row],[CurrentParent]]</f>
        <v>1</v>
      </c>
      <c r="K2295" s="96" t="str">
        <f>IF(Proc[[#This Row],[Author]]="Marcela Urrego",VLOOKUP(LEFT(Proc[[#This Row],[Requested]],1),Table3[#All],2,0),VLOOKUP(Proc[[#This Row],[Author]],Table4[],2,0))</f>
        <v>HC</v>
      </c>
      <c r="L2295" s="96" t="s">
        <v>2563</v>
      </c>
      <c r="M2295" s="106">
        <v>45825.48096064815</v>
      </c>
      <c r="N2295" s="107">
        <v>45825</v>
      </c>
      <c r="O2295" s="107">
        <v>45825</v>
      </c>
      <c r="P2295" s="106" t="str">
        <f ca="1">IF(Proc[[#This Row],[DaysAgeing]]&gt;5,"yep","on track")</f>
        <v>on track</v>
      </c>
      <c r="Q2295" s="3">
        <f ca="1">IF(Proc[[#This Row],[DateClosed]]="",ABS(NETWORKDAYS(Proc[[#This Row],[DateOpened]],TODAY()))-1,ABS(NETWORKDAYS(Proc[[#This Row],[DateOpened]],Proc[[#This Row],[DateClosed]]))-1)</f>
        <v>0</v>
      </c>
      <c r="R2295" s="106" t="s">
        <v>410</v>
      </c>
      <c r="S2295" s="96"/>
    </row>
    <row r="2296" spans="1:19" hidden="1">
      <c r="A2296" s="105" t="s">
        <v>4140</v>
      </c>
      <c r="B2296" s="96" t="str">
        <f>IFERROR(VLOOKUP(Proc[[#This Row],[App]],Table2[],3,0),"open")</f>
        <v>ok</v>
      </c>
      <c r="C2296" s="105" t="s">
        <v>369</v>
      </c>
      <c r="D2296" t="s">
        <v>4168</v>
      </c>
      <c r="E2296" t="s">
        <v>4175</v>
      </c>
      <c r="F2296" s="105" t="s">
        <v>4175</v>
      </c>
      <c r="G2296" s="105" t="s">
        <v>400</v>
      </c>
      <c r="H2296" s="96" t="str">
        <f>IF(Proc[[#This Row],[type]]="LFF (MDG-F)",MID(Proc[[#This Row],[Obj]],13,10),"")</f>
        <v/>
      </c>
      <c r="J2296" s="96" t="b">
        <f>Proc[[#This Row],[Requested]]=Proc[[#This Row],[CurrentParent]]</f>
        <v>1</v>
      </c>
      <c r="K2296" s="96" t="str">
        <f>IF(Proc[[#This Row],[Author]]="Marcela Urrego",VLOOKUP(LEFT(Proc[[#This Row],[Requested]],1),Table3[#All],2,0),VLOOKUP(Proc[[#This Row],[Author]],Table4[],2,0))</f>
        <v>HC</v>
      </c>
      <c r="L2296" s="96" t="s">
        <v>2563</v>
      </c>
      <c r="M2296" s="106">
        <v>45825.48096064815</v>
      </c>
      <c r="N2296" s="107">
        <v>45825</v>
      </c>
      <c r="O2296" s="107">
        <v>45825</v>
      </c>
      <c r="P2296" s="106" t="str">
        <f ca="1">IF(Proc[[#This Row],[DaysAgeing]]&gt;5,"yep","on track")</f>
        <v>on track</v>
      </c>
      <c r="Q2296" s="3">
        <f ca="1">IF(Proc[[#This Row],[DateClosed]]="",ABS(NETWORKDAYS(Proc[[#This Row],[DateOpened]],TODAY()))-1,ABS(NETWORKDAYS(Proc[[#This Row],[DateOpened]],Proc[[#This Row],[DateClosed]]))-1)</f>
        <v>0</v>
      </c>
      <c r="R2296" s="106" t="s">
        <v>410</v>
      </c>
      <c r="S2296" s="96"/>
    </row>
    <row r="2297" spans="1:19" hidden="1">
      <c r="A2297" s="105" t="s">
        <v>4140</v>
      </c>
      <c r="B2297" s="96" t="str">
        <f>IFERROR(VLOOKUP(Proc[[#This Row],[App]],Table2[],3,0),"open")</f>
        <v>ok</v>
      </c>
      <c r="C2297" s="105" t="s">
        <v>369</v>
      </c>
      <c r="D2297" t="s">
        <v>4169</v>
      </c>
      <c r="E2297" t="s">
        <v>4175</v>
      </c>
      <c r="F2297" s="105" t="s">
        <v>4175</v>
      </c>
      <c r="G2297" s="105" t="s">
        <v>400</v>
      </c>
      <c r="H2297" s="96" t="str">
        <f>IF(Proc[[#This Row],[type]]="LFF (MDG-F)",MID(Proc[[#This Row],[Obj]],13,10),"")</f>
        <v/>
      </c>
      <c r="J2297" s="96" t="b">
        <f>Proc[[#This Row],[Requested]]=Proc[[#This Row],[CurrentParent]]</f>
        <v>1</v>
      </c>
      <c r="K2297" s="96" t="str">
        <f>IF(Proc[[#This Row],[Author]]="Marcela Urrego",VLOOKUP(LEFT(Proc[[#This Row],[Requested]],1),Table3[#All],2,0),VLOOKUP(Proc[[#This Row],[Author]],Table4[],2,0))</f>
        <v>HC</v>
      </c>
      <c r="L2297" s="96" t="s">
        <v>2563</v>
      </c>
      <c r="M2297" s="106">
        <v>45825.48096064815</v>
      </c>
      <c r="N2297" s="107">
        <v>45825</v>
      </c>
      <c r="O2297" s="107">
        <v>45825</v>
      </c>
      <c r="P2297" s="106" t="str">
        <f ca="1">IF(Proc[[#This Row],[DaysAgeing]]&gt;5,"yep","on track")</f>
        <v>on track</v>
      </c>
      <c r="Q2297" s="3">
        <f ca="1">IF(Proc[[#This Row],[DateClosed]]="",ABS(NETWORKDAYS(Proc[[#This Row],[DateOpened]],TODAY()))-1,ABS(NETWORKDAYS(Proc[[#This Row],[DateOpened]],Proc[[#This Row],[DateClosed]]))-1)</f>
        <v>0</v>
      </c>
      <c r="R2297" s="106" t="s">
        <v>410</v>
      </c>
      <c r="S2297" s="96"/>
    </row>
    <row r="2298" spans="1:19" hidden="1">
      <c r="A2298" s="105" t="s">
        <v>4140</v>
      </c>
      <c r="B2298" s="96" t="str">
        <f>IFERROR(VLOOKUP(Proc[[#This Row],[App]],Table2[],3,0),"open")</f>
        <v>ok</v>
      </c>
      <c r="C2298" s="105" t="s">
        <v>369</v>
      </c>
      <c r="D2298" t="s">
        <v>4170</v>
      </c>
      <c r="E2298" t="s">
        <v>4174</v>
      </c>
      <c r="F2298" s="105" t="s">
        <v>4174</v>
      </c>
      <c r="G2298" s="105" t="s">
        <v>400</v>
      </c>
      <c r="H2298" s="96" t="str">
        <f>IF(Proc[[#This Row],[type]]="LFF (MDG-F)",MID(Proc[[#This Row],[Obj]],13,10),"")</f>
        <v/>
      </c>
      <c r="J2298" s="96" t="b">
        <f>Proc[[#This Row],[Requested]]=Proc[[#This Row],[CurrentParent]]</f>
        <v>1</v>
      </c>
      <c r="K2298" s="96" t="str">
        <f>IF(Proc[[#This Row],[Author]]="Marcela Urrego",VLOOKUP(LEFT(Proc[[#This Row],[Requested]],1),Table3[#All],2,0),VLOOKUP(Proc[[#This Row],[Author]],Table4[],2,0))</f>
        <v>HC</v>
      </c>
      <c r="L2298" s="96" t="s">
        <v>2563</v>
      </c>
      <c r="M2298" s="106">
        <v>45825.48096064815</v>
      </c>
      <c r="N2298" s="107">
        <v>45825</v>
      </c>
      <c r="O2298" s="107">
        <v>45825</v>
      </c>
      <c r="P2298" s="106" t="str">
        <f ca="1">IF(Proc[[#This Row],[DaysAgeing]]&gt;5,"yep","on track")</f>
        <v>on track</v>
      </c>
      <c r="Q2298" s="3">
        <f ca="1">IF(Proc[[#This Row],[DateClosed]]="",ABS(NETWORKDAYS(Proc[[#This Row],[DateOpened]],TODAY()))-1,ABS(NETWORKDAYS(Proc[[#This Row],[DateOpened]],Proc[[#This Row],[DateClosed]]))-1)</f>
        <v>0</v>
      </c>
      <c r="R2298" s="106" t="s">
        <v>410</v>
      </c>
      <c r="S2298" s="96"/>
    </row>
    <row r="2299" spans="1:19" hidden="1">
      <c r="A2299" s="105" t="s">
        <v>4140</v>
      </c>
      <c r="B2299" s="96" t="str">
        <f>IFERROR(VLOOKUP(Proc[[#This Row],[App]],Table2[],3,0),"open")</f>
        <v>ok</v>
      </c>
      <c r="C2299" s="105" t="s">
        <v>369</v>
      </c>
      <c r="D2299" t="s">
        <v>4171</v>
      </c>
      <c r="E2299" t="s">
        <v>4174</v>
      </c>
      <c r="F2299" s="105" t="s">
        <v>4174</v>
      </c>
      <c r="G2299" s="105" t="s">
        <v>400</v>
      </c>
      <c r="H2299" s="96" t="str">
        <f>IF(Proc[[#This Row],[type]]="LFF (MDG-F)",MID(Proc[[#This Row],[Obj]],13,10),"")</f>
        <v/>
      </c>
      <c r="J2299" s="96" t="b">
        <f>Proc[[#This Row],[Requested]]=Proc[[#This Row],[CurrentParent]]</f>
        <v>1</v>
      </c>
      <c r="K2299" s="96" t="str">
        <f>IF(Proc[[#This Row],[Author]]="Marcela Urrego",VLOOKUP(LEFT(Proc[[#This Row],[Requested]],1),Table3[#All],2,0),VLOOKUP(Proc[[#This Row],[Author]],Table4[],2,0))</f>
        <v>HC</v>
      </c>
      <c r="L2299" s="96" t="s">
        <v>2563</v>
      </c>
      <c r="M2299" s="106">
        <v>45825.48096064815</v>
      </c>
      <c r="N2299" s="107">
        <v>45825</v>
      </c>
      <c r="O2299" s="107">
        <v>45825</v>
      </c>
      <c r="P2299" s="106" t="str">
        <f ca="1">IF(Proc[[#This Row],[DaysAgeing]]&gt;5,"yep","on track")</f>
        <v>on track</v>
      </c>
      <c r="Q2299" s="3">
        <f ca="1">IF(Proc[[#This Row],[DateClosed]]="",ABS(NETWORKDAYS(Proc[[#This Row],[DateOpened]],TODAY()))-1,ABS(NETWORKDAYS(Proc[[#This Row],[DateOpened]],Proc[[#This Row],[DateClosed]]))-1)</f>
        <v>0</v>
      </c>
      <c r="R2299" s="106" t="s">
        <v>410</v>
      </c>
      <c r="S2299" s="96"/>
    </row>
    <row r="2300" spans="1:19" hidden="1">
      <c r="A2300" s="105" t="s">
        <v>4140</v>
      </c>
      <c r="B2300" s="96" t="str">
        <f>IFERROR(VLOOKUP(Proc[[#This Row],[App]],Table2[],3,0),"open")</f>
        <v>ok</v>
      </c>
      <c r="C2300" s="105" t="s">
        <v>369</v>
      </c>
      <c r="D2300" t="s">
        <v>4172</v>
      </c>
      <c r="E2300" t="s">
        <v>4175</v>
      </c>
      <c r="F2300" s="105" t="s">
        <v>4175</v>
      </c>
      <c r="G2300" s="105" t="s">
        <v>400</v>
      </c>
      <c r="H2300" s="96" t="str">
        <f>IF(Proc[[#This Row],[type]]="LFF (MDG-F)",MID(Proc[[#This Row],[Obj]],13,10),"")</f>
        <v/>
      </c>
      <c r="J2300" s="96" t="b">
        <f>Proc[[#This Row],[Requested]]=Proc[[#This Row],[CurrentParent]]</f>
        <v>1</v>
      </c>
      <c r="K2300" s="96" t="str">
        <f>IF(Proc[[#This Row],[Author]]="Marcela Urrego",VLOOKUP(LEFT(Proc[[#This Row],[Requested]],1),Table3[#All],2,0),VLOOKUP(Proc[[#This Row],[Author]],Table4[],2,0))</f>
        <v>HC</v>
      </c>
      <c r="L2300" s="96" t="s">
        <v>2563</v>
      </c>
      <c r="M2300" s="106">
        <v>45825.48096064815</v>
      </c>
      <c r="N2300" s="107">
        <v>45825</v>
      </c>
      <c r="O2300" s="107">
        <v>45825</v>
      </c>
      <c r="P2300" s="106" t="str">
        <f ca="1">IF(Proc[[#This Row],[DaysAgeing]]&gt;5,"yep","on track")</f>
        <v>on track</v>
      </c>
      <c r="Q2300" s="3">
        <f ca="1">IF(Proc[[#This Row],[DateClosed]]="",ABS(NETWORKDAYS(Proc[[#This Row],[DateOpened]],TODAY()))-1,ABS(NETWORKDAYS(Proc[[#This Row],[DateOpened]],Proc[[#This Row],[DateClosed]]))-1)</f>
        <v>0</v>
      </c>
      <c r="R2300" s="106" t="s">
        <v>410</v>
      </c>
      <c r="S2300" s="96"/>
    </row>
    <row r="2301" spans="1:19" hidden="1">
      <c r="A2301" s="105" t="s">
        <v>4140</v>
      </c>
      <c r="B2301" s="96" t="str">
        <f>IFERROR(VLOOKUP(Proc[[#This Row],[App]],Table2[],3,0),"open")</f>
        <v>ok</v>
      </c>
      <c r="C2301" s="105" t="s">
        <v>369</v>
      </c>
      <c r="D2301" t="s">
        <v>4173</v>
      </c>
      <c r="E2301" t="s">
        <v>4176</v>
      </c>
      <c r="F2301" s="105" t="s">
        <v>4176</v>
      </c>
      <c r="G2301" s="105" t="s">
        <v>400</v>
      </c>
      <c r="H2301" s="96" t="str">
        <f>IF(Proc[[#This Row],[type]]="LFF (MDG-F)",MID(Proc[[#This Row],[Obj]],13,10),"")</f>
        <v/>
      </c>
      <c r="J2301" s="96" t="b">
        <f>Proc[[#This Row],[Requested]]=Proc[[#This Row],[CurrentParent]]</f>
        <v>1</v>
      </c>
      <c r="K2301" s="96" t="str">
        <f>IF(Proc[[#This Row],[Author]]="Marcela Urrego",VLOOKUP(LEFT(Proc[[#This Row],[Requested]],1),Table3[#All],2,0),VLOOKUP(Proc[[#This Row],[Author]],Table4[],2,0))</f>
        <v>HC</v>
      </c>
      <c r="L2301" s="96" t="s">
        <v>2563</v>
      </c>
      <c r="M2301" s="106">
        <v>45825.48096064815</v>
      </c>
      <c r="N2301" s="107">
        <v>45825</v>
      </c>
      <c r="O2301" s="107">
        <v>45825</v>
      </c>
      <c r="P2301" s="106" t="str">
        <f ca="1">IF(Proc[[#This Row],[DaysAgeing]]&gt;5,"yep","on track")</f>
        <v>on track</v>
      </c>
      <c r="Q2301" s="3">
        <f ca="1">IF(Proc[[#This Row],[DateClosed]]="",ABS(NETWORKDAYS(Proc[[#This Row],[DateOpened]],TODAY()))-1,ABS(NETWORKDAYS(Proc[[#This Row],[DateOpened]],Proc[[#This Row],[DateClosed]]))-1)</f>
        <v>0</v>
      </c>
      <c r="R2301" s="106" t="s">
        <v>410</v>
      </c>
      <c r="S2301" s="96"/>
    </row>
    <row r="2302" spans="1:19" hidden="1">
      <c r="A2302" s="105" t="s">
        <v>4140</v>
      </c>
      <c r="B2302" s="96" t="str">
        <f>IFERROR(VLOOKUP(Proc[[#This Row],[App]],Table2[],3,0),"open")</f>
        <v>ok</v>
      </c>
      <c r="C2302" s="105" t="s">
        <v>369</v>
      </c>
      <c r="D2302" t="s">
        <v>4177</v>
      </c>
      <c r="E2302" t="s">
        <v>4174</v>
      </c>
      <c r="F2302" s="96" t="s">
        <v>4174</v>
      </c>
      <c r="G2302" s="105" t="s">
        <v>406</v>
      </c>
      <c r="H2302" s="96" t="str">
        <f>IF(Proc[[#This Row],[type]]="LFF (MDG-F)",MID(Proc[[#This Row],[Obj]],13,10),"")</f>
        <v>TN50Z01000</v>
      </c>
      <c r="J2302" s="96" t="b">
        <f>Proc[[#This Row],[Requested]]=Proc[[#This Row],[CurrentParent]]</f>
        <v>1</v>
      </c>
      <c r="K2302" s="96" t="str">
        <f>IF(Proc[[#This Row],[Author]]="Marcela Urrego",VLOOKUP(LEFT(Proc[[#This Row],[Requested]],1),Table3[#All],2,0),VLOOKUP(Proc[[#This Row],[Author]],Table4[],2,0))</f>
        <v>HC</v>
      </c>
      <c r="L2302" s="96" t="s">
        <v>2563</v>
      </c>
      <c r="M2302" s="106">
        <v>45825.48096064815</v>
      </c>
      <c r="N2302" s="107"/>
      <c r="O2302" s="107"/>
      <c r="P2302" s="106" t="str">
        <f ca="1">IF(Proc[[#This Row],[DaysAgeing]]&gt;5,"yep","on track")</f>
        <v>yep</v>
      </c>
      <c r="Q2302" s="3">
        <f ca="1">IF(Proc[[#This Row],[DateClosed]]="",ABS(NETWORKDAYS(Proc[[#This Row],[DateOpened]],TODAY()))-1,ABS(NETWORKDAYS(Proc[[#This Row],[DateOpened]],Proc[[#This Row],[DateClosed]]))-1)</f>
        <v>10</v>
      </c>
      <c r="R2302" s="106" t="s">
        <v>410</v>
      </c>
      <c r="S2302" s="96"/>
    </row>
    <row r="2303" spans="1:19" hidden="1">
      <c r="A2303" s="105" t="s">
        <v>4140</v>
      </c>
      <c r="B2303" s="96" t="str">
        <f>IFERROR(VLOOKUP(Proc[[#This Row],[App]],Table2[],3,0),"open")</f>
        <v>ok</v>
      </c>
      <c r="C2303" s="105" t="s">
        <v>369</v>
      </c>
      <c r="D2303" t="s">
        <v>4178</v>
      </c>
      <c r="E2303" t="s">
        <v>4174</v>
      </c>
      <c r="F2303" s="96" t="s">
        <v>4174</v>
      </c>
      <c r="G2303" s="105" t="s">
        <v>406</v>
      </c>
      <c r="H2303" s="96" t="str">
        <f>IF(Proc[[#This Row],[type]]="LFF (MDG-F)",MID(Proc[[#This Row],[Obj]],13,10),"")</f>
        <v>TN60Z01000</v>
      </c>
      <c r="J2303" s="96" t="b">
        <f>Proc[[#This Row],[Requested]]=Proc[[#This Row],[CurrentParent]]</f>
        <v>1</v>
      </c>
      <c r="K2303" s="96" t="str">
        <f>IF(Proc[[#This Row],[Author]]="Marcela Urrego",VLOOKUP(LEFT(Proc[[#This Row],[Requested]],1),Table3[#All],2,0),VLOOKUP(Proc[[#This Row],[Author]],Table4[],2,0))</f>
        <v>HC</v>
      </c>
      <c r="L2303" s="96" t="s">
        <v>2563</v>
      </c>
      <c r="M2303" s="106">
        <v>45825.48096064815</v>
      </c>
      <c r="N2303" s="107"/>
      <c r="O2303" s="107"/>
      <c r="P2303" s="106" t="str">
        <f ca="1">IF(Proc[[#This Row],[DaysAgeing]]&gt;5,"yep","on track")</f>
        <v>yep</v>
      </c>
      <c r="Q2303" s="3">
        <f ca="1">IF(Proc[[#This Row],[DateClosed]]="",ABS(NETWORKDAYS(Proc[[#This Row],[DateOpened]],TODAY()))-1,ABS(NETWORKDAYS(Proc[[#This Row],[DateOpened]],Proc[[#This Row],[DateClosed]]))-1)</f>
        <v>10</v>
      </c>
      <c r="R2303" s="106" t="s">
        <v>410</v>
      </c>
      <c r="S2303" s="96"/>
    </row>
    <row r="2304" spans="1:19" hidden="1">
      <c r="A2304" t="s">
        <v>4181</v>
      </c>
      <c r="B2304" s="96" t="str">
        <f>IFERROR(VLOOKUP(Proc[[#This Row],[App]],Table2[],3,0),"open")</f>
        <v>ok</v>
      </c>
      <c r="C2304" s="105" t="s">
        <v>369</v>
      </c>
      <c r="D2304" t="s">
        <v>4182</v>
      </c>
      <c r="E2304" t="s">
        <v>2506</v>
      </c>
      <c r="F2304" s="96" t="s">
        <v>2506</v>
      </c>
      <c r="G2304" t="s">
        <v>400</v>
      </c>
      <c r="H2304" s="96" t="str">
        <f>IF(Proc[[#This Row],[type]]="LFF (MDG-F)",MID(Proc[[#This Row],[Obj]],13,10),"")</f>
        <v/>
      </c>
      <c r="J2304" s="96" t="b">
        <f>Proc[[#This Row],[Requested]]=Proc[[#This Row],[CurrentParent]]</f>
        <v>1</v>
      </c>
      <c r="K2304" s="96" t="str">
        <f>IF(Proc[[#This Row],[Author]]="Marcela Urrego",VLOOKUP(LEFT(Proc[[#This Row],[Requested]],1),Table3[#All],2,0),VLOOKUP(Proc[[#This Row],[Author]],Table4[],2,0))</f>
        <v>HC</v>
      </c>
      <c r="L2304" s="96" t="s">
        <v>2563</v>
      </c>
      <c r="M2304" s="107">
        <v>45825.147986111115</v>
      </c>
      <c r="N2304" s="107"/>
      <c r="O2304" s="107"/>
      <c r="P2304" s="108" t="str">
        <f ca="1">IF(Proc[[#This Row],[DaysAgeing]]&gt;5,"yep","on track")</f>
        <v>yep</v>
      </c>
      <c r="Q2304" s="3">
        <f ca="1">IF(Proc[[#This Row],[DateClosed]]="",ABS(NETWORKDAYS(Proc[[#This Row],[DateOpened]],TODAY()))-1,ABS(NETWORKDAYS(Proc[[#This Row],[DateOpened]],Proc[[#This Row],[DateClosed]]))-1)</f>
        <v>10</v>
      </c>
      <c r="R2304" s="108" t="s">
        <v>955</v>
      </c>
      <c r="S2304" s="96"/>
    </row>
    <row r="2305" spans="1:19" hidden="1">
      <c r="A2305" t="s">
        <v>4188</v>
      </c>
      <c r="B2305" s="96" t="str">
        <f>IFERROR(VLOOKUP(Proc[[#This Row],[App]],Table2[],3,0),"open")</f>
        <v>ok</v>
      </c>
      <c r="C2305" s="105" t="s">
        <v>369</v>
      </c>
      <c r="D2305" t="s">
        <v>4183</v>
      </c>
      <c r="E2305" t="s">
        <v>480</v>
      </c>
      <c r="F2305" s="96" t="s">
        <v>480</v>
      </c>
      <c r="G2305" s="105" t="s">
        <v>400</v>
      </c>
      <c r="H2305" s="96" t="str">
        <f>IF(Proc[[#This Row],[type]]="LFF (MDG-F)",MID(Proc[[#This Row],[Obj]],13,10),"")</f>
        <v/>
      </c>
      <c r="J2305" s="96" t="b">
        <f>Proc[[#This Row],[Requested]]=Proc[[#This Row],[CurrentParent]]</f>
        <v>1</v>
      </c>
      <c r="K2305" s="96" t="str">
        <f>IF(Proc[[#This Row],[Author]]="Marcela Urrego",VLOOKUP(LEFT(Proc[[#This Row],[Requested]],1),Table3[#All],2,0),VLOOKUP(Proc[[#This Row],[Author]],Table4[],2,0))</f>
        <v>LS</v>
      </c>
      <c r="L2305" s="96" t="s">
        <v>2563</v>
      </c>
      <c r="M2305" s="107">
        <v>45825.378379629627</v>
      </c>
      <c r="N2305" s="107"/>
      <c r="O2305" s="107"/>
      <c r="P2305" s="108" t="str">
        <f ca="1">IF(Proc[[#This Row],[DaysAgeing]]&gt;5,"yep","on track")</f>
        <v>yep</v>
      </c>
      <c r="Q2305" s="3">
        <f ca="1">IF(Proc[[#This Row],[DateClosed]]="",ABS(NETWORKDAYS(Proc[[#This Row],[DateOpened]],TODAY()))-1,ABS(NETWORKDAYS(Proc[[#This Row],[DateOpened]],Proc[[#This Row],[DateClosed]]))-1)</f>
        <v>10</v>
      </c>
      <c r="R2305" s="108" t="s">
        <v>972</v>
      </c>
      <c r="S2305" s="96"/>
    </row>
    <row r="2306" spans="1:19" hidden="1">
      <c r="A2306" s="105" t="s">
        <v>4188</v>
      </c>
      <c r="B2306" s="96" t="str">
        <f>IFERROR(VLOOKUP(Proc[[#This Row],[App]],Table2[],3,0),"open")</f>
        <v>ok</v>
      </c>
      <c r="C2306" s="105" t="s">
        <v>369</v>
      </c>
      <c r="D2306" t="s">
        <v>4184</v>
      </c>
      <c r="E2306" t="s">
        <v>1830</v>
      </c>
      <c r="F2306" s="96" t="s">
        <v>1830</v>
      </c>
      <c r="G2306" s="105" t="s">
        <v>400</v>
      </c>
      <c r="H2306" s="96" t="str">
        <f>IF(Proc[[#This Row],[type]]="LFF (MDG-F)",MID(Proc[[#This Row],[Obj]],13,10),"")</f>
        <v/>
      </c>
      <c r="J2306" s="96" t="b">
        <f>Proc[[#This Row],[Requested]]=Proc[[#This Row],[CurrentParent]]</f>
        <v>1</v>
      </c>
      <c r="K2306" s="96" t="str">
        <f>IF(Proc[[#This Row],[Author]]="Marcela Urrego",VLOOKUP(LEFT(Proc[[#This Row],[Requested]],1),Table3[#All],2,0),VLOOKUP(Proc[[#This Row],[Author]],Table4[],2,0))</f>
        <v>LS</v>
      </c>
      <c r="L2306" s="96" t="s">
        <v>2563</v>
      </c>
      <c r="M2306" s="107">
        <v>45825.378379629627</v>
      </c>
      <c r="N2306" s="107"/>
      <c r="O2306" s="107"/>
      <c r="P2306" s="108" t="str">
        <f ca="1">IF(Proc[[#This Row],[DaysAgeing]]&gt;5,"yep","on track")</f>
        <v>yep</v>
      </c>
      <c r="Q2306" s="3">
        <f ca="1">IF(Proc[[#This Row],[DateClosed]]="",ABS(NETWORKDAYS(Proc[[#This Row],[DateOpened]],TODAY()))-1,ABS(NETWORKDAYS(Proc[[#This Row],[DateOpened]],Proc[[#This Row],[DateClosed]]))-1)</f>
        <v>10</v>
      </c>
      <c r="R2306" s="108" t="s">
        <v>972</v>
      </c>
      <c r="S2306" s="96"/>
    </row>
    <row r="2307" spans="1:19" hidden="1">
      <c r="A2307" s="105" t="s">
        <v>4188</v>
      </c>
      <c r="B2307" s="96" t="str">
        <f>IFERROR(VLOOKUP(Proc[[#This Row],[App]],Table2[],3,0),"open")</f>
        <v>ok</v>
      </c>
      <c r="C2307" s="105" t="s">
        <v>369</v>
      </c>
      <c r="D2307" t="s">
        <v>4185</v>
      </c>
      <c r="E2307" t="s">
        <v>480</v>
      </c>
      <c r="F2307" s="96" t="s">
        <v>480</v>
      </c>
      <c r="G2307" s="105" t="s">
        <v>400</v>
      </c>
      <c r="H2307" s="96" t="str">
        <f>IF(Proc[[#This Row],[type]]="LFF (MDG-F)",MID(Proc[[#This Row],[Obj]],13,10),"")</f>
        <v/>
      </c>
      <c r="J2307" s="96" t="b">
        <f>Proc[[#This Row],[Requested]]=Proc[[#This Row],[CurrentParent]]</f>
        <v>1</v>
      </c>
      <c r="K2307" s="96" t="str">
        <f>IF(Proc[[#This Row],[Author]]="Marcela Urrego",VLOOKUP(LEFT(Proc[[#This Row],[Requested]],1),Table3[#All],2,0),VLOOKUP(Proc[[#This Row],[Author]],Table4[],2,0))</f>
        <v>LS</v>
      </c>
      <c r="L2307" s="96" t="s">
        <v>2563</v>
      </c>
      <c r="M2307" s="107">
        <v>45825.378379629627</v>
      </c>
      <c r="N2307" s="107"/>
      <c r="O2307" s="107"/>
      <c r="P2307" s="108" t="str">
        <f ca="1">IF(Proc[[#This Row],[DaysAgeing]]&gt;5,"yep","on track")</f>
        <v>yep</v>
      </c>
      <c r="Q2307" s="3">
        <f ca="1">IF(Proc[[#This Row],[DateClosed]]="",ABS(NETWORKDAYS(Proc[[#This Row],[DateOpened]],TODAY()))-1,ABS(NETWORKDAYS(Proc[[#This Row],[DateOpened]],Proc[[#This Row],[DateClosed]]))-1)</f>
        <v>10</v>
      </c>
      <c r="R2307" s="108" t="s">
        <v>972</v>
      </c>
      <c r="S2307" s="96"/>
    </row>
    <row r="2308" spans="1:19" hidden="1">
      <c r="A2308" s="105" t="s">
        <v>4188</v>
      </c>
      <c r="B2308" s="96" t="str">
        <f>IFERROR(VLOOKUP(Proc[[#This Row],[App]],Table2[],3,0),"open")</f>
        <v>ok</v>
      </c>
      <c r="C2308" s="105" t="s">
        <v>369</v>
      </c>
      <c r="D2308" t="s">
        <v>4186</v>
      </c>
      <c r="E2308" t="s">
        <v>1830</v>
      </c>
      <c r="F2308" s="96" t="s">
        <v>1830</v>
      </c>
      <c r="G2308" s="105" t="s">
        <v>400</v>
      </c>
      <c r="H2308" s="96" t="str">
        <f>IF(Proc[[#This Row],[type]]="LFF (MDG-F)",MID(Proc[[#This Row],[Obj]],13,10),"")</f>
        <v/>
      </c>
      <c r="J2308" s="96" t="b">
        <f>Proc[[#This Row],[Requested]]=Proc[[#This Row],[CurrentParent]]</f>
        <v>1</v>
      </c>
      <c r="K2308" s="96" t="str">
        <f>IF(Proc[[#This Row],[Author]]="Marcela Urrego",VLOOKUP(LEFT(Proc[[#This Row],[Requested]],1),Table3[#All],2,0),VLOOKUP(Proc[[#This Row],[Author]],Table4[],2,0))</f>
        <v>LS</v>
      </c>
      <c r="L2308" s="96" t="s">
        <v>2563</v>
      </c>
      <c r="M2308" s="107">
        <v>45825.378379629627</v>
      </c>
      <c r="N2308" s="107"/>
      <c r="O2308" s="107"/>
      <c r="P2308" s="108" t="str">
        <f ca="1">IF(Proc[[#This Row],[DaysAgeing]]&gt;5,"yep","on track")</f>
        <v>yep</v>
      </c>
      <c r="Q2308" s="3">
        <f ca="1">IF(Proc[[#This Row],[DateClosed]]="",ABS(NETWORKDAYS(Proc[[#This Row],[DateOpened]],TODAY()))-1,ABS(NETWORKDAYS(Proc[[#This Row],[DateOpened]],Proc[[#This Row],[DateClosed]]))-1)</f>
        <v>10</v>
      </c>
      <c r="R2308" s="108" t="s">
        <v>972</v>
      </c>
      <c r="S2308" s="96"/>
    </row>
    <row r="2309" spans="1:19" hidden="1">
      <c r="A2309" s="105" t="s">
        <v>4188</v>
      </c>
      <c r="B2309" s="96" t="str">
        <f>IFERROR(VLOOKUP(Proc[[#This Row],[App]],Table2[],3,0),"open")</f>
        <v>ok</v>
      </c>
      <c r="C2309" s="105" t="s">
        <v>369</v>
      </c>
      <c r="D2309" t="s">
        <v>4187</v>
      </c>
      <c r="E2309" t="s">
        <v>447</v>
      </c>
      <c r="F2309" s="96" t="s">
        <v>447</v>
      </c>
      <c r="G2309" s="105" t="s">
        <v>400</v>
      </c>
      <c r="H2309" s="96" t="str">
        <f>IF(Proc[[#This Row],[type]]="LFF (MDG-F)",MID(Proc[[#This Row],[Obj]],13,10),"")</f>
        <v/>
      </c>
      <c r="J2309" s="96" t="b">
        <f>Proc[[#This Row],[Requested]]=Proc[[#This Row],[CurrentParent]]</f>
        <v>1</v>
      </c>
      <c r="K2309" s="96" t="str">
        <f>IF(Proc[[#This Row],[Author]]="Marcela Urrego",VLOOKUP(LEFT(Proc[[#This Row],[Requested]],1),Table3[#All],2,0),VLOOKUP(Proc[[#This Row],[Author]],Table4[],2,0))</f>
        <v>LS</v>
      </c>
      <c r="L2309" s="96" t="s">
        <v>2563</v>
      </c>
      <c r="M2309" s="107">
        <v>45825.378379629627</v>
      </c>
      <c r="N2309" s="107"/>
      <c r="O2309" s="107"/>
      <c r="P2309" s="108" t="str">
        <f ca="1">IF(Proc[[#This Row],[DaysAgeing]]&gt;5,"yep","on track")</f>
        <v>yep</v>
      </c>
      <c r="Q2309" s="3">
        <f ca="1">IF(Proc[[#This Row],[DateClosed]]="",ABS(NETWORKDAYS(Proc[[#This Row],[DateOpened]],TODAY()))-1,ABS(NETWORKDAYS(Proc[[#This Row],[DateOpened]],Proc[[#This Row],[DateClosed]]))-1)</f>
        <v>10</v>
      </c>
      <c r="R2309" s="108" t="s">
        <v>972</v>
      </c>
      <c r="S2309" s="96"/>
    </row>
    <row r="2310" spans="1:19" hidden="1">
      <c r="A2310" t="s">
        <v>4189</v>
      </c>
      <c r="B2310" s="96" t="str">
        <f>IFERROR(VLOOKUP(Proc[[#This Row],[App]],Table2[],3,0),"open")</f>
        <v>ok</v>
      </c>
      <c r="C2310" s="105" t="s">
        <v>369</v>
      </c>
      <c r="D2310" t="s">
        <v>4190</v>
      </c>
      <c r="E2310" t="s">
        <v>4246</v>
      </c>
      <c r="F2310" s="96" t="s">
        <v>4246</v>
      </c>
      <c r="G2310" s="105" t="s">
        <v>400</v>
      </c>
      <c r="H2310" s="96" t="str">
        <f>IF(Proc[[#This Row],[type]]="LFF (MDG-F)",MID(Proc[[#This Row],[Obj]],13,10),"")</f>
        <v/>
      </c>
      <c r="J2310" s="96" t="b">
        <f>Proc[[#This Row],[Requested]]=Proc[[#This Row],[CurrentParent]]</f>
        <v>1</v>
      </c>
      <c r="K2310" s="96" t="str">
        <f>IF(Proc[[#This Row],[Author]]="Marcela Urrego",VLOOKUP(LEFT(Proc[[#This Row],[Requested]],1),Table3[#All],2,0),VLOOKUP(Proc[[#This Row],[Author]],Table4[],2,0))</f>
        <v>EL</v>
      </c>
      <c r="L2310" s="96" t="s">
        <v>2563</v>
      </c>
      <c r="M2310" s="107">
        <v>45825.476678240739</v>
      </c>
      <c r="N2310" s="107"/>
      <c r="O2310" s="107"/>
      <c r="P2310" s="108" t="str">
        <f ca="1">IF(Proc[[#This Row],[DaysAgeing]]&gt;5,"yep","on track")</f>
        <v>yep</v>
      </c>
      <c r="Q2310" s="3">
        <f ca="1">IF(Proc[[#This Row],[DateClosed]]="",ABS(NETWORKDAYS(Proc[[#This Row],[DateOpened]],TODAY()))-1,ABS(NETWORKDAYS(Proc[[#This Row],[DateOpened]],Proc[[#This Row],[DateClosed]]))-1)</f>
        <v>10</v>
      </c>
      <c r="R2310" s="108" t="s">
        <v>780</v>
      </c>
      <c r="S2310" s="96"/>
    </row>
    <row r="2311" spans="1:19" hidden="1">
      <c r="A2311" s="105" t="s">
        <v>4189</v>
      </c>
      <c r="B2311" s="96" t="str">
        <f>IFERROR(VLOOKUP(Proc[[#This Row],[App]],Table2[],3,0),"open")</f>
        <v>ok</v>
      </c>
      <c r="C2311" s="105" t="s">
        <v>369</v>
      </c>
      <c r="D2311" t="s">
        <v>4191</v>
      </c>
      <c r="E2311" t="s">
        <v>4246</v>
      </c>
      <c r="F2311" s="96" t="s">
        <v>4246</v>
      </c>
      <c r="G2311" s="105" t="s">
        <v>400</v>
      </c>
      <c r="H2311" s="96" t="str">
        <f>IF(Proc[[#This Row],[type]]="LFF (MDG-F)",MID(Proc[[#This Row],[Obj]],13,10),"")</f>
        <v/>
      </c>
      <c r="J2311" s="96" t="b">
        <f>Proc[[#This Row],[Requested]]=Proc[[#This Row],[CurrentParent]]</f>
        <v>1</v>
      </c>
      <c r="K2311" s="96" t="str">
        <f>IF(Proc[[#This Row],[Author]]="Marcela Urrego",VLOOKUP(LEFT(Proc[[#This Row],[Requested]],1),Table3[#All],2,0),VLOOKUP(Proc[[#This Row],[Author]],Table4[],2,0))</f>
        <v>EL</v>
      </c>
      <c r="L2311" s="96" t="s">
        <v>2563</v>
      </c>
      <c r="M2311" s="107">
        <v>45825.476678240739</v>
      </c>
      <c r="N2311" s="107"/>
      <c r="O2311" s="107"/>
      <c r="P2311" s="108" t="str">
        <f ca="1">IF(Proc[[#This Row],[DaysAgeing]]&gt;5,"yep","on track")</f>
        <v>yep</v>
      </c>
      <c r="Q2311" s="3">
        <f ca="1">IF(Proc[[#This Row],[DateClosed]]="",ABS(NETWORKDAYS(Proc[[#This Row],[DateOpened]],TODAY()))-1,ABS(NETWORKDAYS(Proc[[#This Row],[DateOpened]],Proc[[#This Row],[DateClosed]]))-1)</f>
        <v>10</v>
      </c>
      <c r="R2311" s="108" t="s">
        <v>780</v>
      </c>
      <c r="S2311" s="96"/>
    </row>
    <row r="2312" spans="1:19" hidden="1">
      <c r="A2312" s="105" t="s">
        <v>4189</v>
      </c>
      <c r="B2312" s="96" t="str">
        <f>IFERROR(VLOOKUP(Proc[[#This Row],[App]],Table2[],3,0),"open")</f>
        <v>ok</v>
      </c>
      <c r="C2312" s="105" t="s">
        <v>369</v>
      </c>
      <c r="D2312" t="s">
        <v>4192</v>
      </c>
      <c r="E2312" t="s">
        <v>4246</v>
      </c>
      <c r="F2312" s="96" t="s">
        <v>4246</v>
      </c>
      <c r="G2312" s="105" t="s">
        <v>400</v>
      </c>
      <c r="H2312" s="96" t="str">
        <f>IF(Proc[[#This Row],[type]]="LFF (MDG-F)",MID(Proc[[#This Row],[Obj]],13,10),"")</f>
        <v/>
      </c>
      <c r="J2312" s="96" t="b">
        <f>Proc[[#This Row],[Requested]]=Proc[[#This Row],[CurrentParent]]</f>
        <v>1</v>
      </c>
      <c r="K2312" s="96" t="str">
        <f>IF(Proc[[#This Row],[Author]]="Marcela Urrego",VLOOKUP(LEFT(Proc[[#This Row],[Requested]],1),Table3[#All],2,0),VLOOKUP(Proc[[#This Row],[Author]],Table4[],2,0))</f>
        <v>EL</v>
      </c>
      <c r="L2312" s="96" t="s">
        <v>2563</v>
      </c>
      <c r="M2312" s="107">
        <v>45825.476678240739</v>
      </c>
      <c r="N2312" s="107"/>
      <c r="O2312" s="107"/>
      <c r="P2312" s="108" t="str">
        <f ca="1">IF(Proc[[#This Row],[DaysAgeing]]&gt;5,"yep","on track")</f>
        <v>yep</v>
      </c>
      <c r="Q2312" s="3">
        <f ca="1">IF(Proc[[#This Row],[DateClosed]]="",ABS(NETWORKDAYS(Proc[[#This Row],[DateOpened]],TODAY()))-1,ABS(NETWORKDAYS(Proc[[#This Row],[DateOpened]],Proc[[#This Row],[DateClosed]]))-1)</f>
        <v>10</v>
      </c>
      <c r="R2312" s="108" t="s">
        <v>780</v>
      </c>
      <c r="S2312" s="96"/>
    </row>
    <row r="2313" spans="1:19" hidden="1">
      <c r="A2313" s="105" t="s">
        <v>4189</v>
      </c>
      <c r="B2313" s="96" t="str">
        <f>IFERROR(VLOOKUP(Proc[[#This Row],[App]],Table2[],3,0),"open")</f>
        <v>ok</v>
      </c>
      <c r="C2313" s="105" t="s">
        <v>369</v>
      </c>
      <c r="D2313" t="s">
        <v>4193</v>
      </c>
      <c r="E2313" t="s">
        <v>4246</v>
      </c>
      <c r="F2313" s="96" t="s">
        <v>4246</v>
      </c>
      <c r="G2313" s="105" t="s">
        <v>400</v>
      </c>
      <c r="H2313" s="96" t="str">
        <f>IF(Proc[[#This Row],[type]]="LFF (MDG-F)",MID(Proc[[#This Row],[Obj]],13,10),"")</f>
        <v/>
      </c>
      <c r="J2313" s="96" t="b">
        <f>Proc[[#This Row],[Requested]]=Proc[[#This Row],[CurrentParent]]</f>
        <v>1</v>
      </c>
      <c r="K2313" s="96" t="str">
        <f>IF(Proc[[#This Row],[Author]]="Marcela Urrego",VLOOKUP(LEFT(Proc[[#This Row],[Requested]],1),Table3[#All],2,0),VLOOKUP(Proc[[#This Row],[Author]],Table4[],2,0))</f>
        <v>EL</v>
      </c>
      <c r="L2313" s="96" t="s">
        <v>2563</v>
      </c>
      <c r="M2313" s="107">
        <v>45825.476678240739</v>
      </c>
      <c r="N2313" s="107"/>
      <c r="O2313" s="107"/>
      <c r="P2313" s="108" t="str">
        <f ca="1">IF(Proc[[#This Row],[DaysAgeing]]&gt;5,"yep","on track")</f>
        <v>yep</v>
      </c>
      <c r="Q2313" s="3">
        <f ca="1">IF(Proc[[#This Row],[DateClosed]]="",ABS(NETWORKDAYS(Proc[[#This Row],[DateOpened]],TODAY()))-1,ABS(NETWORKDAYS(Proc[[#This Row],[DateOpened]],Proc[[#This Row],[DateClosed]]))-1)</f>
        <v>10</v>
      </c>
      <c r="R2313" s="108" t="s">
        <v>780</v>
      </c>
      <c r="S2313" s="96"/>
    </row>
    <row r="2314" spans="1:19" hidden="1">
      <c r="A2314" s="105" t="s">
        <v>4189</v>
      </c>
      <c r="B2314" s="96" t="str">
        <f>IFERROR(VLOOKUP(Proc[[#This Row],[App]],Table2[],3,0),"open")</f>
        <v>ok</v>
      </c>
      <c r="C2314" s="105" t="s">
        <v>369</v>
      </c>
      <c r="D2314" t="s">
        <v>4194</v>
      </c>
      <c r="E2314" t="s">
        <v>4246</v>
      </c>
      <c r="F2314" s="96" t="s">
        <v>4246</v>
      </c>
      <c r="G2314" s="105" t="s">
        <v>400</v>
      </c>
      <c r="H2314" s="96" t="str">
        <f>IF(Proc[[#This Row],[type]]="LFF (MDG-F)",MID(Proc[[#This Row],[Obj]],13,10),"")</f>
        <v/>
      </c>
      <c r="J2314" s="96" t="b">
        <f>Proc[[#This Row],[Requested]]=Proc[[#This Row],[CurrentParent]]</f>
        <v>1</v>
      </c>
      <c r="K2314" s="96" t="str">
        <f>IF(Proc[[#This Row],[Author]]="Marcela Urrego",VLOOKUP(LEFT(Proc[[#This Row],[Requested]],1),Table3[#All],2,0),VLOOKUP(Proc[[#This Row],[Author]],Table4[],2,0))</f>
        <v>EL</v>
      </c>
      <c r="L2314" s="96" t="s">
        <v>2563</v>
      </c>
      <c r="M2314" s="107">
        <v>45825.476678240739</v>
      </c>
      <c r="N2314" s="107"/>
      <c r="O2314" s="107"/>
      <c r="P2314" s="108" t="str">
        <f ca="1">IF(Proc[[#This Row],[DaysAgeing]]&gt;5,"yep","on track")</f>
        <v>yep</v>
      </c>
      <c r="Q2314" s="3">
        <f ca="1">IF(Proc[[#This Row],[DateClosed]]="",ABS(NETWORKDAYS(Proc[[#This Row],[DateOpened]],TODAY()))-1,ABS(NETWORKDAYS(Proc[[#This Row],[DateOpened]],Proc[[#This Row],[DateClosed]]))-1)</f>
        <v>10</v>
      </c>
      <c r="R2314" s="108" t="s">
        <v>780</v>
      </c>
      <c r="S2314" s="96"/>
    </row>
    <row r="2315" spans="1:19" hidden="1">
      <c r="A2315" s="105" t="s">
        <v>4189</v>
      </c>
      <c r="B2315" s="96" t="str">
        <f>IFERROR(VLOOKUP(Proc[[#This Row],[App]],Table2[],3,0),"open")</f>
        <v>ok</v>
      </c>
      <c r="C2315" s="105" t="s">
        <v>369</v>
      </c>
      <c r="D2315" t="s">
        <v>4195</v>
      </c>
      <c r="E2315" t="s">
        <v>4246</v>
      </c>
      <c r="F2315" s="96" t="s">
        <v>4246</v>
      </c>
      <c r="G2315" s="105" t="s">
        <v>400</v>
      </c>
      <c r="H2315" s="96" t="str">
        <f>IF(Proc[[#This Row],[type]]="LFF (MDG-F)",MID(Proc[[#This Row],[Obj]],13,10),"")</f>
        <v/>
      </c>
      <c r="J2315" s="96" t="b">
        <f>Proc[[#This Row],[Requested]]=Proc[[#This Row],[CurrentParent]]</f>
        <v>1</v>
      </c>
      <c r="K2315" s="96" t="str">
        <f>IF(Proc[[#This Row],[Author]]="Marcela Urrego",VLOOKUP(LEFT(Proc[[#This Row],[Requested]],1),Table3[#All],2,0),VLOOKUP(Proc[[#This Row],[Author]],Table4[],2,0))</f>
        <v>EL</v>
      </c>
      <c r="L2315" s="96" t="s">
        <v>2563</v>
      </c>
      <c r="M2315" s="107">
        <v>45825.476678240739</v>
      </c>
      <c r="N2315" s="107"/>
      <c r="O2315" s="107"/>
      <c r="P2315" s="108" t="str">
        <f ca="1">IF(Proc[[#This Row],[DaysAgeing]]&gt;5,"yep","on track")</f>
        <v>yep</v>
      </c>
      <c r="Q2315" s="3">
        <f ca="1">IF(Proc[[#This Row],[DateClosed]]="",ABS(NETWORKDAYS(Proc[[#This Row],[DateOpened]],TODAY()))-1,ABS(NETWORKDAYS(Proc[[#This Row],[DateOpened]],Proc[[#This Row],[DateClosed]]))-1)</f>
        <v>10</v>
      </c>
      <c r="R2315" s="108" t="s">
        <v>780</v>
      </c>
      <c r="S2315" s="96"/>
    </row>
    <row r="2316" spans="1:19" hidden="1">
      <c r="A2316" s="105" t="s">
        <v>4189</v>
      </c>
      <c r="B2316" s="96" t="str">
        <f>IFERROR(VLOOKUP(Proc[[#This Row],[App]],Table2[],3,0),"open")</f>
        <v>ok</v>
      </c>
      <c r="C2316" s="105" t="s">
        <v>369</v>
      </c>
      <c r="D2316" t="s">
        <v>4196</v>
      </c>
      <c r="E2316" t="s">
        <v>4246</v>
      </c>
      <c r="F2316" s="96" t="s">
        <v>4246</v>
      </c>
      <c r="G2316" s="105" t="s">
        <v>400</v>
      </c>
      <c r="H2316" s="96" t="str">
        <f>IF(Proc[[#This Row],[type]]="LFF (MDG-F)",MID(Proc[[#This Row],[Obj]],13,10),"")</f>
        <v/>
      </c>
      <c r="J2316" s="96" t="b">
        <f>Proc[[#This Row],[Requested]]=Proc[[#This Row],[CurrentParent]]</f>
        <v>1</v>
      </c>
      <c r="K2316" s="96" t="str">
        <f>IF(Proc[[#This Row],[Author]]="Marcela Urrego",VLOOKUP(LEFT(Proc[[#This Row],[Requested]],1),Table3[#All],2,0),VLOOKUP(Proc[[#This Row],[Author]],Table4[],2,0))</f>
        <v>EL</v>
      </c>
      <c r="L2316" s="96" t="s">
        <v>2563</v>
      </c>
      <c r="M2316" s="107">
        <v>45825.476678240739</v>
      </c>
      <c r="N2316" s="107"/>
      <c r="O2316" s="107"/>
      <c r="P2316" s="108" t="str">
        <f ca="1">IF(Proc[[#This Row],[DaysAgeing]]&gt;5,"yep","on track")</f>
        <v>yep</v>
      </c>
      <c r="Q2316" s="3">
        <f ca="1">IF(Proc[[#This Row],[DateClosed]]="",ABS(NETWORKDAYS(Proc[[#This Row],[DateOpened]],TODAY()))-1,ABS(NETWORKDAYS(Proc[[#This Row],[DateOpened]],Proc[[#This Row],[DateClosed]]))-1)</f>
        <v>10</v>
      </c>
      <c r="R2316" s="108" t="s">
        <v>780</v>
      </c>
      <c r="S2316" s="96"/>
    </row>
    <row r="2317" spans="1:19" hidden="1">
      <c r="A2317" s="105" t="s">
        <v>4189</v>
      </c>
      <c r="B2317" s="96" t="str">
        <f>IFERROR(VLOOKUP(Proc[[#This Row],[App]],Table2[],3,0),"open")</f>
        <v>ok</v>
      </c>
      <c r="C2317" s="105" t="s">
        <v>369</v>
      </c>
      <c r="D2317" t="s">
        <v>4197</v>
      </c>
      <c r="E2317" t="s">
        <v>4247</v>
      </c>
      <c r="F2317" s="96" t="s">
        <v>4247</v>
      </c>
      <c r="G2317" s="105" t="s">
        <v>400</v>
      </c>
      <c r="H2317" s="96" t="str">
        <f>IF(Proc[[#This Row],[type]]="LFF (MDG-F)",MID(Proc[[#This Row],[Obj]],13,10),"")</f>
        <v/>
      </c>
      <c r="J2317" s="96" t="b">
        <f>Proc[[#This Row],[Requested]]=Proc[[#This Row],[CurrentParent]]</f>
        <v>1</v>
      </c>
      <c r="K2317" s="96" t="str">
        <f>IF(Proc[[#This Row],[Author]]="Marcela Urrego",VLOOKUP(LEFT(Proc[[#This Row],[Requested]],1),Table3[#All],2,0),VLOOKUP(Proc[[#This Row],[Author]],Table4[],2,0))</f>
        <v>EL</v>
      </c>
      <c r="L2317" s="96" t="s">
        <v>2563</v>
      </c>
      <c r="M2317" s="107">
        <v>45825.476678240739</v>
      </c>
      <c r="N2317" s="107"/>
      <c r="O2317" s="107"/>
      <c r="P2317" s="108" t="str">
        <f ca="1">IF(Proc[[#This Row],[DaysAgeing]]&gt;5,"yep","on track")</f>
        <v>yep</v>
      </c>
      <c r="Q2317" s="3">
        <f ca="1">IF(Proc[[#This Row],[DateClosed]]="",ABS(NETWORKDAYS(Proc[[#This Row],[DateOpened]],TODAY()))-1,ABS(NETWORKDAYS(Proc[[#This Row],[DateOpened]],Proc[[#This Row],[DateClosed]]))-1)</f>
        <v>10</v>
      </c>
      <c r="R2317" s="108" t="s">
        <v>780</v>
      </c>
      <c r="S2317" s="96"/>
    </row>
    <row r="2318" spans="1:19" hidden="1">
      <c r="A2318" s="105" t="s">
        <v>4189</v>
      </c>
      <c r="B2318" s="96" t="str">
        <f>IFERROR(VLOOKUP(Proc[[#This Row],[App]],Table2[],3,0),"open")</f>
        <v>ok</v>
      </c>
      <c r="C2318" s="105" t="s">
        <v>369</v>
      </c>
      <c r="D2318" t="s">
        <v>4198</v>
      </c>
      <c r="E2318" t="s">
        <v>4247</v>
      </c>
      <c r="F2318" s="96" t="s">
        <v>4247</v>
      </c>
      <c r="G2318" s="105" t="s">
        <v>400</v>
      </c>
      <c r="H2318" s="96" t="str">
        <f>IF(Proc[[#This Row],[type]]="LFF (MDG-F)",MID(Proc[[#This Row],[Obj]],13,10),"")</f>
        <v/>
      </c>
      <c r="J2318" s="96" t="b">
        <f>Proc[[#This Row],[Requested]]=Proc[[#This Row],[CurrentParent]]</f>
        <v>1</v>
      </c>
      <c r="K2318" s="96" t="str">
        <f>IF(Proc[[#This Row],[Author]]="Marcela Urrego",VLOOKUP(LEFT(Proc[[#This Row],[Requested]],1),Table3[#All],2,0),VLOOKUP(Proc[[#This Row],[Author]],Table4[],2,0))</f>
        <v>EL</v>
      </c>
      <c r="L2318" s="96" t="s">
        <v>2563</v>
      </c>
      <c r="M2318" s="107">
        <v>45825.476678240739</v>
      </c>
      <c r="N2318" s="107"/>
      <c r="O2318" s="107"/>
      <c r="P2318" s="108" t="str">
        <f ca="1">IF(Proc[[#This Row],[DaysAgeing]]&gt;5,"yep","on track")</f>
        <v>yep</v>
      </c>
      <c r="Q2318" s="3">
        <f ca="1">IF(Proc[[#This Row],[DateClosed]]="",ABS(NETWORKDAYS(Proc[[#This Row],[DateOpened]],TODAY()))-1,ABS(NETWORKDAYS(Proc[[#This Row],[DateOpened]],Proc[[#This Row],[DateClosed]]))-1)</f>
        <v>10</v>
      </c>
      <c r="R2318" s="108" t="s">
        <v>780</v>
      </c>
      <c r="S2318" s="96"/>
    </row>
    <row r="2319" spans="1:19" hidden="1">
      <c r="A2319" s="105" t="s">
        <v>4189</v>
      </c>
      <c r="B2319" s="96" t="str">
        <f>IFERROR(VLOOKUP(Proc[[#This Row],[App]],Table2[],3,0),"open")</f>
        <v>ok</v>
      </c>
      <c r="C2319" s="105" t="s">
        <v>369</v>
      </c>
      <c r="D2319" t="s">
        <v>4199</v>
      </c>
      <c r="E2319" t="s">
        <v>4247</v>
      </c>
      <c r="F2319" s="96" t="s">
        <v>4247</v>
      </c>
      <c r="G2319" s="105" t="s">
        <v>400</v>
      </c>
      <c r="H2319" s="96" t="str">
        <f>IF(Proc[[#This Row],[type]]="LFF (MDG-F)",MID(Proc[[#This Row],[Obj]],13,10),"")</f>
        <v/>
      </c>
      <c r="J2319" s="96" t="b">
        <f>Proc[[#This Row],[Requested]]=Proc[[#This Row],[CurrentParent]]</f>
        <v>1</v>
      </c>
      <c r="K2319" s="96" t="str">
        <f>IF(Proc[[#This Row],[Author]]="Marcela Urrego",VLOOKUP(LEFT(Proc[[#This Row],[Requested]],1),Table3[#All],2,0),VLOOKUP(Proc[[#This Row],[Author]],Table4[],2,0))</f>
        <v>EL</v>
      </c>
      <c r="L2319" s="96" t="s">
        <v>2563</v>
      </c>
      <c r="M2319" s="107">
        <v>45825.476678240739</v>
      </c>
      <c r="N2319" s="107"/>
      <c r="O2319" s="107"/>
      <c r="P2319" s="108" t="str">
        <f ca="1">IF(Proc[[#This Row],[DaysAgeing]]&gt;5,"yep","on track")</f>
        <v>yep</v>
      </c>
      <c r="Q2319" s="3">
        <f ca="1">IF(Proc[[#This Row],[DateClosed]]="",ABS(NETWORKDAYS(Proc[[#This Row],[DateOpened]],TODAY()))-1,ABS(NETWORKDAYS(Proc[[#This Row],[DateOpened]],Proc[[#This Row],[DateClosed]]))-1)</f>
        <v>10</v>
      </c>
      <c r="R2319" s="108" t="s">
        <v>780</v>
      </c>
      <c r="S2319" s="96"/>
    </row>
    <row r="2320" spans="1:19" hidden="1">
      <c r="A2320" s="105" t="s">
        <v>4189</v>
      </c>
      <c r="B2320" s="96" t="str">
        <f>IFERROR(VLOOKUP(Proc[[#This Row],[App]],Table2[],3,0),"open")</f>
        <v>ok</v>
      </c>
      <c r="C2320" s="105" t="s">
        <v>369</v>
      </c>
      <c r="D2320" t="s">
        <v>4200</v>
      </c>
      <c r="E2320" t="s">
        <v>4247</v>
      </c>
      <c r="F2320" s="96" t="s">
        <v>4247</v>
      </c>
      <c r="G2320" s="105" t="s">
        <v>400</v>
      </c>
      <c r="H2320" s="96" t="str">
        <f>IF(Proc[[#This Row],[type]]="LFF (MDG-F)",MID(Proc[[#This Row],[Obj]],13,10),"")</f>
        <v/>
      </c>
      <c r="J2320" s="96" t="b">
        <f>Proc[[#This Row],[Requested]]=Proc[[#This Row],[CurrentParent]]</f>
        <v>1</v>
      </c>
      <c r="K2320" s="96" t="str">
        <f>IF(Proc[[#This Row],[Author]]="Marcela Urrego",VLOOKUP(LEFT(Proc[[#This Row],[Requested]],1),Table3[#All],2,0),VLOOKUP(Proc[[#This Row],[Author]],Table4[],2,0))</f>
        <v>EL</v>
      </c>
      <c r="L2320" s="96" t="s">
        <v>2563</v>
      </c>
      <c r="M2320" s="107">
        <v>45825.476678240739</v>
      </c>
      <c r="N2320" s="107"/>
      <c r="O2320" s="107"/>
      <c r="P2320" s="108" t="str">
        <f ca="1">IF(Proc[[#This Row],[DaysAgeing]]&gt;5,"yep","on track")</f>
        <v>yep</v>
      </c>
      <c r="Q2320" s="3">
        <f ca="1">IF(Proc[[#This Row],[DateClosed]]="",ABS(NETWORKDAYS(Proc[[#This Row],[DateOpened]],TODAY()))-1,ABS(NETWORKDAYS(Proc[[#This Row],[DateOpened]],Proc[[#This Row],[DateClosed]]))-1)</f>
        <v>10</v>
      </c>
      <c r="R2320" s="108" t="s">
        <v>780</v>
      </c>
      <c r="S2320" s="96"/>
    </row>
    <row r="2321" spans="1:19" hidden="1">
      <c r="A2321" s="105" t="s">
        <v>4189</v>
      </c>
      <c r="B2321" s="96" t="str">
        <f>IFERROR(VLOOKUP(Proc[[#This Row],[App]],Table2[],3,0),"open")</f>
        <v>ok</v>
      </c>
      <c r="C2321" s="105" t="s">
        <v>369</v>
      </c>
      <c r="D2321" t="s">
        <v>4201</v>
      </c>
      <c r="E2321" t="s">
        <v>4247</v>
      </c>
      <c r="F2321" s="96" t="s">
        <v>4247</v>
      </c>
      <c r="G2321" s="105" t="s">
        <v>400</v>
      </c>
      <c r="H2321" s="96" t="str">
        <f>IF(Proc[[#This Row],[type]]="LFF (MDG-F)",MID(Proc[[#This Row],[Obj]],13,10),"")</f>
        <v/>
      </c>
      <c r="J2321" s="96" t="b">
        <f>Proc[[#This Row],[Requested]]=Proc[[#This Row],[CurrentParent]]</f>
        <v>1</v>
      </c>
      <c r="K2321" s="96" t="str">
        <f>IF(Proc[[#This Row],[Author]]="Marcela Urrego",VLOOKUP(LEFT(Proc[[#This Row],[Requested]],1),Table3[#All],2,0),VLOOKUP(Proc[[#This Row],[Author]],Table4[],2,0))</f>
        <v>EL</v>
      </c>
      <c r="L2321" s="96" t="s">
        <v>2563</v>
      </c>
      <c r="M2321" s="107">
        <v>45825.476678240739</v>
      </c>
      <c r="N2321" s="107"/>
      <c r="O2321" s="107"/>
      <c r="P2321" s="108" t="str">
        <f ca="1">IF(Proc[[#This Row],[DaysAgeing]]&gt;5,"yep","on track")</f>
        <v>yep</v>
      </c>
      <c r="Q2321" s="3">
        <f ca="1">IF(Proc[[#This Row],[DateClosed]]="",ABS(NETWORKDAYS(Proc[[#This Row],[DateOpened]],TODAY()))-1,ABS(NETWORKDAYS(Proc[[#This Row],[DateOpened]],Proc[[#This Row],[DateClosed]]))-1)</f>
        <v>10</v>
      </c>
      <c r="R2321" s="108" t="s">
        <v>780</v>
      </c>
      <c r="S2321" s="96"/>
    </row>
    <row r="2322" spans="1:19" hidden="1">
      <c r="A2322" s="105" t="s">
        <v>4189</v>
      </c>
      <c r="B2322" s="96" t="str">
        <f>IFERROR(VLOOKUP(Proc[[#This Row],[App]],Table2[],3,0),"open")</f>
        <v>ok</v>
      </c>
      <c r="C2322" s="105" t="s">
        <v>369</v>
      </c>
      <c r="D2322" t="s">
        <v>4202</v>
      </c>
      <c r="E2322" t="s">
        <v>4247</v>
      </c>
      <c r="F2322" s="96" t="s">
        <v>4247</v>
      </c>
      <c r="G2322" s="105" t="s">
        <v>400</v>
      </c>
      <c r="H2322" s="96" t="str">
        <f>IF(Proc[[#This Row],[type]]="LFF (MDG-F)",MID(Proc[[#This Row],[Obj]],13,10),"")</f>
        <v/>
      </c>
      <c r="J2322" s="96" t="b">
        <f>Proc[[#This Row],[Requested]]=Proc[[#This Row],[CurrentParent]]</f>
        <v>1</v>
      </c>
      <c r="K2322" s="96" t="str">
        <f>IF(Proc[[#This Row],[Author]]="Marcela Urrego",VLOOKUP(LEFT(Proc[[#This Row],[Requested]],1),Table3[#All],2,0),VLOOKUP(Proc[[#This Row],[Author]],Table4[],2,0))</f>
        <v>EL</v>
      </c>
      <c r="L2322" s="96" t="s">
        <v>2563</v>
      </c>
      <c r="M2322" s="107">
        <v>45825.476678240739</v>
      </c>
      <c r="N2322" s="107"/>
      <c r="O2322" s="107"/>
      <c r="P2322" s="108" t="str">
        <f ca="1">IF(Proc[[#This Row],[DaysAgeing]]&gt;5,"yep","on track")</f>
        <v>yep</v>
      </c>
      <c r="Q2322" s="3">
        <f ca="1">IF(Proc[[#This Row],[DateClosed]]="",ABS(NETWORKDAYS(Proc[[#This Row],[DateOpened]],TODAY()))-1,ABS(NETWORKDAYS(Proc[[#This Row],[DateOpened]],Proc[[#This Row],[DateClosed]]))-1)</f>
        <v>10</v>
      </c>
      <c r="R2322" s="108" t="s">
        <v>780</v>
      </c>
      <c r="S2322" s="96"/>
    </row>
    <row r="2323" spans="1:19" hidden="1">
      <c r="A2323" s="105" t="s">
        <v>4189</v>
      </c>
      <c r="B2323" s="96" t="str">
        <f>IFERROR(VLOOKUP(Proc[[#This Row],[App]],Table2[],3,0),"open")</f>
        <v>ok</v>
      </c>
      <c r="C2323" s="105" t="s">
        <v>369</v>
      </c>
      <c r="D2323" t="s">
        <v>4203</v>
      </c>
      <c r="E2323" t="s">
        <v>4247</v>
      </c>
      <c r="F2323" s="96" t="s">
        <v>4247</v>
      </c>
      <c r="G2323" s="105" t="s">
        <v>400</v>
      </c>
      <c r="H2323" s="96" t="str">
        <f>IF(Proc[[#This Row],[type]]="LFF (MDG-F)",MID(Proc[[#This Row],[Obj]],13,10),"")</f>
        <v/>
      </c>
      <c r="J2323" s="96" t="b">
        <f>Proc[[#This Row],[Requested]]=Proc[[#This Row],[CurrentParent]]</f>
        <v>1</v>
      </c>
      <c r="K2323" s="96" t="str">
        <f>IF(Proc[[#This Row],[Author]]="Marcela Urrego",VLOOKUP(LEFT(Proc[[#This Row],[Requested]],1),Table3[#All],2,0),VLOOKUP(Proc[[#This Row],[Author]],Table4[],2,0))</f>
        <v>EL</v>
      </c>
      <c r="L2323" s="96" t="s">
        <v>2563</v>
      </c>
      <c r="M2323" s="107">
        <v>45825.476678240739</v>
      </c>
      <c r="N2323" s="107"/>
      <c r="O2323" s="107"/>
      <c r="P2323" s="108" t="str">
        <f ca="1">IF(Proc[[#This Row],[DaysAgeing]]&gt;5,"yep","on track")</f>
        <v>yep</v>
      </c>
      <c r="Q2323" s="3">
        <f ca="1">IF(Proc[[#This Row],[DateClosed]]="",ABS(NETWORKDAYS(Proc[[#This Row],[DateOpened]],TODAY()))-1,ABS(NETWORKDAYS(Proc[[#This Row],[DateOpened]],Proc[[#This Row],[DateClosed]]))-1)</f>
        <v>10</v>
      </c>
      <c r="R2323" s="108" t="s">
        <v>780</v>
      </c>
      <c r="S2323" s="96"/>
    </row>
    <row r="2324" spans="1:19" hidden="1">
      <c r="A2324" s="105" t="s">
        <v>4189</v>
      </c>
      <c r="B2324" s="96" t="str">
        <f>IFERROR(VLOOKUP(Proc[[#This Row],[App]],Table2[],3,0),"open")</f>
        <v>ok</v>
      </c>
      <c r="C2324" s="105" t="s">
        <v>369</v>
      </c>
      <c r="D2324" t="s">
        <v>4204</v>
      </c>
      <c r="E2324" t="s">
        <v>4247</v>
      </c>
      <c r="F2324" s="96" t="s">
        <v>4247</v>
      </c>
      <c r="G2324" s="105" t="s">
        <v>400</v>
      </c>
      <c r="H2324" s="96" t="str">
        <f>IF(Proc[[#This Row],[type]]="LFF (MDG-F)",MID(Proc[[#This Row],[Obj]],13,10),"")</f>
        <v/>
      </c>
      <c r="J2324" s="96" t="b">
        <f>Proc[[#This Row],[Requested]]=Proc[[#This Row],[CurrentParent]]</f>
        <v>1</v>
      </c>
      <c r="K2324" s="96" t="str">
        <f>IF(Proc[[#This Row],[Author]]="Marcela Urrego",VLOOKUP(LEFT(Proc[[#This Row],[Requested]],1),Table3[#All],2,0),VLOOKUP(Proc[[#This Row],[Author]],Table4[],2,0))</f>
        <v>EL</v>
      </c>
      <c r="L2324" s="96" t="s">
        <v>2563</v>
      </c>
      <c r="M2324" s="107">
        <v>45825.476678240739</v>
      </c>
      <c r="N2324" s="107"/>
      <c r="O2324" s="107"/>
      <c r="P2324" s="108" t="str">
        <f ca="1">IF(Proc[[#This Row],[DaysAgeing]]&gt;5,"yep","on track")</f>
        <v>yep</v>
      </c>
      <c r="Q2324" s="3">
        <f ca="1">IF(Proc[[#This Row],[DateClosed]]="",ABS(NETWORKDAYS(Proc[[#This Row],[DateOpened]],TODAY()))-1,ABS(NETWORKDAYS(Proc[[#This Row],[DateOpened]],Proc[[#This Row],[DateClosed]]))-1)</f>
        <v>10</v>
      </c>
      <c r="R2324" s="108" t="s">
        <v>780</v>
      </c>
      <c r="S2324" s="96"/>
    </row>
    <row r="2325" spans="1:19" hidden="1">
      <c r="A2325" s="105" t="s">
        <v>4189</v>
      </c>
      <c r="B2325" s="96" t="str">
        <f>IFERROR(VLOOKUP(Proc[[#This Row],[App]],Table2[],3,0),"open")</f>
        <v>ok</v>
      </c>
      <c r="C2325" s="105" t="s">
        <v>369</v>
      </c>
      <c r="D2325" t="s">
        <v>4205</v>
      </c>
      <c r="E2325" t="s">
        <v>4247</v>
      </c>
      <c r="F2325" s="96" t="s">
        <v>4247</v>
      </c>
      <c r="G2325" s="105" t="s">
        <v>400</v>
      </c>
      <c r="H2325" s="96" t="str">
        <f>IF(Proc[[#This Row],[type]]="LFF (MDG-F)",MID(Proc[[#This Row],[Obj]],13,10),"")</f>
        <v/>
      </c>
      <c r="J2325" s="96" t="b">
        <f>Proc[[#This Row],[Requested]]=Proc[[#This Row],[CurrentParent]]</f>
        <v>1</v>
      </c>
      <c r="K2325" s="96" t="str">
        <f>IF(Proc[[#This Row],[Author]]="Marcela Urrego",VLOOKUP(LEFT(Proc[[#This Row],[Requested]],1),Table3[#All],2,0),VLOOKUP(Proc[[#This Row],[Author]],Table4[],2,0))</f>
        <v>EL</v>
      </c>
      <c r="L2325" s="96" t="s">
        <v>2563</v>
      </c>
      <c r="M2325" s="107">
        <v>45825.476678240739</v>
      </c>
      <c r="N2325" s="107"/>
      <c r="O2325" s="107"/>
      <c r="P2325" s="108" t="str">
        <f ca="1">IF(Proc[[#This Row],[DaysAgeing]]&gt;5,"yep","on track")</f>
        <v>yep</v>
      </c>
      <c r="Q2325" s="3">
        <f ca="1">IF(Proc[[#This Row],[DateClosed]]="",ABS(NETWORKDAYS(Proc[[#This Row],[DateOpened]],TODAY()))-1,ABS(NETWORKDAYS(Proc[[#This Row],[DateOpened]],Proc[[#This Row],[DateClosed]]))-1)</f>
        <v>10</v>
      </c>
      <c r="R2325" s="108" t="s">
        <v>780</v>
      </c>
      <c r="S2325" s="96"/>
    </row>
    <row r="2326" spans="1:19" hidden="1">
      <c r="A2326" s="105" t="s">
        <v>4189</v>
      </c>
      <c r="B2326" s="96" t="str">
        <f>IFERROR(VLOOKUP(Proc[[#This Row],[App]],Table2[],3,0),"open")</f>
        <v>ok</v>
      </c>
      <c r="C2326" s="105" t="s">
        <v>369</v>
      </c>
      <c r="D2326" t="s">
        <v>4206</v>
      </c>
      <c r="E2326" t="s">
        <v>4247</v>
      </c>
      <c r="F2326" s="96" t="s">
        <v>4247</v>
      </c>
      <c r="G2326" s="105" t="s">
        <v>400</v>
      </c>
      <c r="H2326" s="96" t="str">
        <f>IF(Proc[[#This Row],[type]]="LFF (MDG-F)",MID(Proc[[#This Row],[Obj]],13,10),"")</f>
        <v/>
      </c>
      <c r="J2326" s="96" t="b">
        <f>Proc[[#This Row],[Requested]]=Proc[[#This Row],[CurrentParent]]</f>
        <v>1</v>
      </c>
      <c r="K2326" s="96" t="str">
        <f>IF(Proc[[#This Row],[Author]]="Marcela Urrego",VLOOKUP(LEFT(Proc[[#This Row],[Requested]],1),Table3[#All],2,0),VLOOKUP(Proc[[#This Row],[Author]],Table4[],2,0))</f>
        <v>EL</v>
      </c>
      <c r="L2326" s="96" t="s">
        <v>2563</v>
      </c>
      <c r="M2326" s="107">
        <v>45825.476678240739</v>
      </c>
      <c r="N2326" s="107"/>
      <c r="O2326" s="107"/>
      <c r="P2326" s="108" t="str">
        <f ca="1">IF(Proc[[#This Row],[DaysAgeing]]&gt;5,"yep","on track")</f>
        <v>yep</v>
      </c>
      <c r="Q2326" s="3">
        <f ca="1">IF(Proc[[#This Row],[DateClosed]]="",ABS(NETWORKDAYS(Proc[[#This Row],[DateOpened]],TODAY()))-1,ABS(NETWORKDAYS(Proc[[#This Row],[DateOpened]],Proc[[#This Row],[DateClosed]]))-1)</f>
        <v>10</v>
      </c>
      <c r="R2326" s="108" t="s">
        <v>780</v>
      </c>
      <c r="S2326" s="96"/>
    </row>
    <row r="2327" spans="1:19" hidden="1">
      <c r="A2327" s="105" t="s">
        <v>4189</v>
      </c>
      <c r="B2327" s="96" t="str">
        <f>IFERROR(VLOOKUP(Proc[[#This Row],[App]],Table2[],3,0),"open")</f>
        <v>ok</v>
      </c>
      <c r="C2327" s="105" t="s">
        <v>369</v>
      </c>
      <c r="D2327" t="s">
        <v>4207</v>
      </c>
      <c r="E2327" t="s">
        <v>4247</v>
      </c>
      <c r="F2327" s="96" t="s">
        <v>4247</v>
      </c>
      <c r="G2327" s="105" t="s">
        <v>400</v>
      </c>
      <c r="H2327" s="96" t="str">
        <f>IF(Proc[[#This Row],[type]]="LFF (MDG-F)",MID(Proc[[#This Row],[Obj]],13,10),"")</f>
        <v/>
      </c>
      <c r="J2327" s="96" t="b">
        <f>Proc[[#This Row],[Requested]]=Proc[[#This Row],[CurrentParent]]</f>
        <v>1</v>
      </c>
      <c r="K2327" s="96" t="str">
        <f>IF(Proc[[#This Row],[Author]]="Marcela Urrego",VLOOKUP(LEFT(Proc[[#This Row],[Requested]],1),Table3[#All],2,0),VLOOKUP(Proc[[#This Row],[Author]],Table4[],2,0))</f>
        <v>EL</v>
      </c>
      <c r="L2327" s="96" t="s">
        <v>2563</v>
      </c>
      <c r="M2327" s="107">
        <v>45825.476678240739</v>
      </c>
      <c r="N2327" s="107"/>
      <c r="O2327" s="107"/>
      <c r="P2327" s="108" t="str">
        <f ca="1">IF(Proc[[#This Row],[DaysAgeing]]&gt;5,"yep","on track")</f>
        <v>yep</v>
      </c>
      <c r="Q2327" s="3">
        <f ca="1">IF(Proc[[#This Row],[DateClosed]]="",ABS(NETWORKDAYS(Proc[[#This Row],[DateOpened]],TODAY()))-1,ABS(NETWORKDAYS(Proc[[#This Row],[DateOpened]],Proc[[#This Row],[DateClosed]]))-1)</f>
        <v>10</v>
      </c>
      <c r="R2327" s="108" t="s">
        <v>780</v>
      </c>
      <c r="S2327" s="96"/>
    </row>
    <row r="2328" spans="1:19" hidden="1">
      <c r="A2328" s="105" t="s">
        <v>4189</v>
      </c>
      <c r="B2328" s="96" t="str">
        <f>IFERROR(VLOOKUP(Proc[[#This Row],[App]],Table2[],3,0),"open")</f>
        <v>ok</v>
      </c>
      <c r="C2328" s="105" t="s">
        <v>369</v>
      </c>
      <c r="D2328" t="s">
        <v>4208</v>
      </c>
      <c r="E2328" t="s">
        <v>4247</v>
      </c>
      <c r="F2328" s="96" t="s">
        <v>4247</v>
      </c>
      <c r="G2328" s="105" t="s">
        <v>400</v>
      </c>
      <c r="H2328" s="96" t="str">
        <f>IF(Proc[[#This Row],[type]]="LFF (MDG-F)",MID(Proc[[#This Row],[Obj]],13,10),"")</f>
        <v/>
      </c>
      <c r="J2328" s="96" t="b">
        <f>Proc[[#This Row],[Requested]]=Proc[[#This Row],[CurrentParent]]</f>
        <v>1</v>
      </c>
      <c r="K2328" s="96" t="str">
        <f>IF(Proc[[#This Row],[Author]]="Marcela Urrego",VLOOKUP(LEFT(Proc[[#This Row],[Requested]],1),Table3[#All],2,0),VLOOKUP(Proc[[#This Row],[Author]],Table4[],2,0))</f>
        <v>EL</v>
      </c>
      <c r="L2328" s="96" t="s">
        <v>2563</v>
      </c>
      <c r="M2328" s="107">
        <v>45825.476678240739</v>
      </c>
      <c r="N2328" s="107"/>
      <c r="O2328" s="107"/>
      <c r="P2328" s="108" t="str">
        <f ca="1">IF(Proc[[#This Row],[DaysAgeing]]&gt;5,"yep","on track")</f>
        <v>yep</v>
      </c>
      <c r="Q2328" s="3">
        <f ca="1">IF(Proc[[#This Row],[DateClosed]]="",ABS(NETWORKDAYS(Proc[[#This Row],[DateOpened]],TODAY()))-1,ABS(NETWORKDAYS(Proc[[#This Row],[DateOpened]],Proc[[#This Row],[DateClosed]]))-1)</f>
        <v>10</v>
      </c>
      <c r="R2328" s="108" t="s">
        <v>780</v>
      </c>
      <c r="S2328" s="96"/>
    </row>
    <row r="2329" spans="1:19" hidden="1">
      <c r="A2329" s="105" t="s">
        <v>4189</v>
      </c>
      <c r="B2329" s="96" t="str">
        <f>IFERROR(VLOOKUP(Proc[[#This Row],[App]],Table2[],3,0),"open")</f>
        <v>ok</v>
      </c>
      <c r="C2329" s="105" t="s">
        <v>369</v>
      </c>
      <c r="D2329" t="s">
        <v>4209</v>
      </c>
      <c r="E2329" t="s">
        <v>4247</v>
      </c>
      <c r="F2329" s="96" t="s">
        <v>4247</v>
      </c>
      <c r="G2329" s="105" t="s">
        <v>400</v>
      </c>
      <c r="H2329" s="96" t="str">
        <f>IF(Proc[[#This Row],[type]]="LFF (MDG-F)",MID(Proc[[#This Row],[Obj]],13,10),"")</f>
        <v/>
      </c>
      <c r="J2329" s="96" t="b">
        <f>Proc[[#This Row],[Requested]]=Proc[[#This Row],[CurrentParent]]</f>
        <v>1</v>
      </c>
      <c r="K2329" s="96" t="str">
        <f>IF(Proc[[#This Row],[Author]]="Marcela Urrego",VLOOKUP(LEFT(Proc[[#This Row],[Requested]],1),Table3[#All],2,0),VLOOKUP(Proc[[#This Row],[Author]],Table4[],2,0))</f>
        <v>EL</v>
      </c>
      <c r="L2329" s="96" t="s">
        <v>2563</v>
      </c>
      <c r="M2329" s="107">
        <v>45825.476678240739</v>
      </c>
      <c r="N2329" s="107"/>
      <c r="O2329" s="107"/>
      <c r="P2329" s="108" t="str">
        <f ca="1">IF(Proc[[#This Row],[DaysAgeing]]&gt;5,"yep","on track")</f>
        <v>yep</v>
      </c>
      <c r="Q2329" s="3">
        <f ca="1">IF(Proc[[#This Row],[DateClosed]]="",ABS(NETWORKDAYS(Proc[[#This Row],[DateOpened]],TODAY()))-1,ABS(NETWORKDAYS(Proc[[#This Row],[DateOpened]],Proc[[#This Row],[DateClosed]]))-1)</f>
        <v>10</v>
      </c>
      <c r="R2329" s="108" t="s">
        <v>780</v>
      </c>
      <c r="S2329" s="96"/>
    </row>
    <row r="2330" spans="1:19" hidden="1">
      <c r="A2330" s="105" t="s">
        <v>4189</v>
      </c>
      <c r="B2330" s="96" t="str">
        <f>IFERROR(VLOOKUP(Proc[[#This Row],[App]],Table2[],3,0),"open")</f>
        <v>ok</v>
      </c>
      <c r="C2330" s="105" t="s">
        <v>369</v>
      </c>
      <c r="D2330" t="s">
        <v>4210</v>
      </c>
      <c r="E2330" t="s">
        <v>4247</v>
      </c>
      <c r="F2330" s="96" t="s">
        <v>4247</v>
      </c>
      <c r="G2330" s="105" t="s">
        <v>400</v>
      </c>
      <c r="H2330" s="96" t="str">
        <f>IF(Proc[[#This Row],[type]]="LFF (MDG-F)",MID(Proc[[#This Row],[Obj]],13,10),"")</f>
        <v/>
      </c>
      <c r="J2330" s="96" t="b">
        <f>Proc[[#This Row],[Requested]]=Proc[[#This Row],[CurrentParent]]</f>
        <v>1</v>
      </c>
      <c r="K2330" s="96" t="str">
        <f>IF(Proc[[#This Row],[Author]]="Marcela Urrego",VLOOKUP(LEFT(Proc[[#This Row],[Requested]],1),Table3[#All],2,0),VLOOKUP(Proc[[#This Row],[Author]],Table4[],2,0))</f>
        <v>EL</v>
      </c>
      <c r="L2330" s="96" t="s">
        <v>2563</v>
      </c>
      <c r="M2330" s="107">
        <v>45825.476678240739</v>
      </c>
      <c r="N2330" s="107"/>
      <c r="O2330" s="107"/>
      <c r="P2330" s="108" t="str">
        <f ca="1">IF(Proc[[#This Row],[DaysAgeing]]&gt;5,"yep","on track")</f>
        <v>yep</v>
      </c>
      <c r="Q2330" s="3">
        <f ca="1">IF(Proc[[#This Row],[DateClosed]]="",ABS(NETWORKDAYS(Proc[[#This Row],[DateOpened]],TODAY()))-1,ABS(NETWORKDAYS(Proc[[#This Row],[DateOpened]],Proc[[#This Row],[DateClosed]]))-1)</f>
        <v>10</v>
      </c>
      <c r="R2330" s="108" t="s">
        <v>780</v>
      </c>
      <c r="S2330" s="96"/>
    </row>
    <row r="2331" spans="1:19" hidden="1">
      <c r="A2331" s="105" t="s">
        <v>4189</v>
      </c>
      <c r="B2331" s="96" t="str">
        <f>IFERROR(VLOOKUP(Proc[[#This Row],[App]],Table2[],3,0),"open")</f>
        <v>ok</v>
      </c>
      <c r="C2331" s="105" t="s">
        <v>369</v>
      </c>
      <c r="D2331" t="s">
        <v>4211</v>
      </c>
      <c r="E2331" t="s">
        <v>4247</v>
      </c>
      <c r="F2331" s="96" t="s">
        <v>4247</v>
      </c>
      <c r="G2331" s="105" t="s">
        <v>400</v>
      </c>
      <c r="H2331" s="96" t="str">
        <f>IF(Proc[[#This Row],[type]]="LFF (MDG-F)",MID(Proc[[#This Row],[Obj]],13,10),"")</f>
        <v/>
      </c>
      <c r="J2331" s="96" t="b">
        <f>Proc[[#This Row],[Requested]]=Proc[[#This Row],[CurrentParent]]</f>
        <v>1</v>
      </c>
      <c r="K2331" s="96" t="str">
        <f>IF(Proc[[#This Row],[Author]]="Marcela Urrego",VLOOKUP(LEFT(Proc[[#This Row],[Requested]],1),Table3[#All],2,0),VLOOKUP(Proc[[#This Row],[Author]],Table4[],2,0))</f>
        <v>EL</v>
      </c>
      <c r="L2331" s="96" t="s">
        <v>2563</v>
      </c>
      <c r="M2331" s="107">
        <v>45825.476678240739</v>
      </c>
      <c r="N2331" s="107"/>
      <c r="O2331" s="107"/>
      <c r="P2331" s="108" t="str">
        <f ca="1">IF(Proc[[#This Row],[DaysAgeing]]&gt;5,"yep","on track")</f>
        <v>yep</v>
      </c>
      <c r="Q2331" s="3">
        <f ca="1">IF(Proc[[#This Row],[DateClosed]]="",ABS(NETWORKDAYS(Proc[[#This Row],[DateOpened]],TODAY()))-1,ABS(NETWORKDAYS(Proc[[#This Row],[DateOpened]],Proc[[#This Row],[DateClosed]]))-1)</f>
        <v>10</v>
      </c>
      <c r="R2331" s="108" t="s">
        <v>780</v>
      </c>
      <c r="S2331" s="96"/>
    </row>
    <row r="2332" spans="1:19" hidden="1">
      <c r="A2332" s="105" t="s">
        <v>4189</v>
      </c>
      <c r="B2332" s="96" t="str">
        <f>IFERROR(VLOOKUP(Proc[[#This Row],[App]],Table2[],3,0),"open")</f>
        <v>ok</v>
      </c>
      <c r="C2332" s="105" t="s">
        <v>369</v>
      </c>
      <c r="D2332" t="s">
        <v>4212</v>
      </c>
      <c r="E2332" t="s">
        <v>4247</v>
      </c>
      <c r="F2332" s="96" t="s">
        <v>4247</v>
      </c>
      <c r="G2332" s="105" t="s">
        <v>400</v>
      </c>
      <c r="H2332" s="96" t="str">
        <f>IF(Proc[[#This Row],[type]]="LFF (MDG-F)",MID(Proc[[#This Row],[Obj]],13,10),"")</f>
        <v/>
      </c>
      <c r="J2332" s="96" t="b">
        <f>Proc[[#This Row],[Requested]]=Proc[[#This Row],[CurrentParent]]</f>
        <v>1</v>
      </c>
      <c r="K2332" s="96" t="str">
        <f>IF(Proc[[#This Row],[Author]]="Marcela Urrego",VLOOKUP(LEFT(Proc[[#This Row],[Requested]],1),Table3[#All],2,0),VLOOKUP(Proc[[#This Row],[Author]],Table4[],2,0))</f>
        <v>EL</v>
      </c>
      <c r="L2332" s="96" t="s">
        <v>2563</v>
      </c>
      <c r="M2332" s="107">
        <v>45825.476678240739</v>
      </c>
      <c r="N2332" s="107"/>
      <c r="O2332" s="107"/>
      <c r="P2332" s="108" t="str">
        <f ca="1">IF(Proc[[#This Row],[DaysAgeing]]&gt;5,"yep","on track")</f>
        <v>yep</v>
      </c>
      <c r="Q2332" s="3">
        <f ca="1">IF(Proc[[#This Row],[DateClosed]]="",ABS(NETWORKDAYS(Proc[[#This Row],[DateOpened]],TODAY()))-1,ABS(NETWORKDAYS(Proc[[#This Row],[DateOpened]],Proc[[#This Row],[DateClosed]]))-1)</f>
        <v>10</v>
      </c>
      <c r="R2332" s="108" t="s">
        <v>780</v>
      </c>
      <c r="S2332" s="96"/>
    </row>
    <row r="2333" spans="1:19" hidden="1">
      <c r="A2333" s="105" t="s">
        <v>4189</v>
      </c>
      <c r="B2333" s="96" t="str">
        <f>IFERROR(VLOOKUP(Proc[[#This Row],[App]],Table2[],3,0),"open")</f>
        <v>ok</v>
      </c>
      <c r="C2333" s="105" t="s">
        <v>369</v>
      </c>
      <c r="D2333" t="s">
        <v>4213</v>
      </c>
      <c r="E2333" t="s">
        <v>4247</v>
      </c>
      <c r="F2333" s="96" t="s">
        <v>4247</v>
      </c>
      <c r="G2333" s="105" t="s">
        <v>400</v>
      </c>
      <c r="H2333" s="96" t="str">
        <f>IF(Proc[[#This Row],[type]]="LFF (MDG-F)",MID(Proc[[#This Row],[Obj]],13,10),"")</f>
        <v/>
      </c>
      <c r="J2333" s="96" t="b">
        <f>Proc[[#This Row],[Requested]]=Proc[[#This Row],[CurrentParent]]</f>
        <v>1</v>
      </c>
      <c r="K2333" s="96" t="str">
        <f>IF(Proc[[#This Row],[Author]]="Marcela Urrego",VLOOKUP(LEFT(Proc[[#This Row],[Requested]],1),Table3[#All],2,0),VLOOKUP(Proc[[#This Row],[Author]],Table4[],2,0))</f>
        <v>EL</v>
      </c>
      <c r="L2333" s="96" t="s">
        <v>2563</v>
      </c>
      <c r="M2333" s="107">
        <v>45825.476678240739</v>
      </c>
      <c r="N2333" s="107"/>
      <c r="O2333" s="107"/>
      <c r="P2333" s="108" t="str">
        <f ca="1">IF(Proc[[#This Row],[DaysAgeing]]&gt;5,"yep","on track")</f>
        <v>yep</v>
      </c>
      <c r="Q2333" s="3">
        <f ca="1">IF(Proc[[#This Row],[DateClosed]]="",ABS(NETWORKDAYS(Proc[[#This Row],[DateOpened]],TODAY()))-1,ABS(NETWORKDAYS(Proc[[#This Row],[DateOpened]],Proc[[#This Row],[DateClosed]]))-1)</f>
        <v>10</v>
      </c>
      <c r="R2333" s="108" t="s">
        <v>780</v>
      </c>
      <c r="S2333" s="96"/>
    </row>
    <row r="2334" spans="1:19" hidden="1">
      <c r="A2334" s="105" t="s">
        <v>4189</v>
      </c>
      <c r="B2334" s="96" t="str">
        <f>IFERROR(VLOOKUP(Proc[[#This Row],[App]],Table2[],3,0),"open")</f>
        <v>ok</v>
      </c>
      <c r="C2334" s="105" t="s">
        <v>369</v>
      </c>
      <c r="D2334" t="s">
        <v>4214</v>
      </c>
      <c r="E2334" t="s">
        <v>4247</v>
      </c>
      <c r="F2334" s="96" t="s">
        <v>4247</v>
      </c>
      <c r="G2334" s="105" t="s">
        <v>400</v>
      </c>
      <c r="H2334" s="96" t="str">
        <f>IF(Proc[[#This Row],[type]]="LFF (MDG-F)",MID(Proc[[#This Row],[Obj]],13,10),"")</f>
        <v/>
      </c>
      <c r="J2334" s="96" t="b">
        <f>Proc[[#This Row],[Requested]]=Proc[[#This Row],[CurrentParent]]</f>
        <v>1</v>
      </c>
      <c r="K2334" s="96" t="str">
        <f>IF(Proc[[#This Row],[Author]]="Marcela Urrego",VLOOKUP(LEFT(Proc[[#This Row],[Requested]],1),Table3[#All],2,0),VLOOKUP(Proc[[#This Row],[Author]],Table4[],2,0))</f>
        <v>EL</v>
      </c>
      <c r="L2334" s="96" t="s">
        <v>2563</v>
      </c>
      <c r="M2334" s="107">
        <v>45825.476678240739</v>
      </c>
      <c r="N2334" s="107"/>
      <c r="O2334" s="107"/>
      <c r="P2334" s="108" t="str">
        <f ca="1">IF(Proc[[#This Row],[DaysAgeing]]&gt;5,"yep","on track")</f>
        <v>yep</v>
      </c>
      <c r="Q2334" s="3">
        <f ca="1">IF(Proc[[#This Row],[DateClosed]]="",ABS(NETWORKDAYS(Proc[[#This Row],[DateOpened]],TODAY()))-1,ABS(NETWORKDAYS(Proc[[#This Row],[DateOpened]],Proc[[#This Row],[DateClosed]]))-1)</f>
        <v>10</v>
      </c>
      <c r="R2334" s="108" t="s">
        <v>780</v>
      </c>
      <c r="S2334" s="96"/>
    </row>
    <row r="2335" spans="1:19" hidden="1">
      <c r="A2335" s="105" t="s">
        <v>4189</v>
      </c>
      <c r="B2335" s="96" t="str">
        <f>IFERROR(VLOOKUP(Proc[[#This Row],[App]],Table2[],3,0),"open")</f>
        <v>ok</v>
      </c>
      <c r="C2335" s="105" t="s">
        <v>369</v>
      </c>
      <c r="D2335" t="s">
        <v>4215</v>
      </c>
      <c r="E2335" t="s">
        <v>4246</v>
      </c>
      <c r="F2335" s="96" t="s">
        <v>4246</v>
      </c>
      <c r="G2335" s="105" t="s">
        <v>400</v>
      </c>
      <c r="H2335" s="96" t="str">
        <f>IF(Proc[[#This Row],[type]]="LFF (MDG-F)",MID(Proc[[#This Row],[Obj]],13,10),"")</f>
        <v/>
      </c>
      <c r="J2335" s="96" t="b">
        <f>Proc[[#This Row],[Requested]]=Proc[[#This Row],[CurrentParent]]</f>
        <v>1</v>
      </c>
      <c r="K2335" s="96" t="str">
        <f>IF(Proc[[#This Row],[Author]]="Marcela Urrego",VLOOKUP(LEFT(Proc[[#This Row],[Requested]],1),Table3[#All],2,0),VLOOKUP(Proc[[#This Row],[Author]],Table4[],2,0))</f>
        <v>EL</v>
      </c>
      <c r="L2335" s="96" t="s">
        <v>2563</v>
      </c>
      <c r="M2335" s="107">
        <v>45825.476678240739</v>
      </c>
      <c r="N2335" s="107"/>
      <c r="O2335" s="107"/>
      <c r="P2335" s="108" t="str">
        <f ca="1">IF(Proc[[#This Row],[DaysAgeing]]&gt;5,"yep","on track")</f>
        <v>yep</v>
      </c>
      <c r="Q2335" s="3">
        <f ca="1">IF(Proc[[#This Row],[DateClosed]]="",ABS(NETWORKDAYS(Proc[[#This Row],[DateOpened]],TODAY()))-1,ABS(NETWORKDAYS(Proc[[#This Row],[DateOpened]],Proc[[#This Row],[DateClosed]]))-1)</f>
        <v>10</v>
      </c>
      <c r="R2335" s="108" t="s">
        <v>780</v>
      </c>
      <c r="S2335" s="96"/>
    </row>
    <row r="2336" spans="1:19" hidden="1">
      <c r="A2336" s="105" t="s">
        <v>4189</v>
      </c>
      <c r="B2336" s="96" t="str">
        <f>IFERROR(VLOOKUP(Proc[[#This Row],[App]],Table2[],3,0),"open")</f>
        <v>ok</v>
      </c>
      <c r="C2336" s="105" t="s">
        <v>369</v>
      </c>
      <c r="D2336" t="s">
        <v>4216</v>
      </c>
      <c r="E2336" t="s">
        <v>4246</v>
      </c>
      <c r="F2336" s="96" t="s">
        <v>4246</v>
      </c>
      <c r="G2336" s="105" t="s">
        <v>400</v>
      </c>
      <c r="H2336" s="96" t="str">
        <f>IF(Proc[[#This Row],[type]]="LFF (MDG-F)",MID(Proc[[#This Row],[Obj]],13,10),"")</f>
        <v/>
      </c>
      <c r="J2336" s="96" t="b">
        <f>Proc[[#This Row],[Requested]]=Proc[[#This Row],[CurrentParent]]</f>
        <v>1</v>
      </c>
      <c r="K2336" s="96" t="str">
        <f>IF(Proc[[#This Row],[Author]]="Marcela Urrego",VLOOKUP(LEFT(Proc[[#This Row],[Requested]],1),Table3[#All],2,0),VLOOKUP(Proc[[#This Row],[Author]],Table4[],2,0))</f>
        <v>EL</v>
      </c>
      <c r="L2336" s="96" t="s">
        <v>2563</v>
      </c>
      <c r="M2336" s="107">
        <v>45825.476678240739</v>
      </c>
      <c r="N2336" s="107"/>
      <c r="O2336" s="107"/>
      <c r="P2336" s="108" t="str">
        <f ca="1">IF(Proc[[#This Row],[DaysAgeing]]&gt;5,"yep","on track")</f>
        <v>yep</v>
      </c>
      <c r="Q2336" s="3">
        <f ca="1">IF(Proc[[#This Row],[DateClosed]]="",ABS(NETWORKDAYS(Proc[[#This Row],[DateOpened]],TODAY()))-1,ABS(NETWORKDAYS(Proc[[#This Row],[DateOpened]],Proc[[#This Row],[DateClosed]]))-1)</f>
        <v>10</v>
      </c>
      <c r="R2336" s="108" t="s">
        <v>780</v>
      </c>
      <c r="S2336" s="96"/>
    </row>
    <row r="2337" spans="1:19" hidden="1">
      <c r="A2337" s="105" t="s">
        <v>4189</v>
      </c>
      <c r="B2337" s="96" t="str">
        <f>IFERROR(VLOOKUP(Proc[[#This Row],[App]],Table2[],3,0),"open")</f>
        <v>ok</v>
      </c>
      <c r="C2337" s="105" t="s">
        <v>369</v>
      </c>
      <c r="D2337" t="s">
        <v>4217</v>
      </c>
      <c r="E2337" t="s">
        <v>4246</v>
      </c>
      <c r="F2337" s="96" t="s">
        <v>4246</v>
      </c>
      <c r="G2337" s="105" t="s">
        <v>400</v>
      </c>
      <c r="H2337" s="96" t="str">
        <f>IF(Proc[[#This Row],[type]]="LFF (MDG-F)",MID(Proc[[#This Row],[Obj]],13,10),"")</f>
        <v/>
      </c>
      <c r="J2337" s="96" t="b">
        <f>Proc[[#This Row],[Requested]]=Proc[[#This Row],[CurrentParent]]</f>
        <v>1</v>
      </c>
      <c r="K2337" s="96" t="str">
        <f>IF(Proc[[#This Row],[Author]]="Marcela Urrego",VLOOKUP(LEFT(Proc[[#This Row],[Requested]],1),Table3[#All],2,0),VLOOKUP(Proc[[#This Row],[Author]],Table4[],2,0))</f>
        <v>EL</v>
      </c>
      <c r="L2337" s="96" t="s">
        <v>2563</v>
      </c>
      <c r="M2337" s="107">
        <v>45825.476678240739</v>
      </c>
      <c r="N2337" s="107"/>
      <c r="O2337" s="107"/>
      <c r="P2337" s="108" t="str">
        <f ca="1">IF(Proc[[#This Row],[DaysAgeing]]&gt;5,"yep","on track")</f>
        <v>yep</v>
      </c>
      <c r="Q2337" s="3">
        <f ca="1">IF(Proc[[#This Row],[DateClosed]]="",ABS(NETWORKDAYS(Proc[[#This Row],[DateOpened]],TODAY()))-1,ABS(NETWORKDAYS(Proc[[#This Row],[DateOpened]],Proc[[#This Row],[DateClosed]]))-1)</f>
        <v>10</v>
      </c>
      <c r="R2337" s="108" t="s">
        <v>780</v>
      </c>
      <c r="S2337" s="96"/>
    </row>
    <row r="2338" spans="1:19" hidden="1">
      <c r="A2338" s="105" t="s">
        <v>4189</v>
      </c>
      <c r="B2338" s="96" t="str">
        <f>IFERROR(VLOOKUP(Proc[[#This Row],[App]],Table2[],3,0),"open")</f>
        <v>ok</v>
      </c>
      <c r="C2338" s="105" t="s">
        <v>369</v>
      </c>
      <c r="D2338" t="s">
        <v>4218</v>
      </c>
      <c r="E2338" t="s">
        <v>4246</v>
      </c>
      <c r="F2338" s="96" t="s">
        <v>4246</v>
      </c>
      <c r="G2338" s="105" t="s">
        <v>400</v>
      </c>
      <c r="H2338" s="96" t="str">
        <f>IF(Proc[[#This Row],[type]]="LFF (MDG-F)",MID(Proc[[#This Row],[Obj]],13,10),"")</f>
        <v/>
      </c>
      <c r="J2338" s="96" t="b">
        <f>Proc[[#This Row],[Requested]]=Proc[[#This Row],[CurrentParent]]</f>
        <v>1</v>
      </c>
      <c r="K2338" s="96" t="str">
        <f>IF(Proc[[#This Row],[Author]]="Marcela Urrego",VLOOKUP(LEFT(Proc[[#This Row],[Requested]],1),Table3[#All],2,0),VLOOKUP(Proc[[#This Row],[Author]],Table4[],2,0))</f>
        <v>EL</v>
      </c>
      <c r="L2338" s="96" t="s">
        <v>2563</v>
      </c>
      <c r="M2338" s="107">
        <v>45825.476678240739</v>
      </c>
      <c r="N2338" s="107"/>
      <c r="O2338" s="107"/>
      <c r="P2338" s="108" t="str">
        <f ca="1">IF(Proc[[#This Row],[DaysAgeing]]&gt;5,"yep","on track")</f>
        <v>yep</v>
      </c>
      <c r="Q2338" s="3">
        <f ca="1">IF(Proc[[#This Row],[DateClosed]]="",ABS(NETWORKDAYS(Proc[[#This Row],[DateOpened]],TODAY()))-1,ABS(NETWORKDAYS(Proc[[#This Row],[DateOpened]],Proc[[#This Row],[DateClosed]]))-1)</f>
        <v>10</v>
      </c>
      <c r="R2338" s="108" t="s">
        <v>780</v>
      </c>
      <c r="S2338" s="96"/>
    </row>
    <row r="2339" spans="1:19" hidden="1">
      <c r="A2339" s="105" t="s">
        <v>4189</v>
      </c>
      <c r="B2339" s="96" t="str">
        <f>IFERROR(VLOOKUP(Proc[[#This Row],[App]],Table2[],3,0),"open")</f>
        <v>ok</v>
      </c>
      <c r="C2339" s="105" t="s">
        <v>369</v>
      </c>
      <c r="D2339" t="s">
        <v>4219</v>
      </c>
      <c r="E2339" t="s">
        <v>4246</v>
      </c>
      <c r="F2339" s="96" t="s">
        <v>4246</v>
      </c>
      <c r="G2339" s="105" t="s">
        <v>400</v>
      </c>
      <c r="H2339" s="96" t="str">
        <f>IF(Proc[[#This Row],[type]]="LFF (MDG-F)",MID(Proc[[#This Row],[Obj]],13,10),"")</f>
        <v/>
      </c>
      <c r="J2339" s="96" t="b">
        <f>Proc[[#This Row],[Requested]]=Proc[[#This Row],[CurrentParent]]</f>
        <v>1</v>
      </c>
      <c r="K2339" s="96" t="str">
        <f>IF(Proc[[#This Row],[Author]]="Marcela Urrego",VLOOKUP(LEFT(Proc[[#This Row],[Requested]],1),Table3[#All],2,0),VLOOKUP(Proc[[#This Row],[Author]],Table4[],2,0))</f>
        <v>EL</v>
      </c>
      <c r="L2339" s="96" t="s">
        <v>2563</v>
      </c>
      <c r="M2339" s="107">
        <v>45825.476678240739</v>
      </c>
      <c r="N2339" s="107"/>
      <c r="O2339" s="107"/>
      <c r="P2339" s="108" t="str">
        <f ca="1">IF(Proc[[#This Row],[DaysAgeing]]&gt;5,"yep","on track")</f>
        <v>yep</v>
      </c>
      <c r="Q2339" s="3">
        <f ca="1">IF(Proc[[#This Row],[DateClosed]]="",ABS(NETWORKDAYS(Proc[[#This Row],[DateOpened]],TODAY()))-1,ABS(NETWORKDAYS(Proc[[#This Row],[DateOpened]],Proc[[#This Row],[DateClosed]]))-1)</f>
        <v>10</v>
      </c>
      <c r="R2339" s="108" t="s">
        <v>780</v>
      </c>
      <c r="S2339" s="96"/>
    </row>
    <row r="2340" spans="1:19" hidden="1">
      <c r="A2340" s="105" t="s">
        <v>4189</v>
      </c>
      <c r="B2340" s="96" t="str">
        <f>IFERROR(VLOOKUP(Proc[[#This Row],[App]],Table2[],3,0),"open")</f>
        <v>ok</v>
      </c>
      <c r="C2340" s="105" t="s">
        <v>369</v>
      </c>
      <c r="D2340" t="s">
        <v>4220</v>
      </c>
      <c r="E2340" t="s">
        <v>4246</v>
      </c>
      <c r="F2340" s="96" t="s">
        <v>4246</v>
      </c>
      <c r="G2340" s="105" t="s">
        <v>400</v>
      </c>
      <c r="H2340" s="96" t="str">
        <f>IF(Proc[[#This Row],[type]]="LFF (MDG-F)",MID(Proc[[#This Row],[Obj]],13,10),"")</f>
        <v/>
      </c>
      <c r="J2340" s="96" t="b">
        <f>Proc[[#This Row],[Requested]]=Proc[[#This Row],[CurrentParent]]</f>
        <v>1</v>
      </c>
      <c r="K2340" s="96" t="str">
        <f>IF(Proc[[#This Row],[Author]]="Marcela Urrego",VLOOKUP(LEFT(Proc[[#This Row],[Requested]],1),Table3[#All],2,0),VLOOKUP(Proc[[#This Row],[Author]],Table4[],2,0))</f>
        <v>EL</v>
      </c>
      <c r="L2340" s="96" t="s">
        <v>2563</v>
      </c>
      <c r="M2340" s="107">
        <v>45825.476678240739</v>
      </c>
      <c r="N2340" s="107"/>
      <c r="O2340" s="107"/>
      <c r="P2340" s="108" t="str">
        <f ca="1">IF(Proc[[#This Row],[DaysAgeing]]&gt;5,"yep","on track")</f>
        <v>yep</v>
      </c>
      <c r="Q2340" s="3">
        <f ca="1">IF(Proc[[#This Row],[DateClosed]]="",ABS(NETWORKDAYS(Proc[[#This Row],[DateOpened]],TODAY()))-1,ABS(NETWORKDAYS(Proc[[#This Row],[DateOpened]],Proc[[#This Row],[DateClosed]]))-1)</f>
        <v>10</v>
      </c>
      <c r="R2340" s="108" t="s">
        <v>780</v>
      </c>
      <c r="S2340" s="96"/>
    </row>
    <row r="2341" spans="1:19" hidden="1">
      <c r="A2341" s="105" t="s">
        <v>4189</v>
      </c>
      <c r="B2341" s="96" t="str">
        <f>IFERROR(VLOOKUP(Proc[[#This Row],[App]],Table2[],3,0),"open")</f>
        <v>ok</v>
      </c>
      <c r="C2341" s="105" t="s">
        <v>369</v>
      </c>
      <c r="D2341" t="s">
        <v>4221</v>
      </c>
      <c r="E2341" t="s">
        <v>4246</v>
      </c>
      <c r="F2341" s="96" t="s">
        <v>4246</v>
      </c>
      <c r="G2341" s="105" t="s">
        <v>400</v>
      </c>
      <c r="H2341" s="96" t="str">
        <f>IF(Proc[[#This Row],[type]]="LFF (MDG-F)",MID(Proc[[#This Row],[Obj]],13,10),"")</f>
        <v/>
      </c>
      <c r="J2341" s="96" t="b">
        <f>Proc[[#This Row],[Requested]]=Proc[[#This Row],[CurrentParent]]</f>
        <v>1</v>
      </c>
      <c r="K2341" s="96" t="str">
        <f>IF(Proc[[#This Row],[Author]]="Marcela Urrego",VLOOKUP(LEFT(Proc[[#This Row],[Requested]],1),Table3[#All],2,0),VLOOKUP(Proc[[#This Row],[Author]],Table4[],2,0))</f>
        <v>EL</v>
      </c>
      <c r="L2341" s="96" t="s">
        <v>2563</v>
      </c>
      <c r="M2341" s="107">
        <v>45825.476678240739</v>
      </c>
      <c r="N2341" s="107"/>
      <c r="O2341" s="107"/>
      <c r="P2341" s="108" t="str">
        <f ca="1">IF(Proc[[#This Row],[DaysAgeing]]&gt;5,"yep","on track")</f>
        <v>yep</v>
      </c>
      <c r="Q2341" s="3">
        <f ca="1">IF(Proc[[#This Row],[DateClosed]]="",ABS(NETWORKDAYS(Proc[[#This Row],[DateOpened]],TODAY()))-1,ABS(NETWORKDAYS(Proc[[#This Row],[DateOpened]],Proc[[#This Row],[DateClosed]]))-1)</f>
        <v>10</v>
      </c>
      <c r="R2341" s="108" t="s">
        <v>780</v>
      </c>
      <c r="S2341" s="96"/>
    </row>
    <row r="2342" spans="1:19" hidden="1">
      <c r="A2342" s="105" t="s">
        <v>4189</v>
      </c>
      <c r="B2342" s="96" t="str">
        <f>IFERROR(VLOOKUP(Proc[[#This Row],[App]],Table2[],3,0),"open")</f>
        <v>ok</v>
      </c>
      <c r="C2342" s="105" t="s">
        <v>369</v>
      </c>
      <c r="D2342" t="s">
        <v>4222</v>
      </c>
      <c r="E2342" t="s">
        <v>4246</v>
      </c>
      <c r="F2342" s="96" t="s">
        <v>4246</v>
      </c>
      <c r="G2342" s="105" t="s">
        <v>400</v>
      </c>
      <c r="H2342" s="96" t="str">
        <f>IF(Proc[[#This Row],[type]]="LFF (MDG-F)",MID(Proc[[#This Row],[Obj]],13,10),"")</f>
        <v/>
      </c>
      <c r="J2342" s="96" t="b">
        <f>Proc[[#This Row],[Requested]]=Proc[[#This Row],[CurrentParent]]</f>
        <v>1</v>
      </c>
      <c r="K2342" s="96" t="str">
        <f>IF(Proc[[#This Row],[Author]]="Marcela Urrego",VLOOKUP(LEFT(Proc[[#This Row],[Requested]],1),Table3[#All],2,0),VLOOKUP(Proc[[#This Row],[Author]],Table4[],2,0))</f>
        <v>EL</v>
      </c>
      <c r="L2342" s="96" t="s">
        <v>2563</v>
      </c>
      <c r="M2342" s="107">
        <v>45825.476678240739</v>
      </c>
      <c r="N2342" s="107"/>
      <c r="O2342" s="107"/>
      <c r="P2342" s="108" t="str">
        <f ca="1">IF(Proc[[#This Row],[DaysAgeing]]&gt;5,"yep","on track")</f>
        <v>yep</v>
      </c>
      <c r="Q2342" s="3">
        <f ca="1">IF(Proc[[#This Row],[DateClosed]]="",ABS(NETWORKDAYS(Proc[[#This Row],[DateOpened]],TODAY()))-1,ABS(NETWORKDAYS(Proc[[#This Row],[DateOpened]],Proc[[#This Row],[DateClosed]]))-1)</f>
        <v>10</v>
      </c>
      <c r="R2342" s="108" t="s">
        <v>780</v>
      </c>
      <c r="S2342" s="96"/>
    </row>
    <row r="2343" spans="1:19" hidden="1">
      <c r="A2343" s="105" t="s">
        <v>4189</v>
      </c>
      <c r="B2343" s="96" t="str">
        <f>IFERROR(VLOOKUP(Proc[[#This Row],[App]],Table2[],3,0),"open")</f>
        <v>ok</v>
      </c>
      <c r="C2343" s="105" t="s">
        <v>369</v>
      </c>
      <c r="D2343" t="s">
        <v>4223</v>
      </c>
      <c r="E2343" t="s">
        <v>4247</v>
      </c>
      <c r="F2343" s="96" t="s">
        <v>4247</v>
      </c>
      <c r="G2343" s="105" t="s">
        <v>400</v>
      </c>
      <c r="H2343" s="96" t="str">
        <f>IF(Proc[[#This Row],[type]]="LFF (MDG-F)",MID(Proc[[#This Row],[Obj]],13,10),"")</f>
        <v/>
      </c>
      <c r="J2343" s="96" t="b">
        <f>Proc[[#This Row],[Requested]]=Proc[[#This Row],[CurrentParent]]</f>
        <v>1</v>
      </c>
      <c r="K2343" s="96" t="str">
        <f>IF(Proc[[#This Row],[Author]]="Marcela Urrego",VLOOKUP(LEFT(Proc[[#This Row],[Requested]],1),Table3[#All],2,0),VLOOKUP(Proc[[#This Row],[Author]],Table4[],2,0))</f>
        <v>EL</v>
      </c>
      <c r="L2343" s="96" t="s">
        <v>2563</v>
      </c>
      <c r="M2343" s="107">
        <v>45825.476678240739</v>
      </c>
      <c r="N2343" s="107"/>
      <c r="O2343" s="107"/>
      <c r="P2343" s="108" t="str">
        <f ca="1">IF(Proc[[#This Row],[DaysAgeing]]&gt;5,"yep","on track")</f>
        <v>yep</v>
      </c>
      <c r="Q2343" s="3">
        <f ca="1">IF(Proc[[#This Row],[DateClosed]]="",ABS(NETWORKDAYS(Proc[[#This Row],[DateOpened]],TODAY()))-1,ABS(NETWORKDAYS(Proc[[#This Row],[DateOpened]],Proc[[#This Row],[DateClosed]]))-1)</f>
        <v>10</v>
      </c>
      <c r="R2343" s="108" t="s">
        <v>780</v>
      </c>
      <c r="S2343" s="96"/>
    </row>
    <row r="2344" spans="1:19" hidden="1">
      <c r="A2344" s="105" t="s">
        <v>4189</v>
      </c>
      <c r="B2344" s="96" t="str">
        <f>IFERROR(VLOOKUP(Proc[[#This Row],[App]],Table2[],3,0),"open")</f>
        <v>ok</v>
      </c>
      <c r="C2344" s="105" t="s">
        <v>369</v>
      </c>
      <c r="D2344" t="s">
        <v>4224</v>
      </c>
      <c r="E2344" t="s">
        <v>4247</v>
      </c>
      <c r="F2344" s="96" t="s">
        <v>4247</v>
      </c>
      <c r="G2344" s="105" t="s">
        <v>400</v>
      </c>
      <c r="H2344" s="96" t="str">
        <f>IF(Proc[[#This Row],[type]]="LFF (MDG-F)",MID(Proc[[#This Row],[Obj]],13,10),"")</f>
        <v/>
      </c>
      <c r="J2344" s="96" t="b">
        <f>Proc[[#This Row],[Requested]]=Proc[[#This Row],[CurrentParent]]</f>
        <v>1</v>
      </c>
      <c r="K2344" s="96" t="str">
        <f>IF(Proc[[#This Row],[Author]]="Marcela Urrego",VLOOKUP(LEFT(Proc[[#This Row],[Requested]],1),Table3[#All],2,0),VLOOKUP(Proc[[#This Row],[Author]],Table4[],2,0))</f>
        <v>EL</v>
      </c>
      <c r="L2344" s="96" t="s">
        <v>2563</v>
      </c>
      <c r="M2344" s="107">
        <v>45825.476678240739</v>
      </c>
      <c r="N2344" s="107"/>
      <c r="O2344" s="107"/>
      <c r="P2344" s="108" t="str">
        <f ca="1">IF(Proc[[#This Row],[DaysAgeing]]&gt;5,"yep","on track")</f>
        <v>yep</v>
      </c>
      <c r="Q2344" s="3">
        <f ca="1">IF(Proc[[#This Row],[DateClosed]]="",ABS(NETWORKDAYS(Proc[[#This Row],[DateOpened]],TODAY()))-1,ABS(NETWORKDAYS(Proc[[#This Row],[DateOpened]],Proc[[#This Row],[DateClosed]]))-1)</f>
        <v>10</v>
      </c>
      <c r="R2344" s="108" t="s">
        <v>780</v>
      </c>
      <c r="S2344" s="96"/>
    </row>
    <row r="2345" spans="1:19" hidden="1">
      <c r="A2345" s="105" t="s">
        <v>4189</v>
      </c>
      <c r="B2345" s="96" t="str">
        <f>IFERROR(VLOOKUP(Proc[[#This Row],[App]],Table2[],3,0),"open")</f>
        <v>ok</v>
      </c>
      <c r="C2345" s="105" t="s">
        <v>369</v>
      </c>
      <c r="D2345" t="s">
        <v>4225</v>
      </c>
      <c r="E2345" t="s">
        <v>4247</v>
      </c>
      <c r="F2345" s="96" t="s">
        <v>4247</v>
      </c>
      <c r="G2345" s="105" t="s">
        <v>400</v>
      </c>
      <c r="H2345" s="96" t="str">
        <f>IF(Proc[[#This Row],[type]]="LFF (MDG-F)",MID(Proc[[#This Row],[Obj]],13,10),"")</f>
        <v/>
      </c>
      <c r="J2345" s="96" t="b">
        <f>Proc[[#This Row],[Requested]]=Proc[[#This Row],[CurrentParent]]</f>
        <v>1</v>
      </c>
      <c r="K2345" s="96" t="str">
        <f>IF(Proc[[#This Row],[Author]]="Marcela Urrego",VLOOKUP(LEFT(Proc[[#This Row],[Requested]],1),Table3[#All],2,0),VLOOKUP(Proc[[#This Row],[Author]],Table4[],2,0))</f>
        <v>EL</v>
      </c>
      <c r="L2345" s="96" t="s">
        <v>2563</v>
      </c>
      <c r="M2345" s="107">
        <v>45825.476678240739</v>
      </c>
      <c r="N2345" s="107"/>
      <c r="O2345" s="107"/>
      <c r="P2345" s="108" t="str">
        <f ca="1">IF(Proc[[#This Row],[DaysAgeing]]&gt;5,"yep","on track")</f>
        <v>yep</v>
      </c>
      <c r="Q2345" s="3">
        <f ca="1">IF(Proc[[#This Row],[DateClosed]]="",ABS(NETWORKDAYS(Proc[[#This Row],[DateOpened]],TODAY()))-1,ABS(NETWORKDAYS(Proc[[#This Row],[DateOpened]],Proc[[#This Row],[DateClosed]]))-1)</f>
        <v>10</v>
      </c>
      <c r="R2345" s="108" t="s">
        <v>780</v>
      </c>
      <c r="S2345" s="96"/>
    </row>
    <row r="2346" spans="1:19" hidden="1">
      <c r="A2346" s="105" t="s">
        <v>4189</v>
      </c>
      <c r="B2346" s="96" t="str">
        <f>IFERROR(VLOOKUP(Proc[[#This Row],[App]],Table2[],3,0),"open")</f>
        <v>ok</v>
      </c>
      <c r="C2346" s="105" t="s">
        <v>369</v>
      </c>
      <c r="D2346" t="s">
        <v>4226</v>
      </c>
      <c r="E2346" t="s">
        <v>4247</v>
      </c>
      <c r="F2346" s="96" t="s">
        <v>4247</v>
      </c>
      <c r="G2346" s="105" t="s">
        <v>400</v>
      </c>
      <c r="H2346" s="96" t="str">
        <f>IF(Proc[[#This Row],[type]]="LFF (MDG-F)",MID(Proc[[#This Row],[Obj]],13,10),"")</f>
        <v/>
      </c>
      <c r="J2346" s="96" t="b">
        <f>Proc[[#This Row],[Requested]]=Proc[[#This Row],[CurrentParent]]</f>
        <v>1</v>
      </c>
      <c r="K2346" s="96" t="str">
        <f>IF(Proc[[#This Row],[Author]]="Marcela Urrego",VLOOKUP(LEFT(Proc[[#This Row],[Requested]],1),Table3[#All],2,0),VLOOKUP(Proc[[#This Row],[Author]],Table4[],2,0))</f>
        <v>EL</v>
      </c>
      <c r="L2346" s="96" t="s">
        <v>2563</v>
      </c>
      <c r="M2346" s="107">
        <v>45825.476678240739</v>
      </c>
      <c r="N2346" s="107"/>
      <c r="O2346" s="107"/>
      <c r="P2346" s="108" t="str">
        <f ca="1">IF(Proc[[#This Row],[DaysAgeing]]&gt;5,"yep","on track")</f>
        <v>yep</v>
      </c>
      <c r="Q2346" s="3">
        <f ca="1">IF(Proc[[#This Row],[DateClosed]]="",ABS(NETWORKDAYS(Proc[[#This Row],[DateOpened]],TODAY()))-1,ABS(NETWORKDAYS(Proc[[#This Row],[DateOpened]],Proc[[#This Row],[DateClosed]]))-1)</f>
        <v>10</v>
      </c>
      <c r="R2346" s="108" t="s">
        <v>780</v>
      </c>
      <c r="S2346" s="96"/>
    </row>
    <row r="2347" spans="1:19" hidden="1">
      <c r="A2347" s="105" t="s">
        <v>4189</v>
      </c>
      <c r="B2347" s="96" t="str">
        <f>IFERROR(VLOOKUP(Proc[[#This Row],[App]],Table2[],3,0),"open")</f>
        <v>ok</v>
      </c>
      <c r="C2347" s="105" t="s">
        <v>369</v>
      </c>
      <c r="D2347" t="s">
        <v>4227</v>
      </c>
      <c r="E2347" t="s">
        <v>4247</v>
      </c>
      <c r="F2347" s="96" t="s">
        <v>4247</v>
      </c>
      <c r="G2347" s="105" t="s">
        <v>400</v>
      </c>
      <c r="H2347" s="96" t="str">
        <f>IF(Proc[[#This Row],[type]]="LFF (MDG-F)",MID(Proc[[#This Row],[Obj]],13,10),"")</f>
        <v/>
      </c>
      <c r="J2347" s="96" t="b">
        <f>Proc[[#This Row],[Requested]]=Proc[[#This Row],[CurrentParent]]</f>
        <v>1</v>
      </c>
      <c r="K2347" s="96" t="str">
        <f>IF(Proc[[#This Row],[Author]]="Marcela Urrego",VLOOKUP(LEFT(Proc[[#This Row],[Requested]],1),Table3[#All],2,0),VLOOKUP(Proc[[#This Row],[Author]],Table4[],2,0))</f>
        <v>EL</v>
      </c>
      <c r="L2347" s="96" t="s">
        <v>2563</v>
      </c>
      <c r="M2347" s="107">
        <v>45825.476678240739</v>
      </c>
      <c r="N2347" s="107"/>
      <c r="O2347" s="107"/>
      <c r="P2347" s="108" t="str">
        <f ca="1">IF(Proc[[#This Row],[DaysAgeing]]&gt;5,"yep","on track")</f>
        <v>yep</v>
      </c>
      <c r="Q2347" s="3">
        <f ca="1">IF(Proc[[#This Row],[DateClosed]]="",ABS(NETWORKDAYS(Proc[[#This Row],[DateOpened]],TODAY()))-1,ABS(NETWORKDAYS(Proc[[#This Row],[DateOpened]],Proc[[#This Row],[DateClosed]]))-1)</f>
        <v>10</v>
      </c>
      <c r="R2347" s="108" t="s">
        <v>780</v>
      </c>
      <c r="S2347" s="96"/>
    </row>
    <row r="2348" spans="1:19" hidden="1">
      <c r="A2348" s="105" t="s">
        <v>4189</v>
      </c>
      <c r="B2348" s="96" t="str">
        <f>IFERROR(VLOOKUP(Proc[[#This Row],[App]],Table2[],3,0),"open")</f>
        <v>ok</v>
      </c>
      <c r="C2348" s="105" t="s">
        <v>369</v>
      </c>
      <c r="D2348" t="s">
        <v>4228</v>
      </c>
      <c r="E2348" t="s">
        <v>4247</v>
      </c>
      <c r="F2348" s="96" t="s">
        <v>4247</v>
      </c>
      <c r="G2348" s="105" t="s">
        <v>400</v>
      </c>
      <c r="H2348" s="96" t="str">
        <f>IF(Proc[[#This Row],[type]]="LFF (MDG-F)",MID(Proc[[#This Row],[Obj]],13,10),"")</f>
        <v/>
      </c>
      <c r="J2348" s="96" t="b">
        <f>Proc[[#This Row],[Requested]]=Proc[[#This Row],[CurrentParent]]</f>
        <v>1</v>
      </c>
      <c r="K2348" s="96" t="str">
        <f>IF(Proc[[#This Row],[Author]]="Marcela Urrego",VLOOKUP(LEFT(Proc[[#This Row],[Requested]],1),Table3[#All],2,0),VLOOKUP(Proc[[#This Row],[Author]],Table4[],2,0))</f>
        <v>EL</v>
      </c>
      <c r="L2348" s="96" t="s">
        <v>2563</v>
      </c>
      <c r="M2348" s="107">
        <v>45825.476678240739</v>
      </c>
      <c r="N2348" s="107"/>
      <c r="O2348" s="107"/>
      <c r="P2348" s="108" t="str">
        <f ca="1">IF(Proc[[#This Row],[DaysAgeing]]&gt;5,"yep","on track")</f>
        <v>yep</v>
      </c>
      <c r="Q2348" s="3">
        <f ca="1">IF(Proc[[#This Row],[DateClosed]]="",ABS(NETWORKDAYS(Proc[[#This Row],[DateOpened]],TODAY()))-1,ABS(NETWORKDAYS(Proc[[#This Row],[DateOpened]],Proc[[#This Row],[DateClosed]]))-1)</f>
        <v>10</v>
      </c>
      <c r="R2348" s="108" t="s">
        <v>780</v>
      </c>
      <c r="S2348" s="96"/>
    </row>
    <row r="2349" spans="1:19" hidden="1">
      <c r="A2349" s="105" t="s">
        <v>4189</v>
      </c>
      <c r="B2349" s="96" t="str">
        <f>IFERROR(VLOOKUP(Proc[[#This Row],[App]],Table2[],3,0),"open")</f>
        <v>ok</v>
      </c>
      <c r="C2349" s="105" t="s">
        <v>369</v>
      </c>
      <c r="D2349" t="s">
        <v>4229</v>
      </c>
      <c r="E2349" t="s">
        <v>4247</v>
      </c>
      <c r="F2349" s="96" t="s">
        <v>4247</v>
      </c>
      <c r="G2349" s="105" t="s">
        <v>400</v>
      </c>
      <c r="H2349" s="96" t="str">
        <f>IF(Proc[[#This Row],[type]]="LFF (MDG-F)",MID(Proc[[#This Row],[Obj]],13,10),"")</f>
        <v/>
      </c>
      <c r="J2349" s="96" t="b">
        <f>Proc[[#This Row],[Requested]]=Proc[[#This Row],[CurrentParent]]</f>
        <v>1</v>
      </c>
      <c r="K2349" s="96" t="str">
        <f>IF(Proc[[#This Row],[Author]]="Marcela Urrego",VLOOKUP(LEFT(Proc[[#This Row],[Requested]],1),Table3[#All],2,0),VLOOKUP(Proc[[#This Row],[Author]],Table4[],2,0))</f>
        <v>EL</v>
      </c>
      <c r="L2349" s="96" t="s">
        <v>2563</v>
      </c>
      <c r="M2349" s="107">
        <v>45825.476678240739</v>
      </c>
      <c r="N2349" s="107"/>
      <c r="O2349" s="107"/>
      <c r="P2349" s="108" t="str">
        <f ca="1">IF(Proc[[#This Row],[DaysAgeing]]&gt;5,"yep","on track")</f>
        <v>yep</v>
      </c>
      <c r="Q2349" s="3">
        <f ca="1">IF(Proc[[#This Row],[DateClosed]]="",ABS(NETWORKDAYS(Proc[[#This Row],[DateOpened]],TODAY()))-1,ABS(NETWORKDAYS(Proc[[#This Row],[DateOpened]],Proc[[#This Row],[DateClosed]]))-1)</f>
        <v>10</v>
      </c>
      <c r="R2349" s="108" t="s">
        <v>780</v>
      </c>
      <c r="S2349" s="96"/>
    </row>
    <row r="2350" spans="1:19" hidden="1">
      <c r="A2350" s="105" t="s">
        <v>4189</v>
      </c>
      <c r="B2350" s="96" t="str">
        <f>IFERROR(VLOOKUP(Proc[[#This Row],[App]],Table2[],3,0),"open")</f>
        <v>ok</v>
      </c>
      <c r="C2350" s="105" t="s">
        <v>369</v>
      </c>
      <c r="D2350" t="s">
        <v>4230</v>
      </c>
      <c r="E2350" t="s">
        <v>4247</v>
      </c>
      <c r="F2350" s="96" t="s">
        <v>4247</v>
      </c>
      <c r="G2350" s="105" t="s">
        <v>400</v>
      </c>
      <c r="H2350" s="96" t="str">
        <f>IF(Proc[[#This Row],[type]]="LFF (MDG-F)",MID(Proc[[#This Row],[Obj]],13,10),"")</f>
        <v/>
      </c>
      <c r="J2350" s="96" t="b">
        <f>Proc[[#This Row],[Requested]]=Proc[[#This Row],[CurrentParent]]</f>
        <v>1</v>
      </c>
      <c r="K2350" s="96" t="str">
        <f>IF(Proc[[#This Row],[Author]]="Marcela Urrego",VLOOKUP(LEFT(Proc[[#This Row],[Requested]],1),Table3[#All],2,0),VLOOKUP(Proc[[#This Row],[Author]],Table4[],2,0))</f>
        <v>EL</v>
      </c>
      <c r="L2350" s="96" t="s">
        <v>2563</v>
      </c>
      <c r="M2350" s="107">
        <v>45825.476678240739</v>
      </c>
      <c r="N2350" s="107"/>
      <c r="O2350" s="107"/>
      <c r="P2350" s="108" t="str">
        <f ca="1">IF(Proc[[#This Row],[DaysAgeing]]&gt;5,"yep","on track")</f>
        <v>yep</v>
      </c>
      <c r="Q2350" s="3">
        <f ca="1">IF(Proc[[#This Row],[DateClosed]]="",ABS(NETWORKDAYS(Proc[[#This Row],[DateOpened]],TODAY()))-1,ABS(NETWORKDAYS(Proc[[#This Row],[DateOpened]],Proc[[#This Row],[DateClosed]]))-1)</f>
        <v>10</v>
      </c>
      <c r="R2350" s="108" t="s">
        <v>780</v>
      </c>
      <c r="S2350" s="96"/>
    </row>
    <row r="2351" spans="1:19" hidden="1">
      <c r="A2351" s="105" t="s">
        <v>4189</v>
      </c>
      <c r="B2351" s="96" t="str">
        <f>IFERROR(VLOOKUP(Proc[[#This Row],[App]],Table2[],3,0),"open")</f>
        <v>ok</v>
      </c>
      <c r="C2351" s="105" t="s">
        <v>369</v>
      </c>
      <c r="D2351" t="s">
        <v>4231</v>
      </c>
      <c r="E2351" t="s">
        <v>4247</v>
      </c>
      <c r="F2351" s="96" t="s">
        <v>4247</v>
      </c>
      <c r="G2351" s="105" t="s">
        <v>400</v>
      </c>
      <c r="H2351" s="96" t="str">
        <f>IF(Proc[[#This Row],[type]]="LFF (MDG-F)",MID(Proc[[#This Row],[Obj]],13,10),"")</f>
        <v/>
      </c>
      <c r="J2351" s="96" t="b">
        <f>Proc[[#This Row],[Requested]]=Proc[[#This Row],[CurrentParent]]</f>
        <v>1</v>
      </c>
      <c r="K2351" s="96" t="str">
        <f>IF(Proc[[#This Row],[Author]]="Marcela Urrego",VLOOKUP(LEFT(Proc[[#This Row],[Requested]],1),Table3[#All],2,0),VLOOKUP(Proc[[#This Row],[Author]],Table4[],2,0))</f>
        <v>EL</v>
      </c>
      <c r="L2351" s="96" t="s">
        <v>2563</v>
      </c>
      <c r="M2351" s="107">
        <v>45825.476678240739</v>
      </c>
      <c r="N2351" s="107"/>
      <c r="O2351" s="107"/>
      <c r="P2351" s="108" t="str">
        <f ca="1">IF(Proc[[#This Row],[DaysAgeing]]&gt;5,"yep","on track")</f>
        <v>yep</v>
      </c>
      <c r="Q2351" s="3">
        <f ca="1">IF(Proc[[#This Row],[DateClosed]]="",ABS(NETWORKDAYS(Proc[[#This Row],[DateOpened]],TODAY()))-1,ABS(NETWORKDAYS(Proc[[#This Row],[DateOpened]],Proc[[#This Row],[DateClosed]]))-1)</f>
        <v>10</v>
      </c>
      <c r="R2351" s="108" t="s">
        <v>780</v>
      </c>
      <c r="S2351" s="96"/>
    </row>
    <row r="2352" spans="1:19" hidden="1">
      <c r="A2352" s="105" t="s">
        <v>4189</v>
      </c>
      <c r="B2352" s="96" t="str">
        <f>IFERROR(VLOOKUP(Proc[[#This Row],[App]],Table2[],3,0),"open")</f>
        <v>ok</v>
      </c>
      <c r="C2352" s="105" t="s">
        <v>369</v>
      </c>
      <c r="D2352" t="s">
        <v>4232</v>
      </c>
      <c r="E2352" t="s">
        <v>4247</v>
      </c>
      <c r="F2352" s="96" t="s">
        <v>4247</v>
      </c>
      <c r="G2352" s="105" t="s">
        <v>400</v>
      </c>
      <c r="H2352" s="96" t="str">
        <f>IF(Proc[[#This Row],[type]]="LFF (MDG-F)",MID(Proc[[#This Row],[Obj]],13,10),"")</f>
        <v/>
      </c>
      <c r="J2352" s="96" t="b">
        <f>Proc[[#This Row],[Requested]]=Proc[[#This Row],[CurrentParent]]</f>
        <v>1</v>
      </c>
      <c r="K2352" s="96" t="str">
        <f>IF(Proc[[#This Row],[Author]]="Marcela Urrego",VLOOKUP(LEFT(Proc[[#This Row],[Requested]],1),Table3[#All],2,0),VLOOKUP(Proc[[#This Row],[Author]],Table4[],2,0))</f>
        <v>EL</v>
      </c>
      <c r="L2352" s="96" t="s">
        <v>2563</v>
      </c>
      <c r="M2352" s="107">
        <v>45825.476678240739</v>
      </c>
      <c r="N2352" s="107"/>
      <c r="O2352" s="107"/>
      <c r="P2352" s="108" t="str">
        <f ca="1">IF(Proc[[#This Row],[DaysAgeing]]&gt;5,"yep","on track")</f>
        <v>yep</v>
      </c>
      <c r="Q2352" s="3">
        <f ca="1">IF(Proc[[#This Row],[DateClosed]]="",ABS(NETWORKDAYS(Proc[[#This Row],[DateOpened]],TODAY()))-1,ABS(NETWORKDAYS(Proc[[#This Row],[DateOpened]],Proc[[#This Row],[DateClosed]]))-1)</f>
        <v>10</v>
      </c>
      <c r="R2352" s="108" t="s">
        <v>780</v>
      </c>
      <c r="S2352" s="96"/>
    </row>
    <row r="2353" spans="1:19" hidden="1">
      <c r="A2353" s="105" t="s">
        <v>4189</v>
      </c>
      <c r="B2353" s="96" t="str">
        <f>IFERROR(VLOOKUP(Proc[[#This Row],[App]],Table2[],3,0),"open")</f>
        <v>ok</v>
      </c>
      <c r="C2353" s="105" t="s">
        <v>369</v>
      </c>
      <c r="D2353" t="s">
        <v>4233</v>
      </c>
      <c r="E2353" t="s">
        <v>4247</v>
      </c>
      <c r="F2353" s="96" t="s">
        <v>4247</v>
      </c>
      <c r="G2353" s="105" t="s">
        <v>400</v>
      </c>
      <c r="H2353" s="96" t="str">
        <f>IF(Proc[[#This Row],[type]]="LFF (MDG-F)",MID(Proc[[#This Row],[Obj]],13,10),"")</f>
        <v/>
      </c>
      <c r="J2353" s="96" t="b">
        <f>Proc[[#This Row],[Requested]]=Proc[[#This Row],[CurrentParent]]</f>
        <v>1</v>
      </c>
      <c r="K2353" s="96" t="str">
        <f>IF(Proc[[#This Row],[Author]]="Marcela Urrego",VLOOKUP(LEFT(Proc[[#This Row],[Requested]],1),Table3[#All],2,0),VLOOKUP(Proc[[#This Row],[Author]],Table4[],2,0))</f>
        <v>EL</v>
      </c>
      <c r="L2353" s="96" t="s">
        <v>2563</v>
      </c>
      <c r="M2353" s="107">
        <v>45825.476678240739</v>
      </c>
      <c r="N2353" s="107"/>
      <c r="O2353" s="107"/>
      <c r="P2353" s="108" t="str">
        <f ca="1">IF(Proc[[#This Row],[DaysAgeing]]&gt;5,"yep","on track")</f>
        <v>yep</v>
      </c>
      <c r="Q2353" s="3">
        <f ca="1">IF(Proc[[#This Row],[DateClosed]]="",ABS(NETWORKDAYS(Proc[[#This Row],[DateOpened]],TODAY()))-1,ABS(NETWORKDAYS(Proc[[#This Row],[DateOpened]],Proc[[#This Row],[DateClosed]]))-1)</f>
        <v>10</v>
      </c>
      <c r="R2353" s="108" t="s">
        <v>780</v>
      </c>
      <c r="S2353" s="96"/>
    </row>
    <row r="2354" spans="1:19" hidden="1">
      <c r="A2354" s="105" t="s">
        <v>4189</v>
      </c>
      <c r="B2354" s="96" t="str">
        <f>IFERROR(VLOOKUP(Proc[[#This Row],[App]],Table2[],3,0),"open")</f>
        <v>ok</v>
      </c>
      <c r="C2354" s="105" t="s">
        <v>369</v>
      </c>
      <c r="D2354" t="s">
        <v>4234</v>
      </c>
      <c r="E2354" t="s">
        <v>4247</v>
      </c>
      <c r="F2354" s="96" t="s">
        <v>4247</v>
      </c>
      <c r="G2354" s="105" t="s">
        <v>400</v>
      </c>
      <c r="H2354" s="96" t="str">
        <f>IF(Proc[[#This Row],[type]]="LFF (MDG-F)",MID(Proc[[#This Row],[Obj]],13,10),"")</f>
        <v/>
      </c>
      <c r="J2354" s="96" t="b">
        <f>Proc[[#This Row],[Requested]]=Proc[[#This Row],[CurrentParent]]</f>
        <v>1</v>
      </c>
      <c r="K2354" s="96" t="str">
        <f>IF(Proc[[#This Row],[Author]]="Marcela Urrego",VLOOKUP(LEFT(Proc[[#This Row],[Requested]],1),Table3[#All],2,0),VLOOKUP(Proc[[#This Row],[Author]],Table4[],2,0))</f>
        <v>EL</v>
      </c>
      <c r="L2354" s="96" t="s">
        <v>2563</v>
      </c>
      <c r="M2354" s="107">
        <v>45825.476678240739</v>
      </c>
      <c r="N2354" s="107"/>
      <c r="O2354" s="107"/>
      <c r="P2354" s="108" t="str">
        <f ca="1">IF(Proc[[#This Row],[DaysAgeing]]&gt;5,"yep","on track")</f>
        <v>yep</v>
      </c>
      <c r="Q2354" s="3">
        <f ca="1">IF(Proc[[#This Row],[DateClosed]]="",ABS(NETWORKDAYS(Proc[[#This Row],[DateOpened]],TODAY()))-1,ABS(NETWORKDAYS(Proc[[#This Row],[DateOpened]],Proc[[#This Row],[DateClosed]]))-1)</f>
        <v>10</v>
      </c>
      <c r="R2354" s="108" t="s">
        <v>780</v>
      </c>
      <c r="S2354" s="96"/>
    </row>
    <row r="2355" spans="1:19" hidden="1">
      <c r="A2355" s="105" t="s">
        <v>4189</v>
      </c>
      <c r="B2355" s="96" t="str">
        <f>IFERROR(VLOOKUP(Proc[[#This Row],[App]],Table2[],3,0),"open")</f>
        <v>ok</v>
      </c>
      <c r="C2355" s="105" t="s">
        <v>369</v>
      </c>
      <c r="D2355" t="s">
        <v>4235</v>
      </c>
      <c r="E2355" t="s">
        <v>4247</v>
      </c>
      <c r="F2355" s="96" t="s">
        <v>4247</v>
      </c>
      <c r="G2355" s="105" t="s">
        <v>400</v>
      </c>
      <c r="H2355" s="96" t="str">
        <f>IF(Proc[[#This Row],[type]]="LFF (MDG-F)",MID(Proc[[#This Row],[Obj]],13,10),"")</f>
        <v/>
      </c>
      <c r="J2355" s="96" t="b">
        <f>Proc[[#This Row],[Requested]]=Proc[[#This Row],[CurrentParent]]</f>
        <v>1</v>
      </c>
      <c r="K2355" s="96" t="str">
        <f>IF(Proc[[#This Row],[Author]]="Marcela Urrego",VLOOKUP(LEFT(Proc[[#This Row],[Requested]],1),Table3[#All],2,0),VLOOKUP(Proc[[#This Row],[Author]],Table4[],2,0))</f>
        <v>EL</v>
      </c>
      <c r="L2355" s="96" t="s">
        <v>2563</v>
      </c>
      <c r="M2355" s="107">
        <v>45825.476678240739</v>
      </c>
      <c r="N2355" s="107"/>
      <c r="O2355" s="107"/>
      <c r="P2355" s="108" t="str">
        <f ca="1">IF(Proc[[#This Row],[DaysAgeing]]&gt;5,"yep","on track")</f>
        <v>yep</v>
      </c>
      <c r="Q2355" s="3">
        <f ca="1">IF(Proc[[#This Row],[DateClosed]]="",ABS(NETWORKDAYS(Proc[[#This Row],[DateOpened]],TODAY()))-1,ABS(NETWORKDAYS(Proc[[#This Row],[DateOpened]],Proc[[#This Row],[DateClosed]]))-1)</f>
        <v>10</v>
      </c>
      <c r="R2355" s="108" t="s">
        <v>780</v>
      </c>
      <c r="S2355" s="96"/>
    </row>
    <row r="2356" spans="1:19" hidden="1">
      <c r="A2356" s="105" t="s">
        <v>4189</v>
      </c>
      <c r="B2356" s="96" t="str">
        <f>IFERROR(VLOOKUP(Proc[[#This Row],[App]],Table2[],3,0),"open")</f>
        <v>ok</v>
      </c>
      <c r="C2356" s="105" t="s">
        <v>369</v>
      </c>
      <c r="D2356" t="s">
        <v>4236</v>
      </c>
      <c r="E2356" t="s">
        <v>4247</v>
      </c>
      <c r="F2356" s="96" t="s">
        <v>4247</v>
      </c>
      <c r="G2356" s="105" t="s">
        <v>400</v>
      </c>
      <c r="H2356" s="96" t="str">
        <f>IF(Proc[[#This Row],[type]]="LFF (MDG-F)",MID(Proc[[#This Row],[Obj]],13,10),"")</f>
        <v/>
      </c>
      <c r="J2356" s="96" t="b">
        <f>Proc[[#This Row],[Requested]]=Proc[[#This Row],[CurrentParent]]</f>
        <v>1</v>
      </c>
      <c r="K2356" s="96" t="str">
        <f>IF(Proc[[#This Row],[Author]]="Marcela Urrego",VLOOKUP(LEFT(Proc[[#This Row],[Requested]],1),Table3[#All],2,0),VLOOKUP(Proc[[#This Row],[Author]],Table4[],2,0))</f>
        <v>EL</v>
      </c>
      <c r="L2356" s="96" t="s">
        <v>2563</v>
      </c>
      <c r="M2356" s="107">
        <v>45825.476678240739</v>
      </c>
      <c r="N2356" s="107"/>
      <c r="O2356" s="107"/>
      <c r="P2356" s="108" t="str">
        <f ca="1">IF(Proc[[#This Row],[DaysAgeing]]&gt;5,"yep","on track")</f>
        <v>yep</v>
      </c>
      <c r="Q2356" s="3">
        <f ca="1">IF(Proc[[#This Row],[DateClosed]]="",ABS(NETWORKDAYS(Proc[[#This Row],[DateOpened]],TODAY()))-1,ABS(NETWORKDAYS(Proc[[#This Row],[DateOpened]],Proc[[#This Row],[DateClosed]]))-1)</f>
        <v>10</v>
      </c>
      <c r="R2356" s="108" t="s">
        <v>780</v>
      </c>
      <c r="S2356" s="96"/>
    </row>
    <row r="2357" spans="1:19" hidden="1">
      <c r="A2357" s="105" t="s">
        <v>4189</v>
      </c>
      <c r="B2357" s="96" t="str">
        <f>IFERROR(VLOOKUP(Proc[[#This Row],[App]],Table2[],3,0),"open")</f>
        <v>ok</v>
      </c>
      <c r="C2357" s="105" t="s">
        <v>369</v>
      </c>
      <c r="D2357" t="s">
        <v>4237</v>
      </c>
      <c r="E2357" t="s">
        <v>4247</v>
      </c>
      <c r="F2357" s="96" t="s">
        <v>4247</v>
      </c>
      <c r="G2357" s="105" t="s">
        <v>400</v>
      </c>
      <c r="H2357" s="96" t="str">
        <f>IF(Proc[[#This Row],[type]]="LFF (MDG-F)",MID(Proc[[#This Row],[Obj]],13,10),"")</f>
        <v/>
      </c>
      <c r="J2357" s="96" t="b">
        <f>Proc[[#This Row],[Requested]]=Proc[[#This Row],[CurrentParent]]</f>
        <v>1</v>
      </c>
      <c r="K2357" s="96" t="str">
        <f>IF(Proc[[#This Row],[Author]]="Marcela Urrego",VLOOKUP(LEFT(Proc[[#This Row],[Requested]],1),Table3[#All],2,0),VLOOKUP(Proc[[#This Row],[Author]],Table4[],2,0))</f>
        <v>EL</v>
      </c>
      <c r="L2357" s="96" t="s">
        <v>2563</v>
      </c>
      <c r="M2357" s="107">
        <v>45825.476678240739</v>
      </c>
      <c r="N2357" s="107"/>
      <c r="O2357" s="107"/>
      <c r="P2357" s="108" t="str">
        <f ca="1">IF(Proc[[#This Row],[DaysAgeing]]&gt;5,"yep","on track")</f>
        <v>yep</v>
      </c>
      <c r="Q2357" s="3">
        <f ca="1">IF(Proc[[#This Row],[DateClosed]]="",ABS(NETWORKDAYS(Proc[[#This Row],[DateOpened]],TODAY()))-1,ABS(NETWORKDAYS(Proc[[#This Row],[DateOpened]],Proc[[#This Row],[DateClosed]]))-1)</f>
        <v>10</v>
      </c>
      <c r="R2357" s="108" t="s">
        <v>780</v>
      </c>
      <c r="S2357" s="96"/>
    </row>
    <row r="2358" spans="1:19" hidden="1">
      <c r="A2358" s="105" t="s">
        <v>4189</v>
      </c>
      <c r="B2358" s="96" t="str">
        <f>IFERROR(VLOOKUP(Proc[[#This Row],[App]],Table2[],3,0),"open")</f>
        <v>ok</v>
      </c>
      <c r="C2358" s="105" t="s">
        <v>369</v>
      </c>
      <c r="D2358" t="s">
        <v>4238</v>
      </c>
      <c r="E2358" t="s">
        <v>4247</v>
      </c>
      <c r="F2358" s="96" t="s">
        <v>4247</v>
      </c>
      <c r="G2358" s="105" t="s">
        <v>400</v>
      </c>
      <c r="H2358" s="96" t="str">
        <f>IF(Proc[[#This Row],[type]]="LFF (MDG-F)",MID(Proc[[#This Row],[Obj]],13,10),"")</f>
        <v/>
      </c>
      <c r="J2358" s="96" t="b">
        <f>Proc[[#This Row],[Requested]]=Proc[[#This Row],[CurrentParent]]</f>
        <v>1</v>
      </c>
      <c r="K2358" s="96" t="str">
        <f>IF(Proc[[#This Row],[Author]]="Marcela Urrego",VLOOKUP(LEFT(Proc[[#This Row],[Requested]],1),Table3[#All],2,0),VLOOKUP(Proc[[#This Row],[Author]],Table4[],2,0))</f>
        <v>EL</v>
      </c>
      <c r="L2358" s="96" t="s">
        <v>2563</v>
      </c>
      <c r="M2358" s="107">
        <v>45825.476678240739</v>
      </c>
      <c r="N2358" s="107"/>
      <c r="O2358" s="107"/>
      <c r="P2358" s="108" t="str">
        <f ca="1">IF(Proc[[#This Row],[DaysAgeing]]&gt;5,"yep","on track")</f>
        <v>yep</v>
      </c>
      <c r="Q2358" s="3">
        <f ca="1">IF(Proc[[#This Row],[DateClosed]]="",ABS(NETWORKDAYS(Proc[[#This Row],[DateOpened]],TODAY()))-1,ABS(NETWORKDAYS(Proc[[#This Row],[DateOpened]],Proc[[#This Row],[DateClosed]]))-1)</f>
        <v>10</v>
      </c>
      <c r="R2358" s="108" t="s">
        <v>780</v>
      </c>
      <c r="S2358" s="96"/>
    </row>
    <row r="2359" spans="1:19" hidden="1">
      <c r="A2359" s="105" t="s">
        <v>4189</v>
      </c>
      <c r="B2359" s="96" t="str">
        <f>IFERROR(VLOOKUP(Proc[[#This Row],[App]],Table2[],3,0),"open")</f>
        <v>ok</v>
      </c>
      <c r="C2359" s="105" t="s">
        <v>369</v>
      </c>
      <c r="D2359" t="s">
        <v>4239</v>
      </c>
      <c r="E2359" t="s">
        <v>4247</v>
      </c>
      <c r="F2359" s="96" t="s">
        <v>4247</v>
      </c>
      <c r="G2359" s="105" t="s">
        <v>400</v>
      </c>
      <c r="H2359" s="96" t="str">
        <f>IF(Proc[[#This Row],[type]]="LFF (MDG-F)",MID(Proc[[#This Row],[Obj]],13,10),"")</f>
        <v/>
      </c>
      <c r="J2359" s="96" t="b">
        <f>Proc[[#This Row],[Requested]]=Proc[[#This Row],[CurrentParent]]</f>
        <v>1</v>
      </c>
      <c r="K2359" s="96" t="str">
        <f>IF(Proc[[#This Row],[Author]]="Marcela Urrego",VLOOKUP(LEFT(Proc[[#This Row],[Requested]],1),Table3[#All],2,0),VLOOKUP(Proc[[#This Row],[Author]],Table4[],2,0))</f>
        <v>EL</v>
      </c>
      <c r="L2359" s="96" t="s">
        <v>2563</v>
      </c>
      <c r="M2359" s="107">
        <v>45825.476678240739</v>
      </c>
      <c r="N2359" s="107"/>
      <c r="O2359" s="107"/>
      <c r="P2359" s="108" t="str">
        <f ca="1">IF(Proc[[#This Row],[DaysAgeing]]&gt;5,"yep","on track")</f>
        <v>yep</v>
      </c>
      <c r="Q2359" s="3">
        <f ca="1">IF(Proc[[#This Row],[DateClosed]]="",ABS(NETWORKDAYS(Proc[[#This Row],[DateOpened]],TODAY()))-1,ABS(NETWORKDAYS(Proc[[#This Row],[DateOpened]],Proc[[#This Row],[DateClosed]]))-1)</f>
        <v>10</v>
      </c>
      <c r="R2359" s="108" t="s">
        <v>780</v>
      </c>
      <c r="S2359" s="96"/>
    </row>
    <row r="2360" spans="1:19" hidden="1">
      <c r="A2360" s="105" t="s">
        <v>4189</v>
      </c>
      <c r="B2360" s="96" t="str">
        <f>IFERROR(VLOOKUP(Proc[[#This Row],[App]],Table2[],3,0),"open")</f>
        <v>ok</v>
      </c>
      <c r="C2360" s="105" t="s">
        <v>369</v>
      </c>
      <c r="D2360" t="s">
        <v>4240</v>
      </c>
      <c r="E2360" t="s">
        <v>4247</v>
      </c>
      <c r="F2360" s="96" t="s">
        <v>4247</v>
      </c>
      <c r="G2360" s="105" t="s">
        <v>400</v>
      </c>
      <c r="H2360" s="96" t="str">
        <f>IF(Proc[[#This Row],[type]]="LFF (MDG-F)",MID(Proc[[#This Row],[Obj]],13,10),"")</f>
        <v/>
      </c>
      <c r="J2360" s="96" t="b">
        <f>Proc[[#This Row],[Requested]]=Proc[[#This Row],[CurrentParent]]</f>
        <v>1</v>
      </c>
      <c r="K2360" s="96" t="str">
        <f>IF(Proc[[#This Row],[Author]]="Marcela Urrego",VLOOKUP(LEFT(Proc[[#This Row],[Requested]],1),Table3[#All],2,0),VLOOKUP(Proc[[#This Row],[Author]],Table4[],2,0))</f>
        <v>EL</v>
      </c>
      <c r="L2360" s="96" t="s">
        <v>2563</v>
      </c>
      <c r="M2360" s="107">
        <v>45825.476678240739</v>
      </c>
      <c r="N2360" s="107"/>
      <c r="O2360" s="107"/>
      <c r="P2360" s="108" t="str">
        <f ca="1">IF(Proc[[#This Row],[DaysAgeing]]&gt;5,"yep","on track")</f>
        <v>yep</v>
      </c>
      <c r="Q2360" s="3">
        <f ca="1">IF(Proc[[#This Row],[DateClosed]]="",ABS(NETWORKDAYS(Proc[[#This Row],[DateOpened]],TODAY()))-1,ABS(NETWORKDAYS(Proc[[#This Row],[DateOpened]],Proc[[#This Row],[DateClosed]]))-1)</f>
        <v>10</v>
      </c>
      <c r="R2360" s="108" t="s">
        <v>780</v>
      </c>
      <c r="S2360" s="96"/>
    </row>
    <row r="2361" spans="1:19" hidden="1">
      <c r="A2361" s="105" t="s">
        <v>4189</v>
      </c>
      <c r="B2361" s="96" t="str">
        <f>IFERROR(VLOOKUP(Proc[[#This Row],[App]],Table2[],3,0),"open")</f>
        <v>ok</v>
      </c>
      <c r="C2361" s="105" t="s">
        <v>369</v>
      </c>
      <c r="D2361" t="s">
        <v>4241</v>
      </c>
      <c r="E2361" t="s">
        <v>4247</v>
      </c>
      <c r="F2361" s="105" t="s">
        <v>4247</v>
      </c>
      <c r="G2361" s="105" t="s">
        <v>400</v>
      </c>
      <c r="H2361" s="96" t="str">
        <f>IF(Proc[[#This Row],[type]]="LFF (MDG-F)",MID(Proc[[#This Row],[Obj]],13,10),"")</f>
        <v/>
      </c>
      <c r="J2361" s="96" t="b">
        <f>Proc[[#This Row],[Requested]]=Proc[[#This Row],[CurrentParent]]</f>
        <v>1</v>
      </c>
      <c r="K2361" s="96" t="str">
        <f>IF(Proc[[#This Row],[Author]]="Marcela Urrego",VLOOKUP(LEFT(Proc[[#This Row],[Requested]],1),Table3[#All],2,0),VLOOKUP(Proc[[#This Row],[Author]],Table4[],2,0))</f>
        <v>EL</v>
      </c>
      <c r="L2361" s="96" t="s">
        <v>2563</v>
      </c>
      <c r="M2361" s="107">
        <v>45825.476678240739</v>
      </c>
      <c r="N2361" s="107"/>
      <c r="O2361" s="107"/>
      <c r="P2361" s="108" t="str">
        <f ca="1">IF(Proc[[#This Row],[DaysAgeing]]&gt;5,"yep","on track")</f>
        <v>yep</v>
      </c>
      <c r="Q2361" s="3">
        <f ca="1">IF(Proc[[#This Row],[DateClosed]]="",ABS(NETWORKDAYS(Proc[[#This Row],[DateOpened]],TODAY()))-1,ABS(NETWORKDAYS(Proc[[#This Row],[DateOpened]],Proc[[#This Row],[DateClosed]]))-1)</f>
        <v>10</v>
      </c>
      <c r="R2361" s="108" t="s">
        <v>780</v>
      </c>
      <c r="S2361" s="96"/>
    </row>
    <row r="2362" spans="1:19" hidden="1">
      <c r="A2362" s="105" t="s">
        <v>4189</v>
      </c>
      <c r="B2362" s="96" t="str">
        <f>IFERROR(VLOOKUP(Proc[[#This Row],[App]],Table2[],3,0),"open")</f>
        <v>ok</v>
      </c>
      <c r="C2362" s="105" t="s">
        <v>369</v>
      </c>
      <c r="D2362" t="s">
        <v>4242</v>
      </c>
      <c r="E2362" t="s">
        <v>4247</v>
      </c>
      <c r="F2362" s="105" t="s">
        <v>4247</v>
      </c>
      <c r="G2362" s="105" t="s">
        <v>400</v>
      </c>
      <c r="H2362" s="96" t="str">
        <f>IF(Proc[[#This Row],[type]]="LFF (MDG-F)",MID(Proc[[#This Row],[Obj]],13,10),"")</f>
        <v/>
      </c>
      <c r="J2362" s="96" t="b">
        <f>Proc[[#This Row],[Requested]]=Proc[[#This Row],[CurrentParent]]</f>
        <v>1</v>
      </c>
      <c r="K2362" s="96" t="str">
        <f>IF(Proc[[#This Row],[Author]]="Marcela Urrego",VLOOKUP(LEFT(Proc[[#This Row],[Requested]],1),Table3[#All],2,0),VLOOKUP(Proc[[#This Row],[Author]],Table4[],2,0))</f>
        <v>EL</v>
      </c>
      <c r="L2362" s="96" t="s">
        <v>2563</v>
      </c>
      <c r="M2362" s="107">
        <v>45825.476678240739</v>
      </c>
      <c r="N2362" s="107"/>
      <c r="O2362" s="107"/>
      <c r="P2362" s="108" t="str">
        <f ca="1">IF(Proc[[#This Row],[DaysAgeing]]&gt;5,"yep","on track")</f>
        <v>yep</v>
      </c>
      <c r="Q2362" s="3">
        <f ca="1">IF(Proc[[#This Row],[DateClosed]]="",ABS(NETWORKDAYS(Proc[[#This Row],[DateOpened]],TODAY()))-1,ABS(NETWORKDAYS(Proc[[#This Row],[DateOpened]],Proc[[#This Row],[DateClosed]]))-1)</f>
        <v>10</v>
      </c>
      <c r="R2362" s="108" t="s">
        <v>780</v>
      </c>
      <c r="S2362" s="96"/>
    </row>
    <row r="2363" spans="1:19" hidden="1">
      <c r="A2363" s="105" t="s">
        <v>4189</v>
      </c>
      <c r="B2363" s="96" t="str">
        <f>IFERROR(VLOOKUP(Proc[[#This Row],[App]],Table2[],3,0),"open")</f>
        <v>ok</v>
      </c>
      <c r="C2363" s="105" t="s">
        <v>369</v>
      </c>
      <c r="D2363" t="s">
        <v>4243</v>
      </c>
      <c r="E2363" t="s">
        <v>4247</v>
      </c>
      <c r="F2363" s="105" t="s">
        <v>4247</v>
      </c>
      <c r="G2363" s="105" t="s">
        <v>400</v>
      </c>
      <c r="H2363" s="96" t="str">
        <f>IF(Proc[[#This Row],[type]]="LFF (MDG-F)",MID(Proc[[#This Row],[Obj]],13,10),"")</f>
        <v/>
      </c>
      <c r="J2363" s="96" t="b">
        <f>Proc[[#This Row],[Requested]]=Proc[[#This Row],[CurrentParent]]</f>
        <v>1</v>
      </c>
      <c r="K2363" s="96" t="str">
        <f>IF(Proc[[#This Row],[Author]]="Marcela Urrego",VLOOKUP(LEFT(Proc[[#This Row],[Requested]],1),Table3[#All],2,0),VLOOKUP(Proc[[#This Row],[Author]],Table4[],2,0))</f>
        <v>EL</v>
      </c>
      <c r="L2363" s="96" t="s">
        <v>2563</v>
      </c>
      <c r="M2363" s="107">
        <v>45825.476678240739</v>
      </c>
      <c r="N2363" s="107"/>
      <c r="O2363" s="107"/>
      <c r="P2363" s="108" t="str">
        <f ca="1">IF(Proc[[#This Row],[DaysAgeing]]&gt;5,"yep","on track")</f>
        <v>yep</v>
      </c>
      <c r="Q2363" s="3">
        <f ca="1">IF(Proc[[#This Row],[DateClosed]]="",ABS(NETWORKDAYS(Proc[[#This Row],[DateOpened]],TODAY()))-1,ABS(NETWORKDAYS(Proc[[#This Row],[DateOpened]],Proc[[#This Row],[DateClosed]]))-1)</f>
        <v>10</v>
      </c>
      <c r="R2363" s="108" t="s">
        <v>780</v>
      </c>
      <c r="S2363" s="96"/>
    </row>
    <row r="2364" spans="1:19" hidden="1">
      <c r="A2364" s="105" t="s">
        <v>4189</v>
      </c>
      <c r="B2364" s="96" t="str">
        <f>IFERROR(VLOOKUP(Proc[[#This Row],[App]],Table2[],3,0),"open")</f>
        <v>ok</v>
      </c>
      <c r="C2364" s="105" t="s">
        <v>369</v>
      </c>
      <c r="D2364" t="s">
        <v>4244</v>
      </c>
      <c r="E2364" t="s">
        <v>4246</v>
      </c>
      <c r="F2364" s="105" t="s">
        <v>4246</v>
      </c>
      <c r="G2364" s="105" t="s">
        <v>400</v>
      </c>
      <c r="H2364" s="96" t="str">
        <f>IF(Proc[[#This Row],[type]]="LFF (MDG-F)",MID(Proc[[#This Row],[Obj]],13,10),"")</f>
        <v/>
      </c>
      <c r="J2364" s="96" t="b">
        <f>Proc[[#This Row],[Requested]]=Proc[[#This Row],[CurrentParent]]</f>
        <v>1</v>
      </c>
      <c r="K2364" s="96" t="str">
        <f>IF(Proc[[#This Row],[Author]]="Marcela Urrego",VLOOKUP(LEFT(Proc[[#This Row],[Requested]],1),Table3[#All],2,0),VLOOKUP(Proc[[#This Row],[Author]],Table4[],2,0))</f>
        <v>EL</v>
      </c>
      <c r="L2364" s="96" t="s">
        <v>2563</v>
      </c>
      <c r="M2364" s="107">
        <v>45825.476678240739</v>
      </c>
      <c r="N2364" s="107"/>
      <c r="O2364" s="107"/>
      <c r="P2364" s="108" t="str">
        <f ca="1">IF(Proc[[#This Row],[DaysAgeing]]&gt;5,"yep","on track")</f>
        <v>yep</v>
      </c>
      <c r="Q2364" s="3">
        <f ca="1">IF(Proc[[#This Row],[DateClosed]]="",ABS(NETWORKDAYS(Proc[[#This Row],[DateOpened]],TODAY()))-1,ABS(NETWORKDAYS(Proc[[#This Row],[DateOpened]],Proc[[#This Row],[DateClosed]]))-1)</f>
        <v>10</v>
      </c>
      <c r="R2364" s="108" t="s">
        <v>780</v>
      </c>
      <c r="S2364" s="96"/>
    </row>
    <row r="2365" spans="1:19" hidden="1">
      <c r="A2365" s="105" t="s">
        <v>4189</v>
      </c>
      <c r="B2365" s="96" t="str">
        <f>IFERROR(VLOOKUP(Proc[[#This Row],[App]],Table2[],3,0),"open")</f>
        <v>ok</v>
      </c>
      <c r="C2365" s="105" t="s">
        <v>369</v>
      </c>
      <c r="D2365" t="s">
        <v>4245</v>
      </c>
      <c r="E2365" t="s">
        <v>4247</v>
      </c>
      <c r="F2365" s="105" t="s">
        <v>4247</v>
      </c>
      <c r="G2365" s="105" t="s">
        <v>400</v>
      </c>
      <c r="H2365" s="96" t="str">
        <f>IF(Proc[[#This Row],[type]]="LFF (MDG-F)",MID(Proc[[#This Row],[Obj]],13,10),"")</f>
        <v/>
      </c>
      <c r="J2365" s="96" t="b">
        <f>Proc[[#This Row],[Requested]]=Proc[[#This Row],[CurrentParent]]</f>
        <v>1</v>
      </c>
      <c r="K2365" s="96" t="str">
        <f>IF(Proc[[#This Row],[Author]]="Marcela Urrego",VLOOKUP(LEFT(Proc[[#This Row],[Requested]],1),Table3[#All],2,0),VLOOKUP(Proc[[#This Row],[Author]],Table4[],2,0))</f>
        <v>EL</v>
      </c>
      <c r="L2365" s="96" t="s">
        <v>2563</v>
      </c>
      <c r="M2365" s="107">
        <v>45825.476678240739</v>
      </c>
      <c r="N2365" s="107"/>
      <c r="O2365" s="107"/>
      <c r="P2365" s="108" t="str">
        <f ca="1">IF(Proc[[#This Row],[DaysAgeing]]&gt;5,"yep","on track")</f>
        <v>yep</v>
      </c>
      <c r="Q2365" s="3">
        <f ca="1">IF(Proc[[#This Row],[DateClosed]]="",ABS(NETWORKDAYS(Proc[[#This Row],[DateOpened]],TODAY()))-1,ABS(NETWORKDAYS(Proc[[#This Row],[DateOpened]],Proc[[#This Row],[DateClosed]]))-1)</f>
        <v>10</v>
      </c>
      <c r="R2365" s="108" t="s">
        <v>780</v>
      </c>
      <c r="S2365" s="96"/>
    </row>
    <row r="2366" spans="1:19" hidden="1">
      <c r="A2366" s="105" t="s">
        <v>4189</v>
      </c>
      <c r="B2366" s="96" t="str">
        <f>IFERROR(VLOOKUP(Proc[[#This Row],[App]],Table2[],3,0),"open")</f>
        <v>ok</v>
      </c>
      <c r="C2366" s="105" t="s">
        <v>369</v>
      </c>
      <c r="D2366" t="s">
        <v>4248</v>
      </c>
      <c r="E2366" t="s">
        <v>4246</v>
      </c>
      <c r="F2366" s="96" t="s">
        <v>4246</v>
      </c>
      <c r="G2366" t="s">
        <v>406</v>
      </c>
      <c r="H2366" s="96" t="str">
        <f>IF(Proc[[#This Row],[type]]="LFF (MDG-F)",MID(Proc[[#This Row],[Obj]],13,10),"")</f>
        <v>DE10N11700</v>
      </c>
      <c r="I2366" t="s">
        <v>4289</v>
      </c>
      <c r="J2366" s="96" t="b">
        <f>Proc[[#This Row],[Requested]]=Proc[[#This Row],[CurrentParent]]</f>
        <v>1</v>
      </c>
      <c r="K2366" s="96" t="str">
        <f>IF(Proc[[#This Row],[Author]]="Marcela Urrego",VLOOKUP(LEFT(Proc[[#This Row],[Requested]],1),Table3[#All],2,0),VLOOKUP(Proc[[#This Row],[Author]],Table4[],2,0))</f>
        <v>EL</v>
      </c>
      <c r="L2366" s="96" t="s">
        <v>2563</v>
      </c>
      <c r="M2366" s="107">
        <v>45825.476678240739</v>
      </c>
      <c r="N2366" s="107"/>
      <c r="O2366" s="107"/>
      <c r="P2366" s="108" t="str">
        <f ca="1">IF(Proc[[#This Row],[DaysAgeing]]&gt;5,"yep","on track")</f>
        <v>yep</v>
      </c>
      <c r="Q2366" s="3">
        <f ca="1">IF(Proc[[#This Row],[DateClosed]]="",ABS(NETWORKDAYS(Proc[[#This Row],[DateOpened]],TODAY()))-1,ABS(NETWORKDAYS(Proc[[#This Row],[DateOpened]],Proc[[#This Row],[DateClosed]]))-1)</f>
        <v>10</v>
      </c>
      <c r="R2366" s="108" t="s">
        <v>780</v>
      </c>
      <c r="S2366" s="96"/>
    </row>
    <row r="2367" spans="1:19" hidden="1">
      <c r="A2367" s="105" t="s">
        <v>4189</v>
      </c>
      <c r="B2367" s="96" t="str">
        <f>IFERROR(VLOOKUP(Proc[[#This Row],[App]],Table2[],3,0),"open")</f>
        <v>ok</v>
      </c>
      <c r="C2367" s="105" t="s">
        <v>369</v>
      </c>
      <c r="D2367" t="s">
        <v>4249</v>
      </c>
      <c r="E2367" t="s">
        <v>4246</v>
      </c>
      <c r="F2367" s="96" t="s">
        <v>4246</v>
      </c>
      <c r="G2367" s="105" t="s">
        <v>406</v>
      </c>
      <c r="H2367" s="96" t="str">
        <f>IF(Proc[[#This Row],[type]]="LFF (MDG-F)",MID(Proc[[#This Row],[Obj]],13,10),"")</f>
        <v>DE10N11714</v>
      </c>
      <c r="I2367" s="105" t="s">
        <v>4289</v>
      </c>
      <c r="J2367" s="96" t="b">
        <f>Proc[[#This Row],[Requested]]=Proc[[#This Row],[CurrentParent]]</f>
        <v>1</v>
      </c>
      <c r="K2367" s="96" t="str">
        <f>IF(Proc[[#This Row],[Author]]="Marcela Urrego",VLOOKUP(LEFT(Proc[[#This Row],[Requested]],1),Table3[#All],2,0),VLOOKUP(Proc[[#This Row],[Author]],Table4[],2,0))</f>
        <v>EL</v>
      </c>
      <c r="L2367" s="96" t="s">
        <v>2563</v>
      </c>
      <c r="M2367" s="107">
        <v>45825.476678240739</v>
      </c>
      <c r="N2367" s="107"/>
      <c r="O2367" s="107"/>
      <c r="P2367" s="108" t="str">
        <f ca="1">IF(Proc[[#This Row],[DaysAgeing]]&gt;5,"yep","on track")</f>
        <v>yep</v>
      </c>
      <c r="Q2367" s="3">
        <f ca="1">IF(Proc[[#This Row],[DateClosed]]="",ABS(NETWORKDAYS(Proc[[#This Row],[DateOpened]],TODAY()))-1,ABS(NETWORKDAYS(Proc[[#This Row],[DateOpened]],Proc[[#This Row],[DateClosed]]))-1)</f>
        <v>10</v>
      </c>
      <c r="R2367" s="108" t="s">
        <v>780</v>
      </c>
      <c r="S2367" s="96"/>
    </row>
    <row r="2368" spans="1:19" hidden="1">
      <c r="A2368" s="105" t="s">
        <v>4189</v>
      </c>
      <c r="B2368" s="96" t="str">
        <f>IFERROR(VLOOKUP(Proc[[#This Row],[App]],Table2[],3,0),"open")</f>
        <v>ok</v>
      </c>
      <c r="C2368" s="105" t="s">
        <v>369</v>
      </c>
      <c r="D2368" t="s">
        <v>4250</v>
      </c>
      <c r="E2368" t="s">
        <v>4246</v>
      </c>
      <c r="F2368" s="96" t="s">
        <v>4246</v>
      </c>
      <c r="G2368" s="105" t="s">
        <v>406</v>
      </c>
      <c r="H2368" s="96" t="str">
        <f>IF(Proc[[#This Row],[type]]="LFF (MDG-F)",MID(Proc[[#This Row],[Obj]],13,10),"")</f>
        <v>DE10N11716</v>
      </c>
      <c r="I2368" s="105" t="s">
        <v>4289</v>
      </c>
      <c r="J2368" s="96" t="b">
        <f>Proc[[#This Row],[Requested]]=Proc[[#This Row],[CurrentParent]]</f>
        <v>1</v>
      </c>
      <c r="K2368" s="96" t="str">
        <f>IF(Proc[[#This Row],[Author]]="Marcela Urrego",VLOOKUP(LEFT(Proc[[#This Row],[Requested]],1),Table3[#All],2,0),VLOOKUP(Proc[[#This Row],[Author]],Table4[],2,0))</f>
        <v>EL</v>
      </c>
      <c r="L2368" s="96" t="s">
        <v>2563</v>
      </c>
      <c r="M2368" s="107">
        <v>45825.476678240739</v>
      </c>
      <c r="N2368" s="107"/>
      <c r="O2368" s="107"/>
      <c r="P2368" s="108" t="str">
        <f ca="1">IF(Proc[[#This Row],[DaysAgeing]]&gt;5,"yep","on track")</f>
        <v>yep</v>
      </c>
      <c r="Q2368" s="3">
        <f ca="1">IF(Proc[[#This Row],[DateClosed]]="",ABS(NETWORKDAYS(Proc[[#This Row],[DateOpened]],TODAY()))-1,ABS(NETWORKDAYS(Proc[[#This Row],[DateOpened]],Proc[[#This Row],[DateClosed]]))-1)</f>
        <v>10</v>
      </c>
      <c r="R2368" s="108" t="s">
        <v>780</v>
      </c>
      <c r="S2368" s="96"/>
    </row>
    <row r="2369" spans="1:19" hidden="1">
      <c r="A2369" s="105" t="s">
        <v>4189</v>
      </c>
      <c r="B2369" s="96" t="str">
        <f>IFERROR(VLOOKUP(Proc[[#This Row],[App]],Table2[],3,0),"open")</f>
        <v>ok</v>
      </c>
      <c r="C2369" s="105" t="s">
        <v>369</v>
      </c>
      <c r="D2369" t="s">
        <v>4251</v>
      </c>
      <c r="E2369" t="s">
        <v>4246</v>
      </c>
      <c r="F2369" s="96" t="s">
        <v>4246</v>
      </c>
      <c r="G2369" s="105" t="s">
        <v>406</v>
      </c>
      <c r="H2369" s="96" t="str">
        <f>IF(Proc[[#This Row],[type]]="LFF (MDG-F)",MID(Proc[[#This Row],[Obj]],13,10),"")</f>
        <v>DE10N11720</v>
      </c>
      <c r="I2369" s="105" t="s">
        <v>4289</v>
      </c>
      <c r="J2369" s="96" t="b">
        <f>Proc[[#This Row],[Requested]]=Proc[[#This Row],[CurrentParent]]</f>
        <v>1</v>
      </c>
      <c r="K2369" s="96" t="str">
        <f>IF(Proc[[#This Row],[Author]]="Marcela Urrego",VLOOKUP(LEFT(Proc[[#This Row],[Requested]],1),Table3[#All],2,0),VLOOKUP(Proc[[#This Row],[Author]],Table4[],2,0))</f>
        <v>EL</v>
      </c>
      <c r="L2369" s="96" t="s">
        <v>2563</v>
      </c>
      <c r="M2369" s="107">
        <v>45825.476678240739</v>
      </c>
      <c r="N2369" s="107"/>
      <c r="O2369" s="107"/>
      <c r="P2369" s="108" t="str">
        <f ca="1">IF(Proc[[#This Row],[DaysAgeing]]&gt;5,"yep","on track")</f>
        <v>yep</v>
      </c>
      <c r="Q2369" s="3">
        <f ca="1">IF(Proc[[#This Row],[DateClosed]]="",ABS(NETWORKDAYS(Proc[[#This Row],[DateOpened]],TODAY()))-1,ABS(NETWORKDAYS(Proc[[#This Row],[DateOpened]],Proc[[#This Row],[DateClosed]]))-1)</f>
        <v>10</v>
      </c>
      <c r="R2369" s="108" t="s">
        <v>780</v>
      </c>
      <c r="S2369" s="96"/>
    </row>
    <row r="2370" spans="1:19" hidden="1">
      <c r="A2370" s="105" t="s">
        <v>4189</v>
      </c>
      <c r="B2370" s="96" t="str">
        <f>IFERROR(VLOOKUP(Proc[[#This Row],[App]],Table2[],3,0),"open")</f>
        <v>ok</v>
      </c>
      <c r="C2370" s="105" t="s">
        <v>369</v>
      </c>
      <c r="D2370" t="s">
        <v>4252</v>
      </c>
      <c r="E2370" t="s">
        <v>4246</v>
      </c>
      <c r="F2370" s="96" t="s">
        <v>4246</v>
      </c>
      <c r="G2370" s="105" t="s">
        <v>406</v>
      </c>
      <c r="H2370" s="96" t="str">
        <f>IF(Proc[[#This Row],[type]]="LFF (MDG-F)",MID(Proc[[#This Row],[Obj]],13,10),"")</f>
        <v>DE10N11722</v>
      </c>
      <c r="I2370" s="105" t="s">
        <v>4289</v>
      </c>
      <c r="J2370" s="96" t="b">
        <f>Proc[[#This Row],[Requested]]=Proc[[#This Row],[CurrentParent]]</f>
        <v>1</v>
      </c>
      <c r="K2370" s="96" t="str">
        <f>IF(Proc[[#This Row],[Author]]="Marcela Urrego",VLOOKUP(LEFT(Proc[[#This Row],[Requested]],1),Table3[#All],2,0),VLOOKUP(Proc[[#This Row],[Author]],Table4[],2,0))</f>
        <v>EL</v>
      </c>
      <c r="L2370" s="96" t="s">
        <v>2563</v>
      </c>
      <c r="M2370" s="107">
        <v>45825.476678240739</v>
      </c>
      <c r="N2370" s="107"/>
      <c r="O2370" s="107"/>
      <c r="P2370" s="108" t="str">
        <f ca="1">IF(Proc[[#This Row],[DaysAgeing]]&gt;5,"yep","on track")</f>
        <v>yep</v>
      </c>
      <c r="Q2370" s="3">
        <f ca="1">IF(Proc[[#This Row],[DateClosed]]="",ABS(NETWORKDAYS(Proc[[#This Row],[DateOpened]],TODAY()))-1,ABS(NETWORKDAYS(Proc[[#This Row],[DateOpened]],Proc[[#This Row],[DateClosed]]))-1)</f>
        <v>10</v>
      </c>
      <c r="R2370" s="108" t="s">
        <v>780</v>
      </c>
      <c r="S2370" s="96"/>
    </row>
    <row r="2371" spans="1:19" hidden="1">
      <c r="A2371" s="105" t="s">
        <v>4189</v>
      </c>
      <c r="B2371" s="96" t="str">
        <f>IFERROR(VLOOKUP(Proc[[#This Row],[App]],Table2[],3,0),"open")</f>
        <v>ok</v>
      </c>
      <c r="C2371" s="105" t="s">
        <v>369</v>
      </c>
      <c r="D2371" t="s">
        <v>4253</v>
      </c>
      <c r="E2371" t="s">
        <v>4246</v>
      </c>
      <c r="F2371" s="96" t="s">
        <v>4246</v>
      </c>
      <c r="G2371" s="105" t="s">
        <v>406</v>
      </c>
      <c r="H2371" s="96" t="str">
        <f>IF(Proc[[#This Row],[type]]="LFF (MDG-F)",MID(Proc[[#This Row],[Obj]],13,10),"")</f>
        <v>DE10N11740</v>
      </c>
      <c r="I2371" s="105" t="s">
        <v>4289</v>
      </c>
      <c r="J2371" s="96" t="b">
        <f>Proc[[#This Row],[Requested]]=Proc[[#This Row],[CurrentParent]]</f>
        <v>1</v>
      </c>
      <c r="K2371" s="96" t="str">
        <f>IF(Proc[[#This Row],[Author]]="Marcela Urrego",VLOOKUP(LEFT(Proc[[#This Row],[Requested]],1),Table3[#All],2,0),VLOOKUP(Proc[[#This Row],[Author]],Table4[],2,0))</f>
        <v>EL</v>
      </c>
      <c r="L2371" s="96" t="s">
        <v>2563</v>
      </c>
      <c r="M2371" s="107">
        <v>45825.476678240739</v>
      </c>
      <c r="N2371" s="107"/>
      <c r="O2371" s="107"/>
      <c r="P2371" s="108" t="str">
        <f ca="1">IF(Proc[[#This Row],[DaysAgeing]]&gt;5,"yep","on track")</f>
        <v>yep</v>
      </c>
      <c r="Q2371" s="3">
        <f ca="1">IF(Proc[[#This Row],[DateClosed]]="",ABS(NETWORKDAYS(Proc[[#This Row],[DateOpened]],TODAY()))-1,ABS(NETWORKDAYS(Proc[[#This Row],[DateOpened]],Proc[[#This Row],[DateClosed]]))-1)</f>
        <v>10</v>
      </c>
      <c r="R2371" s="108" t="s">
        <v>780</v>
      </c>
      <c r="S2371" s="96"/>
    </row>
    <row r="2372" spans="1:19" hidden="1">
      <c r="A2372" s="105" t="s">
        <v>4189</v>
      </c>
      <c r="B2372" s="96" t="str">
        <f>IFERROR(VLOOKUP(Proc[[#This Row],[App]],Table2[],3,0),"open")</f>
        <v>ok</v>
      </c>
      <c r="C2372" s="105" t="s">
        <v>369</v>
      </c>
      <c r="D2372" t="s">
        <v>4254</v>
      </c>
      <c r="E2372" t="s">
        <v>4246</v>
      </c>
      <c r="F2372" s="96" t="s">
        <v>4246</v>
      </c>
      <c r="G2372" s="105" t="s">
        <v>406</v>
      </c>
      <c r="H2372" s="96" t="str">
        <f>IF(Proc[[#This Row],[type]]="LFF (MDG-F)",MID(Proc[[#This Row],[Obj]],13,10),"")</f>
        <v>DE10N11750</v>
      </c>
      <c r="I2372" s="105" t="s">
        <v>4289</v>
      </c>
      <c r="J2372" s="96" t="b">
        <f>Proc[[#This Row],[Requested]]=Proc[[#This Row],[CurrentParent]]</f>
        <v>1</v>
      </c>
      <c r="K2372" s="96" t="str">
        <f>IF(Proc[[#This Row],[Author]]="Marcela Urrego",VLOOKUP(LEFT(Proc[[#This Row],[Requested]],1),Table3[#All],2,0),VLOOKUP(Proc[[#This Row],[Author]],Table4[],2,0))</f>
        <v>EL</v>
      </c>
      <c r="L2372" s="96" t="s">
        <v>2563</v>
      </c>
      <c r="M2372" s="107">
        <v>45825.476678240739</v>
      </c>
      <c r="N2372" s="107"/>
      <c r="O2372" s="107"/>
      <c r="P2372" s="108" t="str">
        <f ca="1">IF(Proc[[#This Row],[DaysAgeing]]&gt;5,"yep","on track")</f>
        <v>yep</v>
      </c>
      <c r="Q2372" s="3">
        <f ca="1">IF(Proc[[#This Row],[DateClosed]]="",ABS(NETWORKDAYS(Proc[[#This Row],[DateOpened]],TODAY()))-1,ABS(NETWORKDAYS(Proc[[#This Row],[DateOpened]],Proc[[#This Row],[DateClosed]]))-1)</f>
        <v>10</v>
      </c>
      <c r="R2372" s="108" t="s">
        <v>780</v>
      </c>
      <c r="S2372" s="96"/>
    </row>
    <row r="2373" spans="1:19" hidden="1">
      <c r="A2373" s="105" t="s">
        <v>4189</v>
      </c>
      <c r="B2373" s="96" t="str">
        <f>IFERROR(VLOOKUP(Proc[[#This Row],[App]],Table2[],3,0),"open")</f>
        <v>ok</v>
      </c>
      <c r="C2373" s="105" t="s">
        <v>369</v>
      </c>
      <c r="D2373" t="s">
        <v>4255</v>
      </c>
      <c r="E2373" t="s">
        <v>4246</v>
      </c>
      <c r="F2373" s="96" t="s">
        <v>4246</v>
      </c>
      <c r="G2373" s="105" t="s">
        <v>406</v>
      </c>
      <c r="H2373" s="96" t="str">
        <f>IF(Proc[[#This Row],[type]]="LFF (MDG-F)",MID(Proc[[#This Row],[Obj]],13,10),"")</f>
        <v>DE10N11780</v>
      </c>
      <c r="I2373" s="105" t="s">
        <v>4289</v>
      </c>
      <c r="J2373" s="96" t="b">
        <f>Proc[[#This Row],[Requested]]=Proc[[#This Row],[CurrentParent]]</f>
        <v>1</v>
      </c>
      <c r="K2373" s="96" t="str">
        <f>IF(Proc[[#This Row],[Author]]="Marcela Urrego",VLOOKUP(LEFT(Proc[[#This Row],[Requested]],1),Table3[#All],2,0),VLOOKUP(Proc[[#This Row],[Author]],Table4[],2,0))</f>
        <v>EL</v>
      </c>
      <c r="L2373" s="96" t="s">
        <v>2563</v>
      </c>
      <c r="M2373" s="107">
        <v>45825.476678240739</v>
      </c>
      <c r="N2373" s="107"/>
      <c r="O2373" s="107"/>
      <c r="P2373" s="108" t="str">
        <f ca="1">IF(Proc[[#This Row],[DaysAgeing]]&gt;5,"yep","on track")</f>
        <v>yep</v>
      </c>
      <c r="Q2373" s="3">
        <f ca="1">IF(Proc[[#This Row],[DateClosed]]="",ABS(NETWORKDAYS(Proc[[#This Row],[DateOpened]],TODAY()))-1,ABS(NETWORKDAYS(Proc[[#This Row],[DateOpened]],Proc[[#This Row],[DateClosed]]))-1)</f>
        <v>10</v>
      </c>
      <c r="R2373" s="108" t="s">
        <v>780</v>
      </c>
      <c r="S2373" s="96"/>
    </row>
    <row r="2374" spans="1:19" hidden="1">
      <c r="A2374" s="105" t="s">
        <v>4189</v>
      </c>
      <c r="B2374" s="96" t="str">
        <f>IFERROR(VLOOKUP(Proc[[#This Row],[App]],Table2[],3,0),"open")</f>
        <v>ok</v>
      </c>
      <c r="C2374" s="105" t="s">
        <v>369</v>
      </c>
      <c r="D2374" t="s">
        <v>4256</v>
      </c>
      <c r="E2374" t="s">
        <v>4247</v>
      </c>
      <c r="F2374" s="96" t="s">
        <v>4247</v>
      </c>
      <c r="G2374" s="105" t="s">
        <v>406</v>
      </c>
      <c r="H2374" s="96" t="str">
        <f>IF(Proc[[#This Row],[type]]="LFF (MDG-F)",MID(Proc[[#This Row],[Obj]],13,10),"")</f>
        <v>DE10N11800</v>
      </c>
      <c r="I2374" s="105" t="s">
        <v>4289</v>
      </c>
      <c r="J2374" s="96" t="b">
        <f>Proc[[#This Row],[Requested]]=Proc[[#This Row],[CurrentParent]]</f>
        <v>1</v>
      </c>
      <c r="K2374" s="96" t="str">
        <f>IF(Proc[[#This Row],[Author]]="Marcela Urrego",VLOOKUP(LEFT(Proc[[#This Row],[Requested]],1),Table3[#All],2,0),VLOOKUP(Proc[[#This Row],[Author]],Table4[],2,0))</f>
        <v>EL</v>
      </c>
      <c r="L2374" s="96" t="s">
        <v>2563</v>
      </c>
      <c r="M2374" s="107">
        <v>45825.476678240739</v>
      </c>
      <c r="N2374" s="107"/>
      <c r="O2374" s="107"/>
      <c r="P2374" s="108" t="str">
        <f ca="1">IF(Proc[[#This Row],[DaysAgeing]]&gt;5,"yep","on track")</f>
        <v>yep</v>
      </c>
      <c r="Q2374" s="3">
        <f ca="1">IF(Proc[[#This Row],[DateClosed]]="",ABS(NETWORKDAYS(Proc[[#This Row],[DateOpened]],TODAY()))-1,ABS(NETWORKDAYS(Proc[[#This Row],[DateOpened]],Proc[[#This Row],[DateClosed]]))-1)</f>
        <v>10</v>
      </c>
      <c r="R2374" s="108" t="s">
        <v>780</v>
      </c>
      <c r="S2374" s="96"/>
    </row>
    <row r="2375" spans="1:19" hidden="1">
      <c r="A2375" s="105" t="s">
        <v>4189</v>
      </c>
      <c r="B2375" s="96" t="str">
        <f>IFERROR(VLOOKUP(Proc[[#This Row],[App]],Table2[],3,0),"open")</f>
        <v>ok</v>
      </c>
      <c r="C2375" s="105" t="s">
        <v>369</v>
      </c>
      <c r="D2375" t="s">
        <v>4257</v>
      </c>
      <c r="E2375" t="s">
        <v>4247</v>
      </c>
      <c r="F2375" s="96" t="s">
        <v>4247</v>
      </c>
      <c r="G2375" s="105" t="s">
        <v>406</v>
      </c>
      <c r="H2375" s="96" t="str">
        <f>IF(Proc[[#This Row],[type]]="LFF (MDG-F)",MID(Proc[[#This Row],[Obj]],13,10),"")</f>
        <v>DE10N11812</v>
      </c>
      <c r="I2375" s="105" t="s">
        <v>4289</v>
      </c>
      <c r="J2375" s="96" t="b">
        <f>Proc[[#This Row],[Requested]]=Proc[[#This Row],[CurrentParent]]</f>
        <v>1</v>
      </c>
      <c r="K2375" s="96" t="str">
        <f>IF(Proc[[#This Row],[Author]]="Marcela Urrego",VLOOKUP(LEFT(Proc[[#This Row],[Requested]],1),Table3[#All],2,0),VLOOKUP(Proc[[#This Row],[Author]],Table4[],2,0))</f>
        <v>EL</v>
      </c>
      <c r="L2375" s="96" t="s">
        <v>2563</v>
      </c>
      <c r="M2375" s="107">
        <v>45825.476678240739</v>
      </c>
      <c r="N2375" s="107"/>
      <c r="O2375" s="107"/>
      <c r="P2375" s="108" t="str">
        <f ca="1">IF(Proc[[#This Row],[DaysAgeing]]&gt;5,"yep","on track")</f>
        <v>yep</v>
      </c>
      <c r="Q2375" s="3">
        <f ca="1">IF(Proc[[#This Row],[DateClosed]]="",ABS(NETWORKDAYS(Proc[[#This Row],[DateOpened]],TODAY()))-1,ABS(NETWORKDAYS(Proc[[#This Row],[DateOpened]],Proc[[#This Row],[DateClosed]]))-1)</f>
        <v>10</v>
      </c>
      <c r="R2375" s="108" t="s">
        <v>780</v>
      </c>
      <c r="S2375" s="96"/>
    </row>
    <row r="2376" spans="1:19" hidden="1">
      <c r="A2376" s="105" t="s">
        <v>4189</v>
      </c>
      <c r="B2376" s="96" t="str">
        <f>IFERROR(VLOOKUP(Proc[[#This Row],[App]],Table2[],3,0),"open")</f>
        <v>ok</v>
      </c>
      <c r="C2376" s="105" t="s">
        <v>369</v>
      </c>
      <c r="D2376" t="s">
        <v>4258</v>
      </c>
      <c r="E2376" t="s">
        <v>4247</v>
      </c>
      <c r="F2376" s="96" t="s">
        <v>4247</v>
      </c>
      <c r="G2376" s="105" t="s">
        <v>406</v>
      </c>
      <c r="H2376" s="96" t="str">
        <f>IF(Proc[[#This Row],[type]]="LFF (MDG-F)",MID(Proc[[#This Row],[Obj]],13,10),"")</f>
        <v>DE10N11813</v>
      </c>
      <c r="I2376" s="105" t="s">
        <v>4289</v>
      </c>
      <c r="J2376" s="96" t="b">
        <f>Proc[[#This Row],[Requested]]=Proc[[#This Row],[CurrentParent]]</f>
        <v>1</v>
      </c>
      <c r="K2376" s="96" t="str">
        <f>IF(Proc[[#This Row],[Author]]="Marcela Urrego",VLOOKUP(LEFT(Proc[[#This Row],[Requested]],1),Table3[#All],2,0),VLOOKUP(Proc[[#This Row],[Author]],Table4[],2,0))</f>
        <v>EL</v>
      </c>
      <c r="L2376" s="96" t="s">
        <v>2563</v>
      </c>
      <c r="M2376" s="107">
        <v>45825.476678240739</v>
      </c>
      <c r="N2376" s="107"/>
      <c r="O2376" s="107"/>
      <c r="P2376" s="108" t="str">
        <f ca="1">IF(Proc[[#This Row],[DaysAgeing]]&gt;5,"yep","on track")</f>
        <v>yep</v>
      </c>
      <c r="Q2376" s="3">
        <f ca="1">IF(Proc[[#This Row],[DateClosed]]="",ABS(NETWORKDAYS(Proc[[#This Row],[DateOpened]],TODAY()))-1,ABS(NETWORKDAYS(Proc[[#This Row],[DateOpened]],Proc[[#This Row],[DateClosed]]))-1)</f>
        <v>10</v>
      </c>
      <c r="R2376" s="108" t="s">
        <v>780</v>
      </c>
      <c r="S2376" s="96"/>
    </row>
    <row r="2377" spans="1:19" hidden="1">
      <c r="A2377" s="105" t="s">
        <v>4189</v>
      </c>
      <c r="B2377" s="96" t="str">
        <f>IFERROR(VLOOKUP(Proc[[#This Row],[App]],Table2[],3,0),"open")</f>
        <v>ok</v>
      </c>
      <c r="C2377" s="105" t="s">
        <v>369</v>
      </c>
      <c r="D2377" t="s">
        <v>4259</v>
      </c>
      <c r="E2377" t="s">
        <v>4247</v>
      </c>
      <c r="F2377" s="96" t="s">
        <v>4247</v>
      </c>
      <c r="G2377" s="105" t="s">
        <v>406</v>
      </c>
      <c r="H2377" s="96" t="str">
        <f>IF(Proc[[#This Row],[type]]="LFF (MDG-F)",MID(Proc[[#This Row],[Obj]],13,10),"")</f>
        <v>DE10N11814</v>
      </c>
      <c r="I2377" s="105" t="s">
        <v>4289</v>
      </c>
      <c r="J2377" s="96" t="b">
        <f>Proc[[#This Row],[Requested]]=Proc[[#This Row],[CurrentParent]]</f>
        <v>1</v>
      </c>
      <c r="K2377" s="96" t="str">
        <f>IF(Proc[[#This Row],[Author]]="Marcela Urrego",VLOOKUP(LEFT(Proc[[#This Row],[Requested]],1),Table3[#All],2,0),VLOOKUP(Proc[[#This Row],[Author]],Table4[],2,0))</f>
        <v>EL</v>
      </c>
      <c r="L2377" s="96" t="s">
        <v>2563</v>
      </c>
      <c r="M2377" s="107">
        <v>45825.476678240739</v>
      </c>
      <c r="N2377" s="107"/>
      <c r="O2377" s="107"/>
      <c r="P2377" s="108" t="str">
        <f ca="1">IF(Proc[[#This Row],[DaysAgeing]]&gt;5,"yep","on track")</f>
        <v>yep</v>
      </c>
      <c r="Q2377" s="3">
        <f ca="1">IF(Proc[[#This Row],[DateClosed]]="",ABS(NETWORKDAYS(Proc[[#This Row],[DateOpened]],TODAY()))-1,ABS(NETWORKDAYS(Proc[[#This Row],[DateOpened]],Proc[[#This Row],[DateClosed]]))-1)</f>
        <v>10</v>
      </c>
      <c r="R2377" s="108" t="s">
        <v>780</v>
      </c>
      <c r="S2377" s="96"/>
    </row>
    <row r="2378" spans="1:19" hidden="1">
      <c r="A2378" s="105" t="s">
        <v>4189</v>
      </c>
      <c r="B2378" s="96" t="str">
        <f>IFERROR(VLOOKUP(Proc[[#This Row],[App]],Table2[],3,0),"open")</f>
        <v>ok</v>
      </c>
      <c r="C2378" s="105" t="s">
        <v>369</v>
      </c>
      <c r="D2378" t="s">
        <v>4260</v>
      </c>
      <c r="E2378" t="s">
        <v>4247</v>
      </c>
      <c r="F2378" s="96" t="s">
        <v>4247</v>
      </c>
      <c r="G2378" s="105" t="s">
        <v>406</v>
      </c>
      <c r="H2378" s="96" t="str">
        <f>IF(Proc[[#This Row],[type]]="LFF (MDG-F)",MID(Proc[[#This Row],[Obj]],13,10),"")</f>
        <v>DE10N11816</v>
      </c>
      <c r="I2378" s="105" t="s">
        <v>4289</v>
      </c>
      <c r="J2378" s="96" t="b">
        <f>Proc[[#This Row],[Requested]]=Proc[[#This Row],[CurrentParent]]</f>
        <v>1</v>
      </c>
      <c r="K2378" s="96" t="str">
        <f>IF(Proc[[#This Row],[Author]]="Marcela Urrego",VLOOKUP(LEFT(Proc[[#This Row],[Requested]],1),Table3[#All],2,0),VLOOKUP(Proc[[#This Row],[Author]],Table4[],2,0))</f>
        <v>EL</v>
      </c>
      <c r="L2378" s="96" t="s">
        <v>2563</v>
      </c>
      <c r="M2378" s="107">
        <v>45825.476678240739</v>
      </c>
      <c r="N2378" s="107"/>
      <c r="O2378" s="107"/>
      <c r="P2378" s="108" t="str">
        <f ca="1">IF(Proc[[#This Row],[DaysAgeing]]&gt;5,"yep","on track")</f>
        <v>yep</v>
      </c>
      <c r="Q2378" s="3">
        <f ca="1">IF(Proc[[#This Row],[DateClosed]]="",ABS(NETWORKDAYS(Proc[[#This Row],[DateOpened]],TODAY()))-1,ABS(NETWORKDAYS(Proc[[#This Row],[DateOpened]],Proc[[#This Row],[DateClosed]]))-1)</f>
        <v>10</v>
      </c>
      <c r="R2378" s="108" t="s">
        <v>780</v>
      </c>
      <c r="S2378" s="96"/>
    </row>
    <row r="2379" spans="1:19" hidden="1">
      <c r="A2379" s="105" t="s">
        <v>4189</v>
      </c>
      <c r="B2379" s="96" t="str">
        <f>IFERROR(VLOOKUP(Proc[[#This Row],[App]],Table2[],3,0),"open")</f>
        <v>ok</v>
      </c>
      <c r="C2379" s="105" t="s">
        <v>369</v>
      </c>
      <c r="D2379" t="s">
        <v>4261</v>
      </c>
      <c r="E2379" t="s">
        <v>4247</v>
      </c>
      <c r="F2379" s="96" t="s">
        <v>4247</v>
      </c>
      <c r="G2379" s="105" t="s">
        <v>406</v>
      </c>
      <c r="H2379" s="96" t="str">
        <f>IF(Proc[[#This Row],[type]]="LFF (MDG-F)",MID(Proc[[#This Row],[Obj]],13,10),"")</f>
        <v>DE10N11818</v>
      </c>
      <c r="I2379" s="105" t="s">
        <v>4289</v>
      </c>
      <c r="J2379" s="96" t="b">
        <f>Proc[[#This Row],[Requested]]=Proc[[#This Row],[CurrentParent]]</f>
        <v>1</v>
      </c>
      <c r="K2379" s="96" t="str">
        <f>IF(Proc[[#This Row],[Author]]="Marcela Urrego",VLOOKUP(LEFT(Proc[[#This Row],[Requested]],1),Table3[#All],2,0),VLOOKUP(Proc[[#This Row],[Author]],Table4[],2,0))</f>
        <v>EL</v>
      </c>
      <c r="L2379" s="96" t="s">
        <v>2563</v>
      </c>
      <c r="M2379" s="107">
        <v>45825.476678240739</v>
      </c>
      <c r="N2379" s="107"/>
      <c r="O2379" s="107"/>
      <c r="P2379" s="108" t="str">
        <f ca="1">IF(Proc[[#This Row],[DaysAgeing]]&gt;5,"yep","on track")</f>
        <v>yep</v>
      </c>
      <c r="Q2379" s="3">
        <f ca="1">IF(Proc[[#This Row],[DateClosed]]="",ABS(NETWORKDAYS(Proc[[#This Row],[DateOpened]],TODAY()))-1,ABS(NETWORKDAYS(Proc[[#This Row],[DateOpened]],Proc[[#This Row],[DateClosed]]))-1)</f>
        <v>10</v>
      </c>
      <c r="R2379" s="108" t="s">
        <v>780</v>
      </c>
      <c r="S2379" s="96"/>
    </row>
    <row r="2380" spans="1:19" hidden="1">
      <c r="A2380" s="105" t="s">
        <v>4189</v>
      </c>
      <c r="B2380" s="96" t="str">
        <f>IFERROR(VLOOKUP(Proc[[#This Row],[App]],Table2[],3,0),"open")</f>
        <v>ok</v>
      </c>
      <c r="C2380" s="105" t="s">
        <v>369</v>
      </c>
      <c r="D2380" t="s">
        <v>4262</v>
      </c>
      <c r="E2380" t="s">
        <v>4247</v>
      </c>
      <c r="F2380" s="96" t="s">
        <v>4247</v>
      </c>
      <c r="G2380" s="105" t="s">
        <v>406</v>
      </c>
      <c r="H2380" s="96" t="str">
        <f>IF(Proc[[#This Row],[type]]="LFF (MDG-F)",MID(Proc[[#This Row],[Obj]],13,10),"")</f>
        <v>DE10N11820</v>
      </c>
      <c r="I2380" s="105" t="s">
        <v>4289</v>
      </c>
      <c r="J2380" s="96" t="b">
        <f>Proc[[#This Row],[Requested]]=Proc[[#This Row],[CurrentParent]]</f>
        <v>1</v>
      </c>
      <c r="K2380" s="96" t="str">
        <f>IF(Proc[[#This Row],[Author]]="Marcela Urrego",VLOOKUP(LEFT(Proc[[#This Row],[Requested]],1),Table3[#All],2,0),VLOOKUP(Proc[[#This Row],[Author]],Table4[],2,0))</f>
        <v>EL</v>
      </c>
      <c r="L2380" s="96" t="s">
        <v>2563</v>
      </c>
      <c r="M2380" s="107">
        <v>45825.476678240739</v>
      </c>
      <c r="N2380" s="107"/>
      <c r="O2380" s="107"/>
      <c r="P2380" s="108" t="str">
        <f ca="1">IF(Proc[[#This Row],[DaysAgeing]]&gt;5,"yep","on track")</f>
        <v>yep</v>
      </c>
      <c r="Q2380" s="3">
        <f ca="1">IF(Proc[[#This Row],[DateClosed]]="",ABS(NETWORKDAYS(Proc[[#This Row],[DateOpened]],TODAY()))-1,ABS(NETWORKDAYS(Proc[[#This Row],[DateOpened]],Proc[[#This Row],[DateClosed]]))-1)</f>
        <v>10</v>
      </c>
      <c r="R2380" s="108" t="s">
        <v>780</v>
      </c>
      <c r="S2380" s="96"/>
    </row>
    <row r="2381" spans="1:19" hidden="1">
      <c r="A2381" s="105" t="s">
        <v>4189</v>
      </c>
      <c r="B2381" s="96" t="str">
        <f>IFERROR(VLOOKUP(Proc[[#This Row],[App]],Table2[],3,0),"open")</f>
        <v>ok</v>
      </c>
      <c r="C2381" s="105" t="s">
        <v>369</v>
      </c>
      <c r="D2381" t="s">
        <v>4263</v>
      </c>
      <c r="E2381" t="s">
        <v>4247</v>
      </c>
      <c r="F2381" s="96" t="s">
        <v>4247</v>
      </c>
      <c r="G2381" s="105" t="s">
        <v>406</v>
      </c>
      <c r="H2381" s="96" t="str">
        <f>IF(Proc[[#This Row],[type]]="LFF (MDG-F)",MID(Proc[[#This Row],[Obj]],13,10),"")</f>
        <v>DE10N11826</v>
      </c>
      <c r="I2381" s="105" t="s">
        <v>4289</v>
      </c>
      <c r="J2381" s="96" t="b">
        <f>Proc[[#This Row],[Requested]]=Proc[[#This Row],[CurrentParent]]</f>
        <v>1</v>
      </c>
      <c r="K2381" s="96" t="str">
        <f>IF(Proc[[#This Row],[Author]]="Marcela Urrego",VLOOKUP(LEFT(Proc[[#This Row],[Requested]],1),Table3[#All],2,0),VLOOKUP(Proc[[#This Row],[Author]],Table4[],2,0))</f>
        <v>EL</v>
      </c>
      <c r="L2381" s="96" t="s">
        <v>2563</v>
      </c>
      <c r="M2381" s="107">
        <v>45825.476678240739</v>
      </c>
      <c r="N2381" s="107"/>
      <c r="O2381" s="107"/>
      <c r="P2381" s="108" t="str">
        <f ca="1">IF(Proc[[#This Row],[DaysAgeing]]&gt;5,"yep","on track")</f>
        <v>yep</v>
      </c>
      <c r="Q2381" s="3">
        <f ca="1">IF(Proc[[#This Row],[DateClosed]]="",ABS(NETWORKDAYS(Proc[[#This Row],[DateOpened]],TODAY()))-1,ABS(NETWORKDAYS(Proc[[#This Row],[DateOpened]],Proc[[#This Row],[DateClosed]]))-1)</f>
        <v>10</v>
      </c>
      <c r="R2381" s="108" t="s">
        <v>780</v>
      </c>
      <c r="S2381" s="96"/>
    </row>
    <row r="2382" spans="1:19" hidden="1">
      <c r="A2382" s="105" t="s">
        <v>4189</v>
      </c>
      <c r="B2382" s="96" t="str">
        <f>IFERROR(VLOOKUP(Proc[[#This Row],[App]],Table2[],3,0),"open")</f>
        <v>ok</v>
      </c>
      <c r="C2382" s="105" t="s">
        <v>369</v>
      </c>
      <c r="D2382" t="s">
        <v>4264</v>
      </c>
      <c r="E2382" t="s">
        <v>4247</v>
      </c>
      <c r="F2382" s="96" t="s">
        <v>4247</v>
      </c>
      <c r="G2382" s="105" t="s">
        <v>406</v>
      </c>
      <c r="H2382" s="96" t="str">
        <f>IF(Proc[[#This Row],[type]]="LFF (MDG-F)",MID(Proc[[#This Row],[Obj]],13,10),"")</f>
        <v>DE10N11830</v>
      </c>
      <c r="I2382" s="105" t="s">
        <v>4289</v>
      </c>
      <c r="J2382" s="96" t="b">
        <f>Proc[[#This Row],[Requested]]=Proc[[#This Row],[CurrentParent]]</f>
        <v>1</v>
      </c>
      <c r="K2382" s="96" t="str">
        <f>IF(Proc[[#This Row],[Author]]="Marcela Urrego",VLOOKUP(LEFT(Proc[[#This Row],[Requested]],1),Table3[#All],2,0),VLOOKUP(Proc[[#This Row],[Author]],Table4[],2,0))</f>
        <v>EL</v>
      </c>
      <c r="L2382" s="96" t="s">
        <v>2563</v>
      </c>
      <c r="M2382" s="107">
        <v>45825.476678240739</v>
      </c>
      <c r="N2382" s="107"/>
      <c r="O2382" s="107"/>
      <c r="P2382" s="108" t="str">
        <f ca="1">IF(Proc[[#This Row],[DaysAgeing]]&gt;5,"yep","on track")</f>
        <v>yep</v>
      </c>
      <c r="Q2382" s="3">
        <f ca="1">IF(Proc[[#This Row],[DateClosed]]="",ABS(NETWORKDAYS(Proc[[#This Row],[DateOpened]],TODAY()))-1,ABS(NETWORKDAYS(Proc[[#This Row],[DateOpened]],Proc[[#This Row],[DateClosed]]))-1)</f>
        <v>10</v>
      </c>
      <c r="R2382" s="108" t="s">
        <v>780</v>
      </c>
      <c r="S2382" s="96"/>
    </row>
    <row r="2383" spans="1:19" hidden="1">
      <c r="A2383" s="105" t="s">
        <v>4189</v>
      </c>
      <c r="B2383" s="96" t="str">
        <f>IFERROR(VLOOKUP(Proc[[#This Row],[App]],Table2[],3,0),"open")</f>
        <v>ok</v>
      </c>
      <c r="C2383" s="105" t="s">
        <v>369</v>
      </c>
      <c r="D2383" t="s">
        <v>4265</v>
      </c>
      <c r="E2383" t="s">
        <v>4247</v>
      </c>
      <c r="F2383" s="96" t="s">
        <v>4247</v>
      </c>
      <c r="G2383" s="105" t="s">
        <v>406</v>
      </c>
      <c r="H2383" s="96" t="str">
        <f>IF(Proc[[#This Row],[type]]="LFF (MDG-F)",MID(Proc[[#This Row],[Obj]],13,10),"")</f>
        <v>DE10N11840</v>
      </c>
      <c r="I2383" s="105" t="s">
        <v>4289</v>
      </c>
      <c r="J2383" s="96" t="b">
        <f>Proc[[#This Row],[Requested]]=Proc[[#This Row],[CurrentParent]]</f>
        <v>1</v>
      </c>
      <c r="K2383" s="96" t="str">
        <f>IF(Proc[[#This Row],[Author]]="Marcela Urrego",VLOOKUP(LEFT(Proc[[#This Row],[Requested]],1),Table3[#All],2,0),VLOOKUP(Proc[[#This Row],[Author]],Table4[],2,0))</f>
        <v>EL</v>
      </c>
      <c r="L2383" s="96" t="s">
        <v>2563</v>
      </c>
      <c r="M2383" s="107">
        <v>45825.476678240739</v>
      </c>
      <c r="N2383" s="107"/>
      <c r="O2383" s="107"/>
      <c r="P2383" s="108" t="str">
        <f ca="1">IF(Proc[[#This Row],[DaysAgeing]]&gt;5,"yep","on track")</f>
        <v>yep</v>
      </c>
      <c r="Q2383" s="3">
        <f ca="1">IF(Proc[[#This Row],[DateClosed]]="",ABS(NETWORKDAYS(Proc[[#This Row],[DateOpened]],TODAY()))-1,ABS(NETWORKDAYS(Proc[[#This Row],[DateOpened]],Proc[[#This Row],[DateClosed]]))-1)</f>
        <v>10</v>
      </c>
      <c r="R2383" s="108" t="s">
        <v>780</v>
      </c>
      <c r="S2383" s="96"/>
    </row>
    <row r="2384" spans="1:19" hidden="1">
      <c r="A2384" s="105" t="s">
        <v>4189</v>
      </c>
      <c r="B2384" s="96" t="str">
        <f>IFERROR(VLOOKUP(Proc[[#This Row],[App]],Table2[],3,0),"open")</f>
        <v>ok</v>
      </c>
      <c r="C2384" s="105" t="s">
        <v>369</v>
      </c>
      <c r="D2384" t="s">
        <v>4266</v>
      </c>
      <c r="E2384" t="s">
        <v>4247</v>
      </c>
      <c r="F2384" s="96" t="s">
        <v>4247</v>
      </c>
      <c r="G2384" s="105" t="s">
        <v>406</v>
      </c>
      <c r="H2384" s="96" t="str">
        <f>IF(Proc[[#This Row],[type]]="LFF (MDG-F)",MID(Proc[[#This Row],[Obj]],13,10),"")</f>
        <v>DE10N11850</v>
      </c>
      <c r="I2384" s="105" t="s">
        <v>4289</v>
      </c>
      <c r="J2384" s="96" t="b">
        <f>Proc[[#This Row],[Requested]]=Proc[[#This Row],[CurrentParent]]</f>
        <v>1</v>
      </c>
      <c r="K2384" s="96" t="str">
        <f>IF(Proc[[#This Row],[Author]]="Marcela Urrego",VLOOKUP(LEFT(Proc[[#This Row],[Requested]],1),Table3[#All],2,0),VLOOKUP(Proc[[#This Row],[Author]],Table4[],2,0))</f>
        <v>EL</v>
      </c>
      <c r="L2384" s="96" t="s">
        <v>2563</v>
      </c>
      <c r="M2384" s="107">
        <v>45825.476678240739</v>
      </c>
      <c r="N2384" s="107"/>
      <c r="O2384" s="107"/>
      <c r="P2384" s="108" t="str">
        <f ca="1">IF(Proc[[#This Row],[DaysAgeing]]&gt;5,"yep","on track")</f>
        <v>yep</v>
      </c>
      <c r="Q2384" s="3">
        <f ca="1">IF(Proc[[#This Row],[DateClosed]]="",ABS(NETWORKDAYS(Proc[[#This Row],[DateOpened]],TODAY()))-1,ABS(NETWORKDAYS(Proc[[#This Row],[DateOpened]],Proc[[#This Row],[DateClosed]]))-1)</f>
        <v>10</v>
      </c>
      <c r="R2384" s="108" t="s">
        <v>780</v>
      </c>
      <c r="S2384" s="96"/>
    </row>
    <row r="2385" spans="1:19" hidden="1">
      <c r="A2385" s="105" t="s">
        <v>4189</v>
      </c>
      <c r="B2385" s="96" t="str">
        <f>IFERROR(VLOOKUP(Proc[[#This Row],[App]],Table2[],3,0),"open")</f>
        <v>ok</v>
      </c>
      <c r="C2385" s="105" t="s">
        <v>369</v>
      </c>
      <c r="D2385" t="s">
        <v>4267</v>
      </c>
      <c r="E2385" t="s">
        <v>4247</v>
      </c>
      <c r="F2385" s="96" t="s">
        <v>4247</v>
      </c>
      <c r="G2385" s="105" t="s">
        <v>406</v>
      </c>
      <c r="H2385" s="96" t="str">
        <f>IF(Proc[[#This Row],[type]]="LFF (MDG-F)",MID(Proc[[#This Row],[Obj]],13,10),"")</f>
        <v>DE10N11855</v>
      </c>
      <c r="I2385" s="105" t="s">
        <v>4289</v>
      </c>
      <c r="J2385" s="96" t="b">
        <f>Proc[[#This Row],[Requested]]=Proc[[#This Row],[CurrentParent]]</f>
        <v>1</v>
      </c>
      <c r="K2385" s="96" t="str">
        <f>IF(Proc[[#This Row],[Author]]="Marcela Urrego",VLOOKUP(LEFT(Proc[[#This Row],[Requested]],1),Table3[#All],2,0),VLOOKUP(Proc[[#This Row],[Author]],Table4[],2,0))</f>
        <v>EL</v>
      </c>
      <c r="L2385" s="96" t="s">
        <v>2563</v>
      </c>
      <c r="M2385" s="107">
        <v>45825.476678240739</v>
      </c>
      <c r="N2385" s="107"/>
      <c r="O2385" s="107"/>
      <c r="P2385" s="108" t="str">
        <f ca="1">IF(Proc[[#This Row],[DaysAgeing]]&gt;5,"yep","on track")</f>
        <v>yep</v>
      </c>
      <c r="Q2385" s="3">
        <f ca="1">IF(Proc[[#This Row],[DateClosed]]="",ABS(NETWORKDAYS(Proc[[#This Row],[DateOpened]],TODAY()))-1,ABS(NETWORKDAYS(Proc[[#This Row],[DateOpened]],Proc[[#This Row],[DateClosed]]))-1)</f>
        <v>10</v>
      </c>
      <c r="R2385" s="108" t="s">
        <v>780</v>
      </c>
      <c r="S2385" s="96"/>
    </row>
    <row r="2386" spans="1:19" hidden="1">
      <c r="A2386" s="105" t="s">
        <v>4189</v>
      </c>
      <c r="B2386" s="96" t="str">
        <f>IFERROR(VLOOKUP(Proc[[#This Row],[App]],Table2[],3,0),"open")</f>
        <v>ok</v>
      </c>
      <c r="C2386" s="105" t="s">
        <v>369</v>
      </c>
      <c r="D2386" t="s">
        <v>4268</v>
      </c>
      <c r="E2386" t="s">
        <v>4247</v>
      </c>
      <c r="F2386" s="96" t="s">
        <v>4247</v>
      </c>
      <c r="G2386" s="105" t="s">
        <v>406</v>
      </c>
      <c r="H2386" s="96" t="str">
        <f>IF(Proc[[#This Row],[type]]="LFF (MDG-F)",MID(Proc[[#This Row],[Obj]],13,10),"")</f>
        <v>DE10N11860</v>
      </c>
      <c r="I2386" s="105" t="s">
        <v>4289</v>
      </c>
      <c r="J2386" s="96" t="b">
        <f>Proc[[#This Row],[Requested]]=Proc[[#This Row],[CurrentParent]]</f>
        <v>1</v>
      </c>
      <c r="K2386" s="96" t="str">
        <f>IF(Proc[[#This Row],[Author]]="Marcela Urrego",VLOOKUP(LEFT(Proc[[#This Row],[Requested]],1),Table3[#All],2,0),VLOOKUP(Proc[[#This Row],[Author]],Table4[],2,0))</f>
        <v>EL</v>
      </c>
      <c r="L2386" s="96" t="s">
        <v>2563</v>
      </c>
      <c r="M2386" s="107">
        <v>45825.476678240739</v>
      </c>
      <c r="N2386" s="107"/>
      <c r="O2386" s="107"/>
      <c r="P2386" s="108" t="str">
        <f ca="1">IF(Proc[[#This Row],[DaysAgeing]]&gt;5,"yep","on track")</f>
        <v>yep</v>
      </c>
      <c r="Q2386" s="3">
        <f ca="1">IF(Proc[[#This Row],[DateClosed]]="",ABS(NETWORKDAYS(Proc[[#This Row],[DateOpened]],TODAY()))-1,ABS(NETWORKDAYS(Proc[[#This Row],[DateOpened]],Proc[[#This Row],[DateClosed]]))-1)</f>
        <v>10</v>
      </c>
      <c r="R2386" s="108" t="s">
        <v>780</v>
      </c>
      <c r="S2386" s="96"/>
    </row>
    <row r="2387" spans="1:19" hidden="1">
      <c r="A2387" s="105" t="s">
        <v>4189</v>
      </c>
      <c r="B2387" s="96" t="str">
        <f>IFERROR(VLOOKUP(Proc[[#This Row],[App]],Table2[],3,0),"open")</f>
        <v>ok</v>
      </c>
      <c r="C2387" s="105" t="s">
        <v>369</v>
      </c>
      <c r="D2387" t="s">
        <v>4269</v>
      </c>
      <c r="E2387" t="s">
        <v>4247</v>
      </c>
      <c r="F2387" s="96" t="s">
        <v>4247</v>
      </c>
      <c r="G2387" s="105" t="s">
        <v>406</v>
      </c>
      <c r="H2387" s="96" t="str">
        <f>IF(Proc[[#This Row],[type]]="LFF (MDG-F)",MID(Proc[[#This Row],[Obj]],13,10),"")</f>
        <v>DE10N11863</v>
      </c>
      <c r="I2387" s="105" t="s">
        <v>4289</v>
      </c>
      <c r="J2387" s="96" t="b">
        <f>Proc[[#This Row],[Requested]]=Proc[[#This Row],[CurrentParent]]</f>
        <v>1</v>
      </c>
      <c r="K2387" s="96" t="str">
        <f>IF(Proc[[#This Row],[Author]]="Marcela Urrego",VLOOKUP(LEFT(Proc[[#This Row],[Requested]],1),Table3[#All],2,0),VLOOKUP(Proc[[#This Row],[Author]],Table4[],2,0))</f>
        <v>EL</v>
      </c>
      <c r="L2387" s="96" t="s">
        <v>2563</v>
      </c>
      <c r="M2387" s="107">
        <v>45825.476678240739</v>
      </c>
      <c r="N2387" s="107"/>
      <c r="O2387" s="107"/>
      <c r="P2387" s="108" t="str">
        <f ca="1">IF(Proc[[#This Row],[DaysAgeing]]&gt;5,"yep","on track")</f>
        <v>yep</v>
      </c>
      <c r="Q2387" s="3">
        <f ca="1">IF(Proc[[#This Row],[DateClosed]]="",ABS(NETWORKDAYS(Proc[[#This Row],[DateOpened]],TODAY()))-1,ABS(NETWORKDAYS(Proc[[#This Row],[DateOpened]],Proc[[#This Row],[DateClosed]]))-1)</f>
        <v>10</v>
      </c>
      <c r="R2387" s="108" t="s">
        <v>780</v>
      </c>
      <c r="S2387" s="96"/>
    </row>
    <row r="2388" spans="1:19" hidden="1">
      <c r="A2388" s="105" t="s">
        <v>4189</v>
      </c>
      <c r="B2388" s="96" t="str">
        <f>IFERROR(VLOOKUP(Proc[[#This Row],[App]],Table2[],3,0),"open")</f>
        <v>ok</v>
      </c>
      <c r="C2388" s="105" t="s">
        <v>369</v>
      </c>
      <c r="D2388" t="s">
        <v>4270</v>
      </c>
      <c r="E2388" t="s">
        <v>4247</v>
      </c>
      <c r="F2388" s="96" t="s">
        <v>4247</v>
      </c>
      <c r="G2388" s="105" t="s">
        <v>406</v>
      </c>
      <c r="H2388" s="96" t="str">
        <f>IF(Proc[[#This Row],[type]]="LFF (MDG-F)",MID(Proc[[#This Row],[Obj]],13,10),"")</f>
        <v>DE10N11864</v>
      </c>
      <c r="I2388" s="105" t="s">
        <v>4289</v>
      </c>
      <c r="J2388" s="96" t="b">
        <f>Proc[[#This Row],[Requested]]=Proc[[#This Row],[CurrentParent]]</f>
        <v>1</v>
      </c>
      <c r="K2388" s="96" t="str">
        <f>IF(Proc[[#This Row],[Author]]="Marcela Urrego",VLOOKUP(LEFT(Proc[[#This Row],[Requested]],1),Table3[#All],2,0),VLOOKUP(Proc[[#This Row],[Author]],Table4[],2,0))</f>
        <v>EL</v>
      </c>
      <c r="L2388" s="96" t="s">
        <v>2563</v>
      </c>
      <c r="M2388" s="107">
        <v>45825.476678240739</v>
      </c>
      <c r="N2388" s="107"/>
      <c r="O2388" s="107"/>
      <c r="P2388" s="108" t="str">
        <f ca="1">IF(Proc[[#This Row],[DaysAgeing]]&gt;5,"yep","on track")</f>
        <v>yep</v>
      </c>
      <c r="Q2388" s="3">
        <f ca="1">IF(Proc[[#This Row],[DateClosed]]="",ABS(NETWORKDAYS(Proc[[#This Row],[DateOpened]],TODAY()))-1,ABS(NETWORKDAYS(Proc[[#This Row],[DateOpened]],Proc[[#This Row],[DateClosed]]))-1)</f>
        <v>10</v>
      </c>
      <c r="R2388" s="108" t="s">
        <v>780</v>
      </c>
      <c r="S2388" s="96"/>
    </row>
    <row r="2389" spans="1:19" hidden="1">
      <c r="A2389" s="105" t="s">
        <v>4189</v>
      </c>
      <c r="B2389" s="96" t="str">
        <f>IFERROR(VLOOKUP(Proc[[#This Row],[App]],Table2[],3,0),"open")</f>
        <v>ok</v>
      </c>
      <c r="C2389" s="105" t="s">
        <v>369</v>
      </c>
      <c r="D2389" t="s">
        <v>4271</v>
      </c>
      <c r="E2389" t="s">
        <v>4247</v>
      </c>
      <c r="F2389" s="96" t="s">
        <v>4247</v>
      </c>
      <c r="G2389" s="105" t="s">
        <v>406</v>
      </c>
      <c r="H2389" s="96" t="str">
        <f>IF(Proc[[#This Row],[type]]="LFF (MDG-F)",MID(Proc[[#This Row],[Obj]],13,10),"")</f>
        <v>DE10N11870</v>
      </c>
      <c r="I2389" s="105" t="s">
        <v>4289</v>
      </c>
      <c r="J2389" s="96" t="b">
        <f>Proc[[#This Row],[Requested]]=Proc[[#This Row],[CurrentParent]]</f>
        <v>1</v>
      </c>
      <c r="K2389" s="96" t="str">
        <f>IF(Proc[[#This Row],[Author]]="Marcela Urrego",VLOOKUP(LEFT(Proc[[#This Row],[Requested]],1),Table3[#All],2,0),VLOOKUP(Proc[[#This Row],[Author]],Table4[],2,0))</f>
        <v>EL</v>
      </c>
      <c r="L2389" s="96" t="s">
        <v>2563</v>
      </c>
      <c r="M2389" s="107">
        <v>45825.476678240739</v>
      </c>
      <c r="N2389" s="107"/>
      <c r="O2389" s="107"/>
      <c r="P2389" s="108" t="str">
        <f ca="1">IF(Proc[[#This Row],[DaysAgeing]]&gt;5,"yep","on track")</f>
        <v>yep</v>
      </c>
      <c r="Q2389" s="3">
        <f ca="1">IF(Proc[[#This Row],[DateClosed]]="",ABS(NETWORKDAYS(Proc[[#This Row],[DateOpened]],TODAY()))-1,ABS(NETWORKDAYS(Proc[[#This Row],[DateOpened]],Proc[[#This Row],[DateClosed]]))-1)</f>
        <v>10</v>
      </c>
      <c r="R2389" s="108" t="s">
        <v>780</v>
      </c>
      <c r="S2389" s="96"/>
    </row>
    <row r="2390" spans="1:19" hidden="1">
      <c r="A2390" s="105" t="s">
        <v>4189</v>
      </c>
      <c r="B2390" s="96" t="str">
        <f>IFERROR(VLOOKUP(Proc[[#This Row],[App]],Table2[],3,0),"open")</f>
        <v>ok</v>
      </c>
      <c r="C2390" s="105" t="s">
        <v>369</v>
      </c>
      <c r="D2390" t="s">
        <v>4272</v>
      </c>
      <c r="E2390" t="s">
        <v>4247</v>
      </c>
      <c r="F2390" s="96" t="s">
        <v>4247</v>
      </c>
      <c r="G2390" s="105" t="s">
        <v>406</v>
      </c>
      <c r="H2390" s="96" t="str">
        <f>IF(Proc[[#This Row],[type]]="LFF (MDG-F)",MID(Proc[[#This Row],[Obj]],13,10),"")</f>
        <v>DE10N11880</v>
      </c>
      <c r="I2390" s="105" t="s">
        <v>4289</v>
      </c>
      <c r="J2390" s="96" t="b">
        <f>Proc[[#This Row],[Requested]]=Proc[[#This Row],[CurrentParent]]</f>
        <v>1</v>
      </c>
      <c r="K2390" s="96" t="str">
        <f>IF(Proc[[#This Row],[Author]]="Marcela Urrego",VLOOKUP(LEFT(Proc[[#This Row],[Requested]],1),Table3[#All],2,0),VLOOKUP(Proc[[#This Row],[Author]],Table4[],2,0))</f>
        <v>EL</v>
      </c>
      <c r="L2390" s="96" t="s">
        <v>2563</v>
      </c>
      <c r="M2390" s="107">
        <v>45825.476678240739</v>
      </c>
      <c r="N2390" s="107"/>
      <c r="O2390" s="107"/>
      <c r="P2390" s="108" t="str">
        <f ca="1">IF(Proc[[#This Row],[DaysAgeing]]&gt;5,"yep","on track")</f>
        <v>yep</v>
      </c>
      <c r="Q2390" s="3">
        <f ca="1">IF(Proc[[#This Row],[DateClosed]]="",ABS(NETWORKDAYS(Proc[[#This Row],[DateOpened]],TODAY()))-1,ABS(NETWORKDAYS(Proc[[#This Row],[DateOpened]],Proc[[#This Row],[DateClosed]]))-1)</f>
        <v>10</v>
      </c>
      <c r="R2390" s="108" t="s">
        <v>780</v>
      </c>
      <c r="S2390" s="96"/>
    </row>
    <row r="2391" spans="1:19" hidden="1">
      <c r="A2391" s="105" t="s">
        <v>4189</v>
      </c>
      <c r="B2391" s="96" t="str">
        <f>IFERROR(VLOOKUP(Proc[[#This Row],[App]],Table2[],3,0),"open")</f>
        <v>ok</v>
      </c>
      <c r="C2391" s="105" t="s">
        <v>369</v>
      </c>
      <c r="D2391" t="s">
        <v>4273</v>
      </c>
      <c r="E2391" t="s">
        <v>4247</v>
      </c>
      <c r="F2391" s="96" t="s">
        <v>4247</v>
      </c>
      <c r="G2391" s="105" t="s">
        <v>406</v>
      </c>
      <c r="H2391" s="96" t="str">
        <f>IF(Proc[[#This Row],[type]]="LFF (MDG-F)",MID(Proc[[#This Row],[Obj]],13,10),"")</f>
        <v>DE10N11881</v>
      </c>
      <c r="I2391" s="105" t="s">
        <v>4289</v>
      </c>
      <c r="J2391" s="96" t="b">
        <f>Proc[[#This Row],[Requested]]=Proc[[#This Row],[CurrentParent]]</f>
        <v>1</v>
      </c>
      <c r="K2391" s="96" t="str">
        <f>IF(Proc[[#This Row],[Author]]="Marcela Urrego",VLOOKUP(LEFT(Proc[[#This Row],[Requested]],1),Table3[#All],2,0),VLOOKUP(Proc[[#This Row],[Author]],Table4[],2,0))</f>
        <v>EL</v>
      </c>
      <c r="L2391" s="96" t="s">
        <v>2563</v>
      </c>
      <c r="M2391" s="107">
        <v>45825.476678240739</v>
      </c>
      <c r="N2391" s="107"/>
      <c r="O2391" s="107"/>
      <c r="P2391" s="108" t="str">
        <f ca="1">IF(Proc[[#This Row],[DaysAgeing]]&gt;5,"yep","on track")</f>
        <v>yep</v>
      </c>
      <c r="Q2391" s="3">
        <f ca="1">IF(Proc[[#This Row],[DateClosed]]="",ABS(NETWORKDAYS(Proc[[#This Row],[DateOpened]],TODAY()))-1,ABS(NETWORKDAYS(Proc[[#This Row],[DateOpened]],Proc[[#This Row],[DateClosed]]))-1)</f>
        <v>10</v>
      </c>
      <c r="R2391" s="108" t="s">
        <v>780</v>
      </c>
      <c r="S2391" s="96"/>
    </row>
    <row r="2392" spans="1:19" hidden="1">
      <c r="A2392" t="s">
        <v>4288</v>
      </c>
      <c r="B2392" s="96" t="str">
        <f>IFERROR(VLOOKUP(Proc[[#This Row],[App]],Table2[],3,0),"open")</f>
        <v>ok</v>
      </c>
      <c r="C2392" s="105" t="s">
        <v>369</v>
      </c>
      <c r="D2392" t="s">
        <v>4274</v>
      </c>
      <c r="E2392" t="s">
        <v>419</v>
      </c>
      <c r="F2392" s="96" t="s">
        <v>419</v>
      </c>
      <c r="G2392" t="s">
        <v>400</v>
      </c>
      <c r="H2392" s="96" t="str">
        <f>IF(Proc[[#This Row],[type]]="LFF (MDG-F)",MID(Proc[[#This Row],[Obj]],13,10),"")</f>
        <v/>
      </c>
      <c r="J2392" s="96" t="b">
        <f>Proc[[#This Row],[Requested]]=Proc[[#This Row],[CurrentParent]]</f>
        <v>1</v>
      </c>
      <c r="K2392" s="96" t="str">
        <f>IF(Proc[[#This Row],[Author]]="Marcela Urrego",VLOOKUP(LEFT(Proc[[#This Row],[Requested]],1),Table3[#All],2,0),VLOOKUP(Proc[[#This Row],[Author]],Table4[],2,0))</f>
        <v>EL</v>
      </c>
      <c r="L2392" s="96" t="s">
        <v>2563</v>
      </c>
      <c r="M2392" s="107">
        <v>45825.508958333332</v>
      </c>
      <c r="N2392" s="107"/>
      <c r="O2392" s="107"/>
      <c r="P2392" s="108" t="str">
        <f ca="1">IF(Proc[[#This Row],[DaysAgeing]]&gt;5,"yep","on track")</f>
        <v>yep</v>
      </c>
      <c r="Q2392" s="3">
        <f ca="1">IF(Proc[[#This Row],[DateClosed]]="",ABS(NETWORKDAYS(Proc[[#This Row],[DateOpened]],TODAY()))-1,ABS(NETWORKDAYS(Proc[[#This Row],[DateOpened]],Proc[[#This Row],[DateClosed]]))-1)</f>
        <v>10</v>
      </c>
      <c r="R2392" s="108" t="s">
        <v>780</v>
      </c>
      <c r="S2392" s="96"/>
    </row>
    <row r="2393" spans="1:19" hidden="1">
      <c r="A2393" s="105" t="s">
        <v>4288</v>
      </c>
      <c r="B2393" s="96" t="str">
        <f>IFERROR(VLOOKUP(Proc[[#This Row],[App]],Table2[],3,0),"open")</f>
        <v>ok</v>
      </c>
      <c r="C2393" s="105" t="s">
        <v>369</v>
      </c>
      <c r="D2393" t="s">
        <v>4275</v>
      </c>
      <c r="E2393" t="s">
        <v>419</v>
      </c>
      <c r="F2393" s="96" t="s">
        <v>419</v>
      </c>
      <c r="G2393" s="105" t="s">
        <v>400</v>
      </c>
      <c r="H2393" s="96" t="str">
        <f>IF(Proc[[#This Row],[type]]="LFF (MDG-F)",MID(Proc[[#This Row],[Obj]],13,10),"")</f>
        <v/>
      </c>
      <c r="J2393" s="96" t="b">
        <f>Proc[[#This Row],[Requested]]=Proc[[#This Row],[CurrentParent]]</f>
        <v>1</v>
      </c>
      <c r="K2393" s="96" t="str">
        <f>IF(Proc[[#This Row],[Author]]="Marcela Urrego",VLOOKUP(LEFT(Proc[[#This Row],[Requested]],1),Table3[#All],2,0),VLOOKUP(Proc[[#This Row],[Author]],Table4[],2,0))</f>
        <v>EL</v>
      </c>
      <c r="L2393" s="96" t="s">
        <v>2563</v>
      </c>
      <c r="M2393" s="107">
        <v>45825.508958333332</v>
      </c>
      <c r="N2393" s="107"/>
      <c r="O2393" s="107"/>
      <c r="P2393" s="108" t="str">
        <f ca="1">IF(Proc[[#This Row],[DaysAgeing]]&gt;5,"yep","on track")</f>
        <v>yep</v>
      </c>
      <c r="Q2393" s="3">
        <f ca="1">IF(Proc[[#This Row],[DateClosed]]="",ABS(NETWORKDAYS(Proc[[#This Row],[DateOpened]],TODAY()))-1,ABS(NETWORKDAYS(Proc[[#This Row],[DateOpened]],Proc[[#This Row],[DateClosed]]))-1)</f>
        <v>10</v>
      </c>
      <c r="R2393" s="108" t="s">
        <v>780</v>
      </c>
      <c r="S2393" s="96"/>
    </row>
    <row r="2394" spans="1:19" hidden="1">
      <c r="A2394" s="105" t="s">
        <v>4288</v>
      </c>
      <c r="B2394" s="96" t="str">
        <f>IFERROR(VLOOKUP(Proc[[#This Row],[App]],Table2[],3,0),"open")</f>
        <v>ok</v>
      </c>
      <c r="C2394" s="105" t="s">
        <v>369</v>
      </c>
      <c r="D2394" t="s">
        <v>4276</v>
      </c>
      <c r="E2394" t="s">
        <v>419</v>
      </c>
      <c r="F2394" s="96" t="s">
        <v>419</v>
      </c>
      <c r="G2394" s="105" t="s">
        <v>400</v>
      </c>
      <c r="H2394" s="96" t="str">
        <f>IF(Proc[[#This Row],[type]]="LFF (MDG-F)",MID(Proc[[#This Row],[Obj]],13,10),"")</f>
        <v/>
      </c>
      <c r="J2394" s="96" t="b">
        <f>Proc[[#This Row],[Requested]]=Proc[[#This Row],[CurrentParent]]</f>
        <v>1</v>
      </c>
      <c r="K2394" s="96" t="str">
        <f>IF(Proc[[#This Row],[Author]]="Marcela Urrego",VLOOKUP(LEFT(Proc[[#This Row],[Requested]],1),Table3[#All],2,0),VLOOKUP(Proc[[#This Row],[Author]],Table4[],2,0))</f>
        <v>EL</v>
      </c>
      <c r="L2394" s="96" t="s">
        <v>2563</v>
      </c>
      <c r="M2394" s="107">
        <v>45825.508958333332</v>
      </c>
      <c r="N2394" s="107"/>
      <c r="O2394" s="107"/>
      <c r="P2394" s="108" t="str">
        <f ca="1">IF(Proc[[#This Row],[DaysAgeing]]&gt;5,"yep","on track")</f>
        <v>yep</v>
      </c>
      <c r="Q2394" s="3">
        <f ca="1">IF(Proc[[#This Row],[DateClosed]]="",ABS(NETWORKDAYS(Proc[[#This Row],[DateOpened]],TODAY()))-1,ABS(NETWORKDAYS(Proc[[#This Row],[DateOpened]],Proc[[#This Row],[DateClosed]]))-1)</f>
        <v>10</v>
      </c>
      <c r="R2394" s="108" t="s">
        <v>780</v>
      </c>
      <c r="S2394" s="96"/>
    </row>
    <row r="2395" spans="1:19" hidden="1">
      <c r="A2395" s="105" t="s">
        <v>4288</v>
      </c>
      <c r="B2395" s="96" t="str">
        <f>IFERROR(VLOOKUP(Proc[[#This Row],[App]],Table2[],3,0),"open")</f>
        <v>ok</v>
      </c>
      <c r="C2395" s="105" t="s">
        <v>369</v>
      </c>
      <c r="D2395" t="s">
        <v>4277</v>
      </c>
      <c r="E2395" t="s">
        <v>419</v>
      </c>
      <c r="F2395" s="96" t="s">
        <v>419</v>
      </c>
      <c r="G2395" s="105" t="s">
        <v>400</v>
      </c>
      <c r="H2395" s="96" t="str">
        <f>IF(Proc[[#This Row],[type]]="LFF (MDG-F)",MID(Proc[[#This Row],[Obj]],13,10),"")</f>
        <v/>
      </c>
      <c r="J2395" s="96" t="b">
        <f>Proc[[#This Row],[Requested]]=Proc[[#This Row],[CurrentParent]]</f>
        <v>1</v>
      </c>
      <c r="K2395" s="96" t="str">
        <f>IF(Proc[[#This Row],[Author]]="Marcela Urrego",VLOOKUP(LEFT(Proc[[#This Row],[Requested]],1),Table3[#All],2,0),VLOOKUP(Proc[[#This Row],[Author]],Table4[],2,0))</f>
        <v>EL</v>
      </c>
      <c r="L2395" s="96" t="s">
        <v>2563</v>
      </c>
      <c r="M2395" s="107">
        <v>45825.508958333332</v>
      </c>
      <c r="N2395" s="107"/>
      <c r="O2395" s="107"/>
      <c r="P2395" s="108" t="str">
        <f ca="1">IF(Proc[[#This Row],[DaysAgeing]]&gt;5,"yep","on track")</f>
        <v>yep</v>
      </c>
      <c r="Q2395" s="3">
        <f ca="1">IF(Proc[[#This Row],[DateClosed]]="",ABS(NETWORKDAYS(Proc[[#This Row],[DateOpened]],TODAY()))-1,ABS(NETWORKDAYS(Proc[[#This Row],[DateOpened]],Proc[[#This Row],[DateClosed]]))-1)</f>
        <v>10</v>
      </c>
      <c r="R2395" s="108" t="s">
        <v>780</v>
      </c>
      <c r="S2395" s="96"/>
    </row>
    <row r="2396" spans="1:19" hidden="1">
      <c r="A2396" s="105" t="s">
        <v>4288</v>
      </c>
      <c r="B2396" s="96" t="str">
        <f>IFERROR(VLOOKUP(Proc[[#This Row],[App]],Table2[],3,0),"open")</f>
        <v>ok</v>
      </c>
      <c r="C2396" s="105" t="s">
        <v>369</v>
      </c>
      <c r="D2396" t="s">
        <v>4278</v>
      </c>
      <c r="E2396" t="s">
        <v>419</v>
      </c>
      <c r="F2396" s="96" t="s">
        <v>419</v>
      </c>
      <c r="G2396" s="105" t="s">
        <v>400</v>
      </c>
      <c r="H2396" s="96" t="str">
        <f>IF(Proc[[#This Row],[type]]="LFF (MDG-F)",MID(Proc[[#This Row],[Obj]],13,10),"")</f>
        <v/>
      </c>
      <c r="J2396" s="96" t="b">
        <f>Proc[[#This Row],[Requested]]=Proc[[#This Row],[CurrentParent]]</f>
        <v>1</v>
      </c>
      <c r="K2396" s="96" t="str">
        <f>IF(Proc[[#This Row],[Author]]="Marcela Urrego",VLOOKUP(LEFT(Proc[[#This Row],[Requested]],1),Table3[#All],2,0),VLOOKUP(Proc[[#This Row],[Author]],Table4[],2,0))</f>
        <v>EL</v>
      </c>
      <c r="L2396" s="96" t="s">
        <v>2563</v>
      </c>
      <c r="M2396" s="107">
        <v>45825.508958333332</v>
      </c>
      <c r="N2396" s="107"/>
      <c r="O2396" s="107"/>
      <c r="P2396" s="108" t="str">
        <f ca="1">IF(Proc[[#This Row],[DaysAgeing]]&gt;5,"yep","on track")</f>
        <v>yep</v>
      </c>
      <c r="Q2396" s="3">
        <f ca="1">IF(Proc[[#This Row],[DateClosed]]="",ABS(NETWORKDAYS(Proc[[#This Row],[DateOpened]],TODAY()))-1,ABS(NETWORKDAYS(Proc[[#This Row],[DateOpened]],Proc[[#This Row],[DateClosed]]))-1)</f>
        <v>10</v>
      </c>
      <c r="R2396" s="108" t="s">
        <v>780</v>
      </c>
      <c r="S2396" s="96"/>
    </row>
    <row r="2397" spans="1:19" hidden="1">
      <c r="A2397" s="105" t="s">
        <v>4288</v>
      </c>
      <c r="B2397" s="96" t="str">
        <f>IFERROR(VLOOKUP(Proc[[#This Row],[App]],Table2[],3,0),"open")</f>
        <v>ok</v>
      </c>
      <c r="C2397" s="105" t="s">
        <v>369</v>
      </c>
      <c r="D2397" t="s">
        <v>4279</v>
      </c>
      <c r="E2397" t="s">
        <v>419</v>
      </c>
      <c r="F2397" s="96" t="s">
        <v>419</v>
      </c>
      <c r="G2397" s="105" t="s">
        <v>400</v>
      </c>
      <c r="H2397" s="96" t="str">
        <f>IF(Proc[[#This Row],[type]]="LFF (MDG-F)",MID(Proc[[#This Row],[Obj]],13,10),"")</f>
        <v/>
      </c>
      <c r="J2397" s="96" t="b">
        <f>Proc[[#This Row],[Requested]]=Proc[[#This Row],[CurrentParent]]</f>
        <v>1</v>
      </c>
      <c r="K2397" s="96" t="str">
        <f>IF(Proc[[#This Row],[Author]]="Marcela Urrego",VLOOKUP(LEFT(Proc[[#This Row],[Requested]],1),Table3[#All],2,0),VLOOKUP(Proc[[#This Row],[Author]],Table4[],2,0))</f>
        <v>EL</v>
      </c>
      <c r="L2397" s="96" t="s">
        <v>2563</v>
      </c>
      <c r="M2397" s="107">
        <v>45825.508958333332</v>
      </c>
      <c r="N2397" s="107"/>
      <c r="O2397" s="107"/>
      <c r="P2397" s="108" t="str">
        <f ca="1">IF(Proc[[#This Row],[DaysAgeing]]&gt;5,"yep","on track")</f>
        <v>yep</v>
      </c>
      <c r="Q2397" s="3">
        <f ca="1">IF(Proc[[#This Row],[DateClosed]]="",ABS(NETWORKDAYS(Proc[[#This Row],[DateOpened]],TODAY()))-1,ABS(NETWORKDAYS(Proc[[#This Row],[DateOpened]],Proc[[#This Row],[DateClosed]]))-1)</f>
        <v>10</v>
      </c>
      <c r="R2397" s="108" t="s">
        <v>780</v>
      </c>
      <c r="S2397" s="96"/>
    </row>
    <row r="2398" spans="1:19" hidden="1">
      <c r="A2398" s="105" t="s">
        <v>4288</v>
      </c>
      <c r="B2398" s="96" t="str">
        <f>IFERROR(VLOOKUP(Proc[[#This Row],[App]],Table2[],3,0),"open")</f>
        <v>ok</v>
      </c>
      <c r="C2398" s="105" t="s">
        <v>369</v>
      </c>
      <c r="D2398" t="s">
        <v>4280</v>
      </c>
      <c r="E2398" t="s">
        <v>419</v>
      </c>
      <c r="F2398" s="96" t="s">
        <v>419</v>
      </c>
      <c r="G2398" s="105" t="s">
        <v>400</v>
      </c>
      <c r="H2398" s="96" t="str">
        <f>IF(Proc[[#This Row],[type]]="LFF (MDG-F)",MID(Proc[[#This Row],[Obj]],13,10),"")</f>
        <v/>
      </c>
      <c r="J2398" s="96" t="b">
        <f>Proc[[#This Row],[Requested]]=Proc[[#This Row],[CurrentParent]]</f>
        <v>1</v>
      </c>
      <c r="K2398" s="96" t="str">
        <f>IF(Proc[[#This Row],[Author]]="Marcela Urrego",VLOOKUP(LEFT(Proc[[#This Row],[Requested]],1),Table3[#All],2,0),VLOOKUP(Proc[[#This Row],[Author]],Table4[],2,0))</f>
        <v>EL</v>
      </c>
      <c r="L2398" s="96" t="s">
        <v>2563</v>
      </c>
      <c r="M2398" s="107">
        <v>45825.508958333332</v>
      </c>
      <c r="N2398" s="107"/>
      <c r="O2398" s="107"/>
      <c r="P2398" s="108" t="str">
        <f ca="1">IF(Proc[[#This Row],[DaysAgeing]]&gt;5,"yep","on track")</f>
        <v>yep</v>
      </c>
      <c r="Q2398" s="3">
        <f ca="1">IF(Proc[[#This Row],[DateClosed]]="",ABS(NETWORKDAYS(Proc[[#This Row],[DateOpened]],TODAY()))-1,ABS(NETWORKDAYS(Proc[[#This Row],[DateOpened]],Proc[[#This Row],[DateClosed]]))-1)</f>
        <v>10</v>
      </c>
      <c r="R2398" s="108" t="s">
        <v>780</v>
      </c>
      <c r="S2398" s="96"/>
    </row>
    <row r="2399" spans="1:19" hidden="1">
      <c r="A2399" s="105" t="s">
        <v>4288</v>
      </c>
      <c r="B2399" s="96" t="str">
        <f>IFERROR(VLOOKUP(Proc[[#This Row],[App]],Table2[],3,0),"open")</f>
        <v>ok</v>
      </c>
      <c r="C2399" s="105" t="s">
        <v>369</v>
      </c>
      <c r="D2399" t="s">
        <v>4281</v>
      </c>
      <c r="E2399" t="s">
        <v>419</v>
      </c>
      <c r="F2399" s="96" t="s">
        <v>419</v>
      </c>
      <c r="G2399" s="105" t="s">
        <v>400</v>
      </c>
      <c r="H2399" s="96" t="str">
        <f>IF(Proc[[#This Row],[type]]="LFF (MDG-F)",MID(Proc[[#This Row],[Obj]],13,10),"")</f>
        <v/>
      </c>
      <c r="J2399" s="96" t="b">
        <f>Proc[[#This Row],[Requested]]=Proc[[#This Row],[CurrentParent]]</f>
        <v>1</v>
      </c>
      <c r="K2399" s="96" t="str">
        <f>IF(Proc[[#This Row],[Author]]="Marcela Urrego",VLOOKUP(LEFT(Proc[[#This Row],[Requested]],1),Table3[#All],2,0),VLOOKUP(Proc[[#This Row],[Author]],Table4[],2,0))</f>
        <v>EL</v>
      </c>
      <c r="L2399" s="96" t="s">
        <v>2563</v>
      </c>
      <c r="M2399" s="107">
        <v>45825.508958333332</v>
      </c>
      <c r="N2399" s="107"/>
      <c r="O2399" s="107"/>
      <c r="P2399" s="108" t="str">
        <f ca="1">IF(Proc[[#This Row],[DaysAgeing]]&gt;5,"yep","on track")</f>
        <v>yep</v>
      </c>
      <c r="Q2399" s="3">
        <f ca="1">IF(Proc[[#This Row],[DateClosed]]="",ABS(NETWORKDAYS(Proc[[#This Row],[DateOpened]],TODAY()))-1,ABS(NETWORKDAYS(Proc[[#This Row],[DateOpened]],Proc[[#This Row],[DateClosed]]))-1)</f>
        <v>10</v>
      </c>
      <c r="R2399" s="108" t="s">
        <v>780</v>
      </c>
      <c r="S2399" s="96"/>
    </row>
    <row r="2400" spans="1:19" hidden="1">
      <c r="A2400" s="105" t="s">
        <v>4288</v>
      </c>
      <c r="B2400" s="96" t="str">
        <f>IFERROR(VLOOKUP(Proc[[#This Row],[App]],Table2[],3,0),"open")</f>
        <v>ok</v>
      </c>
      <c r="C2400" s="105" t="s">
        <v>369</v>
      </c>
      <c r="D2400" t="s">
        <v>4282</v>
      </c>
      <c r="E2400" t="s">
        <v>419</v>
      </c>
      <c r="F2400" s="96" t="s">
        <v>419</v>
      </c>
      <c r="G2400" s="105" t="s">
        <v>400</v>
      </c>
      <c r="H2400" s="96" t="str">
        <f>IF(Proc[[#This Row],[type]]="LFF (MDG-F)",MID(Proc[[#This Row],[Obj]],13,10),"")</f>
        <v/>
      </c>
      <c r="J2400" s="96" t="b">
        <f>Proc[[#This Row],[Requested]]=Proc[[#This Row],[CurrentParent]]</f>
        <v>1</v>
      </c>
      <c r="K2400" s="96" t="str">
        <f>IF(Proc[[#This Row],[Author]]="Marcela Urrego",VLOOKUP(LEFT(Proc[[#This Row],[Requested]],1),Table3[#All],2,0),VLOOKUP(Proc[[#This Row],[Author]],Table4[],2,0))</f>
        <v>EL</v>
      </c>
      <c r="L2400" s="96" t="s">
        <v>2563</v>
      </c>
      <c r="M2400" s="107">
        <v>45825.508958333332</v>
      </c>
      <c r="N2400" s="107"/>
      <c r="O2400" s="107"/>
      <c r="P2400" s="108" t="str">
        <f ca="1">IF(Proc[[#This Row],[DaysAgeing]]&gt;5,"yep","on track")</f>
        <v>yep</v>
      </c>
      <c r="Q2400" s="3">
        <f ca="1">IF(Proc[[#This Row],[DateClosed]]="",ABS(NETWORKDAYS(Proc[[#This Row],[DateOpened]],TODAY()))-1,ABS(NETWORKDAYS(Proc[[#This Row],[DateOpened]],Proc[[#This Row],[DateClosed]]))-1)</f>
        <v>10</v>
      </c>
      <c r="R2400" s="108" t="s">
        <v>780</v>
      </c>
      <c r="S2400" s="96"/>
    </row>
    <row r="2401" spans="1:19" hidden="1">
      <c r="A2401" s="105" t="s">
        <v>4288</v>
      </c>
      <c r="B2401" s="96" t="str">
        <f>IFERROR(VLOOKUP(Proc[[#This Row],[App]],Table2[],3,0),"open")</f>
        <v>ok</v>
      </c>
      <c r="C2401" s="105" t="s">
        <v>369</v>
      </c>
      <c r="D2401" t="s">
        <v>4283</v>
      </c>
      <c r="E2401" t="s">
        <v>419</v>
      </c>
      <c r="F2401" s="96" t="s">
        <v>419</v>
      </c>
      <c r="G2401" s="105" t="s">
        <v>400</v>
      </c>
      <c r="H2401" s="96" t="str">
        <f>IF(Proc[[#This Row],[type]]="LFF (MDG-F)",MID(Proc[[#This Row],[Obj]],13,10),"")</f>
        <v/>
      </c>
      <c r="J2401" s="96" t="b">
        <f>Proc[[#This Row],[Requested]]=Proc[[#This Row],[CurrentParent]]</f>
        <v>1</v>
      </c>
      <c r="K2401" s="96" t="str">
        <f>IF(Proc[[#This Row],[Author]]="Marcela Urrego",VLOOKUP(LEFT(Proc[[#This Row],[Requested]],1),Table3[#All],2,0),VLOOKUP(Proc[[#This Row],[Author]],Table4[],2,0))</f>
        <v>EL</v>
      </c>
      <c r="L2401" s="96" t="s">
        <v>2563</v>
      </c>
      <c r="M2401" s="107">
        <v>45825.508958333332</v>
      </c>
      <c r="N2401" s="107"/>
      <c r="O2401" s="107"/>
      <c r="P2401" s="108" t="str">
        <f ca="1">IF(Proc[[#This Row],[DaysAgeing]]&gt;5,"yep","on track")</f>
        <v>yep</v>
      </c>
      <c r="Q2401" s="3">
        <f ca="1">IF(Proc[[#This Row],[DateClosed]]="",ABS(NETWORKDAYS(Proc[[#This Row],[DateOpened]],TODAY()))-1,ABS(NETWORKDAYS(Proc[[#This Row],[DateOpened]],Proc[[#This Row],[DateClosed]]))-1)</f>
        <v>10</v>
      </c>
      <c r="R2401" s="108" t="s">
        <v>780</v>
      </c>
      <c r="S2401" s="96"/>
    </row>
    <row r="2402" spans="1:19" hidden="1">
      <c r="A2402" s="105" t="s">
        <v>4288</v>
      </c>
      <c r="B2402" s="96" t="str">
        <f>IFERROR(VLOOKUP(Proc[[#This Row],[App]],Table2[],3,0),"open")</f>
        <v>ok</v>
      </c>
      <c r="C2402" s="105" t="s">
        <v>369</v>
      </c>
      <c r="D2402" t="s">
        <v>4284</v>
      </c>
      <c r="E2402" t="s">
        <v>2430</v>
      </c>
      <c r="F2402" s="96" t="s">
        <v>2430</v>
      </c>
      <c r="G2402" s="105" t="s">
        <v>400</v>
      </c>
      <c r="H2402" s="96" t="str">
        <f>IF(Proc[[#This Row],[type]]="LFF (MDG-F)",MID(Proc[[#This Row],[Obj]],13,10),"")</f>
        <v/>
      </c>
      <c r="J2402" s="96" t="b">
        <f>Proc[[#This Row],[Requested]]=Proc[[#This Row],[CurrentParent]]</f>
        <v>1</v>
      </c>
      <c r="K2402" s="96" t="str">
        <f>IF(Proc[[#This Row],[Author]]="Marcela Urrego",VLOOKUP(LEFT(Proc[[#This Row],[Requested]],1),Table3[#All],2,0),VLOOKUP(Proc[[#This Row],[Author]],Table4[],2,0))</f>
        <v>EL</v>
      </c>
      <c r="L2402" s="96" t="s">
        <v>2563</v>
      </c>
      <c r="M2402" s="107">
        <v>45825.508958333332</v>
      </c>
      <c r="N2402" s="107"/>
      <c r="O2402" s="107"/>
      <c r="P2402" s="108" t="str">
        <f ca="1">IF(Proc[[#This Row],[DaysAgeing]]&gt;5,"yep","on track")</f>
        <v>yep</v>
      </c>
      <c r="Q2402" s="3">
        <f ca="1">IF(Proc[[#This Row],[DateClosed]]="",ABS(NETWORKDAYS(Proc[[#This Row],[DateOpened]],TODAY()))-1,ABS(NETWORKDAYS(Proc[[#This Row],[DateOpened]],Proc[[#This Row],[DateClosed]]))-1)</f>
        <v>10</v>
      </c>
      <c r="R2402" s="108" t="s">
        <v>780</v>
      </c>
      <c r="S2402" s="96"/>
    </row>
    <row r="2403" spans="1:19" hidden="1">
      <c r="A2403" s="105" t="s">
        <v>4288</v>
      </c>
      <c r="B2403" s="96" t="str">
        <f>IFERROR(VLOOKUP(Proc[[#This Row],[App]],Table2[],3,0),"open")</f>
        <v>ok</v>
      </c>
      <c r="C2403" s="105" t="s">
        <v>369</v>
      </c>
      <c r="D2403" t="s">
        <v>4285</v>
      </c>
      <c r="E2403" t="s">
        <v>2430</v>
      </c>
      <c r="F2403" s="96" t="s">
        <v>2430</v>
      </c>
      <c r="G2403" s="105" t="s">
        <v>400</v>
      </c>
      <c r="H2403" s="96" t="str">
        <f>IF(Proc[[#This Row],[type]]="LFF (MDG-F)",MID(Proc[[#This Row],[Obj]],13,10),"")</f>
        <v/>
      </c>
      <c r="J2403" s="96" t="b">
        <f>Proc[[#This Row],[Requested]]=Proc[[#This Row],[CurrentParent]]</f>
        <v>1</v>
      </c>
      <c r="K2403" s="96" t="str">
        <f>IF(Proc[[#This Row],[Author]]="Marcela Urrego",VLOOKUP(LEFT(Proc[[#This Row],[Requested]],1),Table3[#All],2,0),VLOOKUP(Proc[[#This Row],[Author]],Table4[],2,0))</f>
        <v>EL</v>
      </c>
      <c r="L2403" s="96" t="s">
        <v>2563</v>
      </c>
      <c r="M2403" s="107">
        <v>45825.508958333332</v>
      </c>
      <c r="N2403" s="107"/>
      <c r="O2403" s="107"/>
      <c r="P2403" s="108" t="str">
        <f ca="1">IF(Proc[[#This Row],[DaysAgeing]]&gt;5,"yep","on track")</f>
        <v>yep</v>
      </c>
      <c r="Q2403" s="3">
        <f ca="1">IF(Proc[[#This Row],[DateClosed]]="",ABS(NETWORKDAYS(Proc[[#This Row],[DateOpened]],TODAY()))-1,ABS(NETWORKDAYS(Proc[[#This Row],[DateOpened]],Proc[[#This Row],[DateClosed]]))-1)</f>
        <v>10</v>
      </c>
      <c r="R2403" s="108" t="s">
        <v>780</v>
      </c>
      <c r="S2403" s="96"/>
    </row>
    <row r="2404" spans="1:19" hidden="1">
      <c r="A2404" s="105" t="s">
        <v>4288</v>
      </c>
      <c r="B2404" s="96" t="str">
        <f>IFERROR(VLOOKUP(Proc[[#This Row],[App]],Table2[],3,0),"open")</f>
        <v>ok</v>
      </c>
      <c r="C2404" s="105" t="s">
        <v>369</v>
      </c>
      <c r="D2404" t="s">
        <v>4286</v>
      </c>
      <c r="E2404" t="s">
        <v>2430</v>
      </c>
      <c r="F2404" s="96" t="s">
        <v>2430</v>
      </c>
      <c r="G2404" s="105" t="s">
        <v>400</v>
      </c>
      <c r="H2404" s="96" t="str">
        <f>IF(Proc[[#This Row],[type]]="LFF (MDG-F)",MID(Proc[[#This Row],[Obj]],13,10),"")</f>
        <v/>
      </c>
      <c r="J2404" s="96" t="b">
        <f>Proc[[#This Row],[Requested]]=Proc[[#This Row],[CurrentParent]]</f>
        <v>1</v>
      </c>
      <c r="K2404" s="96" t="str">
        <f>IF(Proc[[#This Row],[Author]]="Marcela Urrego",VLOOKUP(LEFT(Proc[[#This Row],[Requested]],1),Table3[#All],2,0),VLOOKUP(Proc[[#This Row],[Author]],Table4[],2,0))</f>
        <v>EL</v>
      </c>
      <c r="L2404" s="96" t="s">
        <v>2563</v>
      </c>
      <c r="M2404" s="107">
        <v>45825.508958333332</v>
      </c>
      <c r="N2404" s="107"/>
      <c r="O2404" s="107"/>
      <c r="P2404" s="108" t="str">
        <f ca="1">IF(Proc[[#This Row],[DaysAgeing]]&gt;5,"yep","on track")</f>
        <v>yep</v>
      </c>
      <c r="Q2404" s="3">
        <f ca="1">IF(Proc[[#This Row],[DateClosed]]="",ABS(NETWORKDAYS(Proc[[#This Row],[DateOpened]],TODAY()))-1,ABS(NETWORKDAYS(Proc[[#This Row],[DateOpened]],Proc[[#This Row],[DateClosed]]))-1)</f>
        <v>10</v>
      </c>
      <c r="R2404" s="108" t="s">
        <v>780</v>
      </c>
      <c r="S2404" s="96"/>
    </row>
    <row r="2405" spans="1:19" hidden="1">
      <c r="A2405" s="105" t="s">
        <v>4288</v>
      </c>
      <c r="B2405" s="96" t="str">
        <f>IFERROR(VLOOKUP(Proc[[#This Row],[App]],Table2[],3,0),"open")</f>
        <v>ok</v>
      </c>
      <c r="C2405" s="105" t="s">
        <v>369</v>
      </c>
      <c r="D2405" t="s">
        <v>4287</v>
      </c>
      <c r="E2405" t="s">
        <v>2430</v>
      </c>
      <c r="F2405" s="96" t="s">
        <v>2430</v>
      </c>
      <c r="G2405" s="105" t="s">
        <v>400</v>
      </c>
      <c r="H2405" s="96" t="str">
        <f>IF(Proc[[#This Row],[type]]="LFF (MDG-F)",MID(Proc[[#This Row],[Obj]],13,10),"")</f>
        <v/>
      </c>
      <c r="J2405" s="96" t="b">
        <f>Proc[[#This Row],[Requested]]=Proc[[#This Row],[CurrentParent]]</f>
        <v>1</v>
      </c>
      <c r="K2405" s="96" t="str">
        <f>IF(Proc[[#This Row],[Author]]="Marcela Urrego",VLOOKUP(LEFT(Proc[[#This Row],[Requested]],1),Table3[#All],2,0),VLOOKUP(Proc[[#This Row],[Author]],Table4[],2,0))</f>
        <v>EL</v>
      </c>
      <c r="L2405" s="96" t="s">
        <v>2563</v>
      </c>
      <c r="M2405" s="107">
        <v>45825.508958333332</v>
      </c>
      <c r="N2405" s="107"/>
      <c r="O2405" s="107"/>
      <c r="P2405" s="108" t="str">
        <f ca="1">IF(Proc[[#This Row],[DaysAgeing]]&gt;5,"yep","on track")</f>
        <v>yep</v>
      </c>
      <c r="Q2405" s="3">
        <f ca="1">IF(Proc[[#This Row],[DateClosed]]="",ABS(NETWORKDAYS(Proc[[#This Row],[DateOpened]],TODAY()))-1,ABS(NETWORKDAYS(Proc[[#This Row],[DateOpened]],Proc[[#This Row],[DateClosed]]))-1)</f>
        <v>10</v>
      </c>
      <c r="R2405" s="108" t="s">
        <v>780</v>
      </c>
      <c r="S2405" s="96"/>
    </row>
    <row r="2406" spans="1:19" hidden="1">
      <c r="A2406" t="s">
        <v>4291</v>
      </c>
      <c r="B2406" s="96" t="str">
        <f>IFERROR(VLOOKUP(Proc[[#This Row],[App]],Table2[],3,0),"open")</f>
        <v>ok</v>
      </c>
      <c r="C2406" s="105" t="s">
        <v>369</v>
      </c>
      <c r="D2406" t="s">
        <v>4290</v>
      </c>
      <c r="E2406" t="s">
        <v>2561</v>
      </c>
      <c r="F2406" s="96" t="s">
        <v>2561</v>
      </c>
      <c r="G2406" t="s">
        <v>406</v>
      </c>
      <c r="H2406" s="96" t="str">
        <f>IF(Proc[[#This Row],[type]]="LFF (MDG-F)",MID(Proc[[#This Row],[Obj]],13,10),"")</f>
        <v>CH50L95008</v>
      </c>
      <c r="J2406" s="96" t="b">
        <f>Proc[[#This Row],[Requested]]=Proc[[#This Row],[CurrentParent]]</f>
        <v>1</v>
      </c>
      <c r="K2406" s="96" t="str">
        <f>IF(Proc[[#This Row],[Author]]="Marcela Urrego",VLOOKUP(LEFT(Proc[[#This Row],[Requested]],1),Table3[#All],2,0),VLOOKUP(Proc[[#This Row],[Author]],Table4[],2,0))</f>
        <v>HC</v>
      </c>
      <c r="L2406" s="96" t="s">
        <v>2563</v>
      </c>
      <c r="M2406" s="108">
        <v>45825.508958333332</v>
      </c>
      <c r="N2406" s="109"/>
      <c r="O2406" s="109"/>
      <c r="P2406" s="108" t="str">
        <f ca="1">IF(Proc[[#This Row],[DaysAgeing]]&gt;5,"yep","on track")</f>
        <v>yep</v>
      </c>
      <c r="Q2406" s="3">
        <f ca="1">IF(Proc[[#This Row],[DateClosed]]="",ABS(NETWORKDAYS(Proc[[#This Row],[DateOpened]],TODAY()))-1,ABS(NETWORKDAYS(Proc[[#This Row],[DateOpened]],Proc[[#This Row],[DateClosed]]))-1)</f>
        <v>10</v>
      </c>
      <c r="R2406" s="108" t="s">
        <v>3640</v>
      </c>
      <c r="S2406" s="96"/>
    </row>
    <row r="2407" spans="1:19" hidden="1">
      <c r="A2407" t="s">
        <v>4294</v>
      </c>
      <c r="B2407" s="96" t="str">
        <f>IFERROR(VLOOKUP(Proc[[#This Row],[App]],Table2[],3,0),"open")</f>
        <v>ok</v>
      </c>
      <c r="C2407" t="s">
        <v>377</v>
      </c>
      <c r="D2407" t="s">
        <v>4292</v>
      </c>
      <c r="E2407" t="s">
        <v>4293</v>
      </c>
      <c r="F2407" s="96">
        <v>0</v>
      </c>
      <c r="G2407" s="105" t="s">
        <v>400</v>
      </c>
      <c r="H2407" s="96" t="str">
        <f>IF(Proc[[#This Row],[type]]="LFF (MDG-F)",MID(Proc[[#This Row],[Obj]],13,10),"")</f>
        <v/>
      </c>
      <c r="J2407" s="96" t="b">
        <f>Proc[[#This Row],[Requested]]=Proc[[#This Row],[CurrentParent]]</f>
        <v>0</v>
      </c>
      <c r="K2407" s="96" t="str">
        <f>IF(Proc[[#This Row],[Author]]="Marcela Urrego",VLOOKUP(LEFT(Proc[[#This Row],[Requested]],1),Table3[#All],2,0),VLOOKUP(Proc[[#This Row],[Author]],Table4[],2,0))</f>
        <v>LS</v>
      </c>
      <c r="L2407" s="96"/>
      <c r="M2407" s="108">
        <v>45828.508958333332</v>
      </c>
      <c r="N2407" s="109"/>
      <c r="O2407" s="109">
        <v>45831</v>
      </c>
      <c r="P2407" s="108" t="str">
        <f ca="1">IF(Proc[[#This Row],[DaysAgeing]]&gt;5,"yep","on track")</f>
        <v>on track</v>
      </c>
      <c r="Q2407" s="3">
        <f ca="1">IF(Proc[[#This Row],[DateClosed]]="",ABS(NETWORKDAYS(Proc[[#This Row],[DateOpened]],TODAY()))-1,ABS(NETWORKDAYS(Proc[[#This Row],[DateOpened]],Proc[[#This Row],[DateClosed]]))-1)</f>
        <v>1</v>
      </c>
      <c r="R2407" s="108" t="s">
        <v>972</v>
      </c>
      <c r="S2407" s="96"/>
    </row>
    <row r="2408" spans="1:19" hidden="1">
      <c r="A2408" t="s">
        <v>4295</v>
      </c>
      <c r="B2408" s="96" t="str">
        <f>IFERROR(VLOOKUP(Proc[[#This Row],[App]],Table2[],3,0),"open")</f>
        <v>ok</v>
      </c>
      <c r="C2408" s="105" t="s">
        <v>369</v>
      </c>
      <c r="D2408" t="s">
        <v>2677</v>
      </c>
      <c r="E2408" t="s">
        <v>2678</v>
      </c>
      <c r="F2408" s="96" t="s">
        <v>4296</v>
      </c>
      <c r="G2408" s="105" t="s">
        <v>400</v>
      </c>
      <c r="H2408" s="96" t="str">
        <f>IF(Proc[[#This Row],[type]]="LFF (MDG-F)",MID(Proc[[#This Row],[Obj]],13,10),"")</f>
        <v/>
      </c>
      <c r="J2408" s="96" t="b">
        <f>Proc[[#This Row],[Requested]]=Proc[[#This Row],[CurrentParent]]</f>
        <v>0</v>
      </c>
      <c r="K2408" s="96" t="str">
        <f>IF(Proc[[#This Row],[Author]]="Marcela Urrego",VLOOKUP(LEFT(Proc[[#This Row],[Requested]],1),Table3[#All],2,0),VLOOKUP(Proc[[#This Row],[Author]],Table4[],2,0))</f>
        <v>LS</v>
      </c>
      <c r="L2408" s="96"/>
      <c r="M2408" s="108">
        <v>45828.508958333332</v>
      </c>
      <c r="N2408" s="109">
        <v>45831</v>
      </c>
      <c r="O2408" s="109">
        <v>45831</v>
      </c>
      <c r="P2408" s="108" t="str">
        <f ca="1">IF(Proc[[#This Row],[DaysAgeing]]&gt;5,"yep","on track")</f>
        <v>on track</v>
      </c>
      <c r="Q2408" s="3">
        <f ca="1">IF(Proc[[#This Row],[DateClosed]]="",ABS(NETWORKDAYS(Proc[[#This Row],[DateOpened]],TODAY()))-1,ABS(NETWORKDAYS(Proc[[#This Row],[DateOpened]],Proc[[#This Row],[DateClosed]]))-1)</f>
        <v>1</v>
      </c>
      <c r="R2408" s="108" t="s">
        <v>2679</v>
      </c>
      <c r="S2408" s="96"/>
    </row>
    <row r="2409" spans="1:19" hidden="1">
      <c r="A2409" t="s">
        <v>4304</v>
      </c>
      <c r="B2409" s="96" t="str">
        <f>IFERROR(VLOOKUP(Proc[[#This Row],[App]],Table2[],3,0),"open")</f>
        <v>open</v>
      </c>
      <c r="C2409" t="s">
        <v>377</v>
      </c>
      <c r="D2409" t="s">
        <v>4298</v>
      </c>
      <c r="E2409" t="s">
        <v>4302</v>
      </c>
      <c r="F2409" s="96"/>
      <c r="G2409" s="105" t="s">
        <v>400</v>
      </c>
      <c r="H2409" s="96" t="str">
        <f>IF(Proc[[#This Row],[type]]="LFF (MDG-F)",MID(Proc[[#This Row],[Obj]],13,10),"")</f>
        <v/>
      </c>
      <c r="I2409" t="s">
        <v>4305</v>
      </c>
      <c r="J2409" s="96" t="b">
        <f>Proc[[#This Row],[Requested]]=Proc[[#This Row],[CurrentParent]]</f>
        <v>0</v>
      </c>
      <c r="K2409" s="96" t="str">
        <f>IF(Proc[[#This Row],[Author]]="Marcela Urrego",VLOOKUP(LEFT(Proc[[#This Row],[Requested]],1),Table3[#All],2,0),VLOOKUP(Proc[[#This Row],[Author]],Table4[],2,0))</f>
        <v>HC</v>
      </c>
      <c r="L2409" s="96"/>
      <c r="M2409" s="109">
        <v>45828.384247685186</v>
      </c>
      <c r="N2409" s="109"/>
      <c r="O2409" s="109"/>
      <c r="P2409" s="110" t="str">
        <f ca="1">IF(Proc[[#This Row],[DaysAgeing]]&gt;5,"yep","on track")</f>
        <v>yep</v>
      </c>
      <c r="Q2409" s="3">
        <f ca="1">IF(Proc[[#This Row],[DateClosed]]="",ABS(NETWORKDAYS(Proc[[#This Row],[DateOpened]],TODAY()))-1,ABS(NETWORKDAYS(Proc[[#This Row],[DateOpened]],Proc[[#This Row],[DateClosed]]))-1)</f>
        <v>7</v>
      </c>
      <c r="R2409" s="110" t="s">
        <v>415</v>
      </c>
      <c r="S2409" s="96"/>
    </row>
    <row r="2410" spans="1:19" hidden="1">
      <c r="A2410" s="105" t="s">
        <v>4304</v>
      </c>
      <c r="B2410" s="96" t="str">
        <f>IFERROR(VLOOKUP(Proc[[#This Row],[App]],Table2[],3,0),"open")</f>
        <v>open</v>
      </c>
      <c r="C2410" s="105" t="s">
        <v>369</v>
      </c>
      <c r="D2410" t="s">
        <v>4299</v>
      </c>
      <c r="E2410" t="s">
        <v>4303</v>
      </c>
      <c r="F2410" s="96"/>
      <c r="G2410" s="105" t="s">
        <v>400</v>
      </c>
      <c r="H2410" s="96" t="str">
        <f>IF(Proc[[#This Row],[type]]="LFF (MDG-F)",MID(Proc[[#This Row],[Obj]],13,10),"")</f>
        <v/>
      </c>
      <c r="J2410" s="96" t="b">
        <f>Proc[[#This Row],[Requested]]=Proc[[#This Row],[CurrentParent]]</f>
        <v>0</v>
      </c>
      <c r="K2410" s="96" t="str">
        <f>IF(Proc[[#This Row],[Author]]="Marcela Urrego",VLOOKUP(LEFT(Proc[[#This Row],[Requested]],1),Table3[#All],2,0),VLOOKUP(Proc[[#This Row],[Author]],Table4[],2,0))</f>
        <v>HC</v>
      </c>
      <c r="L2410" s="96"/>
      <c r="M2410" s="109">
        <v>45828.384247685186</v>
      </c>
      <c r="N2410" s="109"/>
      <c r="O2410" s="109"/>
      <c r="P2410" s="110" t="str">
        <f ca="1">IF(Proc[[#This Row],[DaysAgeing]]&gt;5,"yep","on track")</f>
        <v>yep</v>
      </c>
      <c r="Q2410" s="3">
        <f ca="1">IF(Proc[[#This Row],[DateClosed]]="",ABS(NETWORKDAYS(Proc[[#This Row],[DateOpened]],TODAY()))-1,ABS(NETWORKDAYS(Proc[[#This Row],[DateOpened]],Proc[[#This Row],[DateClosed]]))-1)</f>
        <v>7</v>
      </c>
      <c r="R2410" s="110" t="s">
        <v>415</v>
      </c>
      <c r="S2410" s="96"/>
    </row>
    <row r="2411" spans="1:19" hidden="1">
      <c r="A2411" s="105" t="s">
        <v>4304</v>
      </c>
      <c r="B2411" s="96" t="str">
        <f>IFERROR(VLOOKUP(Proc[[#This Row],[App]],Table2[],3,0),"open")</f>
        <v>open</v>
      </c>
      <c r="C2411" s="105" t="s">
        <v>369</v>
      </c>
      <c r="D2411" t="s">
        <v>4300</v>
      </c>
      <c r="E2411" t="s">
        <v>4303</v>
      </c>
      <c r="F2411" s="96"/>
      <c r="G2411" s="105" t="s">
        <v>400</v>
      </c>
      <c r="H2411" s="96" t="str">
        <f>IF(Proc[[#This Row],[type]]="LFF (MDG-F)",MID(Proc[[#This Row],[Obj]],13,10),"")</f>
        <v/>
      </c>
      <c r="J2411" s="96" t="b">
        <f>Proc[[#This Row],[Requested]]=Proc[[#This Row],[CurrentParent]]</f>
        <v>0</v>
      </c>
      <c r="K2411" s="96" t="str">
        <f>IF(Proc[[#This Row],[Author]]="Marcela Urrego",VLOOKUP(LEFT(Proc[[#This Row],[Requested]],1),Table3[#All],2,0),VLOOKUP(Proc[[#This Row],[Author]],Table4[],2,0))</f>
        <v>HC</v>
      </c>
      <c r="L2411" s="96"/>
      <c r="M2411" s="109">
        <v>45828.384247685186</v>
      </c>
      <c r="N2411" s="109"/>
      <c r="O2411" s="109"/>
      <c r="P2411" s="110" t="str">
        <f ca="1">IF(Proc[[#This Row],[DaysAgeing]]&gt;5,"yep","on track")</f>
        <v>yep</v>
      </c>
      <c r="Q2411" s="3">
        <f ca="1">IF(Proc[[#This Row],[DateClosed]]="",ABS(NETWORKDAYS(Proc[[#This Row],[DateOpened]],TODAY()))-1,ABS(NETWORKDAYS(Proc[[#This Row],[DateOpened]],Proc[[#This Row],[DateClosed]]))-1)</f>
        <v>7</v>
      </c>
      <c r="R2411" s="110" t="s">
        <v>415</v>
      </c>
      <c r="S2411" s="96"/>
    </row>
    <row r="2412" spans="1:19">
      <c r="A2412" s="105" t="s">
        <v>4304</v>
      </c>
      <c r="B2412" s="96" t="str">
        <f>IFERROR(VLOOKUP(Proc[[#This Row],[App]],Table2[],3,0),"open")</f>
        <v>open</v>
      </c>
      <c r="C2412" s="105" t="s">
        <v>370</v>
      </c>
      <c r="D2412" t="s">
        <v>4301</v>
      </c>
      <c r="E2412" t="s">
        <v>4303</v>
      </c>
      <c r="F2412" s="96"/>
      <c r="G2412" s="105" t="s">
        <v>400</v>
      </c>
      <c r="H2412" s="96" t="str">
        <f>IF(Proc[[#This Row],[type]]="LFF (MDG-F)",MID(Proc[[#This Row],[Obj]],13,10),"")</f>
        <v/>
      </c>
      <c r="J2412" s="96" t="b">
        <f>Proc[[#This Row],[Requested]]=Proc[[#This Row],[CurrentParent]]</f>
        <v>0</v>
      </c>
      <c r="K2412" s="96" t="str">
        <f>IF(Proc[[#This Row],[Author]]="Marcela Urrego",VLOOKUP(LEFT(Proc[[#This Row],[Requested]],1),Table3[#All],2,0),VLOOKUP(Proc[[#This Row],[Author]],Table4[],2,0))</f>
        <v>HC</v>
      </c>
      <c r="L2412" s="96"/>
      <c r="M2412" s="109">
        <v>45828.384247685186</v>
      </c>
      <c r="N2412" s="109"/>
      <c r="O2412" s="109"/>
      <c r="P2412" s="110" t="str">
        <f ca="1">IF(Proc[[#This Row],[DaysAgeing]]&gt;5,"yep","on track")</f>
        <v>yep</v>
      </c>
      <c r="Q2412" s="3">
        <f ca="1">IF(Proc[[#This Row],[DateClosed]]="",ABS(NETWORKDAYS(Proc[[#This Row],[DateOpened]],TODAY()))-1,ABS(NETWORKDAYS(Proc[[#This Row],[DateOpened]],Proc[[#This Row],[DateClosed]]))-1)</f>
        <v>7</v>
      </c>
      <c r="R2412" s="110" t="s">
        <v>415</v>
      </c>
      <c r="S2412" s="96"/>
    </row>
    <row r="2413" spans="1:19" hidden="1">
      <c r="A2413" t="s">
        <v>4294</v>
      </c>
      <c r="B2413" s="96" t="str">
        <f>IFERROR(VLOOKUP(Proc[[#This Row],[App]],Table2[],3,0),"open")</f>
        <v>ok</v>
      </c>
      <c r="C2413" s="105" t="s">
        <v>369</v>
      </c>
      <c r="D2413" s="105" t="s">
        <v>4306</v>
      </c>
      <c r="E2413" s="105" t="s">
        <v>4293</v>
      </c>
      <c r="F2413" s="96"/>
      <c r="G2413" s="105" t="s">
        <v>400</v>
      </c>
      <c r="H2413" s="96" t="str">
        <f>IF(Proc[[#This Row],[type]]="LFF (MDG-F)",MID(Proc[[#This Row],[Obj]],13,10),"")</f>
        <v/>
      </c>
      <c r="J2413" s="96" t="b">
        <f>Proc[[#This Row],[Requested]]=Proc[[#This Row],[CurrentParent]]</f>
        <v>0</v>
      </c>
      <c r="K2413" s="96" t="str">
        <f>IF(Proc[[#This Row],[Author]]="Marcela Urrego",VLOOKUP(LEFT(Proc[[#This Row],[Requested]],1),Table3[#All],2,0),VLOOKUP(Proc[[#This Row],[Author]],Table4[],2,0))</f>
        <v>LS</v>
      </c>
      <c r="L2413" s="96"/>
      <c r="M2413" s="110">
        <v>45827.384247685186</v>
      </c>
      <c r="N2413" s="111"/>
      <c r="O2413" s="111"/>
      <c r="P2413" s="110" t="str">
        <f ca="1">IF(Proc[[#This Row],[DaysAgeing]]&gt;5,"yep","on track")</f>
        <v>yep</v>
      </c>
      <c r="Q2413" s="3">
        <f ca="1">IF(Proc[[#This Row],[DateClosed]]="",ABS(NETWORKDAYS(Proc[[#This Row],[DateOpened]],TODAY()))-1,ABS(NETWORKDAYS(Proc[[#This Row],[DateOpened]],Proc[[#This Row],[DateClosed]]))-1)</f>
        <v>8</v>
      </c>
      <c r="R2413" s="110" t="s">
        <v>972</v>
      </c>
      <c r="S2413" s="96"/>
    </row>
    <row r="2414" spans="1:19" hidden="1">
      <c r="A2414" t="s">
        <v>4307</v>
      </c>
      <c r="B2414" s="96" t="str">
        <f>IFERROR(VLOOKUP(Proc[[#This Row],[App]],Table2[],3,0),"open")</f>
        <v>ok</v>
      </c>
      <c r="C2414" t="s">
        <v>369</v>
      </c>
      <c r="D2414" t="s">
        <v>4308</v>
      </c>
      <c r="E2414" t="s">
        <v>4310</v>
      </c>
      <c r="F2414" s="96"/>
      <c r="G2414" t="s">
        <v>400</v>
      </c>
      <c r="H2414" s="96" t="str">
        <f>IF(Proc[[#This Row],[type]]="LFF (MDG-F)",MID(Proc[[#This Row],[Obj]],13,10),"")</f>
        <v/>
      </c>
      <c r="J2414" s="96" t="b">
        <f>Proc[[#This Row],[Requested]]=Proc[[#This Row],[CurrentParent]]</f>
        <v>0</v>
      </c>
      <c r="K2414" s="96" t="str">
        <f>IF(Proc[[#This Row],[Author]]="Marcela Urrego",VLOOKUP(LEFT(Proc[[#This Row],[Requested]],1),Table3[#All],2,0),VLOOKUP(Proc[[#This Row],[Author]],Table4[],2,0))</f>
        <v>LS</v>
      </c>
      <c r="L2414" s="96"/>
      <c r="M2414" s="110">
        <v>45832.384247685186</v>
      </c>
      <c r="N2414" s="111">
        <v>45839</v>
      </c>
      <c r="O2414" s="111">
        <v>45839</v>
      </c>
      <c r="P2414" s="110" t="str">
        <f ca="1">IF(Proc[[#This Row],[DaysAgeing]]&gt;5,"yep","on track")</f>
        <v>on track</v>
      </c>
      <c r="Q2414" s="3">
        <f ca="1">IF(Proc[[#This Row],[DateClosed]]="",ABS(NETWORKDAYS(Proc[[#This Row],[DateOpened]],TODAY()))-1,ABS(NETWORKDAYS(Proc[[#This Row],[DateOpened]],Proc[[#This Row],[DateClosed]]))-1)</f>
        <v>5</v>
      </c>
      <c r="R2414" s="110" t="s">
        <v>972</v>
      </c>
      <c r="S2414" s="96"/>
    </row>
    <row r="2415" spans="1:19" hidden="1">
      <c r="A2415" s="105" t="s">
        <v>4307</v>
      </c>
      <c r="B2415" s="96" t="str">
        <f>IFERROR(VLOOKUP(Proc[[#This Row],[App]],Table2[],3,0),"open")</f>
        <v>ok</v>
      </c>
      <c r="C2415" s="105" t="s">
        <v>369</v>
      </c>
      <c r="D2415" t="s">
        <v>4309</v>
      </c>
      <c r="E2415" t="s">
        <v>2600</v>
      </c>
      <c r="F2415" s="96"/>
      <c r="G2415" t="s">
        <v>406</v>
      </c>
      <c r="H2415" s="96" t="str">
        <f>IF(Proc[[#This Row],[type]]="LFF (MDG-F)",MID(Proc[[#This Row],[Obj]],13,10),"")</f>
        <v>DE10B20210</v>
      </c>
      <c r="J2415" s="96" t="b">
        <f>Proc[[#This Row],[Requested]]=Proc[[#This Row],[CurrentParent]]</f>
        <v>0</v>
      </c>
      <c r="K2415" s="96" t="str">
        <f>IF(Proc[[#This Row],[Author]]="Marcela Urrego",VLOOKUP(LEFT(Proc[[#This Row],[Requested]],1),Table3[#All],2,0),VLOOKUP(Proc[[#This Row],[Author]],Table4[],2,0))</f>
        <v>LS</v>
      </c>
      <c r="L2415" s="96"/>
      <c r="M2415" s="110">
        <v>45832.384247685186</v>
      </c>
      <c r="N2415" s="111">
        <v>45839</v>
      </c>
      <c r="O2415" s="111">
        <v>45839</v>
      </c>
      <c r="P2415" s="110" t="str">
        <f ca="1">IF(Proc[[#This Row],[DaysAgeing]]&gt;5,"yep","on track")</f>
        <v>on track</v>
      </c>
      <c r="Q2415" s="3">
        <f ca="1">IF(Proc[[#This Row],[DateClosed]]="",ABS(NETWORKDAYS(Proc[[#This Row],[DateOpened]],TODAY()))-1,ABS(NETWORKDAYS(Proc[[#This Row],[DateOpened]],Proc[[#This Row],[DateClosed]]))-1)</f>
        <v>5</v>
      </c>
      <c r="R2415" s="110" t="s">
        <v>972</v>
      </c>
      <c r="S2415" s="96"/>
    </row>
    <row r="2416" spans="1:19">
      <c r="A2416" t="s">
        <v>4311</v>
      </c>
      <c r="B2416" s="96" t="str">
        <f>IFERROR(VLOOKUP(Proc[[#This Row],[App]],Table2[],3,0),"open")</f>
        <v>open</v>
      </c>
      <c r="C2416" s="105" t="s">
        <v>375</v>
      </c>
      <c r="D2416" t="s">
        <v>4312</v>
      </c>
      <c r="E2416" t="s">
        <v>4314</v>
      </c>
      <c r="F2416" s="96" t="s">
        <v>1951</v>
      </c>
      <c r="G2416" t="s">
        <v>406</v>
      </c>
      <c r="H2416" s="96" t="str">
        <f>IF(Proc[[#This Row],[type]]="LFF (MDG-F)",MID(Proc[[#This Row],[Obj]],13,10),"")</f>
        <v>2123OF0033</v>
      </c>
      <c r="I2416" t="s">
        <v>4315</v>
      </c>
      <c r="J2416" s="96" t="b">
        <f>Proc[[#This Row],[Requested]]=Proc[[#This Row],[CurrentParent]]</f>
        <v>0</v>
      </c>
      <c r="K2416" s="96" t="str">
        <f>IF(Proc[[#This Row],[Author]]="Marcela Urrego",VLOOKUP(LEFT(Proc[[#This Row],[Requested]],1),Table3[#All],2,0),VLOOKUP(Proc[[#This Row],[Author]],Table4[],2,0))</f>
        <v>MGF</v>
      </c>
      <c r="L2416" s="96"/>
      <c r="M2416" s="111">
        <v>45832.666238425925</v>
      </c>
      <c r="N2416" s="111"/>
      <c r="O2416" s="111"/>
      <c r="P2416" s="112" t="str">
        <f ca="1">IF(Proc[[#This Row],[DaysAgeing]]&gt;5,"yep","on track")</f>
        <v>on track</v>
      </c>
      <c r="Q2416" s="3">
        <f ca="1">IF(Proc[[#This Row],[DateClosed]]="",ABS(NETWORKDAYS(Proc[[#This Row],[DateOpened]],TODAY()))-1,ABS(NETWORKDAYS(Proc[[#This Row],[DateOpened]],Proc[[#This Row],[DateClosed]]))-1)</f>
        <v>5</v>
      </c>
      <c r="R2416" s="112" t="s">
        <v>515</v>
      </c>
      <c r="S2416" s="96"/>
    </row>
    <row r="2417" spans="1:19">
      <c r="A2417" s="105" t="s">
        <v>4311</v>
      </c>
      <c r="B2417" s="96" t="str">
        <f>IFERROR(VLOOKUP(Proc[[#This Row],[App]],Table2[],3,0),"open")</f>
        <v>open</v>
      </c>
      <c r="C2417" s="105" t="s">
        <v>375</v>
      </c>
      <c r="D2417" t="s">
        <v>4313</v>
      </c>
      <c r="E2417" t="s">
        <v>474</v>
      </c>
      <c r="F2417" s="96" t="s">
        <v>476</v>
      </c>
      <c r="G2417" s="105" t="s">
        <v>406</v>
      </c>
      <c r="H2417" s="96" t="str">
        <f>IF(Proc[[#This Row],[type]]="LFF (MDG-F)",MID(Proc[[#This Row],[Obj]],13,10),"")</f>
        <v>CH75GM8300</v>
      </c>
      <c r="I2417" s="105" t="s">
        <v>4315</v>
      </c>
      <c r="J2417" s="96" t="b">
        <f>Proc[[#This Row],[Requested]]=Proc[[#This Row],[CurrentParent]]</f>
        <v>0</v>
      </c>
      <c r="K2417" s="96" t="str">
        <f>IF(Proc[[#This Row],[Author]]="Marcela Urrego",VLOOKUP(LEFT(Proc[[#This Row],[Requested]],1),Table3[#All],2,0),VLOOKUP(Proc[[#This Row],[Author]],Table4[],2,0))</f>
        <v>MGF</v>
      </c>
      <c r="L2417" s="96"/>
      <c r="M2417" s="111">
        <v>45832.666238425925</v>
      </c>
      <c r="N2417" s="111"/>
      <c r="O2417" s="111"/>
      <c r="P2417" s="112" t="str">
        <f ca="1">IF(Proc[[#This Row],[DaysAgeing]]&gt;5,"yep","on track")</f>
        <v>on track</v>
      </c>
      <c r="Q2417" s="3">
        <f ca="1">IF(Proc[[#This Row],[DateClosed]]="",ABS(NETWORKDAYS(Proc[[#This Row],[DateOpened]],TODAY()))-1,ABS(NETWORKDAYS(Proc[[#This Row],[DateOpened]],Proc[[#This Row],[DateClosed]]))-1)</f>
        <v>5</v>
      </c>
      <c r="R2417" s="112" t="s">
        <v>515</v>
      </c>
      <c r="S2417" s="96"/>
    </row>
    <row r="2418" spans="1:19" hidden="1">
      <c r="A2418" t="s">
        <v>4316</v>
      </c>
      <c r="B2418" s="96" t="str">
        <f>IFERROR(VLOOKUP(Proc[[#This Row],[App]],Table2[],3,0),"open")</f>
        <v>ok</v>
      </c>
      <c r="C2418" s="105" t="s">
        <v>369</v>
      </c>
      <c r="D2418" t="s">
        <v>4317</v>
      </c>
      <c r="E2418" t="s">
        <v>4326</v>
      </c>
      <c r="F2418" s="96" t="s">
        <v>4327</v>
      </c>
      <c r="G2418" s="105" t="s">
        <v>406</v>
      </c>
      <c r="H2418" s="96" t="str">
        <f>IF(Proc[[#This Row],[type]]="LFF (MDG-F)",MID(Proc[[#This Row],[Obj]],13,10),"")</f>
        <v>2068TAUA00</v>
      </c>
      <c r="I2418" t="s">
        <v>4329</v>
      </c>
      <c r="J2418" s="96" t="b">
        <f>Proc[[#This Row],[Requested]]=Proc[[#This Row],[CurrentParent]]</f>
        <v>0</v>
      </c>
      <c r="K2418" s="96" t="str">
        <f>IF(Proc[[#This Row],[Author]]="Marcela Urrego",VLOOKUP(LEFT(Proc[[#This Row],[Requested]],1),Table3[#All],2,0),VLOOKUP(Proc[[#This Row],[Author]],Table4[],2,0))</f>
        <v>EL</v>
      </c>
      <c r="L2418" s="96"/>
      <c r="M2418" s="111">
        <v>45835.60900462963</v>
      </c>
      <c r="N2418" s="111">
        <v>45839</v>
      </c>
      <c r="O2418" s="111">
        <v>45839</v>
      </c>
      <c r="P2418" s="112" t="str">
        <f ca="1">IF(Proc[[#This Row],[DaysAgeing]]&gt;5,"yep","on track")</f>
        <v>on track</v>
      </c>
      <c r="Q2418" s="3">
        <f ca="1">IF(Proc[[#This Row],[DateClosed]]="",ABS(NETWORKDAYS(Proc[[#This Row],[DateOpened]],TODAY()))-1,ABS(NETWORKDAYS(Proc[[#This Row],[DateOpened]],Proc[[#This Row],[DateClosed]]))-1)</f>
        <v>2</v>
      </c>
      <c r="R2418" s="112" t="s">
        <v>780</v>
      </c>
      <c r="S2418" s="96"/>
    </row>
    <row r="2419" spans="1:19" hidden="1">
      <c r="A2419" s="105" t="s">
        <v>4316</v>
      </c>
      <c r="B2419" s="96" t="str">
        <f>IFERROR(VLOOKUP(Proc[[#This Row],[App]],Table2[],3,0),"open")</f>
        <v>ok</v>
      </c>
      <c r="C2419" s="105" t="s">
        <v>369</v>
      </c>
      <c r="D2419" t="s">
        <v>4318</v>
      </c>
      <c r="E2419" t="s">
        <v>4326</v>
      </c>
      <c r="F2419" s="96" t="s">
        <v>4327</v>
      </c>
      <c r="G2419" s="105" t="s">
        <v>406</v>
      </c>
      <c r="H2419" s="96" t="str">
        <f>IF(Proc[[#This Row],[type]]="LFF (MDG-F)",MID(Proc[[#This Row],[Obj]],13,10),"")</f>
        <v>2068TAUA99</v>
      </c>
      <c r="I2419" s="105" t="s">
        <v>4329</v>
      </c>
      <c r="J2419" s="96" t="b">
        <f>Proc[[#This Row],[Requested]]=Proc[[#This Row],[CurrentParent]]</f>
        <v>0</v>
      </c>
      <c r="K2419" s="96" t="str">
        <f>IF(Proc[[#This Row],[Author]]="Marcela Urrego",VLOOKUP(LEFT(Proc[[#This Row],[Requested]],1),Table3[#All],2,0),VLOOKUP(Proc[[#This Row],[Author]],Table4[],2,0))</f>
        <v>EL</v>
      </c>
      <c r="L2419" s="96"/>
      <c r="M2419" s="111">
        <v>45835.60900462963</v>
      </c>
      <c r="N2419" s="111">
        <v>45839</v>
      </c>
      <c r="O2419" s="111">
        <v>45839</v>
      </c>
      <c r="P2419" s="112" t="str">
        <f ca="1">IF(Proc[[#This Row],[DaysAgeing]]&gt;5,"yep","on track")</f>
        <v>on track</v>
      </c>
      <c r="Q2419" s="3">
        <f ca="1">IF(Proc[[#This Row],[DateClosed]]="",ABS(NETWORKDAYS(Proc[[#This Row],[DateOpened]],TODAY()))-1,ABS(NETWORKDAYS(Proc[[#This Row],[DateOpened]],Proc[[#This Row],[DateClosed]]))-1)</f>
        <v>2</v>
      </c>
      <c r="R2419" s="112" t="s">
        <v>780</v>
      </c>
      <c r="S2419" s="96"/>
    </row>
    <row r="2420" spans="1:19" hidden="1">
      <c r="A2420" s="105" t="s">
        <v>4316</v>
      </c>
      <c r="B2420" s="96" t="str">
        <f>IFERROR(VLOOKUP(Proc[[#This Row],[App]],Table2[],3,0),"open")</f>
        <v>ok</v>
      </c>
      <c r="C2420" s="105" t="s">
        <v>369</v>
      </c>
      <c r="D2420" t="s">
        <v>4319</v>
      </c>
      <c r="E2420" t="s">
        <v>4326</v>
      </c>
      <c r="F2420" s="96" t="s">
        <v>4327</v>
      </c>
      <c r="G2420" s="105" t="s">
        <v>406</v>
      </c>
      <c r="H2420" s="96" t="str">
        <f>IF(Proc[[#This Row],[type]]="LFF (MDG-F)",MID(Proc[[#This Row],[Obj]],13,10),"")</f>
        <v>2068TBUZ21</v>
      </c>
      <c r="I2420" s="105" t="s">
        <v>4329</v>
      </c>
      <c r="J2420" s="96" t="b">
        <f>Proc[[#This Row],[Requested]]=Proc[[#This Row],[CurrentParent]]</f>
        <v>0</v>
      </c>
      <c r="K2420" s="96" t="str">
        <f>IF(Proc[[#This Row],[Author]]="Marcela Urrego",VLOOKUP(LEFT(Proc[[#This Row],[Requested]],1),Table3[#All],2,0),VLOOKUP(Proc[[#This Row],[Author]],Table4[],2,0))</f>
        <v>EL</v>
      </c>
      <c r="L2420" s="96"/>
      <c r="M2420" s="111">
        <v>45835.60900462963</v>
      </c>
      <c r="N2420" s="111">
        <v>45839</v>
      </c>
      <c r="O2420" s="111">
        <v>45839</v>
      </c>
      <c r="P2420" s="112" t="str">
        <f ca="1">IF(Proc[[#This Row],[DaysAgeing]]&gt;5,"yep","on track")</f>
        <v>on track</v>
      </c>
      <c r="Q2420" s="3">
        <f ca="1">IF(Proc[[#This Row],[DateClosed]]="",ABS(NETWORKDAYS(Proc[[#This Row],[DateOpened]],TODAY()))-1,ABS(NETWORKDAYS(Proc[[#This Row],[DateOpened]],Proc[[#This Row],[DateClosed]]))-1)</f>
        <v>2</v>
      </c>
      <c r="R2420" s="112" t="s">
        <v>780</v>
      </c>
      <c r="S2420" s="96"/>
    </row>
    <row r="2421" spans="1:19" hidden="1">
      <c r="A2421" s="105" t="s">
        <v>4316</v>
      </c>
      <c r="B2421" s="96" t="str">
        <f>IFERROR(VLOOKUP(Proc[[#This Row],[App]],Table2[],3,0),"open")</f>
        <v>ok</v>
      </c>
      <c r="C2421" s="105" t="s">
        <v>369</v>
      </c>
      <c r="D2421" t="s">
        <v>4320</v>
      </c>
      <c r="E2421" t="s">
        <v>4326</v>
      </c>
      <c r="F2421" s="96" t="s">
        <v>4327</v>
      </c>
      <c r="G2421" s="105" t="s">
        <v>406</v>
      </c>
      <c r="H2421" s="96" t="str">
        <f>IF(Proc[[#This Row],[type]]="LFF (MDG-F)",MID(Proc[[#This Row],[Obj]],13,10),"")</f>
        <v>2068TFUZ61</v>
      </c>
      <c r="I2421" s="105" t="s">
        <v>4329</v>
      </c>
      <c r="J2421" s="96" t="b">
        <f>Proc[[#This Row],[Requested]]=Proc[[#This Row],[CurrentParent]]</f>
        <v>0</v>
      </c>
      <c r="K2421" s="96" t="str">
        <f>IF(Proc[[#This Row],[Author]]="Marcela Urrego",VLOOKUP(LEFT(Proc[[#This Row],[Requested]],1),Table3[#All],2,0),VLOOKUP(Proc[[#This Row],[Author]],Table4[],2,0))</f>
        <v>EL</v>
      </c>
      <c r="L2421" s="96"/>
      <c r="M2421" s="111">
        <v>45835.60900462963</v>
      </c>
      <c r="N2421" s="111">
        <v>45839</v>
      </c>
      <c r="O2421" s="111">
        <v>45839</v>
      </c>
      <c r="P2421" s="112" t="str">
        <f ca="1">IF(Proc[[#This Row],[DaysAgeing]]&gt;5,"yep","on track")</f>
        <v>on track</v>
      </c>
      <c r="Q2421" s="3">
        <f ca="1">IF(Proc[[#This Row],[DateClosed]]="",ABS(NETWORKDAYS(Proc[[#This Row],[DateOpened]],TODAY()))-1,ABS(NETWORKDAYS(Proc[[#This Row],[DateOpened]],Proc[[#This Row],[DateClosed]]))-1)</f>
        <v>2</v>
      </c>
      <c r="R2421" s="112" t="s">
        <v>780</v>
      </c>
      <c r="S2421" s="96"/>
    </row>
    <row r="2422" spans="1:19" hidden="1">
      <c r="A2422" s="105" t="s">
        <v>4316</v>
      </c>
      <c r="B2422" s="96" t="str">
        <f>IFERROR(VLOOKUP(Proc[[#This Row],[App]],Table2[],3,0),"open")</f>
        <v>ok</v>
      </c>
      <c r="C2422" s="105" t="s">
        <v>369</v>
      </c>
      <c r="D2422" t="s">
        <v>4321</v>
      </c>
      <c r="E2422" t="s">
        <v>4326</v>
      </c>
      <c r="F2422" s="96" t="s">
        <v>4327</v>
      </c>
      <c r="G2422" s="105" t="s">
        <v>406</v>
      </c>
      <c r="H2422" s="96" t="str">
        <f>IF(Proc[[#This Row],[type]]="LFF (MDG-F)",MID(Proc[[#This Row],[Obj]],13,10),"")</f>
        <v>2068TKUZ70</v>
      </c>
      <c r="I2422" s="105" t="s">
        <v>4329</v>
      </c>
      <c r="J2422" s="96" t="b">
        <f>Proc[[#This Row],[Requested]]=Proc[[#This Row],[CurrentParent]]</f>
        <v>0</v>
      </c>
      <c r="K2422" s="96" t="str">
        <f>IF(Proc[[#This Row],[Author]]="Marcela Urrego",VLOOKUP(LEFT(Proc[[#This Row],[Requested]],1),Table3[#All],2,0),VLOOKUP(Proc[[#This Row],[Author]],Table4[],2,0))</f>
        <v>EL</v>
      </c>
      <c r="L2422" s="96"/>
      <c r="M2422" s="111">
        <v>45835.60900462963</v>
      </c>
      <c r="N2422" s="111">
        <v>45839</v>
      </c>
      <c r="O2422" s="111">
        <v>45839</v>
      </c>
      <c r="P2422" s="112" t="str">
        <f ca="1">IF(Proc[[#This Row],[DaysAgeing]]&gt;5,"yep","on track")</f>
        <v>on track</v>
      </c>
      <c r="Q2422" s="3">
        <f ca="1">IF(Proc[[#This Row],[DateClosed]]="",ABS(NETWORKDAYS(Proc[[#This Row],[DateOpened]],TODAY()))-1,ABS(NETWORKDAYS(Proc[[#This Row],[DateOpened]],Proc[[#This Row],[DateClosed]]))-1)</f>
        <v>2</v>
      </c>
      <c r="R2422" s="112" t="s">
        <v>780</v>
      </c>
      <c r="S2422" s="96"/>
    </row>
    <row r="2423" spans="1:19" hidden="1">
      <c r="A2423" s="105" t="s">
        <v>4316</v>
      </c>
      <c r="B2423" s="96" t="str">
        <f>IFERROR(VLOOKUP(Proc[[#This Row],[App]],Table2[],3,0),"open")</f>
        <v>ok</v>
      </c>
      <c r="C2423" s="105" t="s">
        <v>369</v>
      </c>
      <c r="D2423" t="s">
        <v>4322</v>
      </c>
      <c r="E2423" t="s">
        <v>4326</v>
      </c>
      <c r="F2423" s="96" t="s">
        <v>4327</v>
      </c>
      <c r="G2423" s="105" t="s">
        <v>406</v>
      </c>
      <c r="H2423" s="96" t="str">
        <f>IF(Proc[[#This Row],[type]]="LFF (MDG-F)",MID(Proc[[#This Row],[Obj]],13,10),"")</f>
        <v>2068TQUZ90</v>
      </c>
      <c r="I2423" s="105" t="s">
        <v>4329</v>
      </c>
      <c r="J2423" s="96" t="b">
        <f>Proc[[#This Row],[Requested]]=Proc[[#This Row],[CurrentParent]]</f>
        <v>0</v>
      </c>
      <c r="K2423" s="96" t="str">
        <f>IF(Proc[[#This Row],[Author]]="Marcela Urrego",VLOOKUP(LEFT(Proc[[#This Row],[Requested]],1),Table3[#All],2,0),VLOOKUP(Proc[[#This Row],[Author]],Table4[],2,0))</f>
        <v>EL</v>
      </c>
      <c r="L2423" s="96"/>
      <c r="M2423" s="111">
        <v>45835.60900462963</v>
      </c>
      <c r="N2423" s="111">
        <v>45839</v>
      </c>
      <c r="O2423" s="111">
        <v>45839</v>
      </c>
      <c r="P2423" s="112" t="str">
        <f ca="1">IF(Proc[[#This Row],[DaysAgeing]]&gt;5,"yep","on track")</f>
        <v>on track</v>
      </c>
      <c r="Q2423" s="3">
        <f ca="1">IF(Proc[[#This Row],[DateClosed]]="",ABS(NETWORKDAYS(Proc[[#This Row],[DateOpened]],TODAY()))-1,ABS(NETWORKDAYS(Proc[[#This Row],[DateOpened]],Proc[[#This Row],[DateClosed]]))-1)</f>
        <v>2</v>
      </c>
      <c r="R2423" s="112" t="s">
        <v>780</v>
      </c>
      <c r="S2423" s="96"/>
    </row>
    <row r="2424" spans="1:19" hidden="1">
      <c r="A2424" s="105" t="s">
        <v>4316</v>
      </c>
      <c r="B2424" s="96" t="str">
        <f>IFERROR(VLOOKUP(Proc[[#This Row],[App]],Table2[],3,0),"open")</f>
        <v>ok</v>
      </c>
      <c r="C2424" s="105" t="s">
        <v>369</v>
      </c>
      <c r="D2424" t="s">
        <v>4325</v>
      </c>
      <c r="E2424" t="s">
        <v>4326</v>
      </c>
      <c r="F2424" s="96" t="s">
        <v>4327</v>
      </c>
      <c r="G2424" s="105" t="s">
        <v>406</v>
      </c>
      <c r="H2424" s="96" t="str">
        <f>IF(Proc[[#This Row],[type]]="LFF (MDG-F)",MID(Proc[[#This Row],[Obj]],13,10),"")</f>
        <v>2068TAUA01</v>
      </c>
      <c r="I2424" s="105" t="s">
        <v>4329</v>
      </c>
      <c r="J2424" s="96" t="b">
        <f>Proc[[#This Row],[Requested]]=Proc[[#This Row],[CurrentParent]]</f>
        <v>0</v>
      </c>
      <c r="K2424" s="96" t="str">
        <f>IF(Proc[[#This Row],[Author]]="Marcela Urrego",VLOOKUP(LEFT(Proc[[#This Row],[Requested]],1),Table3[#All],2,0),VLOOKUP(Proc[[#This Row],[Author]],Table4[],2,0))</f>
        <v>EL</v>
      </c>
      <c r="L2424" s="96"/>
      <c r="M2424" s="111">
        <v>45835.60900462963</v>
      </c>
      <c r="N2424" s="111">
        <v>45839</v>
      </c>
      <c r="O2424" s="111">
        <v>45839</v>
      </c>
      <c r="P2424" s="112" t="str">
        <f ca="1">IF(Proc[[#This Row],[DaysAgeing]]&gt;5,"yep","on track")</f>
        <v>on track</v>
      </c>
      <c r="Q2424" s="3">
        <f ca="1">IF(Proc[[#This Row],[DateClosed]]="",ABS(NETWORKDAYS(Proc[[#This Row],[DateOpened]],TODAY()))-1,ABS(NETWORKDAYS(Proc[[#This Row],[DateOpened]],Proc[[#This Row],[DateClosed]]))-1)</f>
        <v>2</v>
      </c>
      <c r="R2424" s="112" t="s">
        <v>780</v>
      </c>
      <c r="S2424" s="96"/>
    </row>
    <row r="2425" spans="1:19" hidden="1">
      <c r="A2425" s="105" t="s">
        <v>4316</v>
      </c>
      <c r="B2425" s="96" t="str">
        <f>IFERROR(VLOOKUP(Proc[[#This Row],[App]],Table2[],3,0),"open")</f>
        <v>ok</v>
      </c>
      <c r="C2425" s="105" t="s">
        <v>377</v>
      </c>
      <c r="D2425" t="s">
        <v>4323</v>
      </c>
      <c r="E2425" t="s">
        <v>4326</v>
      </c>
      <c r="F2425" s="96" t="s">
        <v>4327</v>
      </c>
      <c r="G2425" s="105" t="s">
        <v>400</v>
      </c>
      <c r="H2425" s="96" t="str">
        <f>IF(Proc[[#This Row],[type]]="LFF (MDG-F)",MID(Proc[[#This Row],[Obj]],13,10),"")</f>
        <v/>
      </c>
      <c r="I2425" t="s">
        <v>4328</v>
      </c>
      <c r="J2425" s="96" t="b">
        <f>Proc[[#This Row],[Requested]]=Proc[[#This Row],[CurrentParent]]</f>
        <v>0</v>
      </c>
      <c r="K2425" s="96" t="str">
        <f>IF(Proc[[#This Row],[Author]]="Marcela Urrego",VLOOKUP(LEFT(Proc[[#This Row],[Requested]],1),Table3[#All],2,0),VLOOKUP(Proc[[#This Row],[Author]],Table4[],2,0))</f>
        <v>EL</v>
      </c>
      <c r="L2425" s="96"/>
      <c r="M2425" s="111">
        <v>45835.60900462963</v>
      </c>
      <c r="N2425" s="111"/>
      <c r="O2425" s="111">
        <v>45839</v>
      </c>
      <c r="P2425" s="112" t="str">
        <f ca="1">IF(Proc[[#This Row],[DaysAgeing]]&gt;5,"yep","on track")</f>
        <v>on track</v>
      </c>
      <c r="Q2425" s="3">
        <f ca="1">IF(Proc[[#This Row],[DateClosed]]="",ABS(NETWORKDAYS(Proc[[#This Row],[DateOpened]],TODAY()))-1,ABS(NETWORKDAYS(Proc[[#This Row],[DateOpened]],Proc[[#This Row],[DateClosed]]))-1)</f>
        <v>2</v>
      </c>
      <c r="R2425" s="112" t="s">
        <v>780</v>
      </c>
      <c r="S2425" s="96"/>
    </row>
    <row r="2426" spans="1:19" hidden="1">
      <c r="A2426" s="105" t="s">
        <v>4316</v>
      </c>
      <c r="B2426" s="96" t="str">
        <f>IFERROR(VLOOKUP(Proc[[#This Row],[App]],Table2[],3,0),"open")</f>
        <v>ok</v>
      </c>
      <c r="C2426" s="105" t="s">
        <v>377</v>
      </c>
      <c r="D2426" t="s">
        <v>4324</v>
      </c>
      <c r="E2426" t="s">
        <v>4326</v>
      </c>
      <c r="F2426" s="96" t="s">
        <v>4327</v>
      </c>
      <c r="G2426" s="105" t="s">
        <v>400</v>
      </c>
      <c r="H2426" s="96" t="str">
        <f>IF(Proc[[#This Row],[type]]="LFF (MDG-F)",MID(Proc[[#This Row],[Obj]],13,10),"")</f>
        <v/>
      </c>
      <c r="I2426" s="105" t="s">
        <v>4328</v>
      </c>
      <c r="J2426" s="96" t="b">
        <f>Proc[[#This Row],[Requested]]=Proc[[#This Row],[CurrentParent]]</f>
        <v>0</v>
      </c>
      <c r="K2426" s="96" t="str">
        <f>IF(Proc[[#This Row],[Author]]="Marcela Urrego",VLOOKUP(LEFT(Proc[[#This Row],[Requested]],1),Table3[#All],2,0),VLOOKUP(Proc[[#This Row],[Author]],Table4[],2,0))</f>
        <v>EL</v>
      </c>
      <c r="L2426" s="96"/>
      <c r="M2426" s="111">
        <v>45835.60900462963</v>
      </c>
      <c r="N2426" s="111"/>
      <c r="O2426" s="111">
        <v>45839</v>
      </c>
      <c r="P2426" s="112" t="str">
        <f ca="1">IF(Proc[[#This Row],[DaysAgeing]]&gt;5,"yep","on track")</f>
        <v>on track</v>
      </c>
      <c r="Q2426" s="3">
        <f ca="1">IF(Proc[[#This Row],[DateClosed]]="",ABS(NETWORKDAYS(Proc[[#This Row],[DateOpened]],TODAY()))-1,ABS(NETWORKDAYS(Proc[[#This Row],[DateOpened]],Proc[[#This Row],[DateClosed]]))-1)</f>
        <v>2</v>
      </c>
      <c r="R2426" s="112" t="s">
        <v>780</v>
      </c>
      <c r="S2426" s="96"/>
    </row>
    <row r="2427" spans="1:19" hidden="1">
      <c r="A2427" t="s">
        <v>4332</v>
      </c>
      <c r="B2427" s="96" t="str">
        <f>IFERROR(VLOOKUP(Proc[[#This Row],[App]],Table2[],3,0),"open")</f>
        <v>ok</v>
      </c>
      <c r="C2427" t="s">
        <v>369</v>
      </c>
      <c r="D2427" t="s">
        <v>4331</v>
      </c>
      <c r="E2427" t="s">
        <v>4334</v>
      </c>
      <c r="F2427" s="96"/>
      <c r="G2427" s="105" t="s">
        <v>400</v>
      </c>
      <c r="H2427" s="96" t="str">
        <f>IF(Proc[[#This Row],[type]]="LFF (MDG-F)",MID(Proc[[#This Row],[Obj]],13,10),"")</f>
        <v/>
      </c>
      <c r="J2427" s="96" t="b">
        <f>Proc[[#This Row],[Requested]]=Proc[[#This Row],[CurrentParent]]</f>
        <v>0</v>
      </c>
      <c r="K2427" s="96" t="str">
        <f>IF(Proc[[#This Row],[Author]]="Marcela Urrego",VLOOKUP(LEFT(Proc[[#This Row],[Requested]],1),Table3[#All],2,0),VLOOKUP(Proc[[#This Row],[Author]],Table4[],2,0))</f>
        <v>MGF</v>
      </c>
      <c r="L2427" s="96"/>
      <c r="M2427" s="111">
        <v>45834.753379629627</v>
      </c>
      <c r="N2427" s="111">
        <v>45839</v>
      </c>
      <c r="O2427" s="111">
        <v>45839</v>
      </c>
      <c r="P2427" s="112" t="str">
        <f ca="1">IF(Proc[[#This Row],[DaysAgeing]]&gt;5,"yep","on track")</f>
        <v>on track</v>
      </c>
      <c r="Q2427" s="3">
        <f ca="1">IF(Proc[[#This Row],[DateClosed]]="",ABS(NETWORKDAYS(Proc[[#This Row],[DateOpened]],TODAY()))-1,ABS(NETWORKDAYS(Proc[[#This Row],[DateOpened]],Proc[[#This Row],[DateClosed]]))-1)</f>
        <v>3</v>
      </c>
      <c r="R2427" s="112" t="s">
        <v>542</v>
      </c>
      <c r="S2427" s="96"/>
    </row>
    <row r="2428" spans="1:19" hidden="1">
      <c r="A2428" s="105" t="s">
        <v>4332</v>
      </c>
      <c r="B2428" s="96" t="str">
        <f>IFERROR(VLOOKUP(Proc[[#This Row],[App]],Table2[],3,0),"open")</f>
        <v>ok</v>
      </c>
      <c r="C2428" s="105" t="s">
        <v>369</v>
      </c>
      <c r="D2428" t="s">
        <v>4333</v>
      </c>
      <c r="E2428" t="s">
        <v>4335</v>
      </c>
      <c r="F2428" s="96"/>
      <c r="G2428" s="105" t="s">
        <v>400</v>
      </c>
      <c r="H2428" s="96" t="str">
        <f>IF(Proc[[#This Row],[type]]="LFF (MDG-F)",MID(Proc[[#This Row],[Obj]],13,10),"")</f>
        <v/>
      </c>
      <c r="J2428" s="96" t="b">
        <f>Proc[[#This Row],[Requested]]=Proc[[#This Row],[CurrentParent]]</f>
        <v>0</v>
      </c>
      <c r="K2428" s="96" t="str">
        <f>IF(Proc[[#This Row],[Author]]="Marcela Urrego",VLOOKUP(LEFT(Proc[[#This Row],[Requested]],1),Table3[#All],2,0),VLOOKUP(Proc[[#This Row],[Author]],Table4[],2,0))</f>
        <v>MGF</v>
      </c>
      <c r="L2428" s="96"/>
      <c r="M2428" s="111">
        <v>45834.753379629627</v>
      </c>
      <c r="N2428" s="111">
        <v>45839</v>
      </c>
      <c r="O2428" s="111">
        <v>45839</v>
      </c>
      <c r="P2428" s="112" t="str">
        <f ca="1">IF(Proc[[#This Row],[DaysAgeing]]&gt;5,"yep","on track")</f>
        <v>on track</v>
      </c>
      <c r="Q2428" s="3">
        <f ca="1">IF(Proc[[#This Row],[DateClosed]]="",ABS(NETWORKDAYS(Proc[[#This Row],[DateOpened]],TODAY()))-1,ABS(NETWORKDAYS(Proc[[#This Row],[DateOpened]],Proc[[#This Row],[DateClosed]]))-1)</f>
        <v>3</v>
      </c>
      <c r="R2428" s="112" t="s">
        <v>542</v>
      </c>
      <c r="S2428" s="96"/>
    </row>
    <row r="2429" spans="1:19">
      <c r="A2429" t="s">
        <v>4339</v>
      </c>
      <c r="B2429" s="96" t="str">
        <f>IFERROR(VLOOKUP(Proc[[#This Row],[App]],Table2[],3,0),"open")</f>
        <v>open</v>
      </c>
      <c r="C2429" t="s">
        <v>370</v>
      </c>
      <c r="D2429" t="s">
        <v>4336</v>
      </c>
      <c r="E2429" t="s">
        <v>4337</v>
      </c>
      <c r="F2429" s="96" t="s">
        <v>4338</v>
      </c>
      <c r="G2429" s="105" t="s">
        <v>400</v>
      </c>
      <c r="H2429" s="96" t="str">
        <f>IF(Proc[[#This Row],[type]]="LFF (MDG-F)",MID(Proc[[#This Row],[Obj]],13,10),"")</f>
        <v/>
      </c>
      <c r="J2429" s="96" t="b">
        <f>Proc[[#This Row],[Requested]]=Proc[[#This Row],[CurrentParent]]</f>
        <v>0</v>
      </c>
      <c r="K2429" s="96" t="str">
        <f>IF(Proc[[#This Row],[Author]]="Marcela Urrego",VLOOKUP(LEFT(Proc[[#This Row],[Requested]],1),Table3[#All],2,0),VLOOKUP(Proc[[#This Row],[Author]],Table4[],2,0))</f>
        <v>HC</v>
      </c>
      <c r="L2429" s="96"/>
      <c r="M2429" s="111">
        <v>45839.405046296299</v>
      </c>
      <c r="N2429" s="111"/>
      <c r="O2429" s="111"/>
      <c r="P2429" s="112" t="str">
        <f ca="1">IF(Proc[[#This Row],[DaysAgeing]]&gt;5,"yep","on track")</f>
        <v>on track</v>
      </c>
      <c r="Q2429" s="3">
        <f ca="1">IF(Proc[[#This Row],[DateClosed]]="",ABS(NETWORKDAYS(Proc[[#This Row],[DateOpened]],TODAY()))-1,ABS(NETWORKDAYS(Proc[[#This Row],[DateOpened]],Proc[[#This Row],[DateClosed]]))-1)</f>
        <v>0</v>
      </c>
      <c r="R2429" s="112" t="s">
        <v>410</v>
      </c>
      <c r="S2429" s="96"/>
    </row>
    <row r="2430" spans="1:19">
      <c r="A2430" t="s">
        <v>4340</v>
      </c>
      <c r="B2430" s="96" t="str">
        <f>IFERROR(VLOOKUP(Proc[[#This Row],[App]],Table2[],3,0),"open")</f>
        <v>open</v>
      </c>
      <c r="C2430" s="105" t="s">
        <v>370</v>
      </c>
      <c r="D2430" t="s">
        <v>4341</v>
      </c>
      <c r="E2430" t="s">
        <v>1830</v>
      </c>
      <c r="F2430" s="96" t="s">
        <v>4342</v>
      </c>
      <c r="G2430" s="105" t="s">
        <v>400</v>
      </c>
      <c r="H2430" s="96" t="str">
        <f>IF(Proc[[#This Row],[type]]="LFF (MDG-F)",MID(Proc[[#This Row],[Obj]],13,10),"")</f>
        <v/>
      </c>
      <c r="J2430" s="96" t="b">
        <f>Proc[[#This Row],[Requested]]=Proc[[#This Row],[CurrentParent]]</f>
        <v>0</v>
      </c>
      <c r="K2430" s="96" t="str">
        <f>IF(Proc[[#This Row],[Author]]="Marcela Urrego",VLOOKUP(LEFT(Proc[[#This Row],[Requested]],1),Table3[#All],2,0),VLOOKUP(Proc[[#This Row],[Author]],Table4[],2,0))</f>
        <v>LS</v>
      </c>
      <c r="L2430" s="96"/>
      <c r="M2430" s="111">
        <v>45838.524548611109</v>
      </c>
      <c r="N2430" s="111"/>
      <c r="O2430" s="111"/>
      <c r="P2430" s="112" t="str">
        <f ca="1">IF(Proc[[#This Row],[DaysAgeing]]&gt;5,"yep","on track")</f>
        <v>on track</v>
      </c>
      <c r="Q2430" s="3">
        <f ca="1">IF(Proc[[#This Row],[DateClosed]]="",ABS(NETWORKDAYS(Proc[[#This Row],[DateOpened]],TODAY()))-1,ABS(NETWORKDAYS(Proc[[#This Row],[DateOpened]],Proc[[#This Row],[DateClosed]]))-1)</f>
        <v>1</v>
      </c>
      <c r="R2430" s="112" t="s">
        <v>972</v>
      </c>
      <c r="S2430" s="96"/>
    </row>
    <row r="2431" spans="1:19">
      <c r="A2431" s="105" t="s">
        <v>4340</v>
      </c>
      <c r="B2431" s="96" t="str">
        <f>IFERROR(VLOOKUP(Proc[[#This Row],[App]],Table2[],3,0),"open")</f>
        <v>open</v>
      </c>
      <c r="C2431" s="105" t="s">
        <v>370</v>
      </c>
      <c r="D2431" t="s">
        <v>4343</v>
      </c>
      <c r="E2431" t="s">
        <v>1830</v>
      </c>
      <c r="F2431" s="96" t="s">
        <v>4342</v>
      </c>
      <c r="G2431" s="105" t="s">
        <v>400</v>
      </c>
      <c r="H2431" s="96" t="str">
        <f>IF(Proc[[#This Row],[type]]="LFF (MDG-F)",MID(Proc[[#This Row],[Obj]],13,10),"")</f>
        <v/>
      </c>
      <c r="J2431" s="96" t="b">
        <f>Proc[[#This Row],[Requested]]=Proc[[#This Row],[CurrentParent]]</f>
        <v>0</v>
      </c>
      <c r="K2431" s="96" t="str">
        <f>IF(Proc[[#This Row],[Author]]="Marcela Urrego",VLOOKUP(LEFT(Proc[[#This Row],[Requested]],1),Table3[#All],2,0),VLOOKUP(Proc[[#This Row],[Author]],Table4[],2,0))</f>
        <v>LS</v>
      </c>
      <c r="L2431" s="96"/>
      <c r="M2431" s="111">
        <v>45838.524548611109</v>
      </c>
      <c r="N2431" s="111"/>
      <c r="O2431" s="111"/>
      <c r="P2431" s="112" t="str">
        <f ca="1">IF(Proc[[#This Row],[DaysAgeing]]&gt;5,"yep","on track")</f>
        <v>on track</v>
      </c>
      <c r="Q2431" s="3">
        <f ca="1">IF(Proc[[#This Row],[DateClosed]]="",ABS(NETWORKDAYS(Proc[[#This Row],[DateOpened]],TODAY()))-1,ABS(NETWORKDAYS(Proc[[#This Row],[DateOpened]],Proc[[#This Row],[DateClosed]]))-1)</f>
        <v>1</v>
      </c>
      <c r="R2431" s="112" t="s">
        <v>972</v>
      </c>
      <c r="S2431" s="96"/>
    </row>
    <row r="2432" spans="1:19">
      <c r="A2432" s="105" t="s">
        <v>4340</v>
      </c>
      <c r="B2432" s="96" t="str">
        <f>IFERROR(VLOOKUP(Proc[[#This Row],[App]],Table2[],3,0),"open")</f>
        <v>open</v>
      </c>
      <c r="C2432" s="105" t="s">
        <v>370</v>
      </c>
      <c r="D2432" t="s">
        <v>4344</v>
      </c>
      <c r="E2432" t="s">
        <v>1830</v>
      </c>
      <c r="F2432" s="96" t="s">
        <v>4342</v>
      </c>
      <c r="G2432" s="105" t="s">
        <v>400</v>
      </c>
      <c r="H2432" s="96" t="str">
        <f>IF(Proc[[#This Row],[type]]="LFF (MDG-F)",MID(Proc[[#This Row],[Obj]],13,10),"")</f>
        <v/>
      </c>
      <c r="J2432" s="96" t="b">
        <f>Proc[[#This Row],[Requested]]=Proc[[#This Row],[CurrentParent]]</f>
        <v>0</v>
      </c>
      <c r="K2432" s="96" t="str">
        <f>IF(Proc[[#This Row],[Author]]="Marcela Urrego",VLOOKUP(LEFT(Proc[[#This Row],[Requested]],1),Table3[#All],2,0),VLOOKUP(Proc[[#This Row],[Author]],Table4[],2,0))</f>
        <v>LS</v>
      </c>
      <c r="L2432" s="96"/>
      <c r="M2432" s="111">
        <v>45838.524548611109</v>
      </c>
      <c r="N2432" s="111"/>
      <c r="O2432" s="111"/>
      <c r="P2432" s="112" t="str">
        <f ca="1">IF(Proc[[#This Row],[DaysAgeing]]&gt;5,"yep","on track")</f>
        <v>on track</v>
      </c>
      <c r="Q2432" s="3">
        <f ca="1">IF(Proc[[#This Row],[DateClosed]]="",ABS(NETWORKDAYS(Proc[[#This Row],[DateOpened]],TODAY()))-1,ABS(NETWORKDAYS(Proc[[#This Row],[DateOpened]],Proc[[#This Row],[DateClosed]]))-1)</f>
        <v>1</v>
      </c>
      <c r="R2432" s="112" t="s">
        <v>972</v>
      </c>
      <c r="S2432" s="96"/>
    </row>
    <row r="2433" spans="1:19">
      <c r="A2433" s="105" t="s">
        <v>4340</v>
      </c>
      <c r="B2433" s="96" t="str">
        <f>IFERROR(VLOOKUP(Proc[[#This Row],[App]],Table2[],3,0),"open")</f>
        <v>open</v>
      </c>
      <c r="C2433" s="105" t="s">
        <v>370</v>
      </c>
      <c r="D2433" t="s">
        <v>4345</v>
      </c>
      <c r="E2433" t="s">
        <v>1830</v>
      </c>
      <c r="F2433" s="96" t="s">
        <v>4342</v>
      </c>
      <c r="G2433" s="105" t="s">
        <v>400</v>
      </c>
      <c r="H2433" s="96" t="str">
        <f>IF(Proc[[#This Row],[type]]="LFF (MDG-F)",MID(Proc[[#This Row],[Obj]],13,10),"")</f>
        <v/>
      </c>
      <c r="J2433" s="96" t="b">
        <f>Proc[[#This Row],[Requested]]=Proc[[#This Row],[CurrentParent]]</f>
        <v>0</v>
      </c>
      <c r="K2433" s="96" t="str">
        <f>IF(Proc[[#This Row],[Author]]="Marcela Urrego",VLOOKUP(LEFT(Proc[[#This Row],[Requested]],1),Table3[#All],2,0),VLOOKUP(Proc[[#This Row],[Author]],Table4[],2,0))</f>
        <v>LS</v>
      </c>
      <c r="L2433" s="96"/>
      <c r="M2433" s="111">
        <v>45838.524548611109</v>
      </c>
      <c r="N2433" s="111"/>
      <c r="O2433" s="111"/>
      <c r="P2433" s="112" t="str">
        <f ca="1">IF(Proc[[#This Row],[DaysAgeing]]&gt;5,"yep","on track")</f>
        <v>on track</v>
      </c>
      <c r="Q2433" s="3">
        <f ca="1">IF(Proc[[#This Row],[DateClosed]]="",ABS(NETWORKDAYS(Proc[[#This Row],[DateOpened]],TODAY()))-1,ABS(NETWORKDAYS(Proc[[#This Row],[DateOpened]],Proc[[#This Row],[DateClosed]]))-1)</f>
        <v>1</v>
      </c>
      <c r="R2433" s="112" t="s">
        <v>972</v>
      </c>
      <c r="S2433" s="96"/>
    </row>
    <row r="2434" spans="1:19">
      <c r="A2434" s="105" t="s">
        <v>4340</v>
      </c>
      <c r="B2434" s="96" t="str">
        <f>IFERROR(VLOOKUP(Proc[[#This Row],[App]],Table2[],3,0),"open")</f>
        <v>open</v>
      </c>
      <c r="C2434" s="105" t="s">
        <v>370</v>
      </c>
      <c r="D2434" t="s">
        <v>4346</v>
      </c>
      <c r="E2434" t="s">
        <v>1830</v>
      </c>
      <c r="F2434" s="96" t="s">
        <v>4342</v>
      </c>
      <c r="G2434" s="105" t="s">
        <v>400</v>
      </c>
      <c r="H2434" s="96" t="str">
        <f>IF(Proc[[#This Row],[type]]="LFF (MDG-F)",MID(Proc[[#This Row],[Obj]],13,10),"")</f>
        <v/>
      </c>
      <c r="J2434" s="96" t="b">
        <f>Proc[[#This Row],[Requested]]=Proc[[#This Row],[CurrentParent]]</f>
        <v>0</v>
      </c>
      <c r="K2434" s="96" t="str">
        <f>IF(Proc[[#This Row],[Author]]="Marcela Urrego",VLOOKUP(LEFT(Proc[[#This Row],[Requested]],1),Table3[#All],2,0),VLOOKUP(Proc[[#This Row],[Author]],Table4[],2,0))</f>
        <v>LS</v>
      </c>
      <c r="L2434" s="96"/>
      <c r="M2434" s="111">
        <v>45838.524548611109</v>
      </c>
      <c r="N2434" s="111"/>
      <c r="O2434" s="111"/>
      <c r="P2434" s="112" t="str">
        <f ca="1">IF(Proc[[#This Row],[DaysAgeing]]&gt;5,"yep","on track")</f>
        <v>on track</v>
      </c>
      <c r="Q2434" s="3">
        <f ca="1">IF(Proc[[#This Row],[DateClosed]]="",ABS(NETWORKDAYS(Proc[[#This Row],[DateOpened]],TODAY()))-1,ABS(NETWORKDAYS(Proc[[#This Row],[DateOpened]],Proc[[#This Row],[DateClosed]]))-1)</f>
        <v>1</v>
      </c>
      <c r="R2434" s="112" t="s">
        <v>972</v>
      </c>
      <c r="S2434" s="96"/>
    </row>
    <row r="2435" spans="1:19">
      <c r="A2435" s="105" t="s">
        <v>4340</v>
      </c>
      <c r="B2435" s="96" t="str">
        <f>IFERROR(VLOOKUP(Proc[[#This Row],[App]],Table2[],3,0),"open")</f>
        <v>open</v>
      </c>
      <c r="C2435" s="105" t="s">
        <v>370</v>
      </c>
      <c r="D2435" t="s">
        <v>4347</v>
      </c>
      <c r="E2435" t="s">
        <v>1830</v>
      </c>
      <c r="F2435" s="96" t="s">
        <v>4342</v>
      </c>
      <c r="G2435" s="105" t="s">
        <v>400</v>
      </c>
      <c r="H2435" s="96" t="str">
        <f>IF(Proc[[#This Row],[type]]="LFF (MDG-F)",MID(Proc[[#This Row],[Obj]],13,10),"")</f>
        <v/>
      </c>
      <c r="J2435" s="96" t="b">
        <f>Proc[[#This Row],[Requested]]=Proc[[#This Row],[CurrentParent]]</f>
        <v>0</v>
      </c>
      <c r="K2435" s="96" t="str">
        <f>IF(Proc[[#This Row],[Author]]="Marcela Urrego",VLOOKUP(LEFT(Proc[[#This Row],[Requested]],1),Table3[#All],2,0),VLOOKUP(Proc[[#This Row],[Author]],Table4[],2,0))</f>
        <v>LS</v>
      </c>
      <c r="L2435" s="96"/>
      <c r="M2435" s="111">
        <v>45838.524548611109</v>
      </c>
      <c r="N2435" s="111"/>
      <c r="O2435" s="111"/>
      <c r="P2435" s="112" t="str">
        <f ca="1">IF(Proc[[#This Row],[DaysAgeing]]&gt;5,"yep","on track")</f>
        <v>on track</v>
      </c>
      <c r="Q2435" s="3">
        <f ca="1">IF(Proc[[#This Row],[DateClosed]]="",ABS(NETWORKDAYS(Proc[[#This Row],[DateOpened]],TODAY()))-1,ABS(NETWORKDAYS(Proc[[#This Row],[DateOpened]],Proc[[#This Row],[DateClosed]]))-1)</f>
        <v>1</v>
      </c>
      <c r="R2435" s="112" t="s">
        <v>972</v>
      </c>
      <c r="S2435" s="96"/>
    </row>
    <row r="2436" spans="1:19">
      <c r="A2436" s="105" t="s">
        <v>4340</v>
      </c>
      <c r="B2436" s="96" t="str">
        <f>IFERROR(VLOOKUP(Proc[[#This Row],[App]],Table2[],3,0),"open")</f>
        <v>open</v>
      </c>
      <c r="C2436" s="105" t="s">
        <v>370</v>
      </c>
      <c r="D2436" t="s">
        <v>4348</v>
      </c>
      <c r="E2436" t="s">
        <v>1830</v>
      </c>
      <c r="F2436" s="96" t="s">
        <v>4342</v>
      </c>
      <c r="G2436" s="105" t="s">
        <v>400</v>
      </c>
      <c r="H2436" s="96" t="str">
        <f>IF(Proc[[#This Row],[type]]="LFF (MDG-F)",MID(Proc[[#This Row],[Obj]],13,10),"")</f>
        <v/>
      </c>
      <c r="J2436" s="96" t="b">
        <f>Proc[[#This Row],[Requested]]=Proc[[#This Row],[CurrentParent]]</f>
        <v>0</v>
      </c>
      <c r="K2436" s="96" t="str">
        <f>IF(Proc[[#This Row],[Author]]="Marcela Urrego",VLOOKUP(LEFT(Proc[[#This Row],[Requested]],1),Table3[#All],2,0),VLOOKUP(Proc[[#This Row],[Author]],Table4[],2,0))</f>
        <v>LS</v>
      </c>
      <c r="L2436" s="96"/>
      <c r="M2436" s="111">
        <v>45838.524548611109</v>
      </c>
      <c r="N2436" s="111"/>
      <c r="O2436" s="111"/>
      <c r="P2436" s="112" t="str">
        <f ca="1">IF(Proc[[#This Row],[DaysAgeing]]&gt;5,"yep","on track")</f>
        <v>on track</v>
      </c>
      <c r="Q2436" s="3">
        <f ca="1">IF(Proc[[#This Row],[DateClosed]]="",ABS(NETWORKDAYS(Proc[[#This Row],[DateOpened]],TODAY()))-1,ABS(NETWORKDAYS(Proc[[#This Row],[DateOpened]],Proc[[#This Row],[DateClosed]]))-1)</f>
        <v>1</v>
      </c>
      <c r="R2436" s="112" t="s">
        <v>972</v>
      </c>
      <c r="S2436" s="96"/>
    </row>
    <row r="2437" spans="1:19">
      <c r="A2437" s="105" t="s">
        <v>4340</v>
      </c>
      <c r="B2437" s="96" t="str">
        <f>IFERROR(VLOOKUP(Proc[[#This Row],[App]],Table2[],3,0),"open")</f>
        <v>open</v>
      </c>
      <c r="C2437" s="105" t="s">
        <v>370</v>
      </c>
      <c r="D2437" t="s">
        <v>4349</v>
      </c>
      <c r="E2437" t="s">
        <v>1830</v>
      </c>
      <c r="F2437" s="96" t="s">
        <v>4342</v>
      </c>
      <c r="G2437" s="105" t="s">
        <v>400</v>
      </c>
      <c r="H2437" s="96" t="str">
        <f>IF(Proc[[#This Row],[type]]="LFF (MDG-F)",MID(Proc[[#This Row],[Obj]],13,10),"")</f>
        <v/>
      </c>
      <c r="J2437" s="96" t="b">
        <f>Proc[[#This Row],[Requested]]=Proc[[#This Row],[CurrentParent]]</f>
        <v>0</v>
      </c>
      <c r="K2437" s="96" t="str">
        <f>IF(Proc[[#This Row],[Author]]="Marcela Urrego",VLOOKUP(LEFT(Proc[[#This Row],[Requested]],1),Table3[#All],2,0),VLOOKUP(Proc[[#This Row],[Author]],Table4[],2,0))</f>
        <v>LS</v>
      </c>
      <c r="L2437" s="96"/>
      <c r="M2437" s="111">
        <v>45838.524548611109</v>
      </c>
      <c r="N2437" s="111"/>
      <c r="O2437" s="111"/>
      <c r="P2437" s="112" t="str">
        <f ca="1">IF(Proc[[#This Row],[DaysAgeing]]&gt;5,"yep","on track")</f>
        <v>on track</v>
      </c>
      <c r="Q2437" s="3">
        <f ca="1">IF(Proc[[#This Row],[DateClosed]]="",ABS(NETWORKDAYS(Proc[[#This Row],[DateOpened]],TODAY()))-1,ABS(NETWORKDAYS(Proc[[#This Row],[DateOpened]],Proc[[#This Row],[DateClosed]]))-1)</f>
        <v>1</v>
      </c>
      <c r="R2437" s="112" t="s">
        <v>972</v>
      </c>
      <c r="S2437" s="96"/>
    </row>
    <row r="2438" spans="1:19">
      <c r="A2438" s="105" t="s">
        <v>4340</v>
      </c>
      <c r="B2438" s="96" t="str">
        <f>IFERROR(VLOOKUP(Proc[[#This Row],[App]],Table2[],3,0),"open")</f>
        <v>open</v>
      </c>
      <c r="C2438" s="105" t="s">
        <v>370</v>
      </c>
      <c r="D2438" t="s">
        <v>4350</v>
      </c>
      <c r="E2438" t="s">
        <v>1830</v>
      </c>
      <c r="F2438" s="96" t="s">
        <v>4342</v>
      </c>
      <c r="G2438" s="105" t="s">
        <v>400</v>
      </c>
      <c r="H2438" s="96" t="str">
        <f>IF(Proc[[#This Row],[type]]="LFF (MDG-F)",MID(Proc[[#This Row],[Obj]],13,10),"")</f>
        <v/>
      </c>
      <c r="J2438" s="96" t="b">
        <f>Proc[[#This Row],[Requested]]=Proc[[#This Row],[CurrentParent]]</f>
        <v>0</v>
      </c>
      <c r="K2438" s="96" t="str">
        <f>IF(Proc[[#This Row],[Author]]="Marcela Urrego",VLOOKUP(LEFT(Proc[[#This Row],[Requested]],1),Table3[#All],2,0),VLOOKUP(Proc[[#This Row],[Author]],Table4[],2,0))</f>
        <v>LS</v>
      </c>
      <c r="L2438" s="96"/>
      <c r="M2438" s="111">
        <v>45838.524548611109</v>
      </c>
      <c r="N2438" s="111"/>
      <c r="O2438" s="111"/>
      <c r="P2438" s="112" t="str">
        <f ca="1">IF(Proc[[#This Row],[DaysAgeing]]&gt;5,"yep","on track")</f>
        <v>on track</v>
      </c>
      <c r="Q2438" s="3">
        <f ca="1">IF(Proc[[#This Row],[DateClosed]]="",ABS(NETWORKDAYS(Proc[[#This Row],[DateOpened]],TODAY()))-1,ABS(NETWORKDAYS(Proc[[#This Row],[DateOpened]],Proc[[#This Row],[DateClosed]]))-1)</f>
        <v>1</v>
      </c>
      <c r="R2438" s="112" t="s">
        <v>972</v>
      </c>
      <c r="S2438" s="96"/>
    </row>
    <row r="2439" spans="1:19">
      <c r="A2439" s="105" t="s">
        <v>4340</v>
      </c>
      <c r="B2439" s="96" t="str">
        <f>IFERROR(VLOOKUP(Proc[[#This Row],[App]],Table2[],3,0),"open")</f>
        <v>open</v>
      </c>
      <c r="C2439" s="105" t="s">
        <v>370</v>
      </c>
      <c r="D2439" t="s">
        <v>4351</v>
      </c>
      <c r="E2439" t="s">
        <v>1830</v>
      </c>
      <c r="F2439" s="96" t="s">
        <v>4342</v>
      </c>
      <c r="G2439" s="105" t="s">
        <v>400</v>
      </c>
      <c r="H2439" s="96" t="str">
        <f>IF(Proc[[#This Row],[type]]="LFF (MDG-F)",MID(Proc[[#This Row],[Obj]],13,10),"")</f>
        <v/>
      </c>
      <c r="J2439" s="96" t="b">
        <f>Proc[[#This Row],[Requested]]=Proc[[#This Row],[CurrentParent]]</f>
        <v>0</v>
      </c>
      <c r="K2439" s="96" t="str">
        <f>IF(Proc[[#This Row],[Author]]="Marcela Urrego",VLOOKUP(LEFT(Proc[[#This Row],[Requested]],1),Table3[#All],2,0),VLOOKUP(Proc[[#This Row],[Author]],Table4[],2,0))</f>
        <v>LS</v>
      </c>
      <c r="L2439" s="96"/>
      <c r="M2439" s="111">
        <v>45838.524548611109</v>
      </c>
      <c r="N2439" s="111"/>
      <c r="O2439" s="111"/>
      <c r="P2439" s="112" t="str">
        <f ca="1">IF(Proc[[#This Row],[DaysAgeing]]&gt;5,"yep","on track")</f>
        <v>on track</v>
      </c>
      <c r="Q2439" s="3">
        <f ca="1">IF(Proc[[#This Row],[DateClosed]]="",ABS(NETWORKDAYS(Proc[[#This Row],[DateOpened]],TODAY()))-1,ABS(NETWORKDAYS(Proc[[#This Row],[DateOpened]],Proc[[#This Row],[DateClosed]]))-1)</f>
        <v>1</v>
      </c>
      <c r="R2439" s="112" t="s">
        <v>972</v>
      </c>
      <c r="S2439" s="96"/>
    </row>
    <row r="2440" spans="1:19">
      <c r="A2440" s="105" t="s">
        <v>4340</v>
      </c>
      <c r="B2440" s="96" t="str">
        <f>IFERROR(VLOOKUP(Proc[[#This Row],[App]],Table2[],3,0),"open")</f>
        <v>open</v>
      </c>
      <c r="C2440" s="105" t="s">
        <v>370</v>
      </c>
      <c r="D2440" t="s">
        <v>4352</v>
      </c>
      <c r="E2440" t="s">
        <v>1830</v>
      </c>
      <c r="F2440" s="96" t="s">
        <v>4342</v>
      </c>
      <c r="G2440" s="105" t="s">
        <v>400</v>
      </c>
      <c r="H2440" s="96" t="str">
        <f>IF(Proc[[#This Row],[type]]="LFF (MDG-F)",MID(Proc[[#This Row],[Obj]],13,10),"")</f>
        <v/>
      </c>
      <c r="J2440" s="96" t="b">
        <f>Proc[[#This Row],[Requested]]=Proc[[#This Row],[CurrentParent]]</f>
        <v>0</v>
      </c>
      <c r="K2440" s="96" t="str">
        <f>IF(Proc[[#This Row],[Author]]="Marcela Urrego",VLOOKUP(LEFT(Proc[[#This Row],[Requested]],1),Table3[#All],2,0),VLOOKUP(Proc[[#This Row],[Author]],Table4[],2,0))</f>
        <v>LS</v>
      </c>
      <c r="L2440" s="96"/>
      <c r="M2440" s="111">
        <v>45838.524548611109</v>
      </c>
      <c r="N2440" s="111"/>
      <c r="O2440" s="111"/>
      <c r="P2440" s="112" t="str">
        <f ca="1">IF(Proc[[#This Row],[DaysAgeing]]&gt;5,"yep","on track")</f>
        <v>on track</v>
      </c>
      <c r="Q2440" s="3">
        <f ca="1">IF(Proc[[#This Row],[DateClosed]]="",ABS(NETWORKDAYS(Proc[[#This Row],[DateOpened]],TODAY()))-1,ABS(NETWORKDAYS(Proc[[#This Row],[DateOpened]],Proc[[#This Row],[DateClosed]]))-1)</f>
        <v>1</v>
      </c>
      <c r="R2440" s="112" t="s">
        <v>972</v>
      </c>
      <c r="S2440" s="96"/>
    </row>
    <row r="2441" spans="1:19">
      <c r="A2441" s="105" t="s">
        <v>4340</v>
      </c>
      <c r="B2441" s="96" t="str">
        <f>IFERROR(VLOOKUP(Proc[[#This Row],[App]],Table2[],3,0),"open")</f>
        <v>open</v>
      </c>
      <c r="C2441" s="105" t="s">
        <v>370</v>
      </c>
      <c r="D2441" t="s">
        <v>4353</v>
      </c>
      <c r="E2441" t="s">
        <v>1830</v>
      </c>
      <c r="F2441" s="96" t="s">
        <v>4342</v>
      </c>
      <c r="G2441" s="105" t="s">
        <v>400</v>
      </c>
      <c r="H2441" s="96" t="str">
        <f>IF(Proc[[#This Row],[type]]="LFF (MDG-F)",MID(Proc[[#This Row],[Obj]],13,10),"")</f>
        <v/>
      </c>
      <c r="J2441" s="96" t="b">
        <f>Proc[[#This Row],[Requested]]=Proc[[#This Row],[CurrentParent]]</f>
        <v>0</v>
      </c>
      <c r="K2441" s="96" t="str">
        <f>IF(Proc[[#This Row],[Author]]="Marcela Urrego",VLOOKUP(LEFT(Proc[[#This Row],[Requested]],1),Table3[#All],2,0),VLOOKUP(Proc[[#This Row],[Author]],Table4[],2,0))</f>
        <v>LS</v>
      </c>
      <c r="L2441" s="96"/>
      <c r="M2441" s="111">
        <v>45838.524548611109</v>
      </c>
      <c r="N2441" s="111"/>
      <c r="O2441" s="111"/>
      <c r="P2441" s="112" t="str">
        <f ca="1">IF(Proc[[#This Row],[DaysAgeing]]&gt;5,"yep","on track")</f>
        <v>on track</v>
      </c>
      <c r="Q2441" s="3">
        <f ca="1">IF(Proc[[#This Row],[DateClosed]]="",ABS(NETWORKDAYS(Proc[[#This Row],[DateOpened]],TODAY()))-1,ABS(NETWORKDAYS(Proc[[#This Row],[DateOpened]],Proc[[#This Row],[DateClosed]]))-1)</f>
        <v>1</v>
      </c>
      <c r="R2441" s="112" t="s">
        <v>972</v>
      </c>
      <c r="S2441" s="96"/>
    </row>
    <row r="2442" spans="1:19">
      <c r="A2442" s="105" t="s">
        <v>4340</v>
      </c>
      <c r="B2442" s="96" t="str">
        <f>IFERROR(VLOOKUP(Proc[[#This Row],[App]],Table2[],3,0),"open")</f>
        <v>open</v>
      </c>
      <c r="C2442" s="105" t="s">
        <v>370</v>
      </c>
      <c r="D2442" t="s">
        <v>4354</v>
      </c>
      <c r="E2442" t="s">
        <v>1830</v>
      </c>
      <c r="F2442" s="96" t="s">
        <v>4342</v>
      </c>
      <c r="G2442" s="105" t="s">
        <v>400</v>
      </c>
      <c r="H2442" s="96" t="str">
        <f>IF(Proc[[#This Row],[type]]="LFF (MDG-F)",MID(Proc[[#This Row],[Obj]],13,10),"")</f>
        <v/>
      </c>
      <c r="J2442" s="96" t="b">
        <f>Proc[[#This Row],[Requested]]=Proc[[#This Row],[CurrentParent]]</f>
        <v>0</v>
      </c>
      <c r="K2442" s="96" t="str">
        <f>IF(Proc[[#This Row],[Author]]="Marcela Urrego",VLOOKUP(LEFT(Proc[[#This Row],[Requested]],1),Table3[#All],2,0),VLOOKUP(Proc[[#This Row],[Author]],Table4[],2,0))</f>
        <v>LS</v>
      </c>
      <c r="L2442" s="96"/>
      <c r="M2442" s="111">
        <v>45838.524548611109</v>
      </c>
      <c r="N2442" s="111"/>
      <c r="O2442" s="111"/>
      <c r="P2442" s="112" t="str">
        <f ca="1">IF(Proc[[#This Row],[DaysAgeing]]&gt;5,"yep","on track")</f>
        <v>on track</v>
      </c>
      <c r="Q2442" s="3">
        <f ca="1">IF(Proc[[#This Row],[DateClosed]]="",ABS(NETWORKDAYS(Proc[[#This Row],[DateOpened]],TODAY()))-1,ABS(NETWORKDAYS(Proc[[#This Row],[DateOpened]],Proc[[#This Row],[DateClosed]]))-1)</f>
        <v>1</v>
      </c>
      <c r="R2442" s="112" t="s">
        <v>972</v>
      </c>
      <c r="S2442" s="96"/>
    </row>
    <row r="2443" spans="1:19">
      <c r="A2443" s="105" t="s">
        <v>4340</v>
      </c>
      <c r="B2443" s="96" t="str">
        <f>IFERROR(VLOOKUP(Proc[[#This Row],[App]],Table2[],3,0),"open")</f>
        <v>open</v>
      </c>
      <c r="C2443" s="105" t="s">
        <v>370</v>
      </c>
      <c r="D2443" t="s">
        <v>4355</v>
      </c>
      <c r="E2443" t="s">
        <v>1830</v>
      </c>
      <c r="F2443" s="96" t="s">
        <v>4342</v>
      </c>
      <c r="G2443" s="105" t="s">
        <v>400</v>
      </c>
      <c r="H2443" s="96" t="str">
        <f>IF(Proc[[#This Row],[type]]="LFF (MDG-F)",MID(Proc[[#This Row],[Obj]],13,10),"")</f>
        <v/>
      </c>
      <c r="J2443" s="96" t="b">
        <f>Proc[[#This Row],[Requested]]=Proc[[#This Row],[CurrentParent]]</f>
        <v>0</v>
      </c>
      <c r="K2443" s="96" t="str">
        <f>IF(Proc[[#This Row],[Author]]="Marcela Urrego",VLOOKUP(LEFT(Proc[[#This Row],[Requested]],1),Table3[#All],2,0),VLOOKUP(Proc[[#This Row],[Author]],Table4[],2,0))</f>
        <v>LS</v>
      </c>
      <c r="L2443" s="96"/>
      <c r="M2443" s="111">
        <v>45838.524548611109</v>
      </c>
      <c r="N2443" s="111"/>
      <c r="O2443" s="111"/>
      <c r="P2443" s="112" t="str">
        <f ca="1">IF(Proc[[#This Row],[DaysAgeing]]&gt;5,"yep","on track")</f>
        <v>on track</v>
      </c>
      <c r="Q2443" s="3">
        <f ca="1">IF(Proc[[#This Row],[DateClosed]]="",ABS(NETWORKDAYS(Proc[[#This Row],[DateOpened]],TODAY()))-1,ABS(NETWORKDAYS(Proc[[#This Row],[DateOpened]],Proc[[#This Row],[DateClosed]]))-1)</f>
        <v>1</v>
      </c>
      <c r="R2443" s="112" t="s">
        <v>972</v>
      </c>
      <c r="S2443" s="96"/>
    </row>
    <row r="2444" spans="1:19">
      <c r="A2444" s="105" t="s">
        <v>4340</v>
      </c>
      <c r="B2444" s="96" t="str">
        <f>IFERROR(VLOOKUP(Proc[[#This Row],[App]],Table2[],3,0),"open")</f>
        <v>open</v>
      </c>
      <c r="C2444" s="105" t="s">
        <v>370</v>
      </c>
      <c r="D2444" t="s">
        <v>4356</v>
      </c>
      <c r="E2444" t="s">
        <v>1830</v>
      </c>
      <c r="F2444" s="96" t="s">
        <v>4342</v>
      </c>
      <c r="G2444" s="105" t="s">
        <v>400</v>
      </c>
      <c r="H2444" s="96" t="str">
        <f>IF(Proc[[#This Row],[type]]="LFF (MDG-F)",MID(Proc[[#This Row],[Obj]],13,10),"")</f>
        <v/>
      </c>
      <c r="J2444" s="96" t="b">
        <f>Proc[[#This Row],[Requested]]=Proc[[#This Row],[CurrentParent]]</f>
        <v>0</v>
      </c>
      <c r="K2444" s="96" t="str">
        <f>IF(Proc[[#This Row],[Author]]="Marcela Urrego",VLOOKUP(LEFT(Proc[[#This Row],[Requested]],1),Table3[#All],2,0),VLOOKUP(Proc[[#This Row],[Author]],Table4[],2,0))</f>
        <v>LS</v>
      </c>
      <c r="L2444" s="96"/>
      <c r="M2444" s="111">
        <v>45838.524548611109</v>
      </c>
      <c r="N2444" s="111"/>
      <c r="O2444" s="111"/>
      <c r="P2444" s="112" t="str">
        <f ca="1">IF(Proc[[#This Row],[DaysAgeing]]&gt;5,"yep","on track")</f>
        <v>on track</v>
      </c>
      <c r="Q2444" s="3">
        <f ca="1">IF(Proc[[#This Row],[DateClosed]]="",ABS(NETWORKDAYS(Proc[[#This Row],[DateOpened]],TODAY()))-1,ABS(NETWORKDAYS(Proc[[#This Row],[DateOpened]],Proc[[#This Row],[DateClosed]]))-1)</f>
        <v>1</v>
      </c>
      <c r="R2444" s="112" t="s">
        <v>972</v>
      </c>
      <c r="S2444" s="96"/>
    </row>
    <row r="2445" spans="1:19">
      <c r="A2445" s="105" t="s">
        <v>4340</v>
      </c>
      <c r="B2445" s="96" t="str">
        <f>IFERROR(VLOOKUP(Proc[[#This Row],[App]],Table2[],3,0),"open")</f>
        <v>open</v>
      </c>
      <c r="C2445" s="105" t="s">
        <v>370</v>
      </c>
      <c r="D2445" t="s">
        <v>4357</v>
      </c>
      <c r="E2445" t="s">
        <v>1830</v>
      </c>
      <c r="F2445" s="96" t="s">
        <v>4342</v>
      </c>
      <c r="G2445" s="105" t="s">
        <v>400</v>
      </c>
      <c r="H2445" s="96" t="str">
        <f>IF(Proc[[#This Row],[type]]="LFF (MDG-F)",MID(Proc[[#This Row],[Obj]],13,10),"")</f>
        <v/>
      </c>
      <c r="J2445" s="96" t="b">
        <f>Proc[[#This Row],[Requested]]=Proc[[#This Row],[CurrentParent]]</f>
        <v>0</v>
      </c>
      <c r="K2445" s="96" t="str">
        <f>IF(Proc[[#This Row],[Author]]="Marcela Urrego",VLOOKUP(LEFT(Proc[[#This Row],[Requested]],1),Table3[#All],2,0),VLOOKUP(Proc[[#This Row],[Author]],Table4[],2,0))</f>
        <v>LS</v>
      </c>
      <c r="L2445" s="96"/>
      <c r="M2445" s="111">
        <v>45838.524548611109</v>
      </c>
      <c r="N2445" s="111"/>
      <c r="O2445" s="111"/>
      <c r="P2445" s="112" t="str">
        <f ca="1">IF(Proc[[#This Row],[DaysAgeing]]&gt;5,"yep","on track")</f>
        <v>on track</v>
      </c>
      <c r="Q2445" s="3">
        <f ca="1">IF(Proc[[#This Row],[DateClosed]]="",ABS(NETWORKDAYS(Proc[[#This Row],[DateOpened]],TODAY()))-1,ABS(NETWORKDAYS(Proc[[#This Row],[DateOpened]],Proc[[#This Row],[DateClosed]]))-1)</f>
        <v>1</v>
      </c>
      <c r="R2445" s="112" t="s">
        <v>972</v>
      </c>
      <c r="S2445" s="96"/>
    </row>
    <row r="2446" spans="1:19">
      <c r="A2446" s="105" t="s">
        <v>4340</v>
      </c>
      <c r="B2446" s="96" t="str">
        <f>IFERROR(VLOOKUP(Proc[[#This Row],[App]],Table2[],3,0),"open")</f>
        <v>open</v>
      </c>
      <c r="C2446" s="105" t="s">
        <v>370</v>
      </c>
      <c r="D2446" t="s">
        <v>4358</v>
      </c>
      <c r="E2446" t="s">
        <v>1830</v>
      </c>
      <c r="F2446" s="96" t="s">
        <v>4342</v>
      </c>
      <c r="G2446" s="105" t="s">
        <v>400</v>
      </c>
      <c r="H2446" s="96" t="str">
        <f>IF(Proc[[#This Row],[type]]="LFF (MDG-F)",MID(Proc[[#This Row],[Obj]],13,10),"")</f>
        <v/>
      </c>
      <c r="J2446" s="96" t="b">
        <f>Proc[[#This Row],[Requested]]=Proc[[#This Row],[CurrentParent]]</f>
        <v>0</v>
      </c>
      <c r="K2446" s="96" t="str">
        <f>IF(Proc[[#This Row],[Author]]="Marcela Urrego",VLOOKUP(LEFT(Proc[[#This Row],[Requested]],1),Table3[#All],2,0),VLOOKUP(Proc[[#This Row],[Author]],Table4[],2,0))</f>
        <v>LS</v>
      </c>
      <c r="L2446" s="96"/>
      <c r="M2446" s="111">
        <v>45838.524548611109</v>
      </c>
      <c r="N2446" s="111"/>
      <c r="O2446" s="111"/>
      <c r="P2446" s="112" t="str">
        <f ca="1">IF(Proc[[#This Row],[DaysAgeing]]&gt;5,"yep","on track")</f>
        <v>on track</v>
      </c>
      <c r="Q2446" s="3">
        <f ca="1">IF(Proc[[#This Row],[DateClosed]]="",ABS(NETWORKDAYS(Proc[[#This Row],[DateOpened]],TODAY()))-1,ABS(NETWORKDAYS(Proc[[#This Row],[DateOpened]],Proc[[#This Row],[DateClosed]]))-1)</f>
        <v>1</v>
      </c>
      <c r="R2446" s="112" t="s">
        <v>972</v>
      </c>
      <c r="S2446" s="96"/>
    </row>
    <row r="2447" spans="1:19">
      <c r="A2447" s="105" t="s">
        <v>4340</v>
      </c>
      <c r="B2447" s="96" t="str">
        <f>IFERROR(VLOOKUP(Proc[[#This Row],[App]],Table2[],3,0),"open")</f>
        <v>open</v>
      </c>
      <c r="C2447" s="105" t="s">
        <v>370</v>
      </c>
      <c r="D2447" t="s">
        <v>4359</v>
      </c>
      <c r="E2447" t="s">
        <v>1830</v>
      </c>
      <c r="F2447" s="96" t="s">
        <v>4342</v>
      </c>
      <c r="G2447" s="105" t="s">
        <v>400</v>
      </c>
      <c r="H2447" s="96" t="str">
        <f>IF(Proc[[#This Row],[type]]="LFF (MDG-F)",MID(Proc[[#This Row],[Obj]],13,10),"")</f>
        <v/>
      </c>
      <c r="J2447" s="96" t="b">
        <f>Proc[[#This Row],[Requested]]=Proc[[#This Row],[CurrentParent]]</f>
        <v>0</v>
      </c>
      <c r="K2447" s="96" t="str">
        <f>IF(Proc[[#This Row],[Author]]="Marcela Urrego",VLOOKUP(LEFT(Proc[[#This Row],[Requested]],1),Table3[#All],2,0),VLOOKUP(Proc[[#This Row],[Author]],Table4[],2,0))</f>
        <v>LS</v>
      </c>
      <c r="L2447" s="96"/>
      <c r="M2447" s="111">
        <v>45838.524548611109</v>
      </c>
      <c r="N2447" s="111"/>
      <c r="O2447" s="111"/>
      <c r="P2447" s="112" t="str">
        <f ca="1">IF(Proc[[#This Row],[DaysAgeing]]&gt;5,"yep","on track")</f>
        <v>on track</v>
      </c>
      <c r="Q2447" s="3">
        <f ca="1">IF(Proc[[#This Row],[DateClosed]]="",ABS(NETWORKDAYS(Proc[[#This Row],[DateOpened]],TODAY()))-1,ABS(NETWORKDAYS(Proc[[#This Row],[DateOpened]],Proc[[#This Row],[DateClosed]]))-1)</f>
        <v>1</v>
      </c>
      <c r="R2447" s="112" t="s">
        <v>972</v>
      </c>
      <c r="S2447" s="96"/>
    </row>
    <row r="2448" spans="1:19">
      <c r="A2448" s="105" t="s">
        <v>4340</v>
      </c>
      <c r="B2448" s="96" t="str">
        <f>IFERROR(VLOOKUP(Proc[[#This Row],[App]],Table2[],3,0),"open")</f>
        <v>open</v>
      </c>
      <c r="C2448" s="105" t="s">
        <v>370</v>
      </c>
      <c r="D2448" t="s">
        <v>4360</v>
      </c>
      <c r="E2448" t="s">
        <v>1830</v>
      </c>
      <c r="F2448" s="96" t="s">
        <v>4361</v>
      </c>
      <c r="G2448" s="105" t="s">
        <v>400</v>
      </c>
      <c r="H2448" s="96" t="str">
        <f>IF(Proc[[#This Row],[type]]="LFF (MDG-F)",MID(Proc[[#This Row],[Obj]],13,10),"")</f>
        <v/>
      </c>
      <c r="J2448" s="96" t="b">
        <f>Proc[[#This Row],[Requested]]=Proc[[#This Row],[CurrentParent]]</f>
        <v>0</v>
      </c>
      <c r="K2448" s="96" t="str">
        <f>IF(Proc[[#This Row],[Author]]="Marcela Urrego",VLOOKUP(LEFT(Proc[[#This Row],[Requested]],1),Table3[#All],2,0),VLOOKUP(Proc[[#This Row],[Author]],Table4[],2,0))</f>
        <v>LS</v>
      </c>
      <c r="L2448" s="96"/>
      <c r="M2448" s="111">
        <v>45838.524548611109</v>
      </c>
      <c r="N2448" s="111"/>
      <c r="O2448" s="111"/>
      <c r="P2448" s="112" t="str">
        <f ca="1">IF(Proc[[#This Row],[DaysAgeing]]&gt;5,"yep","on track")</f>
        <v>on track</v>
      </c>
      <c r="Q2448" s="3">
        <f ca="1">IF(Proc[[#This Row],[DateClosed]]="",ABS(NETWORKDAYS(Proc[[#This Row],[DateOpened]],TODAY()))-1,ABS(NETWORKDAYS(Proc[[#This Row],[DateOpened]],Proc[[#This Row],[DateClosed]]))-1)</f>
        <v>1</v>
      </c>
      <c r="R2448" s="112" t="s">
        <v>972</v>
      </c>
      <c r="S2448" s="96"/>
    </row>
    <row r="2449" spans="1:19">
      <c r="A2449" s="105" t="s">
        <v>4340</v>
      </c>
      <c r="B2449" s="96" t="str">
        <f>IFERROR(VLOOKUP(Proc[[#This Row],[App]],Table2[],3,0),"open")</f>
        <v>open</v>
      </c>
      <c r="C2449" s="105" t="s">
        <v>370</v>
      </c>
      <c r="D2449" t="s">
        <v>4362</v>
      </c>
      <c r="E2449" t="s">
        <v>1830</v>
      </c>
      <c r="F2449" s="96" t="s">
        <v>4361</v>
      </c>
      <c r="G2449" s="105" t="s">
        <v>400</v>
      </c>
      <c r="H2449" s="96" t="str">
        <f>IF(Proc[[#This Row],[type]]="LFF (MDG-F)",MID(Proc[[#This Row],[Obj]],13,10),"")</f>
        <v/>
      </c>
      <c r="J2449" s="96" t="b">
        <f>Proc[[#This Row],[Requested]]=Proc[[#This Row],[CurrentParent]]</f>
        <v>0</v>
      </c>
      <c r="K2449" s="96" t="str">
        <f>IF(Proc[[#This Row],[Author]]="Marcela Urrego",VLOOKUP(LEFT(Proc[[#This Row],[Requested]],1),Table3[#All],2,0),VLOOKUP(Proc[[#This Row],[Author]],Table4[],2,0))</f>
        <v>LS</v>
      </c>
      <c r="L2449" s="96"/>
      <c r="M2449" s="111">
        <v>45838.524548611109</v>
      </c>
      <c r="N2449" s="111"/>
      <c r="O2449" s="111"/>
      <c r="P2449" s="112" t="str">
        <f ca="1">IF(Proc[[#This Row],[DaysAgeing]]&gt;5,"yep","on track")</f>
        <v>on track</v>
      </c>
      <c r="Q2449" s="3">
        <f ca="1">IF(Proc[[#This Row],[DateClosed]]="",ABS(NETWORKDAYS(Proc[[#This Row],[DateOpened]],TODAY()))-1,ABS(NETWORKDAYS(Proc[[#This Row],[DateOpened]],Proc[[#This Row],[DateClosed]]))-1)</f>
        <v>1</v>
      </c>
      <c r="R2449" s="112" t="s">
        <v>972</v>
      </c>
      <c r="S2449" s="96"/>
    </row>
    <row r="2450" spans="1:19">
      <c r="A2450" s="105" t="s">
        <v>4340</v>
      </c>
      <c r="B2450" s="96" t="str">
        <f>IFERROR(VLOOKUP(Proc[[#This Row],[App]],Table2[],3,0),"open")</f>
        <v>open</v>
      </c>
      <c r="C2450" s="105" t="s">
        <v>370</v>
      </c>
      <c r="D2450" t="s">
        <v>4363</v>
      </c>
      <c r="E2450" t="s">
        <v>1830</v>
      </c>
      <c r="F2450" s="96" t="s">
        <v>4361</v>
      </c>
      <c r="G2450" s="105" t="s">
        <v>400</v>
      </c>
      <c r="H2450" s="96" t="str">
        <f>IF(Proc[[#This Row],[type]]="LFF (MDG-F)",MID(Proc[[#This Row],[Obj]],13,10),"")</f>
        <v/>
      </c>
      <c r="J2450" s="96" t="b">
        <f>Proc[[#This Row],[Requested]]=Proc[[#This Row],[CurrentParent]]</f>
        <v>0</v>
      </c>
      <c r="K2450" s="96" t="str">
        <f>IF(Proc[[#This Row],[Author]]="Marcela Urrego",VLOOKUP(LEFT(Proc[[#This Row],[Requested]],1),Table3[#All],2,0),VLOOKUP(Proc[[#This Row],[Author]],Table4[],2,0))</f>
        <v>LS</v>
      </c>
      <c r="L2450" s="96"/>
      <c r="M2450" s="111">
        <v>45838.524548611109</v>
      </c>
      <c r="N2450" s="111"/>
      <c r="O2450" s="111"/>
      <c r="P2450" s="112" t="str">
        <f ca="1">IF(Proc[[#This Row],[DaysAgeing]]&gt;5,"yep","on track")</f>
        <v>on track</v>
      </c>
      <c r="Q2450" s="3">
        <f ca="1">IF(Proc[[#This Row],[DateClosed]]="",ABS(NETWORKDAYS(Proc[[#This Row],[DateOpened]],TODAY()))-1,ABS(NETWORKDAYS(Proc[[#This Row],[DateOpened]],Proc[[#This Row],[DateClosed]]))-1)</f>
        <v>1</v>
      </c>
      <c r="R2450" s="112" t="s">
        <v>972</v>
      </c>
      <c r="S2450" s="96"/>
    </row>
    <row r="2451" spans="1:19">
      <c r="A2451" s="105" t="s">
        <v>4340</v>
      </c>
      <c r="B2451" s="96" t="str">
        <f>IFERROR(VLOOKUP(Proc[[#This Row],[App]],Table2[],3,0),"open")</f>
        <v>open</v>
      </c>
      <c r="C2451" s="105" t="s">
        <v>370</v>
      </c>
      <c r="D2451" t="s">
        <v>4364</v>
      </c>
      <c r="E2451" t="s">
        <v>1830</v>
      </c>
      <c r="F2451" s="96" t="s">
        <v>4361</v>
      </c>
      <c r="G2451" s="105" t="s">
        <v>400</v>
      </c>
      <c r="H2451" s="96" t="str">
        <f>IF(Proc[[#This Row],[type]]="LFF (MDG-F)",MID(Proc[[#This Row],[Obj]],13,10),"")</f>
        <v/>
      </c>
      <c r="J2451" s="96" t="b">
        <f>Proc[[#This Row],[Requested]]=Proc[[#This Row],[CurrentParent]]</f>
        <v>0</v>
      </c>
      <c r="K2451" s="96" t="str">
        <f>IF(Proc[[#This Row],[Author]]="Marcela Urrego",VLOOKUP(LEFT(Proc[[#This Row],[Requested]],1),Table3[#All],2,0),VLOOKUP(Proc[[#This Row],[Author]],Table4[],2,0))</f>
        <v>LS</v>
      </c>
      <c r="L2451" s="96"/>
      <c r="M2451" s="111">
        <v>45838.524548611109</v>
      </c>
      <c r="N2451" s="111"/>
      <c r="O2451" s="111"/>
      <c r="P2451" s="112" t="str">
        <f ca="1">IF(Proc[[#This Row],[DaysAgeing]]&gt;5,"yep","on track")</f>
        <v>on track</v>
      </c>
      <c r="Q2451" s="3">
        <f ca="1">IF(Proc[[#This Row],[DateClosed]]="",ABS(NETWORKDAYS(Proc[[#This Row],[DateOpened]],TODAY()))-1,ABS(NETWORKDAYS(Proc[[#This Row],[DateOpened]],Proc[[#This Row],[DateClosed]]))-1)</f>
        <v>1</v>
      </c>
      <c r="R2451" s="112" t="s">
        <v>972</v>
      </c>
      <c r="S2451" s="96"/>
    </row>
    <row r="2452" spans="1:19">
      <c r="A2452" s="105" t="s">
        <v>4340</v>
      </c>
      <c r="B2452" s="96" t="str">
        <f>IFERROR(VLOOKUP(Proc[[#This Row],[App]],Table2[],3,0),"open")</f>
        <v>open</v>
      </c>
      <c r="C2452" s="105" t="s">
        <v>370</v>
      </c>
      <c r="D2452" t="s">
        <v>4365</v>
      </c>
      <c r="E2452" t="s">
        <v>1830</v>
      </c>
      <c r="F2452" s="96" t="s">
        <v>4361</v>
      </c>
      <c r="G2452" s="105" t="s">
        <v>400</v>
      </c>
      <c r="H2452" s="96" t="str">
        <f>IF(Proc[[#This Row],[type]]="LFF (MDG-F)",MID(Proc[[#This Row],[Obj]],13,10),"")</f>
        <v/>
      </c>
      <c r="J2452" s="96" t="b">
        <f>Proc[[#This Row],[Requested]]=Proc[[#This Row],[CurrentParent]]</f>
        <v>0</v>
      </c>
      <c r="K2452" s="96" t="str">
        <f>IF(Proc[[#This Row],[Author]]="Marcela Urrego",VLOOKUP(LEFT(Proc[[#This Row],[Requested]],1),Table3[#All],2,0),VLOOKUP(Proc[[#This Row],[Author]],Table4[],2,0))</f>
        <v>LS</v>
      </c>
      <c r="L2452" s="96"/>
      <c r="M2452" s="111">
        <v>45838.524548611109</v>
      </c>
      <c r="N2452" s="111"/>
      <c r="O2452" s="111"/>
      <c r="P2452" s="112" t="str">
        <f ca="1">IF(Proc[[#This Row],[DaysAgeing]]&gt;5,"yep","on track")</f>
        <v>on track</v>
      </c>
      <c r="Q2452" s="3">
        <f ca="1">IF(Proc[[#This Row],[DateClosed]]="",ABS(NETWORKDAYS(Proc[[#This Row],[DateOpened]],TODAY()))-1,ABS(NETWORKDAYS(Proc[[#This Row],[DateOpened]],Proc[[#This Row],[DateClosed]]))-1)</f>
        <v>1</v>
      </c>
      <c r="R2452" s="112" t="s">
        <v>972</v>
      </c>
      <c r="S2452" s="96"/>
    </row>
    <row r="2453" spans="1:19">
      <c r="A2453" s="105" t="s">
        <v>4340</v>
      </c>
      <c r="B2453" s="96" t="str">
        <f>IFERROR(VLOOKUP(Proc[[#This Row],[App]],Table2[],3,0),"open")</f>
        <v>open</v>
      </c>
      <c r="C2453" s="105" t="s">
        <v>370</v>
      </c>
      <c r="D2453" t="s">
        <v>4366</v>
      </c>
      <c r="E2453" t="s">
        <v>1830</v>
      </c>
      <c r="F2453" s="96" t="s">
        <v>4361</v>
      </c>
      <c r="G2453" s="105" t="s">
        <v>400</v>
      </c>
      <c r="H2453" s="96" t="str">
        <f>IF(Proc[[#This Row],[type]]="LFF (MDG-F)",MID(Proc[[#This Row],[Obj]],13,10),"")</f>
        <v/>
      </c>
      <c r="J2453" s="96" t="b">
        <f>Proc[[#This Row],[Requested]]=Proc[[#This Row],[CurrentParent]]</f>
        <v>0</v>
      </c>
      <c r="K2453" s="96" t="str">
        <f>IF(Proc[[#This Row],[Author]]="Marcela Urrego",VLOOKUP(LEFT(Proc[[#This Row],[Requested]],1),Table3[#All],2,0),VLOOKUP(Proc[[#This Row],[Author]],Table4[],2,0))</f>
        <v>LS</v>
      </c>
      <c r="L2453" s="96"/>
      <c r="M2453" s="111">
        <v>45838.524548611109</v>
      </c>
      <c r="N2453" s="111"/>
      <c r="O2453" s="111"/>
      <c r="P2453" s="112" t="str">
        <f ca="1">IF(Proc[[#This Row],[DaysAgeing]]&gt;5,"yep","on track")</f>
        <v>on track</v>
      </c>
      <c r="Q2453" s="3">
        <f ca="1">IF(Proc[[#This Row],[DateClosed]]="",ABS(NETWORKDAYS(Proc[[#This Row],[DateOpened]],TODAY()))-1,ABS(NETWORKDAYS(Proc[[#This Row],[DateOpened]],Proc[[#This Row],[DateClosed]]))-1)</f>
        <v>1</v>
      </c>
      <c r="R2453" s="112" t="s">
        <v>972</v>
      </c>
      <c r="S2453" s="96"/>
    </row>
    <row r="2454" spans="1:19">
      <c r="A2454" s="105" t="s">
        <v>4340</v>
      </c>
      <c r="B2454" s="96" t="str">
        <f>IFERROR(VLOOKUP(Proc[[#This Row],[App]],Table2[],3,0),"open")</f>
        <v>open</v>
      </c>
      <c r="C2454" s="105" t="s">
        <v>370</v>
      </c>
      <c r="D2454" t="s">
        <v>4367</v>
      </c>
      <c r="E2454" t="s">
        <v>1830</v>
      </c>
      <c r="F2454" s="96" t="s">
        <v>4361</v>
      </c>
      <c r="G2454" s="105" t="s">
        <v>400</v>
      </c>
      <c r="H2454" s="96" t="str">
        <f>IF(Proc[[#This Row],[type]]="LFF (MDG-F)",MID(Proc[[#This Row],[Obj]],13,10),"")</f>
        <v/>
      </c>
      <c r="J2454" s="96" t="b">
        <f>Proc[[#This Row],[Requested]]=Proc[[#This Row],[CurrentParent]]</f>
        <v>0</v>
      </c>
      <c r="K2454" s="96" t="str">
        <f>IF(Proc[[#This Row],[Author]]="Marcela Urrego",VLOOKUP(LEFT(Proc[[#This Row],[Requested]],1),Table3[#All],2,0),VLOOKUP(Proc[[#This Row],[Author]],Table4[],2,0))</f>
        <v>LS</v>
      </c>
      <c r="L2454" s="96"/>
      <c r="M2454" s="111">
        <v>45838.524548611109</v>
      </c>
      <c r="N2454" s="111"/>
      <c r="O2454" s="111"/>
      <c r="P2454" s="112" t="str">
        <f ca="1">IF(Proc[[#This Row],[DaysAgeing]]&gt;5,"yep","on track")</f>
        <v>on track</v>
      </c>
      <c r="Q2454" s="3">
        <f ca="1">IF(Proc[[#This Row],[DateClosed]]="",ABS(NETWORKDAYS(Proc[[#This Row],[DateOpened]],TODAY()))-1,ABS(NETWORKDAYS(Proc[[#This Row],[DateOpened]],Proc[[#This Row],[DateClosed]]))-1)</f>
        <v>1</v>
      </c>
      <c r="R2454" s="112" t="s">
        <v>972</v>
      </c>
      <c r="S2454" s="96"/>
    </row>
    <row r="2455" spans="1:19">
      <c r="A2455" s="105" t="s">
        <v>4340</v>
      </c>
      <c r="B2455" s="96" t="str">
        <f>IFERROR(VLOOKUP(Proc[[#This Row],[App]],Table2[],3,0),"open")</f>
        <v>open</v>
      </c>
      <c r="C2455" s="105" t="s">
        <v>370</v>
      </c>
      <c r="D2455" t="s">
        <v>4368</v>
      </c>
      <c r="E2455" t="s">
        <v>1830</v>
      </c>
      <c r="F2455" s="96" t="s">
        <v>4361</v>
      </c>
      <c r="G2455" s="105" t="s">
        <v>400</v>
      </c>
      <c r="H2455" s="96" t="str">
        <f>IF(Proc[[#This Row],[type]]="LFF (MDG-F)",MID(Proc[[#This Row],[Obj]],13,10),"")</f>
        <v/>
      </c>
      <c r="J2455" s="96" t="b">
        <f>Proc[[#This Row],[Requested]]=Proc[[#This Row],[CurrentParent]]</f>
        <v>0</v>
      </c>
      <c r="K2455" s="96" t="str">
        <f>IF(Proc[[#This Row],[Author]]="Marcela Urrego",VLOOKUP(LEFT(Proc[[#This Row],[Requested]],1),Table3[#All],2,0),VLOOKUP(Proc[[#This Row],[Author]],Table4[],2,0))</f>
        <v>LS</v>
      </c>
      <c r="L2455" s="96"/>
      <c r="M2455" s="111">
        <v>45838.524548611109</v>
      </c>
      <c r="N2455" s="111"/>
      <c r="O2455" s="111"/>
      <c r="P2455" s="112" t="str">
        <f ca="1">IF(Proc[[#This Row],[DaysAgeing]]&gt;5,"yep","on track")</f>
        <v>on track</v>
      </c>
      <c r="Q2455" s="3">
        <f ca="1">IF(Proc[[#This Row],[DateClosed]]="",ABS(NETWORKDAYS(Proc[[#This Row],[DateOpened]],TODAY()))-1,ABS(NETWORKDAYS(Proc[[#This Row],[DateOpened]],Proc[[#This Row],[DateClosed]]))-1)</f>
        <v>1</v>
      </c>
      <c r="R2455" s="112" t="s">
        <v>972</v>
      </c>
      <c r="S2455" s="96"/>
    </row>
    <row r="2456" spans="1:19">
      <c r="A2456" s="105" t="s">
        <v>4340</v>
      </c>
      <c r="B2456" s="96" t="str">
        <f>IFERROR(VLOOKUP(Proc[[#This Row],[App]],Table2[],3,0),"open")</f>
        <v>open</v>
      </c>
      <c r="C2456" s="105" t="s">
        <v>370</v>
      </c>
      <c r="D2456" t="s">
        <v>4369</v>
      </c>
      <c r="E2456" t="s">
        <v>1830</v>
      </c>
      <c r="F2456" s="96" t="s">
        <v>4361</v>
      </c>
      <c r="G2456" s="105" t="s">
        <v>400</v>
      </c>
      <c r="H2456" s="96" t="str">
        <f>IF(Proc[[#This Row],[type]]="LFF (MDG-F)",MID(Proc[[#This Row],[Obj]],13,10),"")</f>
        <v/>
      </c>
      <c r="J2456" s="96" t="b">
        <f>Proc[[#This Row],[Requested]]=Proc[[#This Row],[CurrentParent]]</f>
        <v>0</v>
      </c>
      <c r="K2456" s="96" t="str">
        <f>IF(Proc[[#This Row],[Author]]="Marcela Urrego",VLOOKUP(LEFT(Proc[[#This Row],[Requested]],1),Table3[#All],2,0),VLOOKUP(Proc[[#This Row],[Author]],Table4[],2,0))</f>
        <v>LS</v>
      </c>
      <c r="L2456" s="96"/>
      <c r="M2456" s="111">
        <v>45838.524548611109</v>
      </c>
      <c r="N2456" s="111"/>
      <c r="O2456" s="111"/>
      <c r="P2456" s="112" t="str">
        <f ca="1">IF(Proc[[#This Row],[DaysAgeing]]&gt;5,"yep","on track")</f>
        <v>on track</v>
      </c>
      <c r="Q2456" s="3">
        <f ca="1">IF(Proc[[#This Row],[DateClosed]]="",ABS(NETWORKDAYS(Proc[[#This Row],[DateOpened]],TODAY()))-1,ABS(NETWORKDAYS(Proc[[#This Row],[DateOpened]],Proc[[#This Row],[DateClosed]]))-1)</f>
        <v>1</v>
      </c>
      <c r="R2456" s="112" t="s">
        <v>972</v>
      </c>
      <c r="S2456" s="96"/>
    </row>
    <row r="2457" spans="1:19">
      <c r="A2457" s="105" t="s">
        <v>4340</v>
      </c>
      <c r="B2457" s="96" t="str">
        <f>IFERROR(VLOOKUP(Proc[[#This Row],[App]],Table2[],3,0),"open")</f>
        <v>open</v>
      </c>
      <c r="C2457" s="105" t="s">
        <v>370</v>
      </c>
      <c r="D2457" t="s">
        <v>4370</v>
      </c>
      <c r="E2457" t="s">
        <v>1830</v>
      </c>
      <c r="F2457" s="96" t="s">
        <v>4361</v>
      </c>
      <c r="G2457" s="105" t="s">
        <v>400</v>
      </c>
      <c r="H2457" s="96" t="str">
        <f>IF(Proc[[#This Row],[type]]="LFF (MDG-F)",MID(Proc[[#This Row],[Obj]],13,10),"")</f>
        <v/>
      </c>
      <c r="J2457" s="96" t="b">
        <f>Proc[[#This Row],[Requested]]=Proc[[#This Row],[CurrentParent]]</f>
        <v>0</v>
      </c>
      <c r="K2457" s="96" t="str">
        <f>IF(Proc[[#This Row],[Author]]="Marcela Urrego",VLOOKUP(LEFT(Proc[[#This Row],[Requested]],1),Table3[#All],2,0),VLOOKUP(Proc[[#This Row],[Author]],Table4[],2,0))</f>
        <v>LS</v>
      </c>
      <c r="L2457" s="96"/>
      <c r="M2457" s="111">
        <v>45838.524548611109</v>
      </c>
      <c r="N2457" s="111"/>
      <c r="O2457" s="111"/>
      <c r="P2457" s="112" t="str">
        <f ca="1">IF(Proc[[#This Row],[DaysAgeing]]&gt;5,"yep","on track")</f>
        <v>on track</v>
      </c>
      <c r="Q2457" s="3">
        <f ca="1">IF(Proc[[#This Row],[DateClosed]]="",ABS(NETWORKDAYS(Proc[[#This Row],[DateOpened]],TODAY()))-1,ABS(NETWORKDAYS(Proc[[#This Row],[DateOpened]],Proc[[#This Row],[DateClosed]]))-1)</f>
        <v>1</v>
      </c>
      <c r="R2457" s="112" t="s">
        <v>972</v>
      </c>
      <c r="S2457" s="96"/>
    </row>
    <row r="2458" spans="1:19">
      <c r="A2458" s="105" t="s">
        <v>4340</v>
      </c>
      <c r="B2458" s="96" t="str">
        <f>IFERROR(VLOOKUP(Proc[[#This Row],[App]],Table2[],3,0),"open")</f>
        <v>open</v>
      </c>
      <c r="C2458" s="105" t="s">
        <v>370</v>
      </c>
      <c r="D2458" t="s">
        <v>4371</v>
      </c>
      <c r="E2458" t="s">
        <v>1830</v>
      </c>
      <c r="F2458" s="96" t="s">
        <v>4361</v>
      </c>
      <c r="G2458" s="105" t="s">
        <v>400</v>
      </c>
      <c r="H2458" s="96" t="str">
        <f>IF(Proc[[#This Row],[type]]="LFF (MDG-F)",MID(Proc[[#This Row],[Obj]],13,10),"")</f>
        <v/>
      </c>
      <c r="J2458" s="96" t="b">
        <f>Proc[[#This Row],[Requested]]=Proc[[#This Row],[CurrentParent]]</f>
        <v>0</v>
      </c>
      <c r="K2458" s="96" t="str">
        <f>IF(Proc[[#This Row],[Author]]="Marcela Urrego",VLOOKUP(LEFT(Proc[[#This Row],[Requested]],1),Table3[#All],2,0),VLOOKUP(Proc[[#This Row],[Author]],Table4[],2,0))</f>
        <v>LS</v>
      </c>
      <c r="L2458" s="96"/>
      <c r="M2458" s="111">
        <v>45838.524548611109</v>
      </c>
      <c r="N2458" s="111"/>
      <c r="O2458" s="111"/>
      <c r="P2458" s="112" t="str">
        <f ca="1">IF(Proc[[#This Row],[DaysAgeing]]&gt;5,"yep","on track")</f>
        <v>on track</v>
      </c>
      <c r="Q2458" s="3">
        <f ca="1">IF(Proc[[#This Row],[DateClosed]]="",ABS(NETWORKDAYS(Proc[[#This Row],[DateOpened]],TODAY()))-1,ABS(NETWORKDAYS(Proc[[#This Row],[DateOpened]],Proc[[#This Row],[DateClosed]]))-1)</f>
        <v>1</v>
      </c>
      <c r="R2458" s="112" t="s">
        <v>972</v>
      </c>
      <c r="S2458" s="96"/>
    </row>
    <row r="2459" spans="1:19">
      <c r="A2459" s="105" t="s">
        <v>4340</v>
      </c>
      <c r="B2459" s="96" t="str">
        <f>IFERROR(VLOOKUP(Proc[[#This Row],[App]],Table2[],3,0),"open")</f>
        <v>open</v>
      </c>
      <c r="C2459" s="105" t="s">
        <v>370</v>
      </c>
      <c r="D2459" t="s">
        <v>4372</v>
      </c>
      <c r="E2459" t="s">
        <v>1830</v>
      </c>
      <c r="F2459" s="96" t="s">
        <v>4361</v>
      </c>
      <c r="G2459" s="105" t="s">
        <v>400</v>
      </c>
      <c r="H2459" s="96" t="str">
        <f>IF(Proc[[#This Row],[type]]="LFF (MDG-F)",MID(Proc[[#This Row],[Obj]],13,10),"")</f>
        <v/>
      </c>
      <c r="J2459" s="96" t="b">
        <f>Proc[[#This Row],[Requested]]=Proc[[#This Row],[CurrentParent]]</f>
        <v>0</v>
      </c>
      <c r="K2459" s="96" t="str">
        <f>IF(Proc[[#This Row],[Author]]="Marcela Urrego",VLOOKUP(LEFT(Proc[[#This Row],[Requested]],1),Table3[#All],2,0),VLOOKUP(Proc[[#This Row],[Author]],Table4[],2,0))</f>
        <v>LS</v>
      </c>
      <c r="L2459" s="96"/>
      <c r="M2459" s="111">
        <v>45838.524548611109</v>
      </c>
      <c r="N2459" s="111"/>
      <c r="O2459" s="111"/>
      <c r="P2459" s="112" t="str">
        <f ca="1">IF(Proc[[#This Row],[DaysAgeing]]&gt;5,"yep","on track")</f>
        <v>on track</v>
      </c>
      <c r="Q2459" s="3">
        <f ca="1">IF(Proc[[#This Row],[DateClosed]]="",ABS(NETWORKDAYS(Proc[[#This Row],[DateOpened]],TODAY()))-1,ABS(NETWORKDAYS(Proc[[#This Row],[DateOpened]],Proc[[#This Row],[DateClosed]]))-1)</f>
        <v>1</v>
      </c>
      <c r="R2459" s="112" t="s">
        <v>972</v>
      </c>
      <c r="S2459" s="96"/>
    </row>
    <row r="2460" spans="1:19">
      <c r="A2460" s="105" t="s">
        <v>4340</v>
      </c>
      <c r="B2460" s="96" t="str">
        <f>IFERROR(VLOOKUP(Proc[[#This Row],[App]],Table2[],3,0),"open")</f>
        <v>open</v>
      </c>
      <c r="C2460" s="105" t="s">
        <v>370</v>
      </c>
      <c r="D2460" t="s">
        <v>4373</v>
      </c>
      <c r="E2460" t="s">
        <v>1830</v>
      </c>
      <c r="F2460" s="96" t="s">
        <v>4361</v>
      </c>
      <c r="G2460" s="105" t="s">
        <v>400</v>
      </c>
      <c r="H2460" s="96" t="str">
        <f>IF(Proc[[#This Row],[type]]="LFF (MDG-F)",MID(Proc[[#This Row],[Obj]],13,10),"")</f>
        <v/>
      </c>
      <c r="J2460" s="96" t="b">
        <f>Proc[[#This Row],[Requested]]=Proc[[#This Row],[CurrentParent]]</f>
        <v>0</v>
      </c>
      <c r="K2460" s="96" t="str">
        <f>IF(Proc[[#This Row],[Author]]="Marcela Urrego",VLOOKUP(LEFT(Proc[[#This Row],[Requested]],1),Table3[#All],2,0),VLOOKUP(Proc[[#This Row],[Author]],Table4[],2,0))</f>
        <v>LS</v>
      </c>
      <c r="L2460" s="96"/>
      <c r="M2460" s="111">
        <v>45838.524548611109</v>
      </c>
      <c r="N2460" s="111"/>
      <c r="O2460" s="111"/>
      <c r="P2460" s="112" t="str">
        <f ca="1">IF(Proc[[#This Row],[DaysAgeing]]&gt;5,"yep","on track")</f>
        <v>on track</v>
      </c>
      <c r="Q2460" s="3">
        <f ca="1">IF(Proc[[#This Row],[DateClosed]]="",ABS(NETWORKDAYS(Proc[[#This Row],[DateOpened]],TODAY()))-1,ABS(NETWORKDAYS(Proc[[#This Row],[DateOpened]],Proc[[#This Row],[DateClosed]]))-1)</f>
        <v>1</v>
      </c>
      <c r="R2460" s="112" t="s">
        <v>972</v>
      </c>
      <c r="S2460" s="96"/>
    </row>
    <row r="2461" spans="1:19">
      <c r="A2461" s="105" t="s">
        <v>4340</v>
      </c>
      <c r="B2461" s="96" t="str">
        <f>IFERROR(VLOOKUP(Proc[[#This Row],[App]],Table2[],3,0),"open")</f>
        <v>open</v>
      </c>
      <c r="C2461" s="105" t="s">
        <v>370</v>
      </c>
      <c r="D2461" t="s">
        <v>4374</v>
      </c>
      <c r="E2461" t="s">
        <v>1830</v>
      </c>
      <c r="F2461" s="96" t="s">
        <v>4361</v>
      </c>
      <c r="G2461" s="105" t="s">
        <v>400</v>
      </c>
      <c r="H2461" s="96" t="str">
        <f>IF(Proc[[#This Row],[type]]="LFF (MDG-F)",MID(Proc[[#This Row],[Obj]],13,10),"")</f>
        <v/>
      </c>
      <c r="J2461" s="96" t="b">
        <f>Proc[[#This Row],[Requested]]=Proc[[#This Row],[CurrentParent]]</f>
        <v>0</v>
      </c>
      <c r="K2461" s="96" t="str">
        <f>IF(Proc[[#This Row],[Author]]="Marcela Urrego",VLOOKUP(LEFT(Proc[[#This Row],[Requested]],1),Table3[#All],2,0),VLOOKUP(Proc[[#This Row],[Author]],Table4[],2,0))</f>
        <v>LS</v>
      </c>
      <c r="L2461" s="96"/>
      <c r="M2461" s="111">
        <v>45838.524548611109</v>
      </c>
      <c r="N2461" s="111"/>
      <c r="O2461" s="111"/>
      <c r="P2461" s="112" t="str">
        <f ca="1">IF(Proc[[#This Row],[DaysAgeing]]&gt;5,"yep","on track")</f>
        <v>on track</v>
      </c>
      <c r="Q2461" s="3">
        <f ca="1">IF(Proc[[#This Row],[DateClosed]]="",ABS(NETWORKDAYS(Proc[[#This Row],[DateOpened]],TODAY()))-1,ABS(NETWORKDAYS(Proc[[#This Row],[DateOpened]],Proc[[#This Row],[DateClosed]]))-1)</f>
        <v>1</v>
      </c>
      <c r="R2461" s="112" t="s">
        <v>972</v>
      </c>
      <c r="S2461" s="96"/>
    </row>
    <row r="2462" spans="1:19">
      <c r="A2462" s="105" t="s">
        <v>4340</v>
      </c>
      <c r="B2462" s="96" t="str">
        <f>IFERROR(VLOOKUP(Proc[[#This Row],[App]],Table2[],3,0),"open")</f>
        <v>open</v>
      </c>
      <c r="C2462" s="105" t="s">
        <v>370</v>
      </c>
      <c r="D2462" t="s">
        <v>4375</v>
      </c>
      <c r="E2462" t="s">
        <v>1830</v>
      </c>
      <c r="F2462" s="96" t="s">
        <v>4361</v>
      </c>
      <c r="G2462" s="105" t="s">
        <v>400</v>
      </c>
      <c r="H2462" s="96" t="str">
        <f>IF(Proc[[#This Row],[type]]="LFF (MDG-F)",MID(Proc[[#This Row],[Obj]],13,10),"")</f>
        <v/>
      </c>
      <c r="J2462" s="96" t="b">
        <f>Proc[[#This Row],[Requested]]=Proc[[#This Row],[CurrentParent]]</f>
        <v>0</v>
      </c>
      <c r="K2462" s="96" t="str">
        <f>IF(Proc[[#This Row],[Author]]="Marcela Urrego",VLOOKUP(LEFT(Proc[[#This Row],[Requested]],1),Table3[#All],2,0),VLOOKUP(Proc[[#This Row],[Author]],Table4[],2,0))</f>
        <v>LS</v>
      </c>
      <c r="L2462" s="96"/>
      <c r="M2462" s="111">
        <v>45838.524548611109</v>
      </c>
      <c r="N2462" s="111"/>
      <c r="O2462" s="111"/>
      <c r="P2462" s="112" t="str">
        <f ca="1">IF(Proc[[#This Row],[DaysAgeing]]&gt;5,"yep","on track")</f>
        <v>on track</v>
      </c>
      <c r="Q2462" s="3">
        <f ca="1">IF(Proc[[#This Row],[DateClosed]]="",ABS(NETWORKDAYS(Proc[[#This Row],[DateOpened]],TODAY()))-1,ABS(NETWORKDAYS(Proc[[#This Row],[DateOpened]],Proc[[#This Row],[DateClosed]]))-1)</f>
        <v>1</v>
      </c>
      <c r="R2462" s="112" t="s">
        <v>972</v>
      </c>
      <c r="S2462" s="96"/>
    </row>
    <row r="2463" spans="1:19">
      <c r="A2463" s="105" t="s">
        <v>4340</v>
      </c>
      <c r="B2463" s="96" t="str">
        <f>IFERROR(VLOOKUP(Proc[[#This Row],[App]],Table2[],3,0),"open")</f>
        <v>open</v>
      </c>
      <c r="C2463" s="105" t="s">
        <v>370</v>
      </c>
      <c r="D2463" t="s">
        <v>4376</v>
      </c>
      <c r="E2463" t="s">
        <v>1830</v>
      </c>
      <c r="F2463" s="96" t="s">
        <v>4361</v>
      </c>
      <c r="G2463" s="105" t="s">
        <v>400</v>
      </c>
      <c r="H2463" s="96" t="str">
        <f>IF(Proc[[#This Row],[type]]="LFF (MDG-F)",MID(Proc[[#This Row],[Obj]],13,10),"")</f>
        <v/>
      </c>
      <c r="J2463" s="96" t="b">
        <f>Proc[[#This Row],[Requested]]=Proc[[#This Row],[CurrentParent]]</f>
        <v>0</v>
      </c>
      <c r="K2463" s="96" t="str">
        <f>IF(Proc[[#This Row],[Author]]="Marcela Urrego",VLOOKUP(LEFT(Proc[[#This Row],[Requested]],1),Table3[#All],2,0),VLOOKUP(Proc[[#This Row],[Author]],Table4[],2,0))</f>
        <v>LS</v>
      </c>
      <c r="L2463" s="96"/>
      <c r="M2463" s="111">
        <v>45838.524548611109</v>
      </c>
      <c r="N2463" s="111"/>
      <c r="O2463" s="111"/>
      <c r="P2463" s="112" t="str">
        <f ca="1">IF(Proc[[#This Row],[DaysAgeing]]&gt;5,"yep","on track")</f>
        <v>on track</v>
      </c>
      <c r="Q2463" s="3">
        <f ca="1">IF(Proc[[#This Row],[DateClosed]]="",ABS(NETWORKDAYS(Proc[[#This Row],[DateOpened]],TODAY()))-1,ABS(NETWORKDAYS(Proc[[#This Row],[DateOpened]],Proc[[#This Row],[DateClosed]]))-1)</f>
        <v>1</v>
      </c>
      <c r="R2463" s="112" t="s">
        <v>972</v>
      </c>
      <c r="S2463" s="96"/>
    </row>
    <row r="2464" spans="1:19">
      <c r="A2464" s="105" t="s">
        <v>4340</v>
      </c>
      <c r="B2464" s="96" t="str">
        <f>IFERROR(VLOOKUP(Proc[[#This Row],[App]],Table2[],3,0),"open")</f>
        <v>open</v>
      </c>
      <c r="C2464" s="105" t="s">
        <v>370</v>
      </c>
      <c r="D2464" t="s">
        <v>4377</v>
      </c>
      <c r="E2464" t="s">
        <v>1830</v>
      </c>
      <c r="F2464" s="96" t="s">
        <v>4361</v>
      </c>
      <c r="G2464" s="105" t="s">
        <v>400</v>
      </c>
      <c r="H2464" s="96" t="str">
        <f>IF(Proc[[#This Row],[type]]="LFF (MDG-F)",MID(Proc[[#This Row],[Obj]],13,10),"")</f>
        <v/>
      </c>
      <c r="J2464" s="96" t="b">
        <f>Proc[[#This Row],[Requested]]=Proc[[#This Row],[CurrentParent]]</f>
        <v>0</v>
      </c>
      <c r="K2464" s="96" t="str">
        <f>IF(Proc[[#This Row],[Author]]="Marcela Urrego",VLOOKUP(LEFT(Proc[[#This Row],[Requested]],1),Table3[#All],2,0),VLOOKUP(Proc[[#This Row],[Author]],Table4[],2,0))</f>
        <v>LS</v>
      </c>
      <c r="L2464" s="96"/>
      <c r="M2464" s="111">
        <v>45838.524548611109</v>
      </c>
      <c r="N2464" s="111"/>
      <c r="O2464" s="111"/>
      <c r="P2464" s="112" t="str">
        <f ca="1">IF(Proc[[#This Row],[DaysAgeing]]&gt;5,"yep","on track")</f>
        <v>on track</v>
      </c>
      <c r="Q2464" s="3">
        <f ca="1">IF(Proc[[#This Row],[DateClosed]]="",ABS(NETWORKDAYS(Proc[[#This Row],[DateOpened]],TODAY()))-1,ABS(NETWORKDAYS(Proc[[#This Row],[DateOpened]],Proc[[#This Row],[DateClosed]]))-1)</f>
        <v>1</v>
      </c>
      <c r="R2464" s="112" t="s">
        <v>972</v>
      </c>
      <c r="S2464" s="96"/>
    </row>
    <row r="2465" spans="1:19">
      <c r="A2465" s="105" t="s">
        <v>4340</v>
      </c>
      <c r="B2465" s="96" t="str">
        <f>IFERROR(VLOOKUP(Proc[[#This Row],[App]],Table2[],3,0),"open")</f>
        <v>open</v>
      </c>
      <c r="C2465" s="105" t="s">
        <v>370</v>
      </c>
      <c r="D2465" t="s">
        <v>4378</v>
      </c>
      <c r="E2465" t="s">
        <v>1830</v>
      </c>
      <c r="F2465" s="96" t="s">
        <v>4361</v>
      </c>
      <c r="G2465" s="105" t="s">
        <v>400</v>
      </c>
      <c r="H2465" s="96" t="str">
        <f>IF(Proc[[#This Row],[type]]="LFF (MDG-F)",MID(Proc[[#This Row],[Obj]],13,10),"")</f>
        <v/>
      </c>
      <c r="J2465" s="96" t="b">
        <f>Proc[[#This Row],[Requested]]=Proc[[#This Row],[CurrentParent]]</f>
        <v>0</v>
      </c>
      <c r="K2465" s="96" t="str">
        <f>IF(Proc[[#This Row],[Author]]="Marcela Urrego",VLOOKUP(LEFT(Proc[[#This Row],[Requested]],1),Table3[#All],2,0),VLOOKUP(Proc[[#This Row],[Author]],Table4[],2,0))</f>
        <v>LS</v>
      </c>
      <c r="L2465" s="96"/>
      <c r="M2465" s="111">
        <v>45838.524548611109</v>
      </c>
      <c r="N2465" s="111"/>
      <c r="O2465" s="111"/>
      <c r="P2465" s="112" t="str">
        <f ca="1">IF(Proc[[#This Row],[DaysAgeing]]&gt;5,"yep","on track")</f>
        <v>on track</v>
      </c>
      <c r="Q2465" s="3">
        <f ca="1">IF(Proc[[#This Row],[DateClosed]]="",ABS(NETWORKDAYS(Proc[[#This Row],[DateOpened]],TODAY()))-1,ABS(NETWORKDAYS(Proc[[#This Row],[DateOpened]],Proc[[#This Row],[DateClosed]]))-1)</f>
        <v>1</v>
      </c>
      <c r="R2465" s="112" t="s">
        <v>972</v>
      </c>
      <c r="S2465" s="96"/>
    </row>
    <row r="2466" spans="1:19">
      <c r="A2466" s="105" t="s">
        <v>4340</v>
      </c>
      <c r="B2466" s="96" t="str">
        <f>IFERROR(VLOOKUP(Proc[[#This Row],[App]],Table2[],3,0),"open")</f>
        <v>open</v>
      </c>
      <c r="C2466" s="105" t="s">
        <v>370</v>
      </c>
      <c r="D2466" t="s">
        <v>4379</v>
      </c>
      <c r="E2466" t="s">
        <v>1830</v>
      </c>
      <c r="F2466" s="96" t="s">
        <v>4361</v>
      </c>
      <c r="G2466" s="105" t="s">
        <v>400</v>
      </c>
      <c r="H2466" s="96" t="str">
        <f>IF(Proc[[#This Row],[type]]="LFF (MDG-F)",MID(Proc[[#This Row],[Obj]],13,10),"")</f>
        <v/>
      </c>
      <c r="J2466" s="96" t="b">
        <f>Proc[[#This Row],[Requested]]=Proc[[#This Row],[CurrentParent]]</f>
        <v>0</v>
      </c>
      <c r="K2466" s="96" t="str">
        <f>IF(Proc[[#This Row],[Author]]="Marcela Urrego",VLOOKUP(LEFT(Proc[[#This Row],[Requested]],1),Table3[#All],2,0),VLOOKUP(Proc[[#This Row],[Author]],Table4[],2,0))</f>
        <v>LS</v>
      </c>
      <c r="L2466" s="96"/>
      <c r="M2466" s="111">
        <v>45838.524548611109</v>
      </c>
      <c r="N2466" s="111"/>
      <c r="O2466" s="111"/>
      <c r="P2466" s="112" t="str">
        <f ca="1">IF(Proc[[#This Row],[DaysAgeing]]&gt;5,"yep","on track")</f>
        <v>on track</v>
      </c>
      <c r="Q2466" s="3">
        <f ca="1">IF(Proc[[#This Row],[DateClosed]]="",ABS(NETWORKDAYS(Proc[[#This Row],[DateOpened]],TODAY()))-1,ABS(NETWORKDAYS(Proc[[#This Row],[DateOpened]],Proc[[#This Row],[DateClosed]]))-1)</f>
        <v>1</v>
      </c>
      <c r="R2466" s="112" t="s">
        <v>972</v>
      </c>
      <c r="S2466" s="96"/>
    </row>
    <row r="2467" spans="1:19">
      <c r="A2467" s="105" t="s">
        <v>4340</v>
      </c>
      <c r="B2467" s="96" t="str">
        <f>IFERROR(VLOOKUP(Proc[[#This Row],[App]],Table2[],3,0),"open")</f>
        <v>open</v>
      </c>
      <c r="C2467" s="105" t="s">
        <v>370</v>
      </c>
      <c r="D2467" t="s">
        <v>4380</v>
      </c>
      <c r="E2467" t="s">
        <v>1830</v>
      </c>
      <c r="F2467" s="96" t="s">
        <v>4361</v>
      </c>
      <c r="G2467" s="105" t="s">
        <v>400</v>
      </c>
      <c r="H2467" s="96" t="str">
        <f>IF(Proc[[#This Row],[type]]="LFF (MDG-F)",MID(Proc[[#This Row],[Obj]],13,10),"")</f>
        <v/>
      </c>
      <c r="J2467" s="96" t="b">
        <f>Proc[[#This Row],[Requested]]=Proc[[#This Row],[CurrentParent]]</f>
        <v>0</v>
      </c>
      <c r="K2467" s="96" t="str">
        <f>IF(Proc[[#This Row],[Author]]="Marcela Urrego",VLOOKUP(LEFT(Proc[[#This Row],[Requested]],1),Table3[#All],2,0),VLOOKUP(Proc[[#This Row],[Author]],Table4[],2,0))</f>
        <v>LS</v>
      </c>
      <c r="L2467" s="96"/>
      <c r="M2467" s="111">
        <v>45838.524548611109</v>
      </c>
      <c r="N2467" s="111"/>
      <c r="O2467" s="111"/>
      <c r="P2467" s="112" t="str">
        <f ca="1">IF(Proc[[#This Row],[DaysAgeing]]&gt;5,"yep","on track")</f>
        <v>on track</v>
      </c>
      <c r="Q2467" s="3">
        <f ca="1">IF(Proc[[#This Row],[DateClosed]]="",ABS(NETWORKDAYS(Proc[[#This Row],[DateOpened]],TODAY()))-1,ABS(NETWORKDAYS(Proc[[#This Row],[DateOpened]],Proc[[#This Row],[DateClosed]]))-1)</f>
        <v>1</v>
      </c>
      <c r="R2467" s="112" t="s">
        <v>972</v>
      </c>
      <c r="S2467" s="96"/>
    </row>
    <row r="2468" spans="1:19">
      <c r="A2468" s="105" t="s">
        <v>4340</v>
      </c>
      <c r="B2468" s="96" t="str">
        <f>IFERROR(VLOOKUP(Proc[[#This Row],[App]],Table2[],3,0),"open")</f>
        <v>open</v>
      </c>
      <c r="C2468" s="105" t="s">
        <v>370</v>
      </c>
      <c r="D2468" t="s">
        <v>4381</v>
      </c>
      <c r="E2468" t="s">
        <v>1830</v>
      </c>
      <c r="F2468" s="96" t="s">
        <v>4382</v>
      </c>
      <c r="G2468" s="105" t="s">
        <v>400</v>
      </c>
      <c r="H2468" s="96" t="str">
        <f>IF(Proc[[#This Row],[type]]="LFF (MDG-F)",MID(Proc[[#This Row],[Obj]],13,10),"")</f>
        <v/>
      </c>
      <c r="J2468" s="96" t="b">
        <f>Proc[[#This Row],[Requested]]=Proc[[#This Row],[CurrentParent]]</f>
        <v>0</v>
      </c>
      <c r="K2468" s="96" t="str">
        <f>IF(Proc[[#This Row],[Author]]="Marcela Urrego",VLOOKUP(LEFT(Proc[[#This Row],[Requested]],1),Table3[#All],2,0),VLOOKUP(Proc[[#This Row],[Author]],Table4[],2,0))</f>
        <v>LS</v>
      </c>
      <c r="L2468" s="96"/>
      <c r="M2468" s="111">
        <v>45838.524548611109</v>
      </c>
      <c r="N2468" s="111"/>
      <c r="O2468" s="111"/>
      <c r="P2468" s="112" t="str">
        <f ca="1">IF(Proc[[#This Row],[DaysAgeing]]&gt;5,"yep","on track")</f>
        <v>on track</v>
      </c>
      <c r="Q2468" s="3">
        <f ca="1">IF(Proc[[#This Row],[DateClosed]]="",ABS(NETWORKDAYS(Proc[[#This Row],[DateOpened]],TODAY()))-1,ABS(NETWORKDAYS(Proc[[#This Row],[DateOpened]],Proc[[#This Row],[DateClosed]]))-1)</f>
        <v>1</v>
      </c>
      <c r="R2468" s="112" t="s">
        <v>972</v>
      </c>
      <c r="S2468" s="96"/>
    </row>
    <row r="2469" spans="1:19">
      <c r="A2469" s="105" t="s">
        <v>4340</v>
      </c>
      <c r="B2469" s="96" t="str">
        <f>IFERROR(VLOOKUP(Proc[[#This Row],[App]],Table2[],3,0),"open")</f>
        <v>open</v>
      </c>
      <c r="C2469" s="105" t="s">
        <v>370</v>
      </c>
      <c r="D2469" t="s">
        <v>4383</v>
      </c>
      <c r="E2469" t="s">
        <v>1830</v>
      </c>
      <c r="F2469" s="96" t="s">
        <v>4382</v>
      </c>
      <c r="G2469" s="105" t="s">
        <v>400</v>
      </c>
      <c r="H2469" s="96" t="str">
        <f>IF(Proc[[#This Row],[type]]="LFF (MDG-F)",MID(Proc[[#This Row],[Obj]],13,10),"")</f>
        <v/>
      </c>
      <c r="J2469" s="96" t="b">
        <f>Proc[[#This Row],[Requested]]=Proc[[#This Row],[CurrentParent]]</f>
        <v>0</v>
      </c>
      <c r="K2469" s="96" t="str">
        <f>IF(Proc[[#This Row],[Author]]="Marcela Urrego",VLOOKUP(LEFT(Proc[[#This Row],[Requested]],1),Table3[#All],2,0),VLOOKUP(Proc[[#This Row],[Author]],Table4[],2,0))</f>
        <v>LS</v>
      </c>
      <c r="L2469" s="96"/>
      <c r="M2469" s="111">
        <v>45838.524548611109</v>
      </c>
      <c r="N2469" s="111"/>
      <c r="O2469" s="111"/>
      <c r="P2469" s="112" t="str">
        <f ca="1">IF(Proc[[#This Row],[DaysAgeing]]&gt;5,"yep","on track")</f>
        <v>on track</v>
      </c>
      <c r="Q2469" s="3">
        <f ca="1">IF(Proc[[#This Row],[DateClosed]]="",ABS(NETWORKDAYS(Proc[[#This Row],[DateOpened]],TODAY()))-1,ABS(NETWORKDAYS(Proc[[#This Row],[DateOpened]],Proc[[#This Row],[DateClosed]]))-1)</f>
        <v>1</v>
      </c>
      <c r="R2469" s="112" t="s">
        <v>972</v>
      </c>
      <c r="S2469" s="96"/>
    </row>
    <row r="2470" spans="1:19">
      <c r="A2470" s="105" t="s">
        <v>4340</v>
      </c>
      <c r="B2470" s="96" t="str">
        <f>IFERROR(VLOOKUP(Proc[[#This Row],[App]],Table2[],3,0),"open")</f>
        <v>open</v>
      </c>
      <c r="C2470" s="105" t="s">
        <v>370</v>
      </c>
      <c r="D2470" t="s">
        <v>4384</v>
      </c>
      <c r="E2470" t="s">
        <v>1830</v>
      </c>
      <c r="F2470" s="96" t="s">
        <v>4382</v>
      </c>
      <c r="G2470" s="105" t="s">
        <v>400</v>
      </c>
      <c r="H2470" s="96" t="str">
        <f>IF(Proc[[#This Row],[type]]="LFF (MDG-F)",MID(Proc[[#This Row],[Obj]],13,10),"")</f>
        <v/>
      </c>
      <c r="J2470" s="96" t="b">
        <f>Proc[[#This Row],[Requested]]=Proc[[#This Row],[CurrentParent]]</f>
        <v>0</v>
      </c>
      <c r="K2470" s="96" t="str">
        <f>IF(Proc[[#This Row],[Author]]="Marcela Urrego",VLOOKUP(LEFT(Proc[[#This Row],[Requested]],1),Table3[#All],2,0),VLOOKUP(Proc[[#This Row],[Author]],Table4[],2,0))</f>
        <v>LS</v>
      </c>
      <c r="L2470" s="96"/>
      <c r="M2470" s="111">
        <v>45838.524548611109</v>
      </c>
      <c r="N2470" s="111"/>
      <c r="O2470" s="111"/>
      <c r="P2470" s="112" t="str">
        <f ca="1">IF(Proc[[#This Row],[DaysAgeing]]&gt;5,"yep","on track")</f>
        <v>on track</v>
      </c>
      <c r="Q2470" s="3">
        <f ca="1">IF(Proc[[#This Row],[DateClosed]]="",ABS(NETWORKDAYS(Proc[[#This Row],[DateOpened]],TODAY()))-1,ABS(NETWORKDAYS(Proc[[#This Row],[DateOpened]],Proc[[#This Row],[DateClosed]]))-1)</f>
        <v>1</v>
      </c>
      <c r="R2470" s="112" t="s">
        <v>972</v>
      </c>
      <c r="S2470" s="96"/>
    </row>
    <row r="2471" spans="1:19">
      <c r="A2471" s="105" t="s">
        <v>4340</v>
      </c>
      <c r="B2471" s="96" t="str">
        <f>IFERROR(VLOOKUP(Proc[[#This Row],[App]],Table2[],3,0),"open")</f>
        <v>open</v>
      </c>
      <c r="C2471" s="105" t="s">
        <v>370</v>
      </c>
      <c r="D2471" t="s">
        <v>4385</v>
      </c>
      <c r="E2471" t="s">
        <v>1830</v>
      </c>
      <c r="F2471" s="96" t="s">
        <v>4382</v>
      </c>
      <c r="G2471" s="105" t="s">
        <v>400</v>
      </c>
      <c r="H2471" s="96" t="str">
        <f>IF(Proc[[#This Row],[type]]="LFF (MDG-F)",MID(Proc[[#This Row],[Obj]],13,10),"")</f>
        <v/>
      </c>
      <c r="J2471" s="96" t="b">
        <f>Proc[[#This Row],[Requested]]=Proc[[#This Row],[CurrentParent]]</f>
        <v>0</v>
      </c>
      <c r="K2471" s="96" t="str">
        <f>IF(Proc[[#This Row],[Author]]="Marcela Urrego",VLOOKUP(LEFT(Proc[[#This Row],[Requested]],1),Table3[#All],2,0),VLOOKUP(Proc[[#This Row],[Author]],Table4[],2,0))</f>
        <v>LS</v>
      </c>
      <c r="L2471" s="96"/>
      <c r="M2471" s="111">
        <v>45838.524548611109</v>
      </c>
      <c r="N2471" s="111"/>
      <c r="O2471" s="111"/>
      <c r="P2471" s="112" t="str">
        <f ca="1">IF(Proc[[#This Row],[DaysAgeing]]&gt;5,"yep","on track")</f>
        <v>on track</v>
      </c>
      <c r="Q2471" s="3">
        <f ca="1">IF(Proc[[#This Row],[DateClosed]]="",ABS(NETWORKDAYS(Proc[[#This Row],[DateOpened]],TODAY()))-1,ABS(NETWORKDAYS(Proc[[#This Row],[DateOpened]],Proc[[#This Row],[DateClosed]]))-1)</f>
        <v>1</v>
      </c>
      <c r="R2471" s="112" t="s">
        <v>972</v>
      </c>
      <c r="S2471" s="96"/>
    </row>
    <row r="2472" spans="1:19">
      <c r="A2472" s="105" t="s">
        <v>4340</v>
      </c>
      <c r="B2472" s="96" t="str">
        <f>IFERROR(VLOOKUP(Proc[[#This Row],[App]],Table2[],3,0),"open")</f>
        <v>open</v>
      </c>
      <c r="C2472" s="105" t="s">
        <v>370</v>
      </c>
      <c r="D2472" t="s">
        <v>4386</v>
      </c>
      <c r="E2472" t="s">
        <v>1830</v>
      </c>
      <c r="F2472" s="96" t="s">
        <v>4382</v>
      </c>
      <c r="G2472" s="105" t="s">
        <v>400</v>
      </c>
      <c r="H2472" s="96" t="str">
        <f>IF(Proc[[#This Row],[type]]="LFF (MDG-F)",MID(Proc[[#This Row],[Obj]],13,10),"")</f>
        <v/>
      </c>
      <c r="J2472" s="96" t="b">
        <f>Proc[[#This Row],[Requested]]=Proc[[#This Row],[CurrentParent]]</f>
        <v>0</v>
      </c>
      <c r="K2472" s="96" t="str">
        <f>IF(Proc[[#This Row],[Author]]="Marcela Urrego",VLOOKUP(LEFT(Proc[[#This Row],[Requested]],1),Table3[#All],2,0),VLOOKUP(Proc[[#This Row],[Author]],Table4[],2,0))</f>
        <v>LS</v>
      </c>
      <c r="L2472" s="96"/>
      <c r="M2472" s="111">
        <v>45838.524548611109</v>
      </c>
      <c r="N2472" s="111"/>
      <c r="O2472" s="111"/>
      <c r="P2472" s="112" t="str">
        <f ca="1">IF(Proc[[#This Row],[DaysAgeing]]&gt;5,"yep","on track")</f>
        <v>on track</v>
      </c>
      <c r="Q2472" s="3">
        <f ca="1">IF(Proc[[#This Row],[DateClosed]]="",ABS(NETWORKDAYS(Proc[[#This Row],[DateOpened]],TODAY()))-1,ABS(NETWORKDAYS(Proc[[#This Row],[DateOpened]],Proc[[#This Row],[DateClosed]]))-1)</f>
        <v>1</v>
      </c>
      <c r="R2472" s="112" t="s">
        <v>972</v>
      </c>
      <c r="S2472" s="96"/>
    </row>
    <row r="2473" spans="1:19">
      <c r="A2473" s="105" t="s">
        <v>4340</v>
      </c>
      <c r="B2473" s="96" t="str">
        <f>IFERROR(VLOOKUP(Proc[[#This Row],[App]],Table2[],3,0),"open")</f>
        <v>open</v>
      </c>
      <c r="C2473" s="105" t="s">
        <v>370</v>
      </c>
      <c r="D2473" t="s">
        <v>4387</v>
      </c>
      <c r="E2473" t="s">
        <v>1830</v>
      </c>
      <c r="F2473" s="96" t="s">
        <v>4382</v>
      </c>
      <c r="G2473" s="105" t="s">
        <v>400</v>
      </c>
      <c r="H2473" s="96" t="str">
        <f>IF(Proc[[#This Row],[type]]="LFF (MDG-F)",MID(Proc[[#This Row],[Obj]],13,10),"")</f>
        <v/>
      </c>
      <c r="J2473" s="96" t="b">
        <f>Proc[[#This Row],[Requested]]=Proc[[#This Row],[CurrentParent]]</f>
        <v>0</v>
      </c>
      <c r="K2473" s="96" t="str">
        <f>IF(Proc[[#This Row],[Author]]="Marcela Urrego",VLOOKUP(LEFT(Proc[[#This Row],[Requested]],1),Table3[#All],2,0),VLOOKUP(Proc[[#This Row],[Author]],Table4[],2,0))</f>
        <v>LS</v>
      </c>
      <c r="L2473" s="96"/>
      <c r="M2473" s="111">
        <v>45838.524548611109</v>
      </c>
      <c r="N2473" s="111"/>
      <c r="O2473" s="111"/>
      <c r="P2473" s="112" t="str">
        <f ca="1">IF(Proc[[#This Row],[DaysAgeing]]&gt;5,"yep","on track")</f>
        <v>on track</v>
      </c>
      <c r="Q2473" s="3">
        <f ca="1">IF(Proc[[#This Row],[DateClosed]]="",ABS(NETWORKDAYS(Proc[[#This Row],[DateOpened]],TODAY()))-1,ABS(NETWORKDAYS(Proc[[#This Row],[DateOpened]],Proc[[#This Row],[DateClosed]]))-1)</f>
        <v>1</v>
      </c>
      <c r="R2473" s="112" t="s">
        <v>972</v>
      </c>
      <c r="S2473" s="96"/>
    </row>
    <row r="2474" spans="1:19">
      <c r="A2474" s="105" t="s">
        <v>4340</v>
      </c>
      <c r="B2474" s="96" t="str">
        <f>IFERROR(VLOOKUP(Proc[[#This Row],[App]],Table2[],3,0),"open")</f>
        <v>open</v>
      </c>
      <c r="C2474" s="105" t="s">
        <v>370</v>
      </c>
      <c r="D2474" t="s">
        <v>4388</v>
      </c>
      <c r="E2474" t="s">
        <v>1830</v>
      </c>
      <c r="F2474" s="96" t="s">
        <v>4382</v>
      </c>
      <c r="G2474" s="105" t="s">
        <v>400</v>
      </c>
      <c r="H2474" s="96" t="str">
        <f>IF(Proc[[#This Row],[type]]="LFF (MDG-F)",MID(Proc[[#This Row],[Obj]],13,10),"")</f>
        <v/>
      </c>
      <c r="J2474" s="96" t="b">
        <f>Proc[[#This Row],[Requested]]=Proc[[#This Row],[CurrentParent]]</f>
        <v>0</v>
      </c>
      <c r="K2474" s="96" t="str">
        <f>IF(Proc[[#This Row],[Author]]="Marcela Urrego",VLOOKUP(LEFT(Proc[[#This Row],[Requested]],1),Table3[#All],2,0),VLOOKUP(Proc[[#This Row],[Author]],Table4[],2,0))</f>
        <v>LS</v>
      </c>
      <c r="L2474" s="96"/>
      <c r="M2474" s="111">
        <v>45838.524548611109</v>
      </c>
      <c r="N2474" s="111"/>
      <c r="O2474" s="111"/>
      <c r="P2474" s="112" t="str">
        <f ca="1">IF(Proc[[#This Row],[DaysAgeing]]&gt;5,"yep","on track")</f>
        <v>on track</v>
      </c>
      <c r="Q2474" s="3">
        <f ca="1">IF(Proc[[#This Row],[DateClosed]]="",ABS(NETWORKDAYS(Proc[[#This Row],[DateOpened]],TODAY()))-1,ABS(NETWORKDAYS(Proc[[#This Row],[DateOpened]],Proc[[#This Row],[DateClosed]]))-1)</f>
        <v>1</v>
      </c>
      <c r="R2474" s="112" t="s">
        <v>972</v>
      </c>
      <c r="S2474" s="96"/>
    </row>
    <row r="2475" spans="1:19">
      <c r="A2475" s="105" t="s">
        <v>4340</v>
      </c>
      <c r="B2475" s="96" t="str">
        <f>IFERROR(VLOOKUP(Proc[[#This Row],[App]],Table2[],3,0),"open")</f>
        <v>open</v>
      </c>
      <c r="C2475" s="105" t="s">
        <v>370</v>
      </c>
      <c r="D2475" t="s">
        <v>4389</v>
      </c>
      <c r="E2475" t="s">
        <v>1830</v>
      </c>
      <c r="F2475" s="96" t="s">
        <v>4382</v>
      </c>
      <c r="G2475" s="105" t="s">
        <v>400</v>
      </c>
      <c r="H2475" s="96" t="str">
        <f>IF(Proc[[#This Row],[type]]="LFF (MDG-F)",MID(Proc[[#This Row],[Obj]],13,10),"")</f>
        <v/>
      </c>
      <c r="J2475" s="96" t="b">
        <f>Proc[[#This Row],[Requested]]=Proc[[#This Row],[CurrentParent]]</f>
        <v>0</v>
      </c>
      <c r="K2475" s="96" t="str">
        <f>IF(Proc[[#This Row],[Author]]="Marcela Urrego",VLOOKUP(LEFT(Proc[[#This Row],[Requested]],1),Table3[#All],2,0),VLOOKUP(Proc[[#This Row],[Author]],Table4[],2,0))</f>
        <v>LS</v>
      </c>
      <c r="L2475" s="96"/>
      <c r="M2475" s="111">
        <v>45838.524548611109</v>
      </c>
      <c r="N2475" s="111"/>
      <c r="O2475" s="111"/>
      <c r="P2475" s="112" t="str">
        <f ca="1">IF(Proc[[#This Row],[DaysAgeing]]&gt;5,"yep","on track")</f>
        <v>on track</v>
      </c>
      <c r="Q2475" s="3">
        <f ca="1">IF(Proc[[#This Row],[DateClosed]]="",ABS(NETWORKDAYS(Proc[[#This Row],[DateOpened]],TODAY()))-1,ABS(NETWORKDAYS(Proc[[#This Row],[DateOpened]],Proc[[#This Row],[DateClosed]]))-1)</f>
        <v>1</v>
      </c>
      <c r="R2475" s="112" t="s">
        <v>972</v>
      </c>
      <c r="S2475" s="96"/>
    </row>
    <row r="2476" spans="1:19">
      <c r="A2476" s="105" t="s">
        <v>4340</v>
      </c>
      <c r="B2476" s="96" t="str">
        <f>IFERROR(VLOOKUP(Proc[[#This Row],[App]],Table2[],3,0),"open")</f>
        <v>open</v>
      </c>
      <c r="C2476" s="105" t="s">
        <v>370</v>
      </c>
      <c r="D2476" t="s">
        <v>4390</v>
      </c>
      <c r="E2476" t="s">
        <v>1830</v>
      </c>
      <c r="F2476" s="96" t="s">
        <v>4382</v>
      </c>
      <c r="G2476" s="105" t="s">
        <v>400</v>
      </c>
      <c r="H2476" s="96" t="str">
        <f>IF(Proc[[#This Row],[type]]="LFF (MDG-F)",MID(Proc[[#This Row],[Obj]],13,10),"")</f>
        <v/>
      </c>
      <c r="J2476" s="96" t="b">
        <f>Proc[[#This Row],[Requested]]=Proc[[#This Row],[CurrentParent]]</f>
        <v>0</v>
      </c>
      <c r="K2476" s="96" t="str">
        <f>IF(Proc[[#This Row],[Author]]="Marcela Urrego",VLOOKUP(LEFT(Proc[[#This Row],[Requested]],1),Table3[#All],2,0),VLOOKUP(Proc[[#This Row],[Author]],Table4[],2,0))</f>
        <v>LS</v>
      </c>
      <c r="L2476" s="96"/>
      <c r="M2476" s="111">
        <v>45838.524548611109</v>
      </c>
      <c r="N2476" s="111"/>
      <c r="O2476" s="111"/>
      <c r="P2476" s="112" t="str">
        <f ca="1">IF(Proc[[#This Row],[DaysAgeing]]&gt;5,"yep","on track")</f>
        <v>on track</v>
      </c>
      <c r="Q2476" s="3">
        <f ca="1">IF(Proc[[#This Row],[DateClosed]]="",ABS(NETWORKDAYS(Proc[[#This Row],[DateOpened]],TODAY()))-1,ABS(NETWORKDAYS(Proc[[#This Row],[DateOpened]],Proc[[#This Row],[DateClosed]]))-1)</f>
        <v>1</v>
      </c>
      <c r="R2476" s="112" t="s">
        <v>972</v>
      </c>
      <c r="S2476" s="96"/>
    </row>
    <row r="2477" spans="1:19">
      <c r="A2477" s="105" t="s">
        <v>4340</v>
      </c>
      <c r="B2477" s="96" t="str">
        <f>IFERROR(VLOOKUP(Proc[[#This Row],[App]],Table2[],3,0),"open")</f>
        <v>open</v>
      </c>
      <c r="C2477" s="105" t="s">
        <v>370</v>
      </c>
      <c r="D2477" t="s">
        <v>4391</v>
      </c>
      <c r="E2477" t="s">
        <v>4392</v>
      </c>
      <c r="F2477" s="96" t="s">
        <v>4393</v>
      </c>
      <c r="G2477" s="105" t="s">
        <v>400</v>
      </c>
      <c r="H2477" s="96" t="str">
        <f>IF(Proc[[#This Row],[type]]="LFF (MDG-F)",MID(Proc[[#This Row],[Obj]],13,10),"")</f>
        <v/>
      </c>
      <c r="J2477" s="96" t="b">
        <f>Proc[[#This Row],[Requested]]=Proc[[#This Row],[CurrentParent]]</f>
        <v>0</v>
      </c>
      <c r="K2477" s="96" t="str">
        <f>IF(Proc[[#This Row],[Author]]="Marcela Urrego",VLOOKUP(LEFT(Proc[[#This Row],[Requested]],1),Table3[#All],2,0),VLOOKUP(Proc[[#This Row],[Author]],Table4[],2,0))</f>
        <v>LS</v>
      </c>
      <c r="L2477" s="96"/>
      <c r="M2477" s="111">
        <v>45838.524548611109</v>
      </c>
      <c r="N2477" s="111"/>
      <c r="O2477" s="111"/>
      <c r="P2477" s="112" t="str">
        <f ca="1">IF(Proc[[#This Row],[DaysAgeing]]&gt;5,"yep","on track")</f>
        <v>on track</v>
      </c>
      <c r="Q2477" s="3">
        <f ca="1">IF(Proc[[#This Row],[DateClosed]]="",ABS(NETWORKDAYS(Proc[[#This Row],[DateOpened]],TODAY()))-1,ABS(NETWORKDAYS(Proc[[#This Row],[DateOpened]],Proc[[#This Row],[DateClosed]]))-1)</f>
        <v>1</v>
      </c>
      <c r="R2477" s="112" t="s">
        <v>972</v>
      </c>
      <c r="S2477" s="96"/>
    </row>
    <row r="2478" spans="1:19">
      <c r="A2478" s="105" t="s">
        <v>4340</v>
      </c>
      <c r="B2478" s="96" t="str">
        <f>IFERROR(VLOOKUP(Proc[[#This Row],[App]],Table2[],3,0),"open")</f>
        <v>open</v>
      </c>
      <c r="C2478" s="105" t="s">
        <v>370</v>
      </c>
      <c r="D2478" t="s">
        <v>4394</v>
      </c>
      <c r="E2478" t="s">
        <v>2370</v>
      </c>
      <c r="F2478" s="96" t="s">
        <v>4395</v>
      </c>
      <c r="G2478" s="105" t="s">
        <v>400</v>
      </c>
      <c r="H2478" s="96" t="str">
        <f>IF(Proc[[#This Row],[type]]="LFF (MDG-F)",MID(Proc[[#This Row],[Obj]],13,10),"")</f>
        <v/>
      </c>
      <c r="J2478" s="96" t="b">
        <f>Proc[[#This Row],[Requested]]=Proc[[#This Row],[CurrentParent]]</f>
        <v>0</v>
      </c>
      <c r="K2478" s="96" t="str">
        <f>IF(Proc[[#This Row],[Author]]="Marcela Urrego",VLOOKUP(LEFT(Proc[[#This Row],[Requested]],1),Table3[#All],2,0),VLOOKUP(Proc[[#This Row],[Author]],Table4[],2,0))</f>
        <v>LS</v>
      </c>
      <c r="L2478" s="96"/>
      <c r="M2478" s="111">
        <v>45838.524548611109</v>
      </c>
      <c r="N2478" s="111"/>
      <c r="O2478" s="111"/>
      <c r="P2478" s="112" t="str">
        <f ca="1">IF(Proc[[#This Row],[DaysAgeing]]&gt;5,"yep","on track")</f>
        <v>on track</v>
      </c>
      <c r="Q2478" s="3">
        <f ca="1">IF(Proc[[#This Row],[DateClosed]]="",ABS(NETWORKDAYS(Proc[[#This Row],[DateOpened]],TODAY()))-1,ABS(NETWORKDAYS(Proc[[#This Row],[DateOpened]],Proc[[#This Row],[DateClosed]]))-1)</f>
        <v>1</v>
      </c>
      <c r="R2478" s="112" t="s">
        <v>972</v>
      </c>
      <c r="S2478" s="96"/>
    </row>
    <row r="2479" spans="1:19">
      <c r="A2479" s="105" t="s">
        <v>4340</v>
      </c>
      <c r="B2479" s="96" t="str">
        <f>IFERROR(VLOOKUP(Proc[[#This Row],[App]],Table2[],3,0),"open")</f>
        <v>open</v>
      </c>
      <c r="C2479" s="105" t="s">
        <v>370</v>
      </c>
      <c r="D2479" t="s">
        <v>4396</v>
      </c>
      <c r="E2479" t="s">
        <v>4397</v>
      </c>
      <c r="F2479" s="96" t="s">
        <v>4398</v>
      </c>
      <c r="G2479" s="105" t="s">
        <v>400</v>
      </c>
      <c r="H2479" s="96" t="str">
        <f>IF(Proc[[#This Row],[type]]="LFF (MDG-F)",MID(Proc[[#This Row],[Obj]],13,10),"")</f>
        <v/>
      </c>
      <c r="J2479" s="96" t="b">
        <f>Proc[[#This Row],[Requested]]=Proc[[#This Row],[CurrentParent]]</f>
        <v>0</v>
      </c>
      <c r="K2479" s="96" t="str">
        <f>IF(Proc[[#This Row],[Author]]="Marcela Urrego",VLOOKUP(LEFT(Proc[[#This Row],[Requested]],1),Table3[#All],2,0),VLOOKUP(Proc[[#This Row],[Author]],Table4[],2,0))</f>
        <v>LS</v>
      </c>
      <c r="L2479" s="96"/>
      <c r="M2479" s="111">
        <v>45838.524548611109</v>
      </c>
      <c r="N2479" s="111"/>
      <c r="O2479" s="111"/>
      <c r="P2479" s="112" t="str">
        <f ca="1">IF(Proc[[#This Row],[DaysAgeing]]&gt;5,"yep","on track")</f>
        <v>on track</v>
      </c>
      <c r="Q2479" s="3">
        <f ca="1">IF(Proc[[#This Row],[DateClosed]]="",ABS(NETWORKDAYS(Proc[[#This Row],[DateOpened]],TODAY()))-1,ABS(NETWORKDAYS(Proc[[#This Row],[DateOpened]],Proc[[#This Row],[DateClosed]]))-1)</f>
        <v>1</v>
      </c>
      <c r="R2479" s="112" t="s">
        <v>972</v>
      </c>
      <c r="S2479" s="96"/>
    </row>
    <row r="2480" spans="1:19">
      <c r="A2480" s="105" t="s">
        <v>4340</v>
      </c>
      <c r="B2480" s="96" t="str">
        <f>IFERROR(VLOOKUP(Proc[[#This Row],[App]],Table2[],3,0),"open")</f>
        <v>open</v>
      </c>
      <c r="C2480" s="105" t="s">
        <v>370</v>
      </c>
      <c r="D2480" t="s">
        <v>4399</v>
      </c>
      <c r="E2480" t="s">
        <v>4400</v>
      </c>
      <c r="F2480" s="96" t="s">
        <v>4401</v>
      </c>
      <c r="G2480" s="105" t="s">
        <v>400</v>
      </c>
      <c r="H2480" s="96" t="str">
        <f>IF(Proc[[#This Row],[type]]="LFF (MDG-F)",MID(Proc[[#This Row],[Obj]],13,10),"")</f>
        <v/>
      </c>
      <c r="J2480" s="96" t="b">
        <f>Proc[[#This Row],[Requested]]=Proc[[#This Row],[CurrentParent]]</f>
        <v>0</v>
      </c>
      <c r="K2480" s="96" t="str">
        <f>IF(Proc[[#This Row],[Author]]="Marcela Urrego",VLOOKUP(LEFT(Proc[[#This Row],[Requested]],1),Table3[#All],2,0),VLOOKUP(Proc[[#This Row],[Author]],Table4[],2,0))</f>
        <v>LS</v>
      </c>
      <c r="L2480" s="96"/>
      <c r="M2480" s="111">
        <v>45838.524548611109</v>
      </c>
      <c r="N2480" s="111"/>
      <c r="O2480" s="111"/>
      <c r="P2480" s="112" t="str">
        <f ca="1">IF(Proc[[#This Row],[DaysAgeing]]&gt;5,"yep","on track")</f>
        <v>on track</v>
      </c>
      <c r="Q2480" s="3">
        <f ca="1">IF(Proc[[#This Row],[DateClosed]]="",ABS(NETWORKDAYS(Proc[[#This Row],[DateOpened]],TODAY()))-1,ABS(NETWORKDAYS(Proc[[#This Row],[DateOpened]],Proc[[#This Row],[DateClosed]]))-1)</f>
        <v>1</v>
      </c>
      <c r="R2480" s="112" t="s">
        <v>972</v>
      </c>
      <c r="S2480" s="96"/>
    </row>
    <row r="2481" spans="1:19">
      <c r="A2481" s="105" t="s">
        <v>4340</v>
      </c>
      <c r="B2481" s="96" t="str">
        <f>IFERROR(VLOOKUP(Proc[[#This Row],[App]],Table2[],3,0),"open")</f>
        <v>open</v>
      </c>
      <c r="C2481" s="105" t="s">
        <v>370</v>
      </c>
      <c r="D2481" t="s">
        <v>4402</v>
      </c>
      <c r="E2481" t="s">
        <v>4403</v>
      </c>
      <c r="F2481" s="96" t="s">
        <v>4401</v>
      </c>
      <c r="G2481" s="105" t="s">
        <v>400</v>
      </c>
      <c r="H2481" s="96" t="str">
        <f>IF(Proc[[#This Row],[type]]="LFF (MDG-F)",MID(Proc[[#This Row],[Obj]],13,10),"")</f>
        <v/>
      </c>
      <c r="J2481" s="96" t="b">
        <f>Proc[[#This Row],[Requested]]=Proc[[#This Row],[CurrentParent]]</f>
        <v>0</v>
      </c>
      <c r="K2481" s="96" t="str">
        <f>IF(Proc[[#This Row],[Author]]="Marcela Urrego",VLOOKUP(LEFT(Proc[[#This Row],[Requested]],1),Table3[#All],2,0),VLOOKUP(Proc[[#This Row],[Author]],Table4[],2,0))</f>
        <v>LS</v>
      </c>
      <c r="L2481" s="96"/>
      <c r="M2481" s="111">
        <v>45838.524548611109</v>
      </c>
      <c r="N2481" s="111"/>
      <c r="O2481" s="111"/>
      <c r="P2481" s="112" t="str">
        <f ca="1">IF(Proc[[#This Row],[DaysAgeing]]&gt;5,"yep","on track")</f>
        <v>on track</v>
      </c>
      <c r="Q2481" s="3">
        <f ca="1">IF(Proc[[#This Row],[DateClosed]]="",ABS(NETWORKDAYS(Proc[[#This Row],[DateOpened]],TODAY()))-1,ABS(NETWORKDAYS(Proc[[#This Row],[DateOpened]],Proc[[#This Row],[DateClosed]]))-1)</f>
        <v>1</v>
      </c>
      <c r="R2481" s="112" t="s">
        <v>972</v>
      </c>
      <c r="S2481" s="96"/>
    </row>
    <row r="2482" spans="1:19">
      <c r="A2482" s="105" t="s">
        <v>4340</v>
      </c>
      <c r="B2482" s="96" t="str">
        <f>IFERROR(VLOOKUP(Proc[[#This Row],[App]],Table2[],3,0),"open")</f>
        <v>open</v>
      </c>
      <c r="C2482" s="105" t="s">
        <v>370</v>
      </c>
      <c r="D2482" t="s">
        <v>4404</v>
      </c>
      <c r="E2482" t="s">
        <v>524</v>
      </c>
      <c r="F2482" s="96" t="s">
        <v>4405</v>
      </c>
      <c r="G2482" s="105" t="s">
        <v>400</v>
      </c>
      <c r="H2482" s="96" t="str">
        <f>IF(Proc[[#This Row],[type]]="LFF (MDG-F)",MID(Proc[[#This Row],[Obj]],13,10),"")</f>
        <v/>
      </c>
      <c r="J2482" s="96" t="b">
        <f>Proc[[#This Row],[Requested]]=Proc[[#This Row],[CurrentParent]]</f>
        <v>0</v>
      </c>
      <c r="K2482" s="96" t="str">
        <f>IF(Proc[[#This Row],[Author]]="Marcela Urrego",VLOOKUP(LEFT(Proc[[#This Row],[Requested]],1),Table3[#All],2,0),VLOOKUP(Proc[[#This Row],[Author]],Table4[],2,0))</f>
        <v>LS</v>
      </c>
      <c r="L2482" s="96"/>
      <c r="M2482" s="111">
        <v>45838.524548611109</v>
      </c>
      <c r="N2482" s="111"/>
      <c r="O2482" s="111"/>
      <c r="P2482" s="112" t="str">
        <f ca="1">IF(Proc[[#This Row],[DaysAgeing]]&gt;5,"yep","on track")</f>
        <v>on track</v>
      </c>
      <c r="Q2482" s="3">
        <f ca="1">IF(Proc[[#This Row],[DateClosed]]="",ABS(NETWORKDAYS(Proc[[#This Row],[DateOpened]],TODAY()))-1,ABS(NETWORKDAYS(Proc[[#This Row],[DateOpened]],Proc[[#This Row],[DateClosed]]))-1)</f>
        <v>1</v>
      </c>
      <c r="R2482" s="112" t="s">
        <v>972</v>
      </c>
      <c r="S2482" s="96"/>
    </row>
    <row r="2483" spans="1:19">
      <c r="A2483" s="105" t="s">
        <v>4340</v>
      </c>
      <c r="B2483" s="96" t="str">
        <f>IFERROR(VLOOKUP(Proc[[#This Row],[App]],Table2[],3,0),"open")</f>
        <v>open</v>
      </c>
      <c r="C2483" s="105" t="s">
        <v>370</v>
      </c>
      <c r="D2483" t="s">
        <v>4406</v>
      </c>
      <c r="E2483" t="s">
        <v>524</v>
      </c>
      <c r="F2483" s="96" t="s">
        <v>4405</v>
      </c>
      <c r="G2483" s="105" t="s">
        <v>400</v>
      </c>
      <c r="H2483" s="96" t="str">
        <f>IF(Proc[[#This Row],[type]]="LFF (MDG-F)",MID(Proc[[#This Row],[Obj]],13,10),"")</f>
        <v/>
      </c>
      <c r="J2483" s="96" t="b">
        <f>Proc[[#This Row],[Requested]]=Proc[[#This Row],[CurrentParent]]</f>
        <v>0</v>
      </c>
      <c r="K2483" s="96" t="str">
        <f>IF(Proc[[#This Row],[Author]]="Marcela Urrego",VLOOKUP(LEFT(Proc[[#This Row],[Requested]],1),Table3[#All],2,0),VLOOKUP(Proc[[#This Row],[Author]],Table4[],2,0))</f>
        <v>LS</v>
      </c>
      <c r="L2483" s="96"/>
      <c r="M2483" s="111">
        <v>45838.524548611109</v>
      </c>
      <c r="N2483" s="111"/>
      <c r="O2483" s="111"/>
      <c r="P2483" s="112" t="str">
        <f ca="1">IF(Proc[[#This Row],[DaysAgeing]]&gt;5,"yep","on track")</f>
        <v>on track</v>
      </c>
      <c r="Q2483" s="3">
        <f ca="1">IF(Proc[[#This Row],[DateClosed]]="",ABS(NETWORKDAYS(Proc[[#This Row],[DateOpened]],TODAY()))-1,ABS(NETWORKDAYS(Proc[[#This Row],[DateOpened]],Proc[[#This Row],[DateClosed]]))-1)</f>
        <v>1</v>
      </c>
      <c r="R2483" s="112" t="s">
        <v>972</v>
      </c>
      <c r="S2483" s="96"/>
    </row>
    <row r="2484" spans="1:19">
      <c r="A2484" s="105" t="s">
        <v>4340</v>
      </c>
      <c r="B2484" s="96" t="str">
        <f>IFERROR(VLOOKUP(Proc[[#This Row],[App]],Table2[],3,0),"open")</f>
        <v>open</v>
      </c>
      <c r="C2484" s="105" t="s">
        <v>370</v>
      </c>
      <c r="D2484" t="s">
        <v>4407</v>
      </c>
      <c r="E2484" t="s">
        <v>4408</v>
      </c>
      <c r="F2484" s="96" t="s">
        <v>4409</v>
      </c>
      <c r="G2484" s="105" t="s">
        <v>400</v>
      </c>
      <c r="H2484" s="96" t="str">
        <f>IF(Proc[[#This Row],[type]]="LFF (MDG-F)",MID(Proc[[#This Row],[Obj]],13,10),"")</f>
        <v/>
      </c>
      <c r="J2484" s="96" t="b">
        <f>Proc[[#This Row],[Requested]]=Proc[[#This Row],[CurrentParent]]</f>
        <v>0</v>
      </c>
      <c r="K2484" s="96" t="str">
        <f>IF(Proc[[#This Row],[Author]]="Marcela Urrego",VLOOKUP(LEFT(Proc[[#This Row],[Requested]],1),Table3[#All],2,0),VLOOKUP(Proc[[#This Row],[Author]],Table4[],2,0))</f>
        <v>LS</v>
      </c>
      <c r="L2484" s="96"/>
      <c r="M2484" s="111">
        <v>45838.524548611109</v>
      </c>
      <c r="N2484" s="111"/>
      <c r="O2484" s="111"/>
      <c r="P2484" s="112" t="str">
        <f ca="1">IF(Proc[[#This Row],[DaysAgeing]]&gt;5,"yep","on track")</f>
        <v>on track</v>
      </c>
      <c r="Q2484" s="3">
        <f ca="1">IF(Proc[[#This Row],[DateClosed]]="",ABS(NETWORKDAYS(Proc[[#This Row],[DateOpened]],TODAY()))-1,ABS(NETWORKDAYS(Proc[[#This Row],[DateOpened]],Proc[[#This Row],[DateClosed]]))-1)</f>
        <v>1</v>
      </c>
      <c r="R2484" s="112" t="s">
        <v>972</v>
      </c>
      <c r="S2484" s="96"/>
    </row>
    <row r="2485" spans="1:19">
      <c r="A2485" s="105" t="s">
        <v>4340</v>
      </c>
      <c r="B2485" s="96" t="str">
        <f>IFERROR(VLOOKUP(Proc[[#This Row],[App]],Table2[],3,0),"open")</f>
        <v>open</v>
      </c>
      <c r="C2485" s="105" t="s">
        <v>370</v>
      </c>
      <c r="D2485" t="s">
        <v>4410</v>
      </c>
      <c r="E2485" t="s">
        <v>3529</v>
      </c>
      <c r="F2485" s="96" t="s">
        <v>4411</v>
      </c>
      <c r="G2485" s="105" t="s">
        <v>400</v>
      </c>
      <c r="H2485" s="96" t="str">
        <f>IF(Proc[[#This Row],[type]]="LFF (MDG-F)",MID(Proc[[#This Row],[Obj]],13,10),"")</f>
        <v/>
      </c>
      <c r="J2485" s="96" t="b">
        <f>Proc[[#This Row],[Requested]]=Proc[[#This Row],[CurrentParent]]</f>
        <v>0</v>
      </c>
      <c r="K2485" s="96" t="str">
        <f>IF(Proc[[#This Row],[Author]]="Marcela Urrego",VLOOKUP(LEFT(Proc[[#This Row],[Requested]],1),Table3[#All],2,0),VLOOKUP(Proc[[#This Row],[Author]],Table4[],2,0))</f>
        <v>LS</v>
      </c>
      <c r="L2485" s="96"/>
      <c r="M2485" s="111">
        <v>45838.524548611109</v>
      </c>
      <c r="N2485" s="111"/>
      <c r="O2485" s="111"/>
      <c r="P2485" s="112" t="str">
        <f ca="1">IF(Proc[[#This Row],[DaysAgeing]]&gt;5,"yep","on track")</f>
        <v>on track</v>
      </c>
      <c r="Q2485" s="3">
        <f ca="1">IF(Proc[[#This Row],[DateClosed]]="",ABS(NETWORKDAYS(Proc[[#This Row],[DateOpened]],TODAY()))-1,ABS(NETWORKDAYS(Proc[[#This Row],[DateOpened]],Proc[[#This Row],[DateClosed]]))-1)</f>
        <v>1</v>
      </c>
      <c r="R2485" s="112" t="s">
        <v>972</v>
      </c>
      <c r="S2485" s="96"/>
    </row>
    <row r="2486" spans="1:19">
      <c r="A2486" s="105" t="s">
        <v>4340</v>
      </c>
      <c r="B2486" s="96" t="str">
        <f>IFERROR(VLOOKUP(Proc[[#This Row],[App]],Table2[],3,0),"open")</f>
        <v>open</v>
      </c>
      <c r="C2486" s="105" t="s">
        <v>370</v>
      </c>
      <c r="D2486" t="s">
        <v>4412</v>
      </c>
      <c r="E2486" t="s">
        <v>3529</v>
      </c>
      <c r="F2486" s="96" t="s">
        <v>4413</v>
      </c>
      <c r="G2486" s="105" t="s">
        <v>400</v>
      </c>
      <c r="H2486" s="96" t="str">
        <f>IF(Proc[[#This Row],[type]]="LFF (MDG-F)",MID(Proc[[#This Row],[Obj]],13,10),"")</f>
        <v/>
      </c>
      <c r="J2486" s="96" t="b">
        <f>Proc[[#This Row],[Requested]]=Proc[[#This Row],[CurrentParent]]</f>
        <v>0</v>
      </c>
      <c r="K2486" s="96" t="str">
        <f>IF(Proc[[#This Row],[Author]]="Marcela Urrego",VLOOKUP(LEFT(Proc[[#This Row],[Requested]],1),Table3[#All],2,0),VLOOKUP(Proc[[#This Row],[Author]],Table4[],2,0))</f>
        <v>LS</v>
      </c>
      <c r="L2486" s="96"/>
      <c r="M2486" s="111">
        <v>45838.524548611109</v>
      </c>
      <c r="N2486" s="111"/>
      <c r="O2486" s="111"/>
      <c r="P2486" s="112" t="str">
        <f ca="1">IF(Proc[[#This Row],[DaysAgeing]]&gt;5,"yep","on track")</f>
        <v>on track</v>
      </c>
      <c r="Q2486" s="3">
        <f ca="1">IF(Proc[[#This Row],[DateClosed]]="",ABS(NETWORKDAYS(Proc[[#This Row],[DateOpened]],TODAY()))-1,ABS(NETWORKDAYS(Proc[[#This Row],[DateOpened]],Proc[[#This Row],[DateClosed]]))-1)</f>
        <v>1</v>
      </c>
      <c r="R2486" s="112" t="s">
        <v>972</v>
      </c>
      <c r="S2486" s="96"/>
    </row>
    <row r="2487" spans="1:19">
      <c r="A2487" s="105" t="s">
        <v>4340</v>
      </c>
      <c r="B2487" s="96" t="str">
        <f>IFERROR(VLOOKUP(Proc[[#This Row],[App]],Table2[],3,0),"open")</f>
        <v>open</v>
      </c>
      <c r="C2487" s="105" t="s">
        <v>370</v>
      </c>
      <c r="D2487" t="s">
        <v>4414</v>
      </c>
      <c r="E2487" t="s">
        <v>4415</v>
      </c>
      <c r="F2487" s="96" t="s">
        <v>4413</v>
      </c>
      <c r="G2487" s="105" t="s">
        <v>400</v>
      </c>
      <c r="H2487" s="96" t="str">
        <f>IF(Proc[[#This Row],[type]]="LFF (MDG-F)",MID(Proc[[#This Row],[Obj]],13,10),"")</f>
        <v/>
      </c>
      <c r="J2487" s="96" t="b">
        <f>Proc[[#This Row],[Requested]]=Proc[[#This Row],[CurrentParent]]</f>
        <v>0</v>
      </c>
      <c r="K2487" s="96" t="str">
        <f>IF(Proc[[#This Row],[Author]]="Marcela Urrego",VLOOKUP(LEFT(Proc[[#This Row],[Requested]],1),Table3[#All],2,0),VLOOKUP(Proc[[#This Row],[Author]],Table4[],2,0))</f>
        <v>LS</v>
      </c>
      <c r="L2487" s="96"/>
      <c r="M2487" s="111">
        <v>45838.524548611109</v>
      </c>
      <c r="N2487" s="111"/>
      <c r="O2487" s="111"/>
      <c r="P2487" s="112" t="str">
        <f ca="1">IF(Proc[[#This Row],[DaysAgeing]]&gt;5,"yep","on track")</f>
        <v>on track</v>
      </c>
      <c r="Q2487" s="3">
        <f ca="1">IF(Proc[[#This Row],[DateClosed]]="",ABS(NETWORKDAYS(Proc[[#This Row],[DateOpened]],TODAY()))-1,ABS(NETWORKDAYS(Proc[[#This Row],[DateOpened]],Proc[[#This Row],[DateClosed]]))-1)</f>
        <v>1</v>
      </c>
      <c r="R2487" s="112" t="s">
        <v>972</v>
      </c>
      <c r="S2487" s="96"/>
    </row>
  </sheetData>
  <phoneticPr fontId="0" type="noConversion"/>
  <conditionalFormatting sqref="D642">
    <cfRule type="duplicateValues" dxfId="9" priority="3"/>
  </conditionalFormatting>
  <conditionalFormatting sqref="D1017:D1042">
    <cfRule type="duplicateValues" dxfId="8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G2:G2487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topLeftCell="A31" workbookViewId="0">
      <selection activeCell="H31" sqref="H31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4" bestFit="1" customWidth="1"/>
    <col min="5" max="5" width="38.42578125" style="4" bestFit="1" customWidth="1"/>
    <col min="6" max="6" width="37.28515625" style="4" bestFit="1" customWidth="1"/>
    <col min="7" max="7" width="10.28515625" style="4" hidden="1" customWidth="1"/>
    <col min="8" max="8" width="13.7109375" style="4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571</v>
      </c>
      <c r="E1" t="s">
        <v>572</v>
      </c>
      <c r="F1" t="s">
        <v>573</v>
      </c>
      <c r="G1" t="s">
        <v>574</v>
      </c>
      <c r="H1" s="4" t="s">
        <v>575</v>
      </c>
      <c r="I1" t="s">
        <v>576</v>
      </c>
      <c r="J1" t="s">
        <v>394</v>
      </c>
      <c r="K1" t="s">
        <v>577</v>
      </c>
    </row>
    <row r="2" spans="1:11">
      <c r="A2" s="5" t="s">
        <v>567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578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568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579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568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579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568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579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569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578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570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578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570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579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568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579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568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579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568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579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568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579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567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579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570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579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568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579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567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579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568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578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570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578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568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578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570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579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567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580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568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581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567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581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567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582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569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581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570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581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570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581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568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583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570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584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567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585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567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585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569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586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567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587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567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585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567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585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568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584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567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584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568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584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567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584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568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584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568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588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567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589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568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590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570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591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568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585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568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585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567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592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569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585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569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585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569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585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569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585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570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593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568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585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567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585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569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585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567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585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568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585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567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585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567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585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568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594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569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585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568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585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570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585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568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585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567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585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567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585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569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585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570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585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568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585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569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595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567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585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569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585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568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585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567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596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28"/>
  <sheetViews>
    <sheetView topLeftCell="A99" workbookViewId="0">
      <selection activeCell="B129" sqref="A129:XFD129"/>
    </sheetView>
  </sheetViews>
  <sheetFormatPr defaultRowHeight="15"/>
  <cols>
    <col min="1" max="1" width="23.85546875" bestFit="1" customWidth="1"/>
  </cols>
  <sheetData>
    <row r="1" spans="1:2">
      <c r="A1" t="s">
        <v>597</v>
      </c>
      <c r="B1" t="s">
        <v>367</v>
      </c>
    </row>
    <row r="2" spans="1:2">
      <c r="A2" t="s">
        <v>402</v>
      </c>
      <c r="B2" t="s">
        <v>567</v>
      </c>
    </row>
    <row r="3" spans="1:2">
      <c r="A3" t="s">
        <v>407</v>
      </c>
      <c r="B3" t="s">
        <v>567</v>
      </c>
    </row>
    <row r="4" spans="1:2">
      <c r="A4" t="s">
        <v>408</v>
      </c>
      <c r="B4" t="s">
        <v>568</v>
      </c>
    </row>
    <row r="5" spans="1:2">
      <c r="A5" t="s">
        <v>409</v>
      </c>
      <c r="B5" t="s">
        <v>569</v>
      </c>
    </row>
    <row r="6" spans="1:2">
      <c r="A6" t="s">
        <v>410</v>
      </c>
      <c r="B6" t="s">
        <v>569</v>
      </c>
    </row>
    <row r="7" spans="1:2">
      <c r="A7" t="s">
        <v>412</v>
      </c>
      <c r="B7" t="s">
        <v>568</v>
      </c>
    </row>
    <row r="8" spans="1:2">
      <c r="A8" t="s">
        <v>414</v>
      </c>
      <c r="B8" t="s">
        <v>568</v>
      </c>
    </row>
    <row r="9" spans="1:2">
      <c r="A9" t="s">
        <v>415</v>
      </c>
      <c r="B9" t="s">
        <v>569</v>
      </c>
    </row>
    <row r="10" spans="1:2">
      <c r="A10" t="s">
        <v>420</v>
      </c>
      <c r="B10" t="s">
        <v>568</v>
      </c>
    </row>
    <row r="11" spans="1:2">
      <c r="A11" t="s">
        <v>421</v>
      </c>
      <c r="B11" t="s">
        <v>570</v>
      </c>
    </row>
    <row r="12" spans="1:2">
      <c r="A12" t="s">
        <v>422</v>
      </c>
      <c r="B12" t="s">
        <v>567</v>
      </c>
    </row>
    <row r="13" spans="1:2">
      <c r="A13" t="s">
        <v>423</v>
      </c>
      <c r="B13" t="s">
        <v>568</v>
      </c>
    </row>
    <row r="14" spans="1:2">
      <c r="A14" s="1" t="s">
        <v>598</v>
      </c>
      <c r="B14" t="s">
        <v>567</v>
      </c>
    </row>
    <row r="15" spans="1:2">
      <c r="A15" t="s">
        <v>449</v>
      </c>
      <c r="B15" t="s">
        <v>569</v>
      </c>
    </row>
    <row r="16" spans="1:2">
      <c r="A16" s="1" t="s">
        <v>450</v>
      </c>
      <c r="B16" t="s">
        <v>570</v>
      </c>
    </row>
    <row r="17" spans="1:2">
      <c r="A17" t="s">
        <v>452</v>
      </c>
      <c r="B17" t="s">
        <v>567</v>
      </c>
    </row>
    <row r="18" spans="1:2">
      <c r="A18" s="1" t="s">
        <v>448</v>
      </c>
      <c r="B18" t="s">
        <v>569</v>
      </c>
    </row>
    <row r="19" spans="1:2">
      <c r="A19" t="s">
        <v>465</v>
      </c>
      <c r="B19" t="s">
        <v>569</v>
      </c>
    </row>
    <row r="20" spans="1:2">
      <c r="A20" t="s">
        <v>467</v>
      </c>
      <c r="B20" t="s">
        <v>569</v>
      </c>
    </row>
    <row r="21" spans="1:2">
      <c r="A21" s="1" t="s">
        <v>469</v>
      </c>
      <c r="B21" t="s">
        <v>569</v>
      </c>
    </row>
    <row r="22" spans="1:2">
      <c r="A22" s="1" t="s">
        <v>470</v>
      </c>
      <c r="B22" t="s">
        <v>569</v>
      </c>
    </row>
    <row r="23" spans="1:2">
      <c r="A23" s="1" t="s">
        <v>472</v>
      </c>
      <c r="B23" t="s">
        <v>568</v>
      </c>
    </row>
    <row r="24" spans="1:2">
      <c r="A24" s="1" t="s">
        <v>471</v>
      </c>
      <c r="B24" t="s">
        <v>569</v>
      </c>
    </row>
    <row r="25" spans="1:2">
      <c r="A25" t="s">
        <v>478</v>
      </c>
      <c r="B25" t="s">
        <v>569</v>
      </c>
    </row>
    <row r="26" spans="1:2">
      <c r="A26" s="1" t="s">
        <v>477</v>
      </c>
      <c r="B26" t="s">
        <v>569</v>
      </c>
    </row>
    <row r="27" spans="1:2">
      <c r="A27" s="1" t="s">
        <v>481</v>
      </c>
      <c r="B27" t="s">
        <v>567</v>
      </c>
    </row>
    <row r="28" spans="1:2">
      <c r="A28" s="1" t="s">
        <v>599</v>
      </c>
      <c r="B28" t="s">
        <v>570</v>
      </c>
    </row>
    <row r="29" spans="1:2">
      <c r="A29" t="s">
        <v>482</v>
      </c>
      <c r="B29" t="s">
        <v>569</v>
      </c>
    </row>
    <row r="30" spans="1:2">
      <c r="A30" t="s">
        <v>484</v>
      </c>
      <c r="B30" t="s">
        <v>569</v>
      </c>
    </row>
    <row r="31" spans="1:2">
      <c r="A31" t="s">
        <v>490</v>
      </c>
      <c r="B31" t="s">
        <v>569</v>
      </c>
    </row>
    <row r="32" spans="1:2">
      <c r="A32" t="s">
        <v>492</v>
      </c>
      <c r="B32" t="s">
        <v>569</v>
      </c>
    </row>
    <row r="33" spans="1:2">
      <c r="A33" t="s">
        <v>502</v>
      </c>
      <c r="B33" t="s">
        <v>569</v>
      </c>
    </row>
    <row r="34" spans="1:2">
      <c r="A34" t="s">
        <v>515</v>
      </c>
      <c r="B34" t="s">
        <v>567</v>
      </c>
    </row>
    <row r="35" spans="1:2">
      <c r="A35" t="s">
        <v>510</v>
      </c>
      <c r="B35" t="s">
        <v>567</v>
      </c>
    </row>
    <row r="36" spans="1:2">
      <c r="A36" t="s">
        <v>518</v>
      </c>
      <c r="B36" t="s">
        <v>567</v>
      </c>
    </row>
    <row r="37" spans="1:2">
      <c r="A37" t="s">
        <v>485</v>
      </c>
      <c r="B37" s="12" t="s">
        <v>567</v>
      </c>
    </row>
    <row r="38" spans="1:2">
      <c r="A38" t="s">
        <v>488</v>
      </c>
      <c r="B38" s="12" t="s">
        <v>567</v>
      </c>
    </row>
    <row r="39" spans="1:2">
      <c r="A39" t="s">
        <v>491</v>
      </c>
      <c r="B39" s="12" t="s">
        <v>567</v>
      </c>
    </row>
    <row r="40" spans="1:2">
      <c r="A40" t="s">
        <v>511</v>
      </c>
      <c r="B40" s="12" t="s">
        <v>567</v>
      </c>
    </row>
    <row r="41" spans="1:2">
      <c r="A41" t="s">
        <v>519</v>
      </c>
      <c r="B41" s="13" t="s">
        <v>567</v>
      </c>
    </row>
    <row r="42" spans="1:2">
      <c r="A42" t="s">
        <v>494</v>
      </c>
      <c r="B42" t="s">
        <v>569</v>
      </c>
    </row>
    <row r="43" spans="1:2">
      <c r="A43" t="s">
        <v>498</v>
      </c>
      <c r="B43" t="s">
        <v>569</v>
      </c>
    </row>
    <row r="44" spans="1:2">
      <c r="A44" t="s">
        <v>506</v>
      </c>
      <c r="B44" t="s">
        <v>569</v>
      </c>
    </row>
    <row r="45" spans="1:2">
      <c r="A45" t="s">
        <v>507</v>
      </c>
      <c r="B45" t="s">
        <v>569</v>
      </c>
    </row>
    <row r="46" spans="1:2">
      <c r="A46" t="s">
        <v>516</v>
      </c>
      <c r="B46" t="s">
        <v>569</v>
      </c>
    </row>
    <row r="47" spans="1:2">
      <c r="A47" t="s">
        <v>489</v>
      </c>
      <c r="B47" t="s">
        <v>568</v>
      </c>
    </row>
    <row r="48" spans="1:2">
      <c r="A48" t="s">
        <v>505</v>
      </c>
      <c r="B48" t="s">
        <v>568</v>
      </c>
    </row>
    <row r="49" spans="1:2">
      <c r="A49" t="s">
        <v>520</v>
      </c>
      <c r="B49" t="s">
        <v>568</v>
      </c>
    </row>
    <row r="50" spans="1:2">
      <c r="A50" t="s">
        <v>521</v>
      </c>
      <c r="B50" t="s">
        <v>568</v>
      </c>
    </row>
    <row r="51" spans="1:2">
      <c r="A51" t="s">
        <v>517</v>
      </c>
      <c r="B51" t="s">
        <v>570</v>
      </c>
    </row>
    <row r="52" spans="1:2">
      <c r="A52" t="s">
        <v>532</v>
      </c>
      <c r="B52" t="s">
        <v>569</v>
      </c>
    </row>
    <row r="53" spans="1:2">
      <c r="A53" t="s">
        <v>530</v>
      </c>
      <c r="B53" t="s">
        <v>567</v>
      </c>
    </row>
    <row r="54" spans="1:2">
      <c r="A54" s="1" t="s">
        <v>533</v>
      </c>
      <c r="B54" t="s">
        <v>568</v>
      </c>
    </row>
    <row r="55" spans="1:2">
      <c r="A55" s="1" t="s">
        <v>529</v>
      </c>
      <c r="B55" t="s">
        <v>568</v>
      </c>
    </row>
    <row r="56" spans="1:2">
      <c r="A56" s="1" t="s">
        <v>534</v>
      </c>
      <c r="B56" t="s">
        <v>569</v>
      </c>
    </row>
    <row r="57" spans="1:2">
      <c r="A57" s="1" t="s">
        <v>535</v>
      </c>
      <c r="B57" t="s">
        <v>569</v>
      </c>
    </row>
    <row r="58" spans="1:2">
      <c r="A58" s="1" t="s">
        <v>522</v>
      </c>
      <c r="B58" t="s">
        <v>567</v>
      </c>
    </row>
    <row r="59" spans="1:2">
      <c r="A59" s="1" t="s">
        <v>542</v>
      </c>
      <c r="B59" t="s">
        <v>567</v>
      </c>
    </row>
    <row r="60" spans="1:2">
      <c r="A60" s="1" t="s">
        <v>544</v>
      </c>
      <c r="B60" t="s">
        <v>568</v>
      </c>
    </row>
    <row r="61" spans="1:2">
      <c r="A61" s="1" t="s">
        <v>536</v>
      </c>
      <c r="B61" t="s">
        <v>570</v>
      </c>
    </row>
    <row r="62" spans="1:2">
      <c r="A62" t="s">
        <v>545</v>
      </c>
      <c r="B62" t="s">
        <v>568</v>
      </c>
    </row>
    <row r="63" spans="1:2">
      <c r="A63" s="1" t="s">
        <v>550</v>
      </c>
      <c r="B63" t="s">
        <v>567</v>
      </c>
    </row>
    <row r="64" spans="1:2">
      <c r="A64" s="1" t="s">
        <v>549</v>
      </c>
      <c r="B64" t="s">
        <v>567</v>
      </c>
    </row>
    <row r="65" spans="1:2">
      <c r="A65" s="1" t="s">
        <v>551</v>
      </c>
      <c r="B65" t="s">
        <v>568</v>
      </c>
    </row>
    <row r="66" spans="1:2">
      <c r="A66" s="1" t="s">
        <v>539</v>
      </c>
      <c r="B66" t="s">
        <v>567</v>
      </c>
    </row>
    <row r="67" spans="1:2">
      <c r="A67" s="1" t="s">
        <v>548</v>
      </c>
      <c r="B67" t="s">
        <v>567</v>
      </c>
    </row>
    <row r="68" spans="1:2">
      <c r="A68" t="s">
        <v>553</v>
      </c>
      <c r="B68" t="s">
        <v>567</v>
      </c>
    </row>
    <row r="69" spans="1:2">
      <c r="A69" t="s">
        <v>558</v>
      </c>
      <c r="B69" t="s">
        <v>567</v>
      </c>
    </row>
    <row r="70" spans="1:2">
      <c r="A70" s="14" t="s">
        <v>566</v>
      </c>
      <c r="B70" t="s">
        <v>567</v>
      </c>
    </row>
    <row r="71" spans="1:2">
      <c r="A71" s="14" t="s">
        <v>638</v>
      </c>
      <c r="B71" s="18" t="s">
        <v>569</v>
      </c>
    </row>
    <row r="72" spans="1:2">
      <c r="A72" s="14" t="s">
        <v>646</v>
      </c>
      <c r="B72" s="20" t="s">
        <v>569</v>
      </c>
    </row>
    <row r="73" spans="1:2">
      <c r="A73" s="14" t="s">
        <v>655</v>
      </c>
      <c r="B73" t="s">
        <v>568</v>
      </c>
    </row>
    <row r="74" spans="1:2">
      <c r="A74" s="14" t="s">
        <v>676</v>
      </c>
      <c r="B74" s="21" t="s">
        <v>570</v>
      </c>
    </row>
    <row r="75" spans="1:2">
      <c r="A75" s="26" t="s">
        <v>686</v>
      </c>
      <c r="B75" s="22" t="s">
        <v>569</v>
      </c>
    </row>
    <row r="76" spans="1:2">
      <c r="A76" s="26" t="s">
        <v>695</v>
      </c>
      <c r="B76" t="s">
        <v>567</v>
      </c>
    </row>
    <row r="77" spans="1:2">
      <c r="A77" s="27" t="s">
        <v>701</v>
      </c>
      <c r="B77" t="s">
        <v>569</v>
      </c>
    </row>
    <row r="78" spans="1:2">
      <c r="A78" s="27" t="s">
        <v>706</v>
      </c>
      <c r="B78" s="22" t="s">
        <v>569</v>
      </c>
    </row>
    <row r="79" spans="1:2">
      <c r="A79" s="27" t="s">
        <v>738</v>
      </c>
      <c r="B79" s="28" t="s">
        <v>569</v>
      </c>
    </row>
    <row r="80" spans="1:2">
      <c r="A80" s="27" t="s">
        <v>746</v>
      </c>
      <c r="B80" s="28" t="s">
        <v>569</v>
      </c>
    </row>
    <row r="81" spans="1:2">
      <c r="A81" s="27" t="s">
        <v>764</v>
      </c>
      <c r="B81" s="28" t="s">
        <v>569</v>
      </c>
    </row>
    <row r="82" spans="1:2">
      <c r="A82" s="27" t="s">
        <v>780</v>
      </c>
      <c r="B82" t="s">
        <v>570</v>
      </c>
    </row>
    <row r="83" spans="1:2">
      <c r="A83" s="36" t="s">
        <v>793</v>
      </c>
      <c r="B83" s="28" t="s">
        <v>570</v>
      </c>
    </row>
    <row r="84" spans="1:2">
      <c r="A84" s="37" t="s">
        <v>807</v>
      </c>
      <c r="B84" t="s">
        <v>567</v>
      </c>
    </row>
    <row r="85" spans="1:2">
      <c r="A85" s="37" t="s">
        <v>826</v>
      </c>
      <c r="B85" s="38" t="s">
        <v>567</v>
      </c>
    </row>
    <row r="86" spans="1:2">
      <c r="A86" s="37" t="s">
        <v>819</v>
      </c>
      <c r="B86" s="38" t="s">
        <v>568</v>
      </c>
    </row>
    <row r="87" spans="1:2">
      <c r="A87" t="s">
        <v>830</v>
      </c>
      <c r="B87" s="38" t="s">
        <v>568</v>
      </c>
    </row>
    <row r="88" spans="1:2">
      <c r="A88" s="41" t="s">
        <v>848</v>
      </c>
      <c r="B88" s="38" t="s">
        <v>567</v>
      </c>
    </row>
    <row r="89" spans="1:2">
      <c r="A89" s="37" t="s">
        <v>856</v>
      </c>
      <c r="B89" s="38" t="s">
        <v>569</v>
      </c>
    </row>
    <row r="90" spans="1:2">
      <c r="A90" s="44" t="s">
        <v>877</v>
      </c>
      <c r="B90" t="s">
        <v>567</v>
      </c>
    </row>
    <row r="91" spans="1:2">
      <c r="A91" t="s">
        <v>901</v>
      </c>
      <c r="B91" t="s">
        <v>569</v>
      </c>
    </row>
    <row r="92" spans="1:2">
      <c r="A92" t="s">
        <v>909</v>
      </c>
      <c r="B92" t="s">
        <v>568</v>
      </c>
    </row>
    <row r="93" spans="1:2">
      <c r="A93" t="s">
        <v>927</v>
      </c>
      <c r="B93" s="47" t="s">
        <v>568</v>
      </c>
    </row>
    <row r="94" spans="1:2">
      <c r="A94" t="s">
        <v>955</v>
      </c>
      <c r="B94" t="s">
        <v>569</v>
      </c>
    </row>
    <row r="95" spans="1:2">
      <c r="A95" s="48" t="s">
        <v>972</v>
      </c>
      <c r="B95" s="50" t="s">
        <v>568</v>
      </c>
    </row>
    <row r="96" spans="1:2">
      <c r="A96" t="s">
        <v>764</v>
      </c>
      <c r="B96" s="50" t="s">
        <v>569</v>
      </c>
    </row>
    <row r="97" spans="1:2">
      <c r="A97" s="48" t="s">
        <v>1001</v>
      </c>
      <c r="B97" t="s">
        <v>570</v>
      </c>
    </row>
    <row r="98" spans="1:2">
      <c r="A98" s="48" t="s">
        <v>1013</v>
      </c>
      <c r="B98" s="53" t="s">
        <v>569</v>
      </c>
    </row>
    <row r="99" spans="1:2">
      <c r="A99" t="s">
        <v>1028</v>
      </c>
      <c r="B99" t="s">
        <v>567</v>
      </c>
    </row>
    <row r="100" spans="1:2">
      <c r="A100" s="53" t="s">
        <v>1031</v>
      </c>
      <c r="B100" t="s">
        <v>569</v>
      </c>
    </row>
    <row r="101" spans="1:2">
      <c r="A101" s="48" t="s">
        <v>1076</v>
      </c>
      <c r="B101" t="s">
        <v>567</v>
      </c>
    </row>
    <row r="102" spans="1:2">
      <c r="A102" s="54" t="s">
        <v>1105</v>
      </c>
      <c r="B102" s="55" t="s">
        <v>569</v>
      </c>
    </row>
    <row r="103" spans="1:2">
      <c r="A103" s="54" t="s">
        <v>1138</v>
      </c>
      <c r="B103" t="s">
        <v>569</v>
      </c>
    </row>
    <row r="104" spans="1:2">
      <c r="A104" s="54" t="s">
        <v>1156</v>
      </c>
      <c r="B104" t="s">
        <v>568</v>
      </c>
    </row>
    <row r="105" spans="1:2">
      <c r="A105" t="s">
        <v>1158</v>
      </c>
      <c r="B105" s="70" t="s">
        <v>567</v>
      </c>
    </row>
    <row r="106" spans="1:2">
      <c r="A106" s="54" t="s">
        <v>1201</v>
      </c>
      <c r="B106" t="s">
        <v>567</v>
      </c>
    </row>
    <row r="107" spans="1:2">
      <c r="A107" t="s">
        <v>1248</v>
      </c>
      <c r="B107" t="s">
        <v>570</v>
      </c>
    </row>
    <row r="108" spans="1:2">
      <c r="A108" t="s">
        <v>1262</v>
      </c>
      <c r="B108" t="s">
        <v>568</v>
      </c>
    </row>
    <row r="109" spans="1:2">
      <c r="A109" t="s">
        <v>1271</v>
      </c>
      <c r="B109" t="s">
        <v>569</v>
      </c>
    </row>
    <row r="110" spans="1:2">
      <c r="A110" t="s">
        <v>1273</v>
      </c>
      <c r="B110" t="s">
        <v>568</v>
      </c>
    </row>
    <row r="111" spans="1:2">
      <c r="A111" t="s">
        <v>1459</v>
      </c>
      <c r="B111" t="s">
        <v>567</v>
      </c>
    </row>
    <row r="112" spans="1:2">
      <c r="A112" t="s">
        <v>1515</v>
      </c>
      <c r="B112" t="s">
        <v>568</v>
      </c>
    </row>
    <row r="113" spans="1:2">
      <c r="A113" t="s">
        <v>1666</v>
      </c>
      <c r="B113" t="s">
        <v>569</v>
      </c>
    </row>
    <row r="114" spans="1:2">
      <c r="A114" t="s">
        <v>1833</v>
      </c>
      <c r="B114" t="s">
        <v>568</v>
      </c>
    </row>
    <row r="115" spans="1:2">
      <c r="A115" t="s">
        <v>2263</v>
      </c>
      <c r="B115" t="s">
        <v>567</v>
      </c>
    </row>
    <row r="116" spans="1:2">
      <c r="A116" s="72" t="s">
        <v>2400</v>
      </c>
      <c r="B116" s="70" t="s">
        <v>569</v>
      </c>
    </row>
    <row r="117" spans="1:2">
      <c r="A117" t="s">
        <v>2436</v>
      </c>
      <c r="B117" t="s">
        <v>569</v>
      </c>
    </row>
    <row r="118" spans="1:2">
      <c r="A118" t="s">
        <v>2440</v>
      </c>
      <c r="B118" t="s">
        <v>568</v>
      </c>
    </row>
    <row r="119" spans="1:2">
      <c r="A119" s="72" t="s">
        <v>2444</v>
      </c>
      <c r="B119" s="70" t="s">
        <v>567</v>
      </c>
    </row>
    <row r="120" spans="1:2">
      <c r="A120" t="s">
        <v>2524</v>
      </c>
      <c r="B120" t="s">
        <v>569</v>
      </c>
    </row>
    <row r="121" spans="1:2">
      <c r="A121" t="s">
        <v>2662</v>
      </c>
      <c r="B121" t="s">
        <v>567</v>
      </c>
    </row>
    <row r="122" spans="1:2">
      <c r="A122" s="80" t="s">
        <v>2679</v>
      </c>
      <c r="B122" s="74" t="s">
        <v>568</v>
      </c>
    </row>
    <row r="123" spans="1:2">
      <c r="A123" s="80" t="s">
        <v>2682</v>
      </c>
      <c r="B123" s="74" t="s">
        <v>567</v>
      </c>
    </row>
    <row r="124" spans="1:2">
      <c r="A124" t="s">
        <v>2712</v>
      </c>
      <c r="B124" s="74" t="s">
        <v>567</v>
      </c>
    </row>
    <row r="125" spans="1:2">
      <c r="A125" t="s">
        <v>2891</v>
      </c>
      <c r="B125" t="s">
        <v>568</v>
      </c>
    </row>
    <row r="126" spans="1:2">
      <c r="A126" s="88" t="s">
        <v>3285</v>
      </c>
      <c r="B126" t="s">
        <v>569</v>
      </c>
    </row>
    <row r="127" spans="1:2">
      <c r="A127" t="s">
        <v>3291</v>
      </c>
      <c r="B127" t="s">
        <v>568</v>
      </c>
    </row>
    <row r="128" spans="1:2">
      <c r="A128" s="92" t="s">
        <v>3640</v>
      </c>
      <c r="B128" s="95" t="s">
        <v>569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B5" sqref="B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692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693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600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601</v>
      </c>
      <c r="B1" t="s">
        <v>389</v>
      </c>
    </row>
    <row r="2" spans="1:2">
      <c r="A2" t="s">
        <v>602</v>
      </c>
      <c r="B2" t="s">
        <v>570</v>
      </c>
    </row>
    <row r="3" spans="1:2">
      <c r="A3" t="s">
        <v>603</v>
      </c>
      <c r="B3" t="s">
        <v>568</v>
      </c>
    </row>
    <row r="4" spans="1:2">
      <c r="A4" t="s">
        <v>604</v>
      </c>
      <c r="B4" t="s">
        <v>569</v>
      </c>
    </row>
    <row r="5" spans="1:2">
      <c r="A5" t="s">
        <v>605</v>
      </c>
      <c r="B5" t="s">
        <v>567</v>
      </c>
    </row>
    <row r="6" spans="1:2">
      <c r="A6" t="s">
        <v>606</v>
      </c>
      <c r="B6" s="22" t="s">
        <v>567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607</v>
      </c>
      <c r="C1" t="s">
        <v>608</v>
      </c>
      <c r="D1" t="s">
        <v>609</v>
      </c>
      <c r="E1" t="s">
        <v>610</v>
      </c>
      <c r="F1" t="s">
        <v>611</v>
      </c>
    </row>
    <row r="2" spans="1:6">
      <c r="A2" t="s">
        <v>567</v>
      </c>
      <c r="B2" t="s">
        <v>401</v>
      </c>
      <c r="C2">
        <v>21</v>
      </c>
      <c r="D2">
        <v>3</v>
      </c>
      <c r="E2">
        <v>528</v>
      </c>
      <c r="F2" t="s">
        <v>612</v>
      </c>
    </row>
    <row r="3" spans="1:6">
      <c r="A3" t="s">
        <v>568</v>
      </c>
      <c r="B3" t="s">
        <v>401</v>
      </c>
      <c r="C3">
        <v>24</v>
      </c>
      <c r="D3">
        <v>9</v>
      </c>
      <c r="E3">
        <v>222</v>
      </c>
      <c r="F3" t="s">
        <v>613</v>
      </c>
    </row>
    <row r="4" spans="1:6">
      <c r="A4" t="s">
        <v>569</v>
      </c>
      <c r="B4" t="s">
        <v>401</v>
      </c>
      <c r="C4">
        <v>10</v>
      </c>
      <c r="D4">
        <v>1</v>
      </c>
      <c r="E4">
        <v>25</v>
      </c>
      <c r="F4" t="s">
        <v>614</v>
      </c>
    </row>
    <row r="5" spans="1:6">
      <c r="A5" t="s">
        <v>570</v>
      </c>
      <c r="B5" t="s">
        <v>401</v>
      </c>
      <c r="C5">
        <v>11</v>
      </c>
      <c r="D5">
        <v>4</v>
      </c>
      <c r="E5">
        <v>1936</v>
      </c>
      <c r="F5" t="s">
        <v>615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�� 
</file>

<file path=customXml/item2.xml><?xml version="1.0" encoding="utf-8"?>
<Application xmlns="http://www.sap.com/cof/excel/application">
  <Version>2</Version>
  <Revision>2.6.200.79950</Revision>
</Application>
</file>

<file path=customXml/itemProps1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KPI</vt:lpstr>
      <vt:lpstr>Report</vt:lpstr>
      <vt:lpstr>OK</vt:lpstr>
      <vt:lpstr>PROC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Roland Earvin Combalicer</cp:lastModifiedBy>
  <cp:revision/>
  <dcterms:created xsi:type="dcterms:W3CDTF">2023-06-07T06:58:46Z</dcterms:created>
  <dcterms:modified xsi:type="dcterms:W3CDTF">2025-07-01T09:50:30Z</dcterms:modified>
  <cp:category/>
  <cp:contentStatus/>
</cp:coreProperties>
</file>